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urnament\Google Drive\Antes Insurance Team Tournament\"/>
    </mc:Choice>
  </mc:AlternateContent>
  <bookViews>
    <workbookView xWindow="0" yWindow="0" windowWidth="17325" windowHeight="7680" firstSheet="2" activeTab="9"/>
  </bookViews>
  <sheets>
    <sheet name="Team Selection" sheetId="1" r:id="rId1"/>
    <sheet name="Encounters played" sheetId="2" r:id="rId2"/>
    <sheet name="Standings" sheetId="3" r:id="rId3"/>
    <sheet name="Day 1" sheetId="4" r:id="rId4"/>
    <sheet name="Day 2" sheetId="5" r:id="rId5"/>
    <sheet name="Day 3" sheetId="6" r:id="rId6"/>
    <sheet name="Day 4" sheetId="7" r:id="rId7"/>
    <sheet name="Day 5" sheetId="8" r:id="rId8"/>
    <sheet name="Semi Final" sheetId="9" r:id="rId9"/>
    <sheet name="Final" sheetId="10" r:id="rId10"/>
  </sheets>
  <calcPr calcId="152511"/>
  <extLst>
    <ext uri="GoogleSheetsCustomDataVersion2">
      <go:sheetsCustomData xmlns:go="http://customooxmlschemas.google.com/" r:id="rId14" roundtripDataChecksum="WZw4neQHT5DTfuZ2TOh1YKasRu0Bx3xPCTBMO4n8JNg="/>
    </ext>
  </extLst>
</workbook>
</file>

<file path=xl/calcChain.xml><?xml version="1.0" encoding="utf-8"?>
<calcChain xmlns="http://schemas.openxmlformats.org/spreadsheetml/2006/main">
  <c r="K40" i="10" l="1"/>
  <c r="J40" i="10"/>
  <c r="K75" i="9"/>
  <c r="K77" i="9" s="1"/>
  <c r="J75" i="9"/>
  <c r="K60" i="9"/>
  <c r="J60" i="9"/>
  <c r="J77" i="9" s="1"/>
  <c r="K40" i="9"/>
  <c r="J40" i="9"/>
  <c r="J42" i="9" s="1"/>
  <c r="K25" i="9"/>
  <c r="K42" i="9" s="1"/>
  <c r="J25" i="9"/>
  <c r="K110" i="8"/>
  <c r="K112" i="8" s="1"/>
  <c r="J110" i="8"/>
  <c r="K95" i="8"/>
  <c r="J95" i="8"/>
  <c r="J112" i="8" s="1"/>
  <c r="K75" i="8"/>
  <c r="J75" i="8"/>
  <c r="J77" i="8" s="1"/>
  <c r="K60" i="8"/>
  <c r="K77" i="8" s="1"/>
  <c r="J60" i="8"/>
  <c r="K40" i="8"/>
  <c r="K42" i="8" s="1"/>
  <c r="J40" i="8"/>
  <c r="K25" i="8"/>
  <c r="J25" i="8"/>
  <c r="J42" i="8" s="1"/>
  <c r="K110" i="7"/>
  <c r="J110" i="7"/>
  <c r="J112" i="7" s="1"/>
  <c r="K95" i="7"/>
  <c r="K112" i="7" s="1"/>
  <c r="J95" i="7"/>
  <c r="K75" i="7"/>
  <c r="K77" i="7" s="1"/>
  <c r="J75" i="7"/>
  <c r="K60" i="7"/>
  <c r="J60" i="7"/>
  <c r="J77" i="7" s="1"/>
  <c r="K40" i="7"/>
  <c r="J40" i="7"/>
  <c r="J42" i="7" s="1"/>
  <c r="K25" i="7"/>
  <c r="K42" i="7" s="1"/>
  <c r="J25" i="7"/>
  <c r="K110" i="6"/>
  <c r="K112" i="6" s="1"/>
  <c r="J110" i="6"/>
  <c r="K95" i="6"/>
  <c r="J95" i="6"/>
  <c r="J112" i="6" s="1"/>
  <c r="K75" i="6"/>
  <c r="J75" i="6"/>
  <c r="J77" i="6" s="1"/>
  <c r="K60" i="6"/>
  <c r="K77" i="6" s="1"/>
  <c r="J60" i="6"/>
  <c r="K40" i="6"/>
  <c r="K42" i="6" s="1"/>
  <c r="J40" i="6"/>
  <c r="K25" i="6"/>
  <c r="J25" i="6"/>
  <c r="J42" i="6" s="1"/>
  <c r="K110" i="5"/>
  <c r="J110" i="5"/>
  <c r="J112" i="5" s="1"/>
  <c r="K95" i="5"/>
  <c r="K112" i="5" s="1"/>
  <c r="J95" i="5"/>
  <c r="K75" i="5"/>
  <c r="K77" i="5" s="1"/>
  <c r="J75" i="5"/>
  <c r="K60" i="5"/>
  <c r="J60" i="5"/>
  <c r="J77" i="5" s="1"/>
  <c r="K40" i="5"/>
  <c r="J40" i="5"/>
  <c r="J42" i="5" s="1"/>
  <c r="K25" i="5"/>
  <c r="K42" i="5" s="1"/>
  <c r="J25" i="5"/>
  <c r="K110" i="4"/>
  <c r="K112" i="4" s="1"/>
  <c r="J110" i="4"/>
  <c r="K95" i="4"/>
  <c r="J95" i="4"/>
  <c r="J112" i="4" s="1"/>
  <c r="K75" i="4"/>
  <c r="K77" i="4" s="1"/>
  <c r="J75" i="4"/>
  <c r="K60" i="4"/>
  <c r="J60" i="4"/>
  <c r="J77" i="4" s="1"/>
  <c r="K40" i="4"/>
  <c r="K42" i="4" s="1"/>
  <c r="J40" i="4"/>
  <c r="K25" i="4"/>
  <c r="J25" i="4"/>
  <c r="J42" i="4" s="1"/>
  <c r="Q27" i="3"/>
  <c r="N27" i="3"/>
  <c r="K27" i="3"/>
  <c r="H27" i="3"/>
  <c r="E27" i="3"/>
  <c r="R26" i="3"/>
  <c r="Q26" i="3"/>
  <c r="N26" i="3"/>
  <c r="O26" i="3" s="1"/>
  <c r="K26" i="3"/>
  <c r="L26" i="3" s="1"/>
  <c r="H26" i="3"/>
  <c r="I26" i="3" s="1"/>
  <c r="E26" i="3"/>
  <c r="F26" i="3" s="1"/>
  <c r="C26" i="3"/>
  <c r="Q24" i="3"/>
  <c r="N24" i="3"/>
  <c r="K24" i="3"/>
  <c r="H24" i="3"/>
  <c r="E24" i="3"/>
  <c r="Q23" i="3"/>
  <c r="R23" i="3" s="1"/>
  <c r="N23" i="3"/>
  <c r="O23" i="3" s="1"/>
  <c r="K23" i="3"/>
  <c r="L23" i="3" s="1"/>
  <c r="H23" i="3"/>
  <c r="I23" i="3" s="1"/>
  <c r="E23" i="3"/>
  <c r="F23" i="3" s="1"/>
  <c r="C23" i="3"/>
  <c r="Q21" i="3"/>
  <c r="N21" i="3"/>
  <c r="K21" i="3"/>
  <c r="H21" i="3"/>
  <c r="I20" i="3" s="1"/>
  <c r="E21" i="3"/>
  <c r="R20" i="3"/>
  <c r="Q20" i="3"/>
  <c r="O20" i="3"/>
  <c r="N20" i="3"/>
  <c r="L20" i="3"/>
  <c r="K20" i="3"/>
  <c r="H20" i="3"/>
  <c r="F20" i="3"/>
  <c r="T20" i="3" s="1"/>
  <c r="E20" i="3"/>
  <c r="C20" i="3"/>
  <c r="Q18" i="3"/>
  <c r="N18" i="3"/>
  <c r="K18" i="3"/>
  <c r="H18" i="3"/>
  <c r="E18" i="3"/>
  <c r="R17" i="3"/>
  <c r="Q17" i="3"/>
  <c r="N17" i="3"/>
  <c r="O17" i="3" s="1"/>
  <c r="L17" i="3"/>
  <c r="K17" i="3"/>
  <c r="H17" i="3"/>
  <c r="I17" i="3" s="1"/>
  <c r="F17" i="3"/>
  <c r="E17" i="3"/>
  <c r="C17" i="3"/>
  <c r="Q15" i="3"/>
  <c r="R14" i="3" s="1"/>
  <c r="N15" i="3"/>
  <c r="K15" i="3"/>
  <c r="H15" i="3"/>
  <c r="E15" i="3"/>
  <c r="F14" i="3" s="1"/>
  <c r="T14" i="3" s="1"/>
  <c r="Q14" i="3"/>
  <c r="O14" i="3"/>
  <c r="N14" i="3"/>
  <c r="L14" i="3"/>
  <c r="K14" i="3"/>
  <c r="I14" i="3"/>
  <c r="H14" i="3"/>
  <c r="E14" i="3"/>
  <c r="C14" i="3"/>
  <c r="Q12" i="3"/>
  <c r="N12" i="3"/>
  <c r="K12" i="3"/>
  <c r="H12" i="3"/>
  <c r="I11" i="3" s="1"/>
  <c r="E12" i="3"/>
  <c r="Q11" i="3"/>
  <c r="R11" i="3" s="1"/>
  <c r="O11" i="3"/>
  <c r="N11" i="3"/>
  <c r="K11" i="3"/>
  <c r="L11" i="3" s="1"/>
  <c r="H11" i="3"/>
  <c r="E11" i="3"/>
  <c r="F11" i="3" s="1"/>
  <c r="C11" i="3"/>
  <c r="L95" i="2" a="1"/>
  <c r="L95" i="2" s="1"/>
  <c r="J95" i="2"/>
  <c r="B95" i="2"/>
  <c r="L94" i="2" a="1"/>
  <c r="L94" i="2" s="1"/>
  <c r="J94" i="2"/>
  <c r="M94" i="2" s="1" a="1"/>
  <c r="M94" i="2" s="1"/>
  <c r="B94" i="2"/>
  <c r="M93" i="2" a="1"/>
  <c r="M93" i="2" s="1"/>
  <c r="L93" i="2" a="1"/>
  <c r="L93" i="2" s="1"/>
  <c r="K93" i="2" a="1"/>
  <c r="K93" i="2" s="1"/>
  <c r="J93" i="2"/>
  <c r="O93" i="2" s="1" a="1"/>
  <c r="O93" i="2" s="1"/>
  <c r="F93" i="2" a="1"/>
  <c r="F93" i="2" s="1"/>
  <c r="C93" i="2" a="1"/>
  <c r="C93" i="2" s="1"/>
  <c r="B93" i="2"/>
  <c r="D93" i="2" s="1" a="1"/>
  <c r="D93" i="2" s="1"/>
  <c r="O92" i="2" a="1"/>
  <c r="O92" i="2" s="1"/>
  <c r="M92" i="2" a="1"/>
  <c r="M92" i="2" s="1"/>
  <c r="L92" i="2" a="1"/>
  <c r="L92" i="2" s="1"/>
  <c r="K92" i="2" a="1"/>
  <c r="K92" i="2" s="1"/>
  <c r="J92" i="2"/>
  <c r="N92" i="2" s="1" a="1"/>
  <c r="N92" i="2" s="1"/>
  <c r="F92" i="2" a="1"/>
  <c r="F92" i="2" s="1"/>
  <c r="E92" i="2" a="1"/>
  <c r="E92" i="2" s="1"/>
  <c r="C92" i="2" a="1"/>
  <c r="C92" i="2" s="1"/>
  <c r="B92" i="2"/>
  <c r="D92" i="2" s="1" a="1"/>
  <c r="D92" i="2" s="1"/>
  <c r="O91" i="2" a="1"/>
  <c r="O91" i="2" s="1"/>
  <c r="M91" i="2" a="1"/>
  <c r="M91" i="2" s="1"/>
  <c r="L91" i="2" a="1"/>
  <c r="L91" i="2" s="1"/>
  <c r="K91" i="2" a="1"/>
  <c r="K91" i="2" s="1"/>
  <c r="J91" i="2"/>
  <c r="N91" i="2" s="1" a="1"/>
  <c r="N91" i="2" s="1"/>
  <c r="B91" i="2"/>
  <c r="N90" i="2" a="1"/>
  <c r="N90" i="2" s="1"/>
  <c r="K90" i="2" a="1"/>
  <c r="K90" i="2" s="1"/>
  <c r="J90" i="2"/>
  <c r="M90" i="2" s="1" a="1"/>
  <c r="M90" i="2" s="1"/>
  <c r="F90" i="2" a="1"/>
  <c r="F90" i="2" s="1"/>
  <c r="D90" i="2" a="1"/>
  <c r="D90" i="2" s="1"/>
  <c r="B90" i="2"/>
  <c r="E90" i="2" s="1" a="1"/>
  <c r="E90" i="2" s="1"/>
  <c r="L89" i="2" a="1"/>
  <c r="L89" i="2" s="1"/>
  <c r="J89" i="2"/>
  <c r="M89" i="2" s="1" a="1"/>
  <c r="M89" i="2" s="1"/>
  <c r="E89" i="2" a="1"/>
  <c r="E89" i="2" s="1"/>
  <c r="B89" i="2"/>
  <c r="F89" i="2" s="1" a="1"/>
  <c r="F89" i="2" s="1"/>
  <c r="N88" i="2" a="1"/>
  <c r="N88" i="2" s="1"/>
  <c r="L88" i="2" a="1"/>
  <c r="L88" i="2" s="1"/>
  <c r="K88" i="2" a="1"/>
  <c r="K88" i="2" s="1"/>
  <c r="J88" i="2"/>
  <c r="M88" i="2" s="1" a="1"/>
  <c r="M88" i="2" s="1"/>
  <c r="F88" i="2" a="1"/>
  <c r="F88" i="2" s="1"/>
  <c r="E88" i="2" a="1"/>
  <c r="E88" i="2" s="1"/>
  <c r="C88" i="2" a="1"/>
  <c r="C88" i="2" s="1"/>
  <c r="B88" i="2"/>
  <c r="G88" i="2" s="1" a="1"/>
  <c r="G88" i="2" s="1"/>
  <c r="O87" i="2" a="1"/>
  <c r="O87" i="2" s="1"/>
  <c r="N87" i="2" a="1"/>
  <c r="N87" i="2" s="1"/>
  <c r="M87" i="2" a="1"/>
  <c r="M87" i="2" s="1"/>
  <c r="J87" i="2"/>
  <c r="L87" i="2" s="1" a="1"/>
  <c r="L87" i="2" s="1"/>
  <c r="B87" i="2"/>
  <c r="J86" i="2"/>
  <c r="F86" i="2" a="1"/>
  <c r="F86" i="2" s="1"/>
  <c r="C86" i="2" a="1"/>
  <c r="C86" i="2" s="1"/>
  <c r="B86" i="2"/>
  <c r="E86" i="2" s="1" a="1"/>
  <c r="E86" i="2" s="1"/>
  <c r="N84" i="2" a="1"/>
  <c r="N84" i="2" s="1"/>
  <c r="L84" i="2" a="1"/>
  <c r="L84" i="2" s="1"/>
  <c r="J84" i="2"/>
  <c r="M84" i="2" s="1" a="1"/>
  <c r="M84" i="2" s="1"/>
  <c r="D84" i="2" a="1"/>
  <c r="D84" i="2" s="1"/>
  <c r="B84" i="2"/>
  <c r="E84" i="2" s="1" a="1"/>
  <c r="E84" i="2" s="1"/>
  <c r="J83" i="2"/>
  <c r="F83" i="2" a="1"/>
  <c r="F83" i="2" s="1"/>
  <c r="E83" i="2" a="1"/>
  <c r="E83" i="2" s="1"/>
  <c r="D83" i="2"/>
  <c r="C83" i="2" a="1"/>
  <c r="C83" i="2"/>
  <c r="B83" i="2"/>
  <c r="D83" i="2" s="1" a="1"/>
  <c r="O82" i="2" a="1"/>
  <c r="O82" i="2"/>
  <c r="M82" i="2" a="1"/>
  <c r="M82" i="2" s="1"/>
  <c r="J82" i="2"/>
  <c r="G82" i="2"/>
  <c r="F82" i="2" a="1"/>
  <c r="F82" i="2" s="1"/>
  <c r="C82" i="2" a="1"/>
  <c r="C82" i="2"/>
  <c r="B82" i="2"/>
  <c r="G82" i="2" s="1" a="1"/>
  <c r="O81" i="2" a="1"/>
  <c r="O81" i="2"/>
  <c r="M81" i="2" a="1"/>
  <c r="M81" i="2" s="1"/>
  <c r="K81" i="2" a="1"/>
  <c r="K81" i="2"/>
  <c r="J81" i="2"/>
  <c r="N81" i="2" s="1" a="1"/>
  <c r="N81" i="2" s="1"/>
  <c r="G81" i="2" a="1"/>
  <c r="G81" i="2"/>
  <c r="F81" i="2"/>
  <c r="E81" i="2" a="1"/>
  <c r="E81" i="2" s="1"/>
  <c r="C81" i="2" a="1"/>
  <c r="C81" i="2"/>
  <c r="B81" i="2"/>
  <c r="F81" i="2" s="1" a="1"/>
  <c r="O80" i="2" a="1"/>
  <c r="O80" i="2" s="1"/>
  <c r="L80" i="2" a="1"/>
  <c r="L80" i="2"/>
  <c r="J80" i="2"/>
  <c r="F80" i="2" a="1"/>
  <c r="F80" i="2" s="1"/>
  <c r="B80" i="2"/>
  <c r="J79" i="2"/>
  <c r="B79" i="2"/>
  <c r="N78" i="2" a="1"/>
  <c r="N78" i="2" s="1"/>
  <c r="L78" i="2" a="1"/>
  <c r="L78" i="2"/>
  <c r="J78" i="2"/>
  <c r="F78" i="2" a="1"/>
  <c r="F78" i="2" s="1"/>
  <c r="B78" i="2"/>
  <c r="J77" i="2"/>
  <c r="B77" i="2"/>
  <c r="N76" i="2" a="1"/>
  <c r="N76" i="2" s="1"/>
  <c r="L76" i="2" a="1"/>
  <c r="L76" i="2" s="1"/>
  <c r="J76" i="2"/>
  <c r="F76" i="2" a="1"/>
  <c r="F76" i="2" s="1"/>
  <c r="B76" i="2"/>
  <c r="J75" i="2"/>
  <c r="B75" i="2"/>
  <c r="N74" i="2" a="1"/>
  <c r="N74" i="2" s="1"/>
  <c r="L74" i="2" a="1"/>
  <c r="L74" i="2" s="1"/>
  <c r="J74" i="2"/>
  <c r="G74" i="2"/>
  <c r="F74" i="2" a="1"/>
  <c r="F74" i="2" s="1"/>
  <c r="D74" i="2" a="1"/>
  <c r="D74" i="2" s="1"/>
  <c r="B74" i="2"/>
  <c r="G74" i="2" s="1" a="1"/>
  <c r="O73" i="2" a="1"/>
  <c r="O73" i="2" s="1"/>
  <c r="M73" i="2" a="1"/>
  <c r="M73" i="2" s="1"/>
  <c r="J73" i="2"/>
  <c r="D73" i="2" a="1"/>
  <c r="D73" i="2" s="1"/>
  <c r="B73" i="2"/>
  <c r="K72" i="2" a="1"/>
  <c r="K72" i="2" s="1"/>
  <c r="J72" i="2"/>
  <c r="L72" i="2" s="1" a="1"/>
  <c r="L72" i="2" s="1"/>
  <c r="E72" i="2" a="1"/>
  <c r="E72" i="2" s="1"/>
  <c r="D72" i="2" a="1"/>
  <c r="D72" i="2" s="1"/>
  <c r="B72" i="2"/>
  <c r="F72" i="2" s="1" a="1"/>
  <c r="F72" i="2" s="1"/>
  <c r="J71" i="2"/>
  <c r="B71" i="2"/>
  <c r="N61" i="2" a="1"/>
  <c r="N61" i="2" s="1"/>
  <c r="J61" i="2"/>
  <c r="K61" i="2" s="1" a="1"/>
  <c r="K61" i="2" s="1"/>
  <c r="G61" i="2" a="1"/>
  <c r="G61" i="2" s="1"/>
  <c r="D61" i="2" a="1"/>
  <c r="D61" i="2" s="1"/>
  <c r="C61" i="2" a="1"/>
  <c r="C61" i="2" s="1"/>
  <c r="B61" i="2"/>
  <c r="F61" i="2" s="1" a="1"/>
  <c r="F61" i="2" s="1"/>
  <c r="N60" i="2" a="1"/>
  <c r="N60" i="2" s="1"/>
  <c r="M60" i="2" a="1"/>
  <c r="M60" i="2" s="1"/>
  <c r="J60" i="2"/>
  <c r="G60" i="2" a="1"/>
  <c r="G60" i="2" s="1"/>
  <c r="D60" i="2" a="1"/>
  <c r="D60" i="2" s="1"/>
  <c r="B60" i="2"/>
  <c r="N59" i="2" a="1"/>
  <c r="N59" i="2" s="1"/>
  <c r="M59" i="2" a="1"/>
  <c r="M59" i="2" s="1"/>
  <c r="L59" i="2" a="1"/>
  <c r="L59" i="2" s="1"/>
  <c r="K59" i="2" a="1"/>
  <c r="K59" i="2"/>
  <c r="J59" i="2"/>
  <c r="O59" i="2" s="1" a="1"/>
  <c r="O59" i="2" s="1"/>
  <c r="F59" i="2" a="1"/>
  <c r="F59" i="2" s="1"/>
  <c r="C59" i="2" a="1"/>
  <c r="C59" i="2" s="1"/>
  <c r="B59" i="2"/>
  <c r="M58" i="2" a="1"/>
  <c r="M58" i="2" s="1"/>
  <c r="L58" i="2" a="1"/>
  <c r="L58" i="2" s="1"/>
  <c r="J58" i="2"/>
  <c r="N58" i="2" s="1" a="1"/>
  <c r="N58" i="2" s="1"/>
  <c r="F58" i="2" a="1"/>
  <c r="F58" i="2" s="1"/>
  <c r="C58" i="2" a="1"/>
  <c r="C58" i="2" s="1"/>
  <c r="B58" i="2"/>
  <c r="O57" i="2"/>
  <c r="N57" i="2" a="1"/>
  <c r="N57" i="2" s="1"/>
  <c r="M57" i="2" a="1"/>
  <c r="M57" i="2" s="1"/>
  <c r="L57" i="2" a="1"/>
  <c r="L57" i="2" s="1"/>
  <c r="K57" i="2" a="1"/>
  <c r="K57" i="2"/>
  <c r="J57" i="2"/>
  <c r="O57" i="2" s="1" a="1"/>
  <c r="G57" i="2" a="1"/>
  <c r="G57" i="2"/>
  <c r="E57" i="2"/>
  <c r="D57" i="2" a="1"/>
  <c r="D57" i="2" s="1"/>
  <c r="C57" i="2" a="1"/>
  <c r="C57" i="2" s="1"/>
  <c r="B57" i="2"/>
  <c r="E57" i="2" s="1" a="1"/>
  <c r="J56" i="2"/>
  <c r="O56" i="2" s="1" a="1"/>
  <c r="O56" i="2" s="1"/>
  <c r="F56" i="2" a="1"/>
  <c r="F56" i="2" s="1"/>
  <c r="B56" i="2"/>
  <c r="D56" i="2" s="1" a="1"/>
  <c r="D56" i="2" s="1"/>
  <c r="N55" i="2" a="1"/>
  <c r="N55" i="2" s="1"/>
  <c r="M55" i="2" a="1"/>
  <c r="M55" i="2" s="1"/>
  <c r="L55" i="2" a="1"/>
  <c r="L55" i="2" s="1"/>
  <c r="K55" i="2" a="1"/>
  <c r="K55" i="2" s="1"/>
  <c r="P55" i="2" s="1"/>
  <c r="J55" i="2"/>
  <c r="O55" i="2" s="1" a="1"/>
  <c r="O55" i="2" s="1"/>
  <c r="G55" i="2" a="1"/>
  <c r="G55" i="2"/>
  <c r="E55" i="2"/>
  <c r="D55" i="2" a="1"/>
  <c r="D55" i="2" s="1"/>
  <c r="C55" i="2" a="1"/>
  <c r="C55" i="2" s="1"/>
  <c r="B55" i="2"/>
  <c r="E55" i="2" s="1" a="1"/>
  <c r="L54" i="2" a="1"/>
  <c r="L54" i="2" s="1"/>
  <c r="J54" i="2"/>
  <c r="O54" i="2" s="1" a="1"/>
  <c r="O54" i="2" s="1"/>
  <c r="F54" i="2" a="1"/>
  <c r="F54" i="2" s="1"/>
  <c r="B54" i="2"/>
  <c r="D54" i="2" s="1" a="1"/>
  <c r="D54" i="2" s="1"/>
  <c r="M53" i="2"/>
  <c r="K53" i="2" a="1"/>
  <c r="K53" i="2" s="1"/>
  <c r="J53" i="2"/>
  <c r="M53" i="2" s="1" a="1"/>
  <c r="B53" i="2"/>
  <c r="N52" i="2" a="1"/>
  <c r="N52" i="2" s="1"/>
  <c r="J52" i="2"/>
  <c r="K52" i="2" s="1" a="1"/>
  <c r="K52" i="2" s="1"/>
  <c r="B52" i="2"/>
  <c r="F52" i="2" s="1" a="1"/>
  <c r="F52" i="2" s="1"/>
  <c r="N50" i="2" a="1"/>
  <c r="N50" i="2" s="1"/>
  <c r="M50" i="2" a="1"/>
  <c r="M50" i="2" s="1"/>
  <c r="K50" i="2" a="1"/>
  <c r="K50" i="2" s="1"/>
  <c r="J50" i="2"/>
  <c r="G50" i="2" a="1"/>
  <c r="G50" i="2" s="1"/>
  <c r="E50" i="2" a="1"/>
  <c r="E50" i="2"/>
  <c r="B50" i="2"/>
  <c r="C50" i="2" s="1" a="1"/>
  <c r="C50" i="2" s="1"/>
  <c r="L49" i="2" a="1"/>
  <c r="L49" i="2" s="1"/>
  <c r="J49" i="2"/>
  <c r="N49" i="2" s="1" a="1"/>
  <c r="N49" i="2" s="1"/>
  <c r="F49" i="2" a="1"/>
  <c r="F49" i="2" s="1"/>
  <c r="E49" i="2" a="1"/>
  <c r="E49" i="2" s="1"/>
  <c r="C49" i="2" a="1"/>
  <c r="C49" i="2" s="1"/>
  <c r="B49" i="2"/>
  <c r="O48" i="2" a="1"/>
  <c r="O48" i="2" s="1"/>
  <c r="N48" i="2" a="1"/>
  <c r="N48" i="2"/>
  <c r="L48" i="2" a="1"/>
  <c r="L48" i="2"/>
  <c r="K48" i="2" a="1"/>
  <c r="K48" i="2" s="1"/>
  <c r="J48" i="2"/>
  <c r="M48" i="2" s="1" a="1"/>
  <c r="M48" i="2" s="1"/>
  <c r="G48" i="2" a="1"/>
  <c r="G48" i="2" s="1"/>
  <c r="E48" i="2" a="1"/>
  <c r="E48" i="2" s="1"/>
  <c r="D48" i="2" a="1"/>
  <c r="D48" i="2"/>
  <c r="B48" i="2"/>
  <c r="C48" i="2" s="1" a="1"/>
  <c r="C48" i="2" s="1"/>
  <c r="J47" i="2"/>
  <c r="N47" i="2" s="1" a="1"/>
  <c r="N47" i="2" s="1"/>
  <c r="F47" i="2" a="1"/>
  <c r="F47" i="2" s="1"/>
  <c r="E47" i="2" a="1"/>
  <c r="E47" i="2" s="1"/>
  <c r="C47" i="2" a="1"/>
  <c r="C47" i="2" s="1"/>
  <c r="B47" i="2"/>
  <c r="O46" i="2" a="1"/>
  <c r="O46" i="2" s="1"/>
  <c r="L46" i="2" a="1"/>
  <c r="L46" i="2" s="1"/>
  <c r="K46" i="2" a="1"/>
  <c r="K46" i="2" s="1"/>
  <c r="J46" i="2"/>
  <c r="M46" i="2" s="1" a="1"/>
  <c r="M46" i="2" s="1"/>
  <c r="E46" i="2" a="1"/>
  <c r="E46" i="2" s="1"/>
  <c r="B46" i="2"/>
  <c r="O45" i="2" a="1"/>
  <c r="O45" i="2" s="1"/>
  <c r="N45" i="2" a="1"/>
  <c r="N45" i="2"/>
  <c r="L45" i="2" a="1"/>
  <c r="L45" i="2" s="1"/>
  <c r="K45" i="2" a="1"/>
  <c r="K45" i="2" s="1"/>
  <c r="P45" i="2" s="1"/>
  <c r="J45" i="2"/>
  <c r="M45" i="2" s="1" a="1"/>
  <c r="M45" i="2" s="1"/>
  <c r="F45" i="2" a="1"/>
  <c r="F45" i="2" s="1"/>
  <c r="B45" i="2"/>
  <c r="G45" i="2" s="1" a="1"/>
  <c r="G45" i="2" s="1"/>
  <c r="O44" i="2" a="1"/>
  <c r="O44" i="2" s="1"/>
  <c r="L44" i="2" a="1"/>
  <c r="L44" i="2" s="1"/>
  <c r="K44" i="2" a="1"/>
  <c r="K44" i="2" s="1"/>
  <c r="J44" i="2"/>
  <c r="M44" i="2" s="1" a="1"/>
  <c r="M44" i="2" s="1"/>
  <c r="E44" i="2" a="1"/>
  <c r="E44" i="2" s="1"/>
  <c r="D44" i="2" a="1"/>
  <c r="D44" i="2" s="1"/>
  <c r="B44" i="2"/>
  <c r="F44" i="2" s="1" a="1"/>
  <c r="F44" i="2" s="1"/>
  <c r="J43" i="2"/>
  <c r="N43" i="2" s="1" a="1"/>
  <c r="N43" i="2" s="1"/>
  <c r="F43" i="2" a="1"/>
  <c r="F43" i="2" s="1"/>
  <c r="E43" i="2" a="1"/>
  <c r="E43" i="2" s="1"/>
  <c r="D43" i="2" a="1"/>
  <c r="D43" i="2" s="1"/>
  <c r="C43" i="2" a="1"/>
  <c r="C43" i="2"/>
  <c r="B43" i="2"/>
  <c r="G43" i="2" s="1" a="1"/>
  <c r="G43" i="2" s="1"/>
  <c r="K42" i="2" a="1"/>
  <c r="K42" i="2" s="1"/>
  <c r="J42" i="2"/>
  <c r="N42" i="2" s="1" a="1"/>
  <c r="N42" i="2" s="1"/>
  <c r="D42" i="2" a="1"/>
  <c r="D42" i="2" s="1"/>
  <c r="B42" i="2"/>
  <c r="E42" i="2" s="1" a="1"/>
  <c r="E42" i="2" s="1"/>
  <c r="M41" i="2" a="1"/>
  <c r="M41" i="2" s="1"/>
  <c r="L41" i="2" a="1"/>
  <c r="L41" i="2" s="1"/>
  <c r="J41" i="2"/>
  <c r="O41" i="2" s="1" a="1"/>
  <c r="O41" i="2" s="1"/>
  <c r="G41" i="2" a="1"/>
  <c r="G41" i="2" s="1"/>
  <c r="C41" i="2" a="1"/>
  <c r="C41" i="2" s="1"/>
  <c r="B41" i="2"/>
  <c r="F41" i="2" s="1" a="1"/>
  <c r="F41" i="2" s="1"/>
  <c r="M40" i="2" a="1"/>
  <c r="M40" i="2" s="1"/>
  <c r="L40" i="2" a="1"/>
  <c r="L40" i="2" s="1"/>
  <c r="J40" i="2"/>
  <c r="O40" i="2" s="1" a="1"/>
  <c r="O40" i="2" s="1"/>
  <c r="G40" i="2" a="1"/>
  <c r="G40" i="2" s="1"/>
  <c r="C40" i="2" a="1"/>
  <c r="C40" i="2" s="1"/>
  <c r="B40" i="2"/>
  <c r="F40" i="2" s="1" a="1"/>
  <c r="F40" i="2" s="1"/>
  <c r="M39" i="2" a="1"/>
  <c r="M39" i="2" s="1"/>
  <c r="L39" i="2" a="1"/>
  <c r="L39" i="2" s="1"/>
  <c r="J39" i="2"/>
  <c r="O39" i="2" s="1" a="1"/>
  <c r="O39" i="2" s="1"/>
  <c r="G39" i="2" a="1"/>
  <c r="G39" i="2" s="1"/>
  <c r="C39" i="2" a="1"/>
  <c r="C39" i="2" s="1"/>
  <c r="B39" i="2"/>
  <c r="F39" i="2" s="1" a="1"/>
  <c r="F39" i="2" s="1"/>
  <c r="M38" i="2" a="1"/>
  <c r="M38" i="2" s="1"/>
  <c r="L38" i="2" a="1"/>
  <c r="L38" i="2" s="1"/>
  <c r="J38" i="2"/>
  <c r="O38" i="2" s="1" a="1"/>
  <c r="O38" i="2" s="1"/>
  <c r="G38" i="2" a="1"/>
  <c r="G38" i="2" s="1"/>
  <c r="C38" i="2" a="1"/>
  <c r="C38" i="2" s="1"/>
  <c r="B38" i="2"/>
  <c r="F38" i="2" s="1" a="1"/>
  <c r="F38" i="2" s="1"/>
  <c r="J37" i="2"/>
  <c r="B37" i="2"/>
  <c r="O30" i="2" a="1"/>
  <c r="O30" i="2" s="1"/>
  <c r="K30" i="2" a="1"/>
  <c r="K30" i="2" s="1"/>
  <c r="J30" i="2"/>
  <c r="N30" i="2" s="1" a="1"/>
  <c r="N30" i="2" s="1"/>
  <c r="E30" i="2" a="1"/>
  <c r="E30" i="2" s="1"/>
  <c r="D30" i="2" a="1"/>
  <c r="D30" i="2" s="1"/>
  <c r="B30" i="2"/>
  <c r="G30" i="2" s="1" a="1"/>
  <c r="G30" i="2" s="1"/>
  <c r="J29" i="2"/>
  <c r="O29" i="2" s="1" a="1"/>
  <c r="O29" i="2" s="1"/>
  <c r="G29" i="2" a="1"/>
  <c r="G29" i="2" s="1"/>
  <c r="E29" i="2" a="1"/>
  <c r="E29" i="2" s="1"/>
  <c r="D29" i="2" a="1"/>
  <c r="D29" i="2" s="1"/>
  <c r="C29" i="2" a="1"/>
  <c r="C29" i="2" s="1"/>
  <c r="B29" i="2"/>
  <c r="F29" i="2" s="1" a="1"/>
  <c r="F29" i="2" s="1"/>
  <c r="N28" i="2" a="1"/>
  <c r="N28" i="2" s="1"/>
  <c r="J28" i="2"/>
  <c r="G28" i="2" a="1"/>
  <c r="G28" i="2" s="1"/>
  <c r="E28" i="2" a="1"/>
  <c r="E28" i="2" s="1"/>
  <c r="D28" i="2" a="1"/>
  <c r="D28" i="2" s="1"/>
  <c r="C28" i="2" a="1"/>
  <c r="C28" i="2" s="1"/>
  <c r="B28" i="2"/>
  <c r="F28" i="2" s="1" a="1"/>
  <c r="F28" i="2" s="1"/>
  <c r="J27" i="2"/>
  <c r="G27" i="2" a="1"/>
  <c r="G27" i="2" s="1"/>
  <c r="E27" i="2" a="1"/>
  <c r="E27" i="2" s="1"/>
  <c r="D27" i="2" a="1"/>
  <c r="D27" i="2" s="1"/>
  <c r="C27" i="2" a="1"/>
  <c r="C27" i="2" s="1"/>
  <c r="B27" i="2"/>
  <c r="F27" i="2" s="1" a="1"/>
  <c r="F27" i="2" s="1"/>
  <c r="N26" i="2" a="1"/>
  <c r="N26" i="2" s="1"/>
  <c r="M26" i="2" a="1"/>
  <c r="M26" i="2" s="1"/>
  <c r="J26" i="2"/>
  <c r="K26" i="2" s="1" a="1"/>
  <c r="K26" i="2" s="1"/>
  <c r="G26" i="2" a="1"/>
  <c r="G26" i="2" s="1"/>
  <c r="C26" i="2" a="1"/>
  <c r="C26" i="2" s="1"/>
  <c r="B26" i="2"/>
  <c r="F26" i="2" s="1" a="1"/>
  <c r="F26" i="2" s="1"/>
  <c r="M25" i="2" a="1"/>
  <c r="M25" i="2" s="1"/>
  <c r="L25" i="2" a="1"/>
  <c r="L25" i="2" s="1"/>
  <c r="J25" i="2"/>
  <c r="O25" i="2" s="1" a="1"/>
  <c r="O25" i="2" s="1"/>
  <c r="F25" i="2" a="1"/>
  <c r="F25" i="2" s="1"/>
  <c r="B25" i="2"/>
  <c r="G25" i="2" s="1" a="1"/>
  <c r="G25" i="2" s="1"/>
  <c r="M24" i="2" a="1"/>
  <c r="M24" i="2" s="1"/>
  <c r="L24" i="2" a="1"/>
  <c r="L24" i="2" s="1"/>
  <c r="J24" i="2"/>
  <c r="O24" i="2" s="1" a="1"/>
  <c r="O24" i="2" s="1"/>
  <c r="B24" i="2"/>
  <c r="O23" i="2" a="1"/>
  <c r="O23" i="2" s="1"/>
  <c r="M23" i="2" a="1"/>
  <c r="M23" i="2" s="1"/>
  <c r="L23" i="2" a="1"/>
  <c r="L23" i="2" s="1"/>
  <c r="K23" i="2" a="1"/>
  <c r="K23" i="2" s="1"/>
  <c r="P23" i="2" s="1"/>
  <c r="J23" i="2"/>
  <c r="N23" i="2" s="1" a="1"/>
  <c r="N23" i="2" s="1"/>
  <c r="B23" i="2"/>
  <c r="O22" i="2" a="1"/>
  <c r="O22" i="2" s="1"/>
  <c r="M22" i="2" a="1"/>
  <c r="M22" i="2" s="1"/>
  <c r="L22" i="2" a="1"/>
  <c r="L22" i="2" s="1"/>
  <c r="K22" i="2" a="1"/>
  <c r="K22" i="2" s="1"/>
  <c r="P22" i="2" s="1"/>
  <c r="J22" i="2"/>
  <c r="N22" i="2" s="1" a="1"/>
  <c r="N22" i="2" s="1"/>
  <c r="B22" i="2"/>
  <c r="O21" i="2" a="1"/>
  <c r="O21" i="2" s="1"/>
  <c r="M21" i="2" a="1"/>
  <c r="M21" i="2" s="1"/>
  <c r="L21" i="2" a="1"/>
  <c r="L21" i="2" s="1"/>
  <c r="K21" i="2" a="1"/>
  <c r="K21" i="2" s="1"/>
  <c r="P21" i="2" s="1"/>
  <c r="J21" i="2"/>
  <c r="N21" i="2" s="1" a="1"/>
  <c r="N21" i="2" s="1"/>
  <c r="B21" i="2"/>
  <c r="O19" i="2" a="1"/>
  <c r="O19" i="2" s="1"/>
  <c r="M19" i="2" a="1"/>
  <c r="M19" i="2" s="1"/>
  <c r="L19" i="2" a="1"/>
  <c r="L19" i="2" s="1"/>
  <c r="K19" i="2" a="1"/>
  <c r="K19" i="2" s="1"/>
  <c r="J19" i="2"/>
  <c r="N19" i="2" s="1" a="1"/>
  <c r="N19" i="2" s="1"/>
  <c r="B19" i="2"/>
  <c r="O18" i="2" a="1"/>
  <c r="O18" i="2" s="1"/>
  <c r="M18" i="2" a="1"/>
  <c r="M18" i="2" s="1"/>
  <c r="L18" i="2" a="1"/>
  <c r="L18" i="2" s="1"/>
  <c r="K18" i="2" a="1"/>
  <c r="K18" i="2" s="1"/>
  <c r="J18" i="2"/>
  <c r="N18" i="2" s="1" a="1"/>
  <c r="N18" i="2" s="1"/>
  <c r="B18" i="2"/>
  <c r="O17" i="2" a="1"/>
  <c r="O17" i="2" s="1"/>
  <c r="M17" i="2" a="1"/>
  <c r="M17" i="2" s="1"/>
  <c r="L17" i="2" a="1"/>
  <c r="L17" i="2" s="1"/>
  <c r="K17" i="2" a="1"/>
  <c r="K17" i="2" s="1"/>
  <c r="J17" i="2"/>
  <c r="N17" i="2" s="1" a="1"/>
  <c r="N17" i="2" s="1"/>
  <c r="B17" i="2"/>
  <c r="O16" i="2" a="1"/>
  <c r="O16" i="2" s="1"/>
  <c r="J16" i="2"/>
  <c r="G16" i="2" a="1"/>
  <c r="G16" i="2" s="1"/>
  <c r="E16" i="2" a="1"/>
  <c r="E16" i="2" s="1"/>
  <c r="D16" i="2" a="1"/>
  <c r="D16" i="2" s="1"/>
  <c r="C16" i="2" a="1"/>
  <c r="C16" i="2" s="1"/>
  <c r="B16" i="2"/>
  <c r="F16" i="2" s="1" a="1"/>
  <c r="F16" i="2" s="1"/>
  <c r="N15" i="2" a="1"/>
  <c r="N15" i="2" s="1"/>
  <c r="M15" i="2" a="1"/>
  <c r="M15" i="2" s="1"/>
  <c r="J15" i="2"/>
  <c r="G15" i="2" a="1"/>
  <c r="G15" i="2" s="1"/>
  <c r="E15" i="2" a="1"/>
  <c r="E15" i="2" s="1"/>
  <c r="D15" i="2" a="1"/>
  <c r="D15" i="2" s="1"/>
  <c r="C15" i="2" a="1"/>
  <c r="C15" i="2" s="1"/>
  <c r="B15" i="2"/>
  <c r="F15" i="2" s="1" a="1"/>
  <c r="F15" i="2" s="1"/>
  <c r="N14" i="2" a="1"/>
  <c r="N14" i="2" s="1"/>
  <c r="M14" i="2" a="1"/>
  <c r="M14" i="2" s="1"/>
  <c r="J14" i="2"/>
  <c r="G14" i="2" a="1"/>
  <c r="G14" i="2" s="1"/>
  <c r="E14" i="2" a="1"/>
  <c r="E14" i="2" s="1"/>
  <c r="D14" i="2" a="1"/>
  <c r="D14" i="2" s="1"/>
  <c r="C14" i="2" a="1"/>
  <c r="C14" i="2" s="1"/>
  <c r="B14" i="2"/>
  <c r="F14" i="2" s="1" a="1"/>
  <c r="F14" i="2" s="1"/>
  <c r="M13" i="2" a="1"/>
  <c r="M13" i="2" s="1"/>
  <c r="J13" i="2"/>
  <c r="N13" i="2" s="1" a="1"/>
  <c r="N13" i="2" s="1"/>
  <c r="G13" i="2" a="1"/>
  <c r="G13" i="2" s="1"/>
  <c r="E13" i="2" a="1"/>
  <c r="E13" i="2" s="1"/>
  <c r="D13" i="2" a="1"/>
  <c r="D13" i="2" s="1"/>
  <c r="C13" i="2" a="1"/>
  <c r="C13" i="2" s="1"/>
  <c r="B13" i="2"/>
  <c r="F13" i="2" s="1" a="1"/>
  <c r="F13" i="2" s="1"/>
  <c r="O12" i="2" a="1"/>
  <c r="O12" i="2" s="1"/>
  <c r="N12" i="2" a="1"/>
  <c r="N12" i="2"/>
  <c r="L12" i="2" a="1"/>
  <c r="L12" i="2"/>
  <c r="K12" i="2" a="1"/>
  <c r="K12" i="2" s="1"/>
  <c r="J12" i="2"/>
  <c r="M12" i="2" s="1" a="1"/>
  <c r="M12" i="2" s="1"/>
  <c r="G12" i="2" a="1"/>
  <c r="G12" i="2" s="1"/>
  <c r="E12" i="2" a="1"/>
  <c r="E12" i="2" s="1"/>
  <c r="D12" i="2" a="1"/>
  <c r="D12" i="2"/>
  <c r="B12" i="2"/>
  <c r="C12" i="2" s="1" a="1"/>
  <c r="C12" i="2" s="1"/>
  <c r="O11" i="2" a="1"/>
  <c r="O11" i="2" s="1"/>
  <c r="N11" i="2"/>
  <c r="J11" i="2"/>
  <c r="N11" i="2" s="1" a="1"/>
  <c r="B11" i="2"/>
  <c r="D11" i="2" s="1" a="1"/>
  <c r="D11" i="2" s="1"/>
  <c r="N10" i="2" a="1"/>
  <c r="N10" i="2" s="1"/>
  <c r="M10" i="2" a="1"/>
  <c r="M10" i="2" s="1"/>
  <c r="L10" i="2" a="1"/>
  <c r="L10" i="2" s="1"/>
  <c r="K10" i="2" a="1"/>
  <c r="K10" i="2"/>
  <c r="J10" i="2"/>
  <c r="O10" i="2" s="1" a="1"/>
  <c r="O10" i="2" s="1"/>
  <c r="G10" i="2" a="1"/>
  <c r="G10" i="2" s="1"/>
  <c r="E10" i="2"/>
  <c r="D10" i="2" a="1"/>
  <c r="D10" i="2" s="1"/>
  <c r="B10" i="2"/>
  <c r="E10" i="2" s="1" a="1"/>
  <c r="O9" i="2" a="1"/>
  <c r="O9" i="2"/>
  <c r="L9" i="2" a="1"/>
  <c r="L9" i="2" s="1"/>
  <c r="J9" i="2"/>
  <c r="E9" i="2" a="1"/>
  <c r="E9" i="2" s="1"/>
  <c r="B9" i="2"/>
  <c r="D9" i="2" s="1" a="1"/>
  <c r="D9" i="2" s="1"/>
  <c r="N8" i="2" a="1"/>
  <c r="N8" i="2" s="1"/>
  <c r="M8" i="2" a="1"/>
  <c r="M8" i="2" s="1"/>
  <c r="L8" i="2" a="1"/>
  <c r="L8" i="2" s="1"/>
  <c r="K8" i="2" a="1"/>
  <c r="K8" i="2"/>
  <c r="J8" i="2"/>
  <c r="O8" i="2" s="1" a="1"/>
  <c r="O8" i="2" s="1"/>
  <c r="G8" i="2" a="1"/>
  <c r="G8" i="2" s="1"/>
  <c r="E8" i="2"/>
  <c r="D8" i="2" a="1"/>
  <c r="D8" i="2" s="1"/>
  <c r="B8" i="2"/>
  <c r="E8" i="2" s="1" a="1"/>
  <c r="O7" i="2" a="1"/>
  <c r="O7" i="2"/>
  <c r="L7" i="2" a="1"/>
  <c r="L7" i="2" s="1"/>
  <c r="J7" i="2"/>
  <c r="B7" i="2"/>
  <c r="D7" i="2" s="1" a="1"/>
  <c r="D7" i="2" s="1"/>
  <c r="J6" i="2"/>
  <c r="B6" i="2"/>
  <c r="E7" i="2" l="1" a="1"/>
  <c r="E7" i="2" s="1"/>
  <c r="C25" i="2" a="1"/>
  <c r="C25" i="2" s="1"/>
  <c r="M28" i="2" a="1"/>
  <c r="M28" i="2" s="1"/>
  <c r="L28" i="2" a="1"/>
  <c r="L28" i="2" s="1"/>
  <c r="O28" i="2" a="1"/>
  <c r="O28" i="2" s="1"/>
  <c r="K28" i="2" a="1"/>
  <c r="K28" i="2" s="1"/>
  <c r="E11" i="2" a="1"/>
  <c r="E11" i="2" s="1"/>
  <c r="F7" i="2" a="1"/>
  <c r="F7" i="2" s="1"/>
  <c r="F11" i="2" a="1"/>
  <c r="F11" i="2" s="1"/>
  <c r="D17" i="2" a="1"/>
  <c r="D17" i="2" s="1"/>
  <c r="G17" i="2" a="1"/>
  <c r="G17" i="2" s="1"/>
  <c r="C17" i="2" a="1"/>
  <c r="C17" i="2" s="1"/>
  <c r="P17" i="2"/>
  <c r="D18" i="2" a="1"/>
  <c r="D18" i="2" s="1"/>
  <c r="G18" i="2" a="1"/>
  <c r="G18" i="2" s="1"/>
  <c r="C18" i="2" a="1"/>
  <c r="C18" i="2" s="1"/>
  <c r="P18" i="2"/>
  <c r="D19" i="2" a="1"/>
  <c r="D19" i="2" s="1"/>
  <c r="G19" i="2" a="1"/>
  <c r="G19" i="2" s="1"/>
  <c r="C19" i="2" a="1"/>
  <c r="C19" i="2" s="1"/>
  <c r="P19" i="2"/>
  <c r="D21" i="2" a="1"/>
  <c r="D21" i="2" s="1"/>
  <c r="G21" i="2" a="1"/>
  <c r="G21" i="2" s="1"/>
  <c r="C21" i="2" a="1"/>
  <c r="C21" i="2" s="1"/>
  <c r="D22" i="2" a="1"/>
  <c r="D22" i="2" s="1"/>
  <c r="G22" i="2" a="1"/>
  <c r="G22" i="2" s="1"/>
  <c r="C22" i="2" a="1"/>
  <c r="C22" i="2" s="1"/>
  <c r="D23" i="2" a="1"/>
  <c r="D23" i="2" s="1"/>
  <c r="G23" i="2" a="1"/>
  <c r="G23" i="2" s="1"/>
  <c r="C23" i="2" a="1"/>
  <c r="C23" i="2" s="1"/>
  <c r="D24" i="2" a="1"/>
  <c r="D24" i="2" s="1"/>
  <c r="C24" i="2" a="1"/>
  <c r="C24" i="2" s="1"/>
  <c r="M27" i="2" a="1"/>
  <c r="M27" i="2" s="1"/>
  <c r="L27" i="2" a="1"/>
  <c r="L27" i="2" s="1"/>
  <c r="O27" i="2" a="1"/>
  <c r="O27" i="2" s="1"/>
  <c r="K27" i="2" a="1"/>
  <c r="K27" i="2" s="1"/>
  <c r="F9" i="2" a="1"/>
  <c r="F9" i="2" s="1"/>
  <c r="F8" i="2" a="1"/>
  <c r="F8" i="2" s="1"/>
  <c r="P8" i="2"/>
  <c r="F10" i="2" a="1"/>
  <c r="F10" i="2" s="1"/>
  <c r="P10" i="2"/>
  <c r="H13" i="2"/>
  <c r="L13" i="2" a="1"/>
  <c r="L13" i="2" s="1"/>
  <c r="O13" i="2" a="1"/>
  <c r="O13" i="2" s="1"/>
  <c r="E17" i="2" a="1"/>
  <c r="E17" i="2" s="1"/>
  <c r="E18" i="2" a="1"/>
  <c r="E18" i="2" s="1"/>
  <c r="E19" i="2" a="1"/>
  <c r="E19" i="2" s="1"/>
  <c r="E21" i="2" a="1"/>
  <c r="E21" i="2" s="1"/>
  <c r="E22" i="2" a="1"/>
  <c r="E22" i="2" s="1"/>
  <c r="E23" i="2" a="1"/>
  <c r="E23" i="2" s="1"/>
  <c r="E24" i="2" a="1"/>
  <c r="E24" i="2" s="1"/>
  <c r="N27" i="2" a="1"/>
  <c r="N27" i="2" s="1"/>
  <c r="C7" i="2" a="1"/>
  <c r="C7" i="2" s="1"/>
  <c r="H7" i="2" s="1"/>
  <c r="G7" i="2" a="1"/>
  <c r="G7" i="2" s="1"/>
  <c r="C9" i="2" a="1"/>
  <c r="C9" i="2" s="1"/>
  <c r="G9" i="2" a="1"/>
  <c r="G9" i="2" s="1"/>
  <c r="C11" i="2" a="1"/>
  <c r="C11" i="2" s="1"/>
  <c r="H11" i="2" s="1"/>
  <c r="N7" i="2" a="1"/>
  <c r="N7" i="2" s="1"/>
  <c r="K7" i="2" a="1"/>
  <c r="K7" i="2" s="1"/>
  <c r="M7" i="2" a="1"/>
  <c r="M7" i="2" s="1"/>
  <c r="C8" i="2" a="1"/>
  <c r="C8" i="2" s="1"/>
  <c r="H8" i="2" s="1"/>
  <c r="N9" i="2" a="1"/>
  <c r="N9" i="2" s="1"/>
  <c r="K9" i="2" a="1"/>
  <c r="K9" i="2" s="1"/>
  <c r="M9" i="2" a="1"/>
  <c r="M9" i="2" s="1"/>
  <c r="C10" i="2" a="1"/>
  <c r="C10" i="2" s="1"/>
  <c r="H10" i="2" s="1"/>
  <c r="K11" i="2" a="1"/>
  <c r="K11" i="2" s="1"/>
  <c r="P11" i="2" s="1"/>
  <c r="F12" i="2" a="1"/>
  <c r="F12" i="2" s="1"/>
  <c r="H12" i="2" s="1"/>
  <c r="P12" i="2"/>
  <c r="K13" i="2" a="1"/>
  <c r="K13" i="2" s="1"/>
  <c r="P13" i="2" s="1"/>
  <c r="H14" i="2"/>
  <c r="L14" i="2" a="1"/>
  <c r="L14" i="2" s="1"/>
  <c r="O14" i="2" a="1"/>
  <c r="O14" i="2" s="1"/>
  <c r="K14" i="2" a="1"/>
  <c r="K14" i="2" s="1"/>
  <c r="P14" i="2" s="1"/>
  <c r="H15" i="2"/>
  <c r="L15" i="2" a="1"/>
  <c r="L15" i="2" s="1"/>
  <c r="O15" i="2" a="1"/>
  <c r="O15" i="2" s="1"/>
  <c r="K15" i="2" a="1"/>
  <c r="K15" i="2" s="1"/>
  <c r="P15" i="2" s="1"/>
  <c r="H16" i="2"/>
  <c r="N16" i="2" a="1"/>
  <c r="N16" i="2" s="1"/>
  <c r="L16" i="2" a="1"/>
  <c r="L16" i="2" s="1"/>
  <c r="P16" i="2" s="1"/>
  <c r="F17" i="2" a="1"/>
  <c r="F17" i="2" s="1"/>
  <c r="F18" i="2" a="1"/>
  <c r="F18" i="2" s="1"/>
  <c r="F19" i="2" a="1"/>
  <c r="F19" i="2" s="1"/>
  <c r="F21" i="2" a="1"/>
  <c r="F21" i="2" s="1"/>
  <c r="F22" i="2" a="1"/>
  <c r="F22" i="2" s="1"/>
  <c r="F23" i="2" a="1"/>
  <c r="F23" i="2" s="1"/>
  <c r="F24" i="2" a="1"/>
  <c r="F24" i="2" s="1"/>
  <c r="E25" i="2" a="1"/>
  <c r="E25" i="2" s="1"/>
  <c r="D25" i="2" a="1"/>
  <c r="D25" i="2" s="1"/>
  <c r="M29" i="2" a="1"/>
  <c r="M29" i="2" s="1"/>
  <c r="L29" i="2" a="1"/>
  <c r="L29" i="2" s="1"/>
  <c r="K29" i="2" a="1"/>
  <c r="K29" i="2" s="1"/>
  <c r="P29" i="2" s="1"/>
  <c r="K43" i="2" a="1"/>
  <c r="K43" i="2" s="1"/>
  <c r="N24" i="2" a="1"/>
  <c r="N24" i="2" s="1"/>
  <c r="N25" i="2" a="1"/>
  <c r="N25" i="2" s="1"/>
  <c r="D26" i="2" a="1"/>
  <c r="D26" i="2" s="1"/>
  <c r="H26" i="2" s="1"/>
  <c r="O26" i="2" a="1"/>
  <c r="O26" i="2" s="1"/>
  <c r="P26" i="2" s="1"/>
  <c r="F30" i="2" a="1"/>
  <c r="F30" i="2" s="1"/>
  <c r="L30" i="2" a="1"/>
  <c r="L30" i="2" s="1"/>
  <c r="P30" i="2" s="1"/>
  <c r="D38" i="2" a="1"/>
  <c r="D38" i="2" s="1"/>
  <c r="H38" i="2" s="1"/>
  <c r="N38" i="2" a="1"/>
  <c r="N38" i="2" s="1"/>
  <c r="D39" i="2" a="1"/>
  <c r="D39" i="2" s="1"/>
  <c r="H39" i="2" s="1"/>
  <c r="N39" i="2" a="1"/>
  <c r="N39" i="2" s="1"/>
  <c r="D40" i="2" a="1"/>
  <c r="D40" i="2" s="1"/>
  <c r="N40" i="2" a="1"/>
  <c r="N40" i="2" s="1"/>
  <c r="D41" i="2" a="1"/>
  <c r="D41" i="2" s="1"/>
  <c r="H41" i="2" s="1"/>
  <c r="N41" i="2" a="1"/>
  <c r="N41" i="2" s="1"/>
  <c r="H43" i="2"/>
  <c r="K24" i="2" a="1"/>
  <c r="K24" i="2" s="1"/>
  <c r="P24" i="2" s="1"/>
  <c r="K25" i="2" a="1"/>
  <c r="K25" i="2" s="1"/>
  <c r="P25" i="2" s="1"/>
  <c r="E26" i="2" a="1"/>
  <c r="E26" i="2" s="1"/>
  <c r="C30" i="2" a="1"/>
  <c r="C30" i="2" s="1"/>
  <c r="M30" i="2" a="1"/>
  <c r="M30" i="2" s="1"/>
  <c r="E38" i="2" a="1"/>
  <c r="E38" i="2" s="1"/>
  <c r="K38" i="2" a="1"/>
  <c r="K38" i="2" s="1"/>
  <c r="E39" i="2" a="1"/>
  <c r="E39" i="2" s="1"/>
  <c r="K39" i="2" a="1"/>
  <c r="K39" i="2" s="1"/>
  <c r="P39" i="2" s="1"/>
  <c r="E40" i="2" a="1"/>
  <c r="E40" i="2" s="1"/>
  <c r="H40" i="2" s="1"/>
  <c r="K40" i="2" a="1"/>
  <c r="K40" i="2" s="1"/>
  <c r="E41" i="2" a="1"/>
  <c r="E41" i="2" s="1"/>
  <c r="K41" i="2" a="1"/>
  <c r="K41" i="2" s="1"/>
  <c r="P41" i="2" s="1"/>
  <c r="P44" i="2"/>
  <c r="C46" i="2" a="1"/>
  <c r="C46" i="2" s="1"/>
  <c r="G46" i="2" a="1"/>
  <c r="G46" i="2" s="1"/>
  <c r="D46" i="2" a="1"/>
  <c r="D46" i="2" s="1"/>
  <c r="F46" i="2" a="1"/>
  <c r="F46" i="2" s="1"/>
  <c r="H27" i="2"/>
  <c r="H28" i="2"/>
  <c r="H29" i="2"/>
  <c r="G42" i="2" a="1"/>
  <c r="G42" i="2" s="1"/>
  <c r="F42" i="2" a="1"/>
  <c r="F42" i="2" s="1"/>
  <c r="H42" i="2" s="1"/>
  <c r="L42" i="2" a="1"/>
  <c r="L42" i="2" s="1"/>
  <c r="P42" i="2" s="1"/>
  <c r="M42" i="2" a="1"/>
  <c r="M42" i="2" s="1"/>
  <c r="O42" i="2" a="1"/>
  <c r="O42" i="2" s="1"/>
  <c r="M43" i="2" a="1"/>
  <c r="M43" i="2" s="1"/>
  <c r="L43" i="2" a="1"/>
  <c r="L43" i="2" s="1"/>
  <c r="O43" i="2" a="1"/>
  <c r="O43" i="2" s="1"/>
  <c r="P53" i="2"/>
  <c r="L56" i="2" a="1"/>
  <c r="L56" i="2" s="1"/>
  <c r="G78" i="2" a="1"/>
  <c r="G78" i="2" s="1"/>
  <c r="E78" i="2" a="1"/>
  <c r="E78" i="2" s="1"/>
  <c r="C78" i="2" a="1"/>
  <c r="C78" i="2" s="1"/>
  <c r="D78" i="2" a="1"/>
  <c r="D78" i="2" s="1"/>
  <c r="G80" i="2" a="1"/>
  <c r="G80" i="2" s="1"/>
  <c r="E80" i="2" a="1"/>
  <c r="E80" i="2" s="1"/>
  <c r="C80" i="2" a="1"/>
  <c r="C80" i="2" s="1"/>
  <c r="D80" i="2" a="1"/>
  <c r="D80" i="2" s="1"/>
  <c r="E45" i="2" a="1"/>
  <c r="E45" i="2" s="1"/>
  <c r="L47" i="2" a="1"/>
  <c r="L47" i="2" s="1"/>
  <c r="F53" i="2" a="1"/>
  <c r="F53" i="2" s="1"/>
  <c r="C53" i="2" a="1"/>
  <c r="C53" i="2" s="1"/>
  <c r="E53" i="2" a="1"/>
  <c r="E53" i="2" s="1"/>
  <c r="C44" i="2" a="1"/>
  <c r="C44" i="2" s="1"/>
  <c r="H44" i="2" s="1"/>
  <c r="N44" i="2" a="1"/>
  <c r="N44" i="2" s="1"/>
  <c r="C45" i="2" a="1"/>
  <c r="C45" i="2" s="1"/>
  <c r="N46" i="2" a="1"/>
  <c r="N46" i="2" s="1"/>
  <c r="P46" i="2" s="1"/>
  <c r="M47" i="2" a="1"/>
  <c r="M47" i="2" s="1"/>
  <c r="F48" i="2" a="1"/>
  <c r="F48" i="2" s="1"/>
  <c r="H48" i="2" s="1"/>
  <c r="P48" i="2"/>
  <c r="M49" i="2" a="1"/>
  <c r="M49" i="2" s="1"/>
  <c r="H50" i="2"/>
  <c r="O50" i="2" a="1"/>
  <c r="O50" i="2" s="1"/>
  <c r="L50" i="2" a="1"/>
  <c r="L50" i="2" s="1"/>
  <c r="P50" i="2" s="1"/>
  <c r="C52" i="2" a="1"/>
  <c r="C52" i="2" s="1"/>
  <c r="G52" i="2" a="1"/>
  <c r="G52" i="2" s="1"/>
  <c r="M52" i="2" a="1"/>
  <c r="M52" i="2" s="1"/>
  <c r="L53" i="2" a="1"/>
  <c r="L53" i="2" s="1"/>
  <c r="C54" i="2" a="1"/>
  <c r="C54" i="2" s="1"/>
  <c r="H54" i="2" s="1"/>
  <c r="G54" i="2" a="1"/>
  <c r="G54" i="2" s="1"/>
  <c r="F55" i="2" a="1"/>
  <c r="F55" i="2" s="1"/>
  <c r="C56" i="2" a="1"/>
  <c r="C56" i="2" s="1"/>
  <c r="G56" i="2" a="1"/>
  <c r="G56" i="2" s="1"/>
  <c r="F57" i="2" a="1"/>
  <c r="F57" i="2" s="1"/>
  <c r="P57" i="2"/>
  <c r="E59" i="2" a="1"/>
  <c r="E59" i="2" s="1"/>
  <c r="D59" i="2" a="1"/>
  <c r="D59" i="2" s="1"/>
  <c r="G59" i="2" a="1"/>
  <c r="G59" i="2" s="1"/>
  <c r="E60" i="2" a="1"/>
  <c r="E60" i="2" s="1"/>
  <c r="H60" i="2" s="1"/>
  <c r="F60" i="2" a="1"/>
  <c r="F60" i="2" s="1"/>
  <c r="O60" i="2" a="1"/>
  <c r="O60" i="2" s="1"/>
  <c r="L60" i="2" a="1"/>
  <c r="L60" i="2" s="1"/>
  <c r="K60" i="2" a="1"/>
  <c r="K60" i="2" s="1"/>
  <c r="G76" i="2" a="1"/>
  <c r="G76" i="2" s="1"/>
  <c r="E76" i="2" a="1"/>
  <c r="E76" i="2" s="1"/>
  <c r="C76" i="2" a="1"/>
  <c r="C76" i="2" s="1"/>
  <c r="D76" i="2" a="1"/>
  <c r="D76" i="2" s="1"/>
  <c r="D52" i="2" a="1"/>
  <c r="D52" i="2" s="1"/>
  <c r="D53" i="2" a="1"/>
  <c r="D53" i="2" s="1"/>
  <c r="G53" i="2" a="1"/>
  <c r="G53" i="2" s="1"/>
  <c r="N54" i="2" a="1"/>
  <c r="N54" i="2" s="1"/>
  <c r="K54" i="2" a="1"/>
  <c r="K54" i="2" s="1"/>
  <c r="M54" i="2" a="1"/>
  <c r="M54" i="2" s="1"/>
  <c r="H55" i="2"/>
  <c r="N56" i="2" a="1"/>
  <c r="N56" i="2" s="1"/>
  <c r="K56" i="2" a="1"/>
  <c r="K56" i="2" s="1"/>
  <c r="M56" i="2" a="1"/>
  <c r="M56" i="2" s="1"/>
  <c r="H57" i="2"/>
  <c r="H59" i="2"/>
  <c r="D45" i="2" a="1"/>
  <c r="D45" i="2" s="1"/>
  <c r="G47" i="2" a="1"/>
  <c r="G47" i="2" s="1"/>
  <c r="D47" i="2" a="1"/>
  <c r="D47" i="2" s="1"/>
  <c r="H47" i="2" s="1"/>
  <c r="K47" i="2" a="1"/>
  <c r="K47" i="2" s="1"/>
  <c r="O47" i="2" a="1"/>
  <c r="O47" i="2" s="1"/>
  <c r="G49" i="2" a="1"/>
  <c r="G49" i="2" s="1"/>
  <c r="D49" i="2" a="1"/>
  <c r="D49" i="2" s="1"/>
  <c r="H49" i="2" s="1"/>
  <c r="K49" i="2" a="1"/>
  <c r="K49" i="2" s="1"/>
  <c r="O49" i="2" a="1"/>
  <c r="O49" i="2" s="1"/>
  <c r="E52" i="2" a="1"/>
  <c r="E52" i="2" s="1"/>
  <c r="O52" i="2" a="1"/>
  <c r="O52" i="2" s="1"/>
  <c r="P52" i="2" s="1"/>
  <c r="E54" i="2" a="1"/>
  <c r="E54" i="2" s="1"/>
  <c r="E56" i="2" a="1"/>
  <c r="E56" i="2" s="1"/>
  <c r="D58" i="2" a="1"/>
  <c r="D58" i="2" s="1"/>
  <c r="H58" i="2" s="1"/>
  <c r="E58" i="2" a="1"/>
  <c r="E58" i="2" s="1"/>
  <c r="G58" i="2" a="1"/>
  <c r="G58" i="2" s="1"/>
  <c r="P59" i="2"/>
  <c r="E87" i="2" a="1"/>
  <c r="E87" i="2" s="1"/>
  <c r="F87" i="2" a="1"/>
  <c r="F87" i="2" s="1"/>
  <c r="D87" i="2" a="1"/>
  <c r="D87" i="2" s="1"/>
  <c r="C87" i="2" a="1"/>
  <c r="C87" i="2" s="1"/>
  <c r="C91" i="2" a="1"/>
  <c r="C91" i="2" s="1"/>
  <c r="F91" i="2" a="1"/>
  <c r="F91" i="2" s="1"/>
  <c r="E91" i="2" a="1"/>
  <c r="E91" i="2" s="1"/>
  <c r="D91" i="2" a="1"/>
  <c r="D91" i="2" s="1"/>
  <c r="O58" i="2" a="1"/>
  <c r="O58" i="2" s="1"/>
  <c r="E61" i="2" a="1"/>
  <c r="E61" i="2" s="1"/>
  <c r="H61" i="2" s="1"/>
  <c r="L61" i="2" a="1"/>
  <c r="L61" i="2" s="1"/>
  <c r="P61" i="2" s="1"/>
  <c r="O61" i="2" a="1"/>
  <c r="O61" i="2" s="1"/>
  <c r="G72" i="2" a="1"/>
  <c r="G72" i="2" s="1"/>
  <c r="O75" i="2" a="1"/>
  <c r="O75" i="2" s="1"/>
  <c r="M75" i="2" a="1"/>
  <c r="M75" i="2" s="1"/>
  <c r="K75" i="2" a="1"/>
  <c r="K75" i="2" s="1"/>
  <c r="N75" i="2" a="1"/>
  <c r="N75" i="2" s="1"/>
  <c r="O77" i="2" a="1"/>
  <c r="O77" i="2" s="1"/>
  <c r="M77" i="2" a="1"/>
  <c r="M77" i="2" s="1"/>
  <c r="K77" i="2" a="1"/>
  <c r="K77" i="2" s="1"/>
  <c r="N77" i="2" a="1"/>
  <c r="N77" i="2" s="1"/>
  <c r="O79" i="2" a="1"/>
  <c r="O79" i="2" s="1"/>
  <c r="M79" i="2" a="1"/>
  <c r="M79" i="2" s="1"/>
  <c r="K79" i="2" a="1"/>
  <c r="K79" i="2" s="1"/>
  <c r="N79" i="2" a="1"/>
  <c r="N79" i="2" s="1"/>
  <c r="O83" i="2" a="1"/>
  <c r="O83" i="2" s="1"/>
  <c r="L83" i="2" a="1"/>
  <c r="L83" i="2" s="1"/>
  <c r="M83" i="2" a="1"/>
  <c r="M83" i="2" s="1"/>
  <c r="N83" i="2" a="1"/>
  <c r="N83" i="2" s="1"/>
  <c r="K83" i="2" a="1"/>
  <c r="K83" i="2" s="1"/>
  <c r="G87" i="2" a="1"/>
  <c r="G87" i="2" s="1"/>
  <c r="G95" i="2" a="1"/>
  <c r="G95" i="2" s="1"/>
  <c r="C95" i="2" a="1"/>
  <c r="C95" i="2" s="1"/>
  <c r="E95" i="2" a="1"/>
  <c r="E95" i="2" s="1"/>
  <c r="D95" i="2" a="1"/>
  <c r="D95" i="2" s="1"/>
  <c r="F95" i="2" a="1"/>
  <c r="F95" i="2" s="1"/>
  <c r="M61" i="2" a="1"/>
  <c r="M61" i="2" s="1"/>
  <c r="O72" i="2" a="1"/>
  <c r="O72" i="2" s="1"/>
  <c r="M72" i="2" a="1"/>
  <c r="M72" i="2" s="1"/>
  <c r="P72" i="2" s="1"/>
  <c r="N72" i="2" a="1"/>
  <c r="N72" i="2" s="1"/>
  <c r="G73" i="2" a="1"/>
  <c r="G73" i="2" s="1"/>
  <c r="E73" i="2" a="1"/>
  <c r="E73" i="2" s="1"/>
  <c r="C73" i="2" a="1"/>
  <c r="C73" i="2" s="1"/>
  <c r="F73" i="2" a="1"/>
  <c r="F73" i="2" s="1"/>
  <c r="G75" i="2" a="1"/>
  <c r="G75" i="2" s="1"/>
  <c r="E75" i="2" a="1"/>
  <c r="E75" i="2" s="1"/>
  <c r="C75" i="2" a="1"/>
  <c r="C75" i="2" s="1"/>
  <c r="D75" i="2" a="1"/>
  <c r="D75" i="2" s="1"/>
  <c r="G77" i="2" a="1"/>
  <c r="G77" i="2" s="1"/>
  <c r="E77" i="2" a="1"/>
  <c r="E77" i="2" s="1"/>
  <c r="C77" i="2" a="1"/>
  <c r="C77" i="2" s="1"/>
  <c r="D77" i="2" a="1"/>
  <c r="D77" i="2" s="1"/>
  <c r="G79" i="2" a="1"/>
  <c r="G79" i="2" s="1"/>
  <c r="E79" i="2" a="1"/>
  <c r="E79" i="2" s="1"/>
  <c r="C79" i="2" a="1"/>
  <c r="C79" i="2" s="1"/>
  <c r="D79" i="2" a="1"/>
  <c r="D79" i="2" s="1"/>
  <c r="G94" i="2" a="1"/>
  <c r="G94" i="2" s="1"/>
  <c r="C94" i="2" a="1"/>
  <c r="C94" i="2" s="1"/>
  <c r="E94" i="2" a="1"/>
  <c r="E94" i="2" s="1"/>
  <c r="D94" i="2" a="1"/>
  <c r="D94" i="2" s="1"/>
  <c r="F94" i="2" a="1"/>
  <c r="F94" i="2" s="1"/>
  <c r="K58" i="2" a="1"/>
  <c r="K58" i="2" s="1"/>
  <c r="C72" i="2" a="1"/>
  <c r="C72" i="2" s="1"/>
  <c r="H72" i="2" s="1"/>
  <c r="F75" i="2" a="1"/>
  <c r="F75" i="2" s="1"/>
  <c r="L75" i="2" a="1"/>
  <c r="L75" i="2" s="1"/>
  <c r="F77" i="2" a="1"/>
  <c r="F77" i="2" s="1"/>
  <c r="L77" i="2" a="1"/>
  <c r="L77" i="2" s="1"/>
  <c r="F79" i="2" a="1"/>
  <c r="F79" i="2" s="1"/>
  <c r="L79" i="2" a="1"/>
  <c r="L79" i="2" s="1"/>
  <c r="O86" i="2" a="1"/>
  <c r="O86" i="2" s="1"/>
  <c r="K86" i="2" a="1"/>
  <c r="K86" i="2" s="1"/>
  <c r="P86" i="2" s="1"/>
  <c r="N86" i="2" a="1"/>
  <c r="N86" i="2" s="1"/>
  <c r="M86" i="2" a="1"/>
  <c r="M86" i="2" s="1"/>
  <c r="L86" i="2" a="1"/>
  <c r="L86" i="2" s="1"/>
  <c r="N73" i="2" a="1"/>
  <c r="N73" i="2" s="1"/>
  <c r="L73" i="2" a="1"/>
  <c r="L73" i="2" s="1"/>
  <c r="O74" i="2" a="1"/>
  <c r="O74" i="2" s="1"/>
  <c r="M74" i="2" a="1"/>
  <c r="M74" i="2" s="1"/>
  <c r="K74" i="2" a="1"/>
  <c r="K74" i="2" s="1"/>
  <c r="P74" i="2" s="1"/>
  <c r="O76" i="2" a="1"/>
  <c r="O76" i="2" s="1"/>
  <c r="M76" i="2" a="1"/>
  <c r="M76" i="2" s="1"/>
  <c r="K76" i="2" a="1"/>
  <c r="K76" i="2" s="1"/>
  <c r="P76" i="2" s="1"/>
  <c r="O78" i="2" a="1"/>
  <c r="O78" i="2" s="1"/>
  <c r="M78" i="2" a="1"/>
  <c r="M78" i="2" s="1"/>
  <c r="K78" i="2" a="1"/>
  <c r="K78" i="2" s="1"/>
  <c r="N80" i="2" a="1"/>
  <c r="N80" i="2" s="1"/>
  <c r="K80" i="2" a="1"/>
  <c r="K80" i="2" s="1"/>
  <c r="P80" i="2" s="1"/>
  <c r="N82" i="2" a="1"/>
  <c r="N82" i="2" s="1"/>
  <c r="L82" i="2" a="1"/>
  <c r="L82" i="2" s="1"/>
  <c r="P82" i="2" s="1"/>
  <c r="F84" i="2" a="1"/>
  <c r="F84" i="2" s="1"/>
  <c r="D86" i="2" a="1"/>
  <c r="D86" i="2" s="1"/>
  <c r="H86" i="2" s="1"/>
  <c r="P87" i="2"/>
  <c r="O88" i="2" a="1"/>
  <c r="O88" i="2" s="1"/>
  <c r="N89" i="2" a="1"/>
  <c r="N89" i="2" s="1"/>
  <c r="L90" i="2" a="1"/>
  <c r="L90" i="2" s="1"/>
  <c r="P90" i="2" s="1"/>
  <c r="P91" i="2"/>
  <c r="G92" i="2" a="1"/>
  <c r="G92" i="2" s="1"/>
  <c r="E93" i="2" a="1"/>
  <c r="E93" i="2" s="1"/>
  <c r="H93" i="2" s="1"/>
  <c r="H83" i="2"/>
  <c r="G84" i="2" a="1"/>
  <c r="G84" i="2" s="1"/>
  <c r="H88" i="2"/>
  <c r="P88" i="2"/>
  <c r="G89" i="2" a="1"/>
  <c r="G89" i="2" s="1"/>
  <c r="C89" i="2" a="1"/>
  <c r="C89" i="2" s="1"/>
  <c r="H89" i="2" s="1"/>
  <c r="O89" i="2" a="1"/>
  <c r="O89" i="2" s="1"/>
  <c r="H92" i="2"/>
  <c r="C84" i="2" a="1"/>
  <c r="C84" i="2" s="1"/>
  <c r="O84" i="2" a="1"/>
  <c r="O84" i="2" s="1"/>
  <c r="K84" i="2" a="1"/>
  <c r="K84" i="2" s="1"/>
  <c r="P84" i="2" s="1"/>
  <c r="G86" i="2" a="1"/>
  <c r="G86" i="2" s="1"/>
  <c r="D89" i="2" a="1"/>
  <c r="D89" i="2" s="1"/>
  <c r="K89" i="2" a="1"/>
  <c r="K89" i="2" s="1"/>
  <c r="G90" i="2" a="1"/>
  <c r="G90" i="2" s="1"/>
  <c r="C90" i="2" a="1"/>
  <c r="C90" i="2" s="1"/>
  <c r="H90" i="2" s="1"/>
  <c r="O90" i="2" a="1"/>
  <c r="O90" i="2" s="1"/>
  <c r="P92" i="2"/>
  <c r="G93" i="2" a="1"/>
  <c r="G93" i="2" s="1"/>
  <c r="E74" i="2" a="1"/>
  <c r="E74" i="2" s="1"/>
  <c r="H74" i="2" s="1"/>
  <c r="D81" i="2" a="1"/>
  <c r="D81" i="2" s="1"/>
  <c r="H81" i="2" s="1"/>
  <c r="L81" i="2" a="1"/>
  <c r="L81" i="2" s="1"/>
  <c r="P81" i="2" s="1"/>
  <c r="E82" i="2" a="1"/>
  <c r="E82" i="2" s="1"/>
  <c r="H82" i="2" s="1"/>
  <c r="N93" i="2" a="1"/>
  <c r="N93" i="2" s="1"/>
  <c r="P93" i="2" s="1"/>
  <c r="N94" i="2" a="1"/>
  <c r="N94" i="2" s="1"/>
  <c r="N95" i="2" a="1"/>
  <c r="N95" i="2" s="1"/>
  <c r="O95" i="2" a="1"/>
  <c r="O95" i="2" s="1"/>
  <c r="T23" i="3"/>
  <c r="K94" i="2" a="1"/>
  <c r="K94" i="2" s="1"/>
  <c r="O94" i="2" a="1"/>
  <c r="O94" i="2" s="1"/>
  <c r="K95" i="2" a="1"/>
  <c r="K95" i="2" s="1"/>
  <c r="P95" i="2" s="1"/>
  <c r="T11" i="3"/>
  <c r="T17" i="3"/>
  <c r="M95" i="2" a="1"/>
  <c r="M95" i="2" s="1"/>
  <c r="T26" i="3"/>
  <c r="P58" i="2" l="1"/>
  <c r="H94" i="2"/>
  <c r="H79" i="2"/>
  <c r="H77" i="2"/>
  <c r="H75" i="2"/>
  <c r="H73" i="2"/>
  <c r="P79" i="2"/>
  <c r="P77" i="2"/>
  <c r="P75" i="2"/>
  <c r="H91" i="2"/>
  <c r="H56" i="2"/>
  <c r="H45" i="2"/>
  <c r="H53" i="2"/>
  <c r="H22" i="2"/>
  <c r="P89" i="2"/>
  <c r="H87" i="2"/>
  <c r="P49" i="2"/>
  <c r="P47" i="2"/>
  <c r="H76" i="2"/>
  <c r="P60" i="2"/>
  <c r="H80" i="2"/>
  <c r="H78" i="2"/>
  <c r="H30" i="2"/>
  <c r="P43" i="2"/>
  <c r="H23" i="2"/>
  <c r="P28" i="2"/>
  <c r="H25" i="2"/>
  <c r="P78" i="2"/>
  <c r="P94" i="2"/>
  <c r="H84" i="2"/>
  <c r="P73" i="2"/>
  <c r="H95" i="2"/>
  <c r="P83" i="2"/>
  <c r="P56" i="2"/>
  <c r="P54" i="2"/>
  <c r="H46" i="2"/>
  <c r="P40" i="2"/>
  <c r="P38" i="2"/>
  <c r="P9" i="2"/>
  <c r="P7" i="2"/>
  <c r="H9" i="2"/>
  <c r="P27" i="2"/>
  <c r="H52" i="2"/>
  <c r="H24" i="2"/>
  <c r="H21" i="2"/>
  <c r="H19" i="2"/>
  <c r="H18" i="2"/>
  <c r="H17" i="2"/>
</calcChain>
</file>

<file path=xl/sharedStrings.xml><?xml version="1.0" encoding="utf-8"?>
<sst xmlns="http://schemas.openxmlformats.org/spreadsheetml/2006/main" count="1612" uniqueCount="285">
  <si>
    <t>VITTORIOSA LAWN TENNIS CLUB</t>
  </si>
  <si>
    <t>ANTES INSURANCE TEAM TOURNAMENT 2023</t>
  </si>
  <si>
    <t>A</t>
  </si>
  <si>
    <t>B</t>
  </si>
  <si>
    <t>C</t>
  </si>
  <si>
    <t>D</t>
  </si>
  <si>
    <t>E</t>
  </si>
  <si>
    <t>F</t>
  </si>
  <si>
    <t>CAPTAIN</t>
  </si>
  <si>
    <t>Grace Barbara</t>
  </si>
  <si>
    <t>Francesca Sciortino</t>
  </si>
  <si>
    <t>Victor Rutter</t>
  </si>
  <si>
    <t>Roberto Murdocco</t>
  </si>
  <si>
    <t>Darrell Pace</t>
  </si>
  <si>
    <t>Tiziana Anastasi</t>
  </si>
  <si>
    <t>MEN</t>
  </si>
  <si>
    <t>A1</t>
  </si>
  <si>
    <t>Marc Vella Bonnici</t>
  </si>
  <si>
    <t>Matthew Mifsud</t>
  </si>
  <si>
    <t>Marcelo Villanueva</t>
  </si>
  <si>
    <t>Jesmond Pule'</t>
  </si>
  <si>
    <t>Clayton Zammit Cesare</t>
  </si>
  <si>
    <t>Kurt Carabott</t>
  </si>
  <si>
    <t>A2</t>
  </si>
  <si>
    <t>Eric Roca</t>
  </si>
  <si>
    <t>Melchior Farrugia</t>
  </si>
  <si>
    <t>Trevor Rutter</t>
  </si>
  <si>
    <t>Clyde Grech</t>
  </si>
  <si>
    <t>Duncan D'Alessandro</t>
  </si>
  <si>
    <t>Adrian Chetcuti</t>
  </si>
  <si>
    <t>A3</t>
  </si>
  <si>
    <t>Keith Micallef</t>
  </si>
  <si>
    <t>Nikolai Belli</t>
  </si>
  <si>
    <t>Jean Carl Azzopardi</t>
  </si>
  <si>
    <t>Andrew Pule'</t>
  </si>
  <si>
    <t>Manuel Bonello</t>
  </si>
  <si>
    <t>John Azzopardi</t>
  </si>
  <si>
    <t>B1</t>
  </si>
  <si>
    <t>David Schembri</t>
  </si>
  <si>
    <t>Luigi Porto</t>
  </si>
  <si>
    <t>Ivan Cachia</t>
  </si>
  <si>
    <t>Fotios Evangelou</t>
  </si>
  <si>
    <t>Marco Mercieca</t>
  </si>
  <si>
    <t>Ryan Mizzi</t>
  </si>
  <si>
    <t>B2</t>
  </si>
  <si>
    <t>George Grech</t>
  </si>
  <si>
    <t>Gio Marcos</t>
  </si>
  <si>
    <t>Jonathan Vella</t>
  </si>
  <si>
    <t>Chi Chi Canonce</t>
  </si>
  <si>
    <t>Eric Micallef</t>
  </si>
  <si>
    <t>James Farrugia</t>
  </si>
  <si>
    <t>B3</t>
  </si>
  <si>
    <t>Roderick Spiteri</t>
  </si>
  <si>
    <t>Clint Agius</t>
  </si>
  <si>
    <t>Richard Byrne</t>
  </si>
  <si>
    <t>Kevin Formosa</t>
  </si>
  <si>
    <t>Gabriel Pace</t>
  </si>
  <si>
    <t>Willem Steenkamer</t>
  </si>
  <si>
    <t>C1</t>
  </si>
  <si>
    <t>Joe Carabott</t>
  </si>
  <si>
    <t>Gene Zammit</t>
  </si>
  <si>
    <t>Stephen Belli</t>
  </si>
  <si>
    <t>Manuel Gatt</t>
  </si>
  <si>
    <t>Max Anastasi</t>
  </si>
  <si>
    <t>C2</t>
  </si>
  <si>
    <t>Clive Silvio Borg</t>
  </si>
  <si>
    <t>Neville Sciriha</t>
  </si>
  <si>
    <t>Charles Sacco</t>
  </si>
  <si>
    <t>Sebastian Attard</t>
  </si>
  <si>
    <t>Manuel Mifsud</t>
  </si>
  <si>
    <t>Mavric Sawyer</t>
  </si>
  <si>
    <t>C3</t>
  </si>
  <si>
    <t>Ray Ciantar</t>
  </si>
  <si>
    <t>Alain Frendo</t>
  </si>
  <si>
    <t>Kristen Cachia</t>
  </si>
  <si>
    <t>Frans Ellul</t>
  </si>
  <si>
    <t>Etienne Formosa Carabez</t>
  </si>
  <si>
    <t>Julian Esposito</t>
  </si>
  <si>
    <t>C4</t>
  </si>
  <si>
    <t>Jean Paul Vella</t>
  </si>
  <si>
    <t>Aaron Micallef Piccione</t>
  </si>
  <si>
    <t>Ryan Ebejer</t>
  </si>
  <si>
    <t>Ivan Saliba</t>
  </si>
  <si>
    <t>D1</t>
  </si>
  <si>
    <t>Charles Micallef</t>
  </si>
  <si>
    <t>Matthew Schembri</t>
  </si>
  <si>
    <t>Simone Re</t>
  </si>
  <si>
    <t>Twanny Pule'</t>
  </si>
  <si>
    <t>Isaac Joseph Zammit</t>
  </si>
  <si>
    <t>Max Anastasi Jr.</t>
  </si>
  <si>
    <t>D2</t>
  </si>
  <si>
    <t>David Camilleri</t>
  </si>
  <si>
    <t>Conrad Treeby Ward</t>
  </si>
  <si>
    <t>Charles Borg Grech</t>
  </si>
  <si>
    <t>Kenneth Caruana</t>
  </si>
  <si>
    <t>Joseph Randich</t>
  </si>
  <si>
    <t>Dunstan Vella</t>
  </si>
  <si>
    <t>D3</t>
  </si>
  <si>
    <t>Dorian Demanuele</t>
  </si>
  <si>
    <t>Ralf Bahmuller</t>
  </si>
  <si>
    <t>Donald Deguzman</t>
  </si>
  <si>
    <t>Cory Greenland</t>
  </si>
  <si>
    <t>Sean Cachia</t>
  </si>
  <si>
    <t>Mario Abdilla</t>
  </si>
  <si>
    <t>LADIES</t>
  </si>
  <si>
    <t>Sharon Mizzi</t>
  </si>
  <si>
    <t>Alexia Spiteri Willets</t>
  </si>
  <si>
    <t>Christine Schembri</t>
  </si>
  <si>
    <t>Annemarie Mangion</t>
  </si>
  <si>
    <t>Lara Pule'</t>
  </si>
  <si>
    <t>Martina Cuschieri</t>
  </si>
  <si>
    <t>Elaine Grech</t>
  </si>
  <si>
    <t>Lucienne Meli</t>
  </si>
  <si>
    <t>Alison Muscat</t>
  </si>
  <si>
    <t>Olivia Belli</t>
  </si>
  <si>
    <t>Kirsty Mercieca</t>
  </si>
  <si>
    <t>Natalya Abela</t>
  </si>
  <si>
    <t>Celeste Zammit Marquette</t>
  </si>
  <si>
    <t>Doriana Portelli</t>
  </si>
  <si>
    <t>Amanda Falzon</t>
  </si>
  <si>
    <t>Anthea Gauci</t>
  </si>
  <si>
    <t>Annabelle Abela</t>
  </si>
  <si>
    <t>Yanika Pace</t>
  </si>
  <si>
    <t>Brenda Baldacchino</t>
  </si>
  <si>
    <t>Anabel Borg</t>
  </si>
  <si>
    <t>Silvana Portelli</t>
  </si>
  <si>
    <t>Romina Gauci</t>
  </si>
  <si>
    <t>Alexia Gouder</t>
  </si>
  <si>
    <t>Deborah Farrugia</t>
  </si>
  <si>
    <t>Kristina Briffa</t>
  </si>
  <si>
    <t>Kelsey Gauci</t>
  </si>
  <si>
    <t>Julie Spiteri</t>
  </si>
  <si>
    <t>Daniela Curmi</t>
  </si>
  <si>
    <t>Mariska Steenkamer</t>
  </si>
  <si>
    <t>Angele Pule'</t>
  </si>
  <si>
    <t>Marthese Camoin</t>
  </si>
  <si>
    <t>Jennifer Mifsud</t>
  </si>
  <si>
    <t>Vanessa Vella</t>
  </si>
  <si>
    <t>Carmen Difesa</t>
  </si>
  <si>
    <t>B4</t>
  </si>
  <si>
    <t>Lonia Carabott</t>
  </si>
  <si>
    <t>Jin Attard</t>
  </si>
  <si>
    <t>Nancy Wong</t>
  </si>
  <si>
    <t>Sarah Axiaq</t>
  </si>
  <si>
    <t>Diane Debono</t>
  </si>
  <si>
    <t>Ann-Marie Attard</t>
  </si>
  <si>
    <t>Christine Seychell</t>
  </si>
  <si>
    <t>Helga Azzopardi</t>
  </si>
  <si>
    <t>Yvonne Borg Cardona</t>
  </si>
  <si>
    <t>Mary Borg</t>
  </si>
  <si>
    <t>Elisa Sacco</t>
  </si>
  <si>
    <t>Tanya Cassar</t>
  </si>
  <si>
    <t>Frances Saliba Hersey</t>
  </si>
  <si>
    <t>Marica Cassar</t>
  </si>
  <si>
    <t>Christabelle Chetcuti</t>
  </si>
  <si>
    <t>Stefania Camilleri</t>
  </si>
  <si>
    <t>Jodie Stivala</t>
  </si>
  <si>
    <t>Heidi Tabone</t>
  </si>
  <si>
    <t>Mary Ciantar</t>
  </si>
  <si>
    <t>Maria Ellul</t>
  </si>
  <si>
    <t>Anna Fenech</t>
  </si>
  <si>
    <t>Christine Scerri</t>
  </si>
  <si>
    <t>Claire Genovese</t>
  </si>
  <si>
    <t>Sabrina Xuereb</t>
  </si>
  <si>
    <t>Day</t>
  </si>
  <si>
    <t>Total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</si>
  <si>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</si>
  <si>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</si>
  <si>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</si>
  <si>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</si>
  <si>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</si>
  <si>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</si>
  <si>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</si>
  <si>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</si>
  <si>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</si>
  <si>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</si>
  <si>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</si>
  <si>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</si>
  <si>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</si>
  <si>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TEAM A:</t>
  </si>
  <si>
    <t>Wednesday</t>
  </si>
  <si>
    <t>Friday</t>
  </si>
  <si>
    <t>TEAM B:</t>
  </si>
  <si>
    <t>TEAM C:</t>
  </si>
  <si>
    <t>TEAM D:</t>
  </si>
  <si>
    <t>TEAM E:</t>
  </si>
  <si>
    <t>TEAM F:</t>
  </si>
  <si>
    <t>Winners:</t>
  </si>
  <si>
    <t>Runners Up:</t>
  </si>
  <si>
    <t>DAY 1 - 24/05/2023 &amp; 26/05/2023</t>
  </si>
  <si>
    <t>Court 1</t>
  </si>
  <si>
    <t>Time</t>
  </si>
  <si>
    <t>Rubber</t>
  </si>
  <si>
    <t>Team A: Grace Barbara</t>
  </si>
  <si>
    <t>vs</t>
  </si>
  <si>
    <t>Team C: Victor Rutter</t>
  </si>
  <si>
    <t>Games</t>
  </si>
  <si>
    <t>6.30 pm</t>
  </si>
  <si>
    <t>Men D</t>
  </si>
  <si>
    <t>7.45 pm</t>
  </si>
  <si>
    <t>Lad C</t>
  </si>
  <si>
    <t>9.00 pm</t>
  </si>
  <si>
    <t>Men A</t>
  </si>
  <si>
    <t>Men B</t>
  </si>
  <si>
    <t>Jonathon Vella</t>
  </si>
  <si>
    <t>Total Day 1 A</t>
  </si>
  <si>
    <t>Lad B</t>
  </si>
  <si>
    <t>Men C</t>
  </si>
  <si>
    <t>Lad A</t>
  </si>
  <si>
    <t>Mxd CB</t>
  </si>
  <si>
    <t>Total Day 1 B</t>
  </si>
  <si>
    <t xml:space="preserve">Total Day 1 </t>
  </si>
  <si>
    <t>Court 2</t>
  </si>
  <si>
    <t>Team D: Roberto Murdocco</t>
  </si>
  <si>
    <t>Team E: Darrell Pace</t>
  </si>
  <si>
    <t>Laf C</t>
  </si>
  <si>
    <t>Manuel Bonelli</t>
  </si>
  <si>
    <t>Total Day 1B</t>
  </si>
  <si>
    <t>Court 4</t>
  </si>
  <si>
    <t>Team B: Francesca Sciortino</t>
  </si>
  <si>
    <t>Team F: Tiziana Anastasi</t>
  </si>
  <si>
    <t xml:space="preserve">Natalya Abela </t>
  </si>
  <si>
    <t>Max Anastasi Jr</t>
  </si>
  <si>
    <t>Adrian Chetucti</t>
  </si>
  <si>
    <t xml:space="preserve"> </t>
  </si>
  <si>
    <t>Day 2 - 31/05/2023 &amp; 02/06/2023</t>
  </si>
  <si>
    <t>Gio Marcus</t>
  </si>
  <si>
    <t>Francesco Sciortino</t>
  </si>
  <si>
    <t xml:space="preserve">Isaac Joseph Zammit </t>
  </si>
  <si>
    <t>Total Day 2 A</t>
  </si>
  <si>
    <t>Total Day 2 B</t>
  </si>
  <si>
    <t xml:space="preserve">Total Day 2 </t>
  </si>
  <si>
    <t xml:space="preserve">Team A: Grace Barbara </t>
  </si>
  <si>
    <t>Day 3 - 7/06/2023 &amp; 09/06/2023</t>
  </si>
  <si>
    <t>5.30 pm</t>
  </si>
  <si>
    <t>6.45 pm</t>
  </si>
  <si>
    <t>8.00 pm</t>
  </si>
  <si>
    <t>Ivan Saliba (pro) Julian Esposito</t>
  </si>
  <si>
    <t>Total Day 3 A</t>
  </si>
  <si>
    <t>Total Day 3 B</t>
  </si>
  <si>
    <t xml:space="preserve">Total Day 3 </t>
  </si>
  <si>
    <t>MXD</t>
  </si>
  <si>
    <t>Day 4 - 14/06/2023 &amp; 15/06/2023</t>
  </si>
  <si>
    <t>Team F: Tiziana Anstasi</t>
  </si>
  <si>
    <t>Olivia Belli (promoted Anthea Gauci)</t>
  </si>
  <si>
    <t>Total Day 4 A</t>
  </si>
  <si>
    <t xml:space="preserve">Men B </t>
  </si>
  <si>
    <t xml:space="preserve">Mary Borg </t>
  </si>
  <si>
    <t>Total Day 4 B</t>
  </si>
  <si>
    <t xml:space="preserve">Total Day 4 </t>
  </si>
  <si>
    <t>Team E: Darell Pace</t>
  </si>
  <si>
    <t>Maria Ellul (pro Marica Cassar)</t>
  </si>
  <si>
    <t>Day 5 - 21/06/2023 &amp; 23/06/2023</t>
  </si>
  <si>
    <t>Total Day 5 A</t>
  </si>
  <si>
    <t>Roderick Spiteri (pro) George Grech</t>
  </si>
  <si>
    <t>Romina Gauci (pro) Olivia Belli</t>
  </si>
  <si>
    <t>MxdCB</t>
  </si>
  <si>
    <t>Angele Pule' (pro) Brenda Baldacchino</t>
  </si>
  <si>
    <t>Total Day 5B</t>
  </si>
  <si>
    <t xml:space="preserve">Total Day 5 </t>
  </si>
  <si>
    <t>Alexia Spiteri Wllets</t>
  </si>
  <si>
    <t>Victor Rutter (pro Stephen Belli)</t>
  </si>
  <si>
    <t>Sean Cachia (pro Joe Randich)</t>
  </si>
  <si>
    <t>Elisa Sacco (pro Vanessa Vella)</t>
  </si>
  <si>
    <t>Total Day 5 B</t>
  </si>
  <si>
    <t>Semi Final - 28/06/2023 &amp; 30/06/2023</t>
  </si>
  <si>
    <t>Team F : Tiziana Anastasi</t>
  </si>
  <si>
    <t>Sabrina Xeureb</t>
  </si>
  <si>
    <t>Francesca Sciortina</t>
  </si>
  <si>
    <t>Ann Marie Attard</t>
  </si>
  <si>
    <t xml:space="preserve">Kurt Carabott </t>
  </si>
  <si>
    <t>Total Day 2B</t>
  </si>
  <si>
    <t xml:space="preserve">Frances Saliba Hersey </t>
  </si>
  <si>
    <t xml:space="preserve">David Schembri </t>
  </si>
  <si>
    <t>Joseph Isaac Zammit</t>
  </si>
  <si>
    <t>FINAL - 07/07/2023</t>
  </si>
  <si>
    <t>Team B : Francesca Sciortino</t>
  </si>
  <si>
    <t>7.00pm</t>
  </si>
  <si>
    <t>Lady B</t>
  </si>
  <si>
    <t xml:space="preserve">Angele Pule' </t>
  </si>
  <si>
    <t xml:space="preserve">Matthew Schembri </t>
  </si>
  <si>
    <t>8.15pm</t>
  </si>
  <si>
    <t xml:space="preserve">Lady C </t>
  </si>
  <si>
    <t>Lady A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</si>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</sst>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color rgb="FF000000"/>
      <name val="Arial"/>
      <scheme val="minor"/>
    </font>
    <font>
      <b/>
      <sz val="18"/>
      <color theme="1"/>
      <name val="Arial"/>
    </font>
    <font>
      <sz val="11"/>
      <color theme="1"/>
      <name val="Calibri"/>
    </font>
    <font>
      <b/>
      <sz val="16"/>
      <color theme="1"/>
      <name val="Tahoma"/>
    </font>
    <font>
      <sz val="10"/>
      <name val="Arial"/>
    </font>
    <font>
      <sz val="10"/>
      <color theme="1"/>
      <name val="Arial"/>
    </font>
    <font>
      <b/>
      <sz val="12"/>
      <color theme="1"/>
      <name val="Tahoma"/>
    </font>
    <font>
      <sz val="10"/>
      <color rgb="FF000000"/>
      <name val="Arial"/>
    </font>
    <font>
      <b/>
      <sz val="14"/>
      <color rgb="FF000000"/>
      <name val="Tahoma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b/>
      <sz val="14"/>
      <color rgb="FF000000"/>
      <name val="Arial"/>
    </font>
    <font>
      <b/>
      <sz val="14"/>
      <color theme="1"/>
      <name val="Arial"/>
    </font>
    <font>
      <b/>
      <sz val="14"/>
      <color theme="1"/>
      <name val="Tahoma"/>
    </font>
    <font>
      <sz val="14"/>
      <color theme="1"/>
      <name val="Arial"/>
    </font>
    <font>
      <sz val="10"/>
      <color rgb="FFFF0000"/>
      <name val="Arial"/>
    </font>
    <font>
      <sz val="11"/>
      <color theme="1"/>
      <name val="Arial"/>
    </font>
    <font>
      <b/>
      <sz val="10"/>
      <color theme="1"/>
      <name val="Tahoma"/>
    </font>
    <font>
      <b/>
      <sz val="16"/>
      <color rgb="FF000080"/>
      <name val="Garamond"/>
    </font>
    <font>
      <b/>
      <sz val="12"/>
      <color rgb="FF000080"/>
      <name val="Arial"/>
    </font>
    <font>
      <b/>
      <sz val="11"/>
      <color rgb="FF000080"/>
      <name val="Arial"/>
    </font>
    <font>
      <b/>
      <sz val="11"/>
      <color rgb="FF008000"/>
      <name val="Arial"/>
    </font>
    <font>
      <b/>
      <sz val="11"/>
      <color rgb="FF800000"/>
      <name val="Arial"/>
    </font>
    <font>
      <b/>
      <sz val="12"/>
      <color rgb="FFFF0000"/>
      <name val="Arial"/>
    </font>
    <font>
      <b/>
      <sz val="14"/>
      <color rgb="FF008000"/>
      <name val="Arial"/>
    </font>
    <font>
      <b/>
      <sz val="14"/>
      <color rgb="FF800000"/>
      <name val="Arial"/>
    </font>
    <font>
      <b/>
      <sz val="12"/>
      <color rgb="FF008000"/>
      <name val="Arial"/>
    </font>
    <font>
      <sz val="16"/>
      <color theme="1"/>
      <name val="Arial"/>
    </font>
    <font>
      <b/>
      <sz val="12"/>
      <color rgb="FF800000"/>
      <name val="Arial"/>
    </font>
    <font>
      <b/>
      <sz val="16"/>
      <color theme="1"/>
      <name val="Arial"/>
    </font>
    <font>
      <b/>
      <sz val="14"/>
      <color rgb="FF3366FF"/>
      <name val="Arial"/>
    </font>
    <font>
      <sz val="11"/>
      <color rgb="FF3366FF"/>
      <name val="Arial"/>
    </font>
    <font>
      <sz val="10"/>
      <color theme="1"/>
      <name val="Tahoma"/>
    </font>
    <font>
      <b/>
      <sz val="17"/>
      <color theme="1"/>
      <name val="Tahoma"/>
    </font>
    <font>
      <b/>
      <sz val="11"/>
      <color theme="1"/>
      <name val="Tahoma"/>
    </font>
    <font>
      <b/>
      <sz val="9"/>
      <color theme="1"/>
      <name val="Tahoma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</fills>
  <borders count="6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3366FF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3366FF"/>
      </bottom>
      <diagonal/>
    </border>
    <border>
      <left style="medium">
        <color rgb="FF000000"/>
      </left>
      <right style="thin">
        <color rgb="FF3366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3366FF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/>
      <bottom style="thin">
        <color rgb="FF000000"/>
      </bottom>
      <diagonal/>
    </border>
    <border>
      <left/>
      <right style="hair">
        <color rgb="FF3366FF"/>
      </right>
      <top style="thin">
        <color rgb="FF000000"/>
      </top>
      <bottom/>
      <diagonal/>
    </border>
    <border>
      <left/>
      <right style="hair">
        <color rgb="FF3366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5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5" fillId="2" borderId="2" xfId="0" applyFont="1" applyFill="1" applyBorder="1"/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2" fillId="3" borderId="19" xfId="0" applyFont="1" applyFill="1" applyBorder="1"/>
    <xf numFmtId="0" fontId="9" fillId="3" borderId="17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4" borderId="19" xfId="0" applyFont="1" applyFill="1" applyBorder="1"/>
    <xf numFmtId="0" fontId="11" fillId="4" borderId="12" xfId="0" applyFont="1" applyFill="1" applyBorder="1"/>
    <xf numFmtId="0" fontId="11" fillId="4" borderId="12" xfId="0" applyFont="1" applyFill="1" applyBorder="1" applyAlignment="1">
      <alignment horizontal="center"/>
    </xf>
    <xf numFmtId="0" fontId="11" fillId="4" borderId="19" xfId="0" applyFont="1" applyFill="1" applyBorder="1"/>
    <xf numFmtId="0" fontId="13" fillId="5" borderId="12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/>
    </xf>
    <xf numFmtId="0" fontId="5" fillId="6" borderId="12" xfId="0" applyFont="1" applyFill="1" applyBorder="1"/>
    <xf numFmtId="0" fontId="14" fillId="6" borderId="23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6" fillId="6" borderId="1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7" borderId="2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/>
    <xf numFmtId="0" fontId="5" fillId="6" borderId="23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3" borderId="25" xfId="0" applyFont="1" applyFill="1" applyBorder="1" applyAlignment="1">
      <alignment horizontal="left"/>
    </xf>
    <xf numFmtId="0" fontId="18" fillId="3" borderId="26" xfId="0" applyFont="1" applyFill="1" applyBorder="1" applyAlignment="1">
      <alignment horizontal="left"/>
    </xf>
    <xf numFmtId="0" fontId="11" fillId="3" borderId="30" xfId="0" applyFont="1" applyFill="1" applyBorder="1" applyAlignment="1">
      <alignment horizontal="left"/>
    </xf>
    <xf numFmtId="0" fontId="11" fillId="3" borderId="19" xfId="0" applyFont="1" applyFill="1" applyBorder="1" applyAlignment="1">
      <alignment horizontal="left"/>
    </xf>
    <xf numFmtId="0" fontId="20" fillId="0" borderId="0" xfId="0" applyFont="1"/>
    <xf numFmtId="0" fontId="20" fillId="3" borderId="30" xfId="0" applyFont="1" applyFill="1" applyBorder="1" applyAlignment="1">
      <alignment horizontal="left"/>
    </xf>
    <xf numFmtId="0" fontId="20" fillId="3" borderId="19" xfId="0" applyFont="1" applyFill="1" applyBorder="1" applyAlignment="1">
      <alignment horizontal="left"/>
    </xf>
    <xf numFmtId="0" fontId="21" fillId="3" borderId="19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3" borderId="30" xfId="0" applyFont="1" applyFill="1" applyBorder="1" applyAlignment="1">
      <alignment horizontal="left"/>
    </xf>
    <xf numFmtId="0" fontId="9" fillId="3" borderId="19" xfId="0" applyFont="1" applyFill="1" applyBorder="1" applyAlignment="1">
      <alignment horizontal="left"/>
    </xf>
    <xf numFmtId="0" fontId="17" fillId="3" borderId="19" xfId="0" applyFont="1" applyFill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3" borderId="12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left"/>
    </xf>
    <xf numFmtId="0" fontId="24" fillId="3" borderId="19" xfId="0" applyFont="1" applyFill="1" applyBorder="1"/>
    <xf numFmtId="0" fontId="24" fillId="3" borderId="30" xfId="0" applyFont="1" applyFill="1" applyBorder="1"/>
    <xf numFmtId="0" fontId="10" fillId="0" borderId="12" xfId="0" applyFont="1" applyBorder="1" applyAlignment="1">
      <alignment horizontal="center" vertical="center"/>
    </xf>
    <xf numFmtId="1" fontId="25" fillId="0" borderId="12" xfId="0" applyNumberFormat="1" applyFont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1" fontId="25" fillId="3" borderId="12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9" fillId="3" borderId="30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17" fillId="3" borderId="12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28" fillId="0" borderId="0" xfId="0" applyFont="1"/>
    <xf numFmtId="0" fontId="30" fillId="0" borderId="0" xfId="0" applyFont="1"/>
    <xf numFmtId="0" fontId="31" fillId="3" borderId="40" xfId="0" applyFont="1" applyFill="1" applyBorder="1" applyAlignment="1">
      <alignment horizontal="left" vertical="center"/>
    </xf>
    <xf numFmtId="0" fontId="31" fillId="3" borderId="41" xfId="0" applyFont="1" applyFill="1" applyBorder="1" applyAlignment="1">
      <alignment horizontal="left" vertical="center"/>
    </xf>
    <xf numFmtId="0" fontId="32" fillId="3" borderId="41" xfId="0" applyFont="1" applyFill="1" applyBorder="1" applyAlignment="1">
      <alignment horizontal="center" vertical="center"/>
    </xf>
    <xf numFmtId="0" fontId="29" fillId="3" borderId="41" xfId="0" applyFont="1" applyFill="1" applyBorder="1" applyAlignment="1">
      <alignment vertical="center"/>
    </xf>
    <xf numFmtId="0" fontId="27" fillId="3" borderId="4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7" fillId="0" borderId="12" xfId="0" applyFont="1" applyBorder="1" applyAlignment="1">
      <alignment horizontal="center"/>
    </xf>
    <xf numFmtId="0" fontId="13" fillId="0" borderId="12" xfId="0" applyFont="1" applyBorder="1"/>
    <xf numFmtId="0" fontId="33" fillId="0" borderId="0" xfId="0" applyFont="1"/>
    <xf numFmtId="0" fontId="18" fillId="0" borderId="12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" fontId="33" fillId="0" borderId="12" xfId="0" applyNumberFormat="1" applyFont="1" applyBorder="1" applyAlignment="1">
      <alignment horizontal="center" vertical="center" wrapText="1"/>
    </xf>
    <xf numFmtId="1" fontId="18" fillId="0" borderId="13" xfId="0" applyNumberFormat="1" applyFont="1" applyBorder="1" applyAlignment="1">
      <alignment horizontal="center" vertical="center"/>
    </xf>
    <xf numFmtId="0" fontId="5" fillId="0" borderId="10" xfId="0" applyFont="1" applyBorder="1"/>
    <xf numFmtId="0" fontId="33" fillId="0" borderId="53" xfId="0" applyFont="1" applyBorder="1"/>
    <xf numFmtId="1" fontId="33" fillId="0" borderId="12" xfId="0" applyNumberFormat="1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 wrapText="1"/>
    </xf>
    <xf numFmtId="2" fontId="18" fillId="0" borderId="12" xfId="0" applyNumberFormat="1" applyFont="1" applyBorder="1" applyAlignment="1">
      <alignment horizontal="center" vertical="center" wrapText="1"/>
    </xf>
    <xf numFmtId="2" fontId="18" fillId="0" borderId="13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53" xfId="0" applyFont="1" applyBorder="1" applyAlignment="1">
      <alignment horizontal="center"/>
    </xf>
    <xf numFmtId="0" fontId="33" fillId="0" borderId="0" xfId="0" applyFont="1" applyAlignment="1"/>
    <xf numFmtId="0" fontId="18" fillId="0" borderId="0" xfId="0" applyFont="1"/>
    <xf numFmtId="16" fontId="18" fillId="0" borderId="0" xfId="0" applyNumberFormat="1" applyFont="1"/>
    <xf numFmtId="0" fontId="18" fillId="0" borderId="24" xfId="0" applyFont="1" applyBorder="1" applyAlignment="1">
      <alignment horizontal="center" vertical="center" wrapText="1"/>
    </xf>
    <xf numFmtId="16" fontId="33" fillId="0" borderId="0" xfId="0" applyNumberFormat="1" applyFont="1"/>
    <xf numFmtId="1" fontId="18" fillId="3" borderId="24" xfId="0" applyNumberFormat="1" applyFont="1" applyFill="1" applyBorder="1" applyAlignment="1">
      <alignment horizontal="center" vertical="center"/>
    </xf>
    <xf numFmtId="1" fontId="18" fillId="3" borderId="12" xfId="0" applyNumberFormat="1" applyFont="1" applyFill="1" applyBorder="1" applyAlignment="1">
      <alignment horizontal="center" vertical="center"/>
    </xf>
    <xf numFmtId="1" fontId="18" fillId="3" borderId="65" xfId="0" applyNumberFormat="1" applyFont="1" applyFill="1" applyBorder="1" applyAlignment="1">
      <alignment horizontal="center" vertical="center"/>
    </xf>
    <xf numFmtId="1" fontId="18" fillId="3" borderId="66" xfId="0" applyNumberFormat="1" applyFont="1" applyFill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4" xfId="0" applyFont="1" applyBorder="1"/>
    <xf numFmtId="0" fontId="9" fillId="3" borderId="20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6" fillId="3" borderId="9" xfId="0" applyFont="1" applyFill="1" applyBorder="1" applyAlignment="1">
      <alignment horizontal="center" vertical="center"/>
    </xf>
    <xf numFmtId="0" fontId="4" fillId="0" borderId="11" xfId="0" applyFont="1" applyBorder="1"/>
    <xf numFmtId="0" fontId="8" fillId="0" borderId="9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7" fillId="0" borderId="15" xfId="0" applyNumberFormat="1" applyFont="1" applyBorder="1" applyAlignment="1">
      <alignment horizontal="center" vertical="center"/>
    </xf>
    <xf numFmtId="0" fontId="4" fillId="0" borderId="38" xfId="0" applyFont="1" applyBorder="1"/>
    <xf numFmtId="0" fontId="28" fillId="0" borderId="0" xfId="0" applyFont="1" applyAlignment="1">
      <alignment horizontal="center" vertical="center"/>
    </xf>
    <xf numFmtId="0" fontId="9" fillId="0" borderId="36" xfId="0" applyFont="1" applyBorder="1" applyAlignment="1">
      <alignment horizontal="left" vertical="center"/>
    </xf>
    <xf numFmtId="0" fontId="4" fillId="0" borderId="36" xfId="0" applyFont="1" applyBorder="1"/>
    <xf numFmtId="0" fontId="9" fillId="0" borderId="37" xfId="0" applyFont="1" applyBorder="1" applyAlignment="1">
      <alignment horizontal="center" vertical="center"/>
    </xf>
    <xf numFmtId="0" fontId="4" fillId="0" borderId="37" xfId="0" applyFont="1" applyBorder="1"/>
    <xf numFmtId="1" fontId="25" fillId="0" borderId="15" xfId="0" applyNumberFormat="1" applyFont="1" applyBorder="1" applyAlignment="1">
      <alignment horizontal="center" vertical="center"/>
    </xf>
    <xf numFmtId="0" fontId="4" fillId="0" borderId="39" xfId="0" applyFont="1" applyBorder="1"/>
    <xf numFmtId="0" fontId="19" fillId="3" borderId="27" xfId="0" applyFont="1" applyFill="1" applyBorder="1" applyAlignment="1">
      <alignment horizontal="center"/>
    </xf>
    <xf numFmtId="0" fontId="4" fillId="0" borderId="28" xfId="0" applyFont="1" applyBorder="1"/>
    <xf numFmtId="0" fontId="4" fillId="0" borderId="29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3" fillId="0" borderId="0" xfId="0" applyFont="1" applyAlignment="1">
      <alignment horizontal="left"/>
    </xf>
    <xf numFmtId="0" fontId="13" fillId="0" borderId="13" xfId="0" applyFont="1" applyBorder="1" applyAlignment="1">
      <alignment horizontal="center"/>
    </xf>
    <xf numFmtId="1" fontId="33" fillId="0" borderId="15" xfId="0" applyNumberFormat="1" applyFont="1" applyBorder="1" applyAlignment="1">
      <alignment horizontal="center" vertical="center" wrapText="1"/>
    </xf>
    <xf numFmtId="1" fontId="36" fillId="0" borderId="15" xfId="0" applyNumberFormat="1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18" fillId="0" borderId="15" xfId="0" applyNumberFormat="1" applyFont="1" applyBorder="1" applyAlignment="1">
      <alignment horizontal="center" vertical="center" wrapText="1"/>
    </xf>
    <xf numFmtId="1" fontId="18" fillId="3" borderId="13" xfId="0" applyNumberFormat="1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43" xfId="0" applyFont="1" applyBorder="1"/>
    <xf numFmtId="0" fontId="4" fillId="0" borderId="44" xfId="0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8" xfId="0" applyFont="1" applyBorder="1"/>
    <xf numFmtId="0" fontId="35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2" fontId="18" fillId="0" borderId="15" xfId="0" applyNumberFormat="1" applyFont="1" applyBorder="1" applyAlignment="1">
      <alignment horizontal="center" vertical="center"/>
    </xf>
    <xf numFmtId="1" fontId="18" fillId="0" borderId="15" xfId="0" applyNumberFormat="1" applyFont="1" applyBorder="1" applyAlignment="1">
      <alignment horizontal="center" vertical="center"/>
    </xf>
    <xf numFmtId="1" fontId="33" fillId="0" borderId="13" xfId="0" applyNumberFormat="1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33" fillId="3" borderId="45" xfId="0" applyFont="1" applyFill="1" applyBorder="1" applyAlignment="1">
      <alignment horizontal="center"/>
    </xf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  <xf numFmtId="1" fontId="18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3" fillId="3" borderId="4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4" fillId="0" borderId="52" xfId="0" applyFont="1" applyBorder="1"/>
    <xf numFmtId="0" fontId="18" fillId="0" borderId="50" xfId="0" applyFont="1" applyBorder="1" applyAlignment="1">
      <alignment horizontal="center" vertical="center"/>
    </xf>
    <xf numFmtId="1" fontId="33" fillId="0" borderId="0" xfId="0" applyNumberFormat="1" applyFont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33" fillId="3" borderId="42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18" fillId="3" borderId="9" xfId="0" applyNumberFormat="1" applyFont="1" applyFill="1" applyBorder="1" applyAlignment="1">
      <alignment horizontal="center" vertical="center"/>
    </xf>
    <xf numFmtId="2" fontId="18" fillId="0" borderId="59" xfId="0" applyNumberFormat="1" applyFont="1" applyBorder="1" applyAlignment="1">
      <alignment horizontal="center" vertical="center"/>
    </xf>
    <xf numFmtId="0" fontId="4" fillId="0" borderId="61" xfId="0" applyFont="1" applyBorder="1"/>
    <xf numFmtId="1" fontId="33" fillId="0" borderId="44" xfId="0" applyNumberFormat="1" applyFont="1" applyBorder="1" applyAlignment="1">
      <alignment horizontal="center" vertical="center" wrapText="1"/>
    </xf>
    <xf numFmtId="1" fontId="33" fillId="0" borderId="60" xfId="0" applyNumberFormat="1" applyFont="1" applyBorder="1" applyAlignment="1">
      <alignment horizontal="center" vertical="center" wrapText="1"/>
    </xf>
    <xf numFmtId="0" fontId="4" fillId="0" borderId="62" xfId="0" applyFont="1" applyBorder="1"/>
    <xf numFmtId="1" fontId="33" fillId="0" borderId="63" xfId="0" applyNumberFormat="1" applyFont="1" applyBorder="1" applyAlignment="1">
      <alignment horizontal="center" vertical="center" wrapText="1"/>
    </xf>
    <xf numFmtId="0" fontId="4" fillId="0" borderId="64" xfId="0" applyFont="1" applyBorder="1"/>
    <xf numFmtId="1" fontId="33" fillId="8" borderId="42" xfId="0" applyNumberFormat="1" applyFont="1" applyFill="1" applyBorder="1" applyAlignment="1">
      <alignment horizontal="center" vertical="center"/>
    </xf>
    <xf numFmtId="1" fontId="18" fillId="8" borderId="15" xfId="0" applyNumberFormat="1" applyFont="1" applyFill="1" applyBorder="1" applyAlignment="1">
      <alignment horizontal="center" vertical="center"/>
    </xf>
    <xf numFmtId="1" fontId="33" fillId="8" borderId="15" xfId="0" applyNumberFormat="1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3" fillId="3" borderId="55" xfId="0" applyFont="1" applyFill="1" applyBorder="1" applyAlignment="1">
      <alignment horizontal="center"/>
    </xf>
    <xf numFmtId="0" fontId="4" fillId="0" borderId="56" xfId="0" applyFont="1" applyBorder="1"/>
    <xf numFmtId="0" fontId="4" fillId="0" borderId="57" xfId="0" applyFont="1" applyBorder="1"/>
    <xf numFmtId="0" fontId="4" fillId="0" borderId="58" xfId="0" applyFont="1" applyBorder="1"/>
    <xf numFmtId="0" fontId="14" fillId="0" borderId="5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/>
    </xf>
    <xf numFmtId="0" fontId="4" fillId="0" borderId="53" xfId="0" applyFont="1" applyBorder="1"/>
    <xf numFmtId="1" fontId="6" fillId="0" borderId="9" xfId="0" applyNumberFormat="1" applyFont="1" applyBorder="1" applyAlignment="1">
      <alignment horizontal="center" vertical="center"/>
    </xf>
    <xf numFmtId="1" fontId="18" fillId="3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0</xdr:row>
      <xdr:rowOff>38100</xdr:rowOff>
    </xdr:from>
    <xdr:ext cx="790575" cy="638175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28575</xdr:rowOff>
    </xdr:from>
    <xdr:ext cx="1428750" cy="466725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828675" cy="7524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0</xdr:row>
      <xdr:rowOff>66675</xdr:rowOff>
    </xdr:from>
    <xdr:ext cx="1743075" cy="561975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0</xdr:row>
      <xdr:rowOff>95250</xdr:rowOff>
    </xdr:from>
    <xdr:ext cx="885825" cy="7239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285750</xdr:colOff>
      <xdr:row>0</xdr:row>
      <xdr:rowOff>123825</xdr:rowOff>
    </xdr:from>
    <xdr:ext cx="2038350" cy="657225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1419225</xdr:colOff>
      <xdr:row>0</xdr:row>
      <xdr:rowOff>57150</xdr:rowOff>
    </xdr:from>
    <xdr:ext cx="1781175" cy="5715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0</xdr:row>
      <xdr:rowOff>66675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66675"/>
          <a:ext cx="5524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1390650</xdr:colOff>
      <xdr:row>0</xdr:row>
      <xdr:rowOff>47625</xdr:rowOff>
    </xdr:from>
    <xdr:ext cx="1704975" cy="581025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1381125</xdr:colOff>
      <xdr:row>0</xdr:row>
      <xdr:rowOff>95250</xdr:rowOff>
    </xdr:from>
    <xdr:ext cx="1781175" cy="5715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1381125</xdr:colOff>
      <xdr:row>0</xdr:row>
      <xdr:rowOff>9525</xdr:rowOff>
    </xdr:from>
    <xdr:ext cx="1781175" cy="5715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1419225</xdr:colOff>
      <xdr:row>0</xdr:row>
      <xdr:rowOff>9525</xdr:rowOff>
    </xdr:from>
    <xdr:ext cx="1781175" cy="5715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4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1400175</xdr:colOff>
      <xdr:row>0</xdr:row>
      <xdr:rowOff>9525</xdr:rowOff>
    </xdr:from>
    <xdr:ext cx="1781175" cy="571500"/>
    <xdr:pic>
      <xdr:nvPicPr>
        <xdr:cNvPr id="5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0</xdr:row>
      <xdr:rowOff>47625</xdr:rowOff>
    </xdr:from>
    <xdr:ext cx="781050" cy="7143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47625"/>
          <a:ext cx="7810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1514475</xdr:colOff>
      <xdr:row>0</xdr:row>
      <xdr:rowOff>66675</xdr:rowOff>
    </xdr:from>
    <xdr:ext cx="1628775" cy="523875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selection sqref="A1:G1"/>
    </sheetView>
  </sheetViews>
  <sheetFormatPr defaultColWidth="12.5703125" defaultRowHeight="15" customHeight="1" x14ac:dyDescent="0.2"/>
  <cols>
    <col min="1" max="1" width="13.5703125" customWidth="1"/>
    <col min="2" max="7" width="24.140625" customWidth="1"/>
    <col min="8" max="26" width="8" customWidth="1"/>
  </cols>
  <sheetData>
    <row r="1" spans="1:26" ht="23.25" customHeight="1" x14ac:dyDescent="0.35">
      <c r="A1" s="130" t="s">
        <v>0</v>
      </c>
      <c r="B1" s="131"/>
      <c r="C1" s="131"/>
      <c r="D1" s="131"/>
      <c r="E1" s="131"/>
      <c r="F1" s="131"/>
      <c r="G1" s="13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25">
      <c r="A2" s="132" t="s">
        <v>1</v>
      </c>
      <c r="B2" s="133"/>
      <c r="C2" s="133"/>
      <c r="D2" s="133"/>
      <c r="E2" s="133"/>
      <c r="F2" s="133"/>
      <c r="G2" s="133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/>
      <c r="B3" s="4" t="s">
        <v>2</v>
      </c>
      <c r="C3" s="5" t="s">
        <v>3</v>
      </c>
      <c r="D3" s="6" t="s">
        <v>4</v>
      </c>
      <c r="E3" s="7" t="s">
        <v>5</v>
      </c>
      <c r="F3" s="7" t="s">
        <v>6</v>
      </c>
      <c r="G3" s="5" t="s">
        <v>7</v>
      </c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8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" customHeight="1" x14ac:dyDescent="0.25">
      <c r="A5" s="134"/>
      <c r="B5" s="125"/>
      <c r="C5" s="125"/>
      <c r="D5" s="125"/>
      <c r="E5" s="125"/>
      <c r="F5" s="125"/>
      <c r="G5" s="13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136" t="s">
        <v>15</v>
      </c>
      <c r="B6" s="125"/>
      <c r="C6" s="125"/>
      <c r="D6" s="125"/>
      <c r="E6" s="125"/>
      <c r="F6" s="125"/>
      <c r="G6" s="13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 x14ac:dyDescent="0.25">
      <c r="A7" s="10" t="s">
        <v>16</v>
      </c>
      <c r="B7" s="11" t="s">
        <v>17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25">
      <c r="A8" s="10" t="s">
        <v>23</v>
      </c>
      <c r="B8" s="11" t="s">
        <v>24</v>
      </c>
      <c r="C8" s="11" t="s">
        <v>25</v>
      </c>
      <c r="D8" s="11" t="s">
        <v>26</v>
      </c>
      <c r="E8" s="11" t="s">
        <v>27</v>
      </c>
      <c r="F8" s="11" t="s">
        <v>28</v>
      </c>
      <c r="G8" s="11" t="s">
        <v>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25">
      <c r="A9" s="10" t="s">
        <v>30</v>
      </c>
      <c r="B9" s="11" t="s">
        <v>31</v>
      </c>
      <c r="C9" s="11" t="s">
        <v>32</v>
      </c>
      <c r="D9" s="11" t="s">
        <v>33</v>
      </c>
      <c r="E9" s="11" t="s">
        <v>34</v>
      </c>
      <c r="F9" s="11" t="s">
        <v>35</v>
      </c>
      <c r="G9" s="11" t="s">
        <v>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" customHeight="1" x14ac:dyDescent="0.25">
      <c r="A10" s="137"/>
      <c r="B10" s="125"/>
      <c r="C10" s="125"/>
      <c r="D10" s="125"/>
      <c r="E10" s="125"/>
      <c r="F10" s="125"/>
      <c r="G10" s="12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25">
      <c r="A11" s="10" t="s">
        <v>37</v>
      </c>
      <c r="B11" s="11" t="s">
        <v>38</v>
      </c>
      <c r="C11" s="11" t="s">
        <v>39</v>
      </c>
      <c r="D11" s="11" t="s">
        <v>40</v>
      </c>
      <c r="E11" s="11" t="s">
        <v>41</v>
      </c>
      <c r="F11" s="11" t="s">
        <v>42</v>
      </c>
      <c r="G11" s="11" t="s">
        <v>43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25">
      <c r="A12" s="10" t="s">
        <v>44</v>
      </c>
      <c r="B12" s="11" t="s">
        <v>45</v>
      </c>
      <c r="C12" s="11" t="s">
        <v>46</v>
      </c>
      <c r="D12" s="11" t="s">
        <v>47</v>
      </c>
      <c r="E12" s="11" t="s">
        <v>48</v>
      </c>
      <c r="F12" s="11" t="s">
        <v>49</v>
      </c>
      <c r="G12" s="11" t="s">
        <v>50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25" customHeight="1" x14ac:dyDescent="0.25">
      <c r="A13" s="10" t="s">
        <v>51</v>
      </c>
      <c r="B13" s="11" t="s">
        <v>52</v>
      </c>
      <c r="C13" s="11" t="s">
        <v>53</v>
      </c>
      <c r="D13" s="11" t="s">
        <v>54</v>
      </c>
      <c r="E13" s="11" t="s">
        <v>55</v>
      </c>
      <c r="F13" s="11" t="s">
        <v>56</v>
      </c>
      <c r="G13" s="11" t="s">
        <v>57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" customHeight="1" x14ac:dyDescent="0.25">
      <c r="A14" s="137"/>
      <c r="B14" s="125"/>
      <c r="C14" s="125"/>
      <c r="D14" s="125"/>
      <c r="E14" s="125"/>
      <c r="F14" s="125"/>
      <c r="G14" s="1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25">
      <c r="A15" s="10" t="s">
        <v>58</v>
      </c>
      <c r="B15" s="11" t="s">
        <v>59</v>
      </c>
      <c r="C15" s="11" t="s">
        <v>60</v>
      </c>
      <c r="D15" s="11" t="s">
        <v>61</v>
      </c>
      <c r="E15" s="12" t="s">
        <v>12</v>
      </c>
      <c r="F15" s="11" t="s">
        <v>62</v>
      </c>
      <c r="G15" s="11" t="s">
        <v>63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10" t="s">
        <v>64</v>
      </c>
      <c r="B16" s="11" t="s">
        <v>65</v>
      </c>
      <c r="C16" s="11" t="s">
        <v>66</v>
      </c>
      <c r="D16" s="11" t="s">
        <v>67</v>
      </c>
      <c r="E16" s="11" t="s">
        <v>68</v>
      </c>
      <c r="F16" s="11" t="s">
        <v>69</v>
      </c>
      <c r="G16" s="11" t="s">
        <v>70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25">
      <c r="A17" s="10" t="s">
        <v>71</v>
      </c>
      <c r="B17" s="11" t="s">
        <v>72</v>
      </c>
      <c r="C17" s="13" t="s">
        <v>73</v>
      </c>
      <c r="D17" s="13" t="s">
        <v>74</v>
      </c>
      <c r="E17" s="13" t="s">
        <v>75</v>
      </c>
      <c r="F17" s="13" t="s">
        <v>76</v>
      </c>
      <c r="G17" s="13" t="s">
        <v>77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25">
      <c r="A18" s="10" t="s">
        <v>78</v>
      </c>
      <c r="B18" s="11" t="s">
        <v>79</v>
      </c>
      <c r="C18" s="11" t="s">
        <v>80</v>
      </c>
      <c r="D18" s="12" t="s">
        <v>11</v>
      </c>
      <c r="E18" s="11" t="s">
        <v>81</v>
      </c>
      <c r="F18" s="12" t="s">
        <v>13</v>
      </c>
      <c r="G18" s="11" t="s">
        <v>82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" customHeight="1" x14ac:dyDescent="0.25">
      <c r="A19" s="14"/>
      <c r="B19" s="15"/>
      <c r="C19" s="15"/>
      <c r="D19" s="16"/>
      <c r="E19" s="16"/>
      <c r="F19" s="16"/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25">
      <c r="A20" s="10" t="s">
        <v>83</v>
      </c>
      <c r="B20" s="11" t="s">
        <v>84</v>
      </c>
      <c r="C20" s="11" t="s">
        <v>85</v>
      </c>
      <c r="D20" s="11" t="s">
        <v>86</v>
      </c>
      <c r="E20" s="11" t="s">
        <v>87</v>
      </c>
      <c r="F20" s="11" t="s">
        <v>88</v>
      </c>
      <c r="G20" s="11" t="s">
        <v>89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25">
      <c r="A21" s="10" t="s">
        <v>90</v>
      </c>
      <c r="B21" s="11" t="s">
        <v>91</v>
      </c>
      <c r="C21" s="11" t="s">
        <v>92</v>
      </c>
      <c r="D21" s="11" t="s">
        <v>93</v>
      </c>
      <c r="E21" s="11" t="s">
        <v>94</v>
      </c>
      <c r="F21" s="11" t="s">
        <v>95</v>
      </c>
      <c r="G21" s="11" t="s">
        <v>96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25">
      <c r="A22" s="10" t="s">
        <v>97</v>
      </c>
      <c r="B22" s="11" t="s">
        <v>98</v>
      </c>
      <c r="C22" s="11" t="s">
        <v>99</v>
      </c>
      <c r="D22" s="11" t="s">
        <v>100</v>
      </c>
      <c r="E22" s="11" t="s">
        <v>101</v>
      </c>
      <c r="F22" s="11" t="s">
        <v>102</v>
      </c>
      <c r="G22" s="11" t="s">
        <v>103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" customHeight="1" x14ac:dyDescent="0.25">
      <c r="A23" s="18"/>
      <c r="B23" s="15"/>
      <c r="C23" s="15"/>
      <c r="D23" s="16"/>
      <c r="E23" s="19"/>
      <c r="F23" s="16"/>
      <c r="G23" s="1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138" t="s">
        <v>104</v>
      </c>
      <c r="B24" s="125"/>
      <c r="C24" s="125"/>
      <c r="D24" s="125"/>
      <c r="E24" s="125"/>
      <c r="F24" s="125"/>
      <c r="G24" s="12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 x14ac:dyDescent="0.25">
      <c r="A25" s="10" t="s">
        <v>16</v>
      </c>
      <c r="B25" s="11" t="s">
        <v>105</v>
      </c>
      <c r="C25" s="11" t="s">
        <v>106</v>
      </c>
      <c r="D25" s="11" t="s">
        <v>107</v>
      </c>
      <c r="E25" s="11" t="s">
        <v>108</v>
      </c>
      <c r="F25" s="11" t="s">
        <v>109</v>
      </c>
      <c r="G25" s="11" t="s">
        <v>110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25">
      <c r="A26" s="10" t="s">
        <v>23</v>
      </c>
      <c r="B26" s="11" t="s">
        <v>111</v>
      </c>
      <c r="C26" s="11" t="s">
        <v>112</v>
      </c>
      <c r="D26" s="11" t="s">
        <v>113</v>
      </c>
      <c r="E26" s="11" t="s">
        <v>114</v>
      </c>
      <c r="F26" s="11" t="s">
        <v>115</v>
      </c>
      <c r="G26" s="11" t="s">
        <v>116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 x14ac:dyDescent="0.25">
      <c r="A27" s="10" t="s">
        <v>30</v>
      </c>
      <c r="B27" s="20" t="s">
        <v>117</v>
      </c>
      <c r="C27" s="11" t="s">
        <v>118</v>
      </c>
      <c r="D27" s="11" t="s">
        <v>119</v>
      </c>
      <c r="E27" s="11" t="s">
        <v>120</v>
      </c>
      <c r="F27" s="11" t="s">
        <v>121</v>
      </c>
      <c r="G27" s="11" t="s">
        <v>122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" customHeight="1" x14ac:dyDescent="0.25">
      <c r="A28" s="124"/>
      <c r="B28" s="125"/>
      <c r="C28" s="125"/>
      <c r="D28" s="125"/>
      <c r="E28" s="125"/>
      <c r="F28" s="125"/>
      <c r="G28" s="1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 x14ac:dyDescent="0.25">
      <c r="A29" s="10" t="s">
        <v>37</v>
      </c>
      <c r="B29" s="11" t="s">
        <v>123</v>
      </c>
      <c r="C29" s="11" t="s">
        <v>124</v>
      </c>
      <c r="D29" s="11" t="s">
        <v>125</v>
      </c>
      <c r="E29" s="11" t="s">
        <v>126</v>
      </c>
      <c r="F29" s="11" t="s">
        <v>127</v>
      </c>
      <c r="G29" s="12" t="s">
        <v>14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25">
      <c r="A30" s="10" t="s">
        <v>44</v>
      </c>
      <c r="B30" s="11" t="s">
        <v>128</v>
      </c>
      <c r="C30" s="11" t="s">
        <v>129</v>
      </c>
      <c r="D30" s="11" t="s">
        <v>130</v>
      </c>
      <c r="E30" s="11" t="s">
        <v>131</v>
      </c>
      <c r="F30" s="11" t="s">
        <v>132</v>
      </c>
      <c r="G30" s="11" t="s">
        <v>133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25">
      <c r="A31" s="10" t="s">
        <v>51</v>
      </c>
      <c r="B31" s="11" t="s">
        <v>134</v>
      </c>
      <c r="C31" s="12" t="s">
        <v>10</v>
      </c>
      <c r="D31" s="11" t="s">
        <v>135</v>
      </c>
      <c r="E31" s="11" t="s">
        <v>136</v>
      </c>
      <c r="F31" s="11" t="s">
        <v>137</v>
      </c>
      <c r="G31" s="11" t="s">
        <v>138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25">
      <c r="A32" s="10" t="s">
        <v>139</v>
      </c>
      <c r="B32" s="11" t="s">
        <v>140</v>
      </c>
      <c r="C32" s="11" t="s">
        <v>141</v>
      </c>
      <c r="D32" s="11" t="s">
        <v>142</v>
      </c>
      <c r="E32" s="11" t="s">
        <v>143</v>
      </c>
      <c r="F32" s="11" t="s">
        <v>144</v>
      </c>
      <c r="G32" s="11" t="s">
        <v>145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" customHeight="1" x14ac:dyDescent="0.25">
      <c r="A33" s="124"/>
      <c r="B33" s="125"/>
      <c r="C33" s="125"/>
      <c r="D33" s="125"/>
      <c r="E33" s="125"/>
      <c r="F33" s="125"/>
      <c r="G33" s="12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25" customHeight="1" x14ac:dyDescent="0.25">
      <c r="A34" s="10" t="s">
        <v>58</v>
      </c>
      <c r="B34" s="11" t="s">
        <v>146</v>
      </c>
      <c r="C34" s="11" t="s">
        <v>147</v>
      </c>
      <c r="D34" s="11" t="s">
        <v>148</v>
      </c>
      <c r="E34" s="11" t="s">
        <v>149</v>
      </c>
      <c r="F34" s="11" t="s">
        <v>150</v>
      </c>
      <c r="G34" s="11" t="s">
        <v>151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 x14ac:dyDescent="0.25">
      <c r="A35" s="10" t="s">
        <v>64</v>
      </c>
      <c r="B35" s="11" t="s">
        <v>152</v>
      </c>
      <c r="C35" s="11" t="s">
        <v>153</v>
      </c>
      <c r="D35" s="11" t="s">
        <v>154</v>
      </c>
      <c r="E35" s="11" t="s">
        <v>155</v>
      </c>
      <c r="F35" s="11" t="s">
        <v>156</v>
      </c>
      <c r="G35" s="11" t="s">
        <v>157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25" customHeight="1" x14ac:dyDescent="0.25">
      <c r="A36" s="10" t="s">
        <v>71</v>
      </c>
      <c r="B36" s="11" t="s">
        <v>158</v>
      </c>
      <c r="C36" s="11" t="s">
        <v>159</v>
      </c>
      <c r="D36" s="11" t="s">
        <v>160</v>
      </c>
      <c r="E36" s="11" t="s">
        <v>161</v>
      </c>
      <c r="F36" s="11" t="s">
        <v>162</v>
      </c>
      <c r="G36" s="11" t="s">
        <v>163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" customHeight="1" x14ac:dyDescent="0.25">
      <c r="A37" s="127"/>
      <c r="B37" s="128"/>
      <c r="C37" s="128"/>
      <c r="D37" s="128"/>
      <c r="E37" s="128"/>
      <c r="F37" s="128"/>
      <c r="G37" s="12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28:G28"/>
    <mergeCell ref="A33:G33"/>
    <mergeCell ref="A37:G37"/>
    <mergeCell ref="A1:G1"/>
    <mergeCell ref="A2:G2"/>
    <mergeCell ref="A5:G5"/>
    <mergeCell ref="A6:G6"/>
    <mergeCell ref="A10:G10"/>
    <mergeCell ref="A14:G14"/>
    <mergeCell ref="A24:G24"/>
  </mergeCells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2"/>
  <sheetViews>
    <sheetView workbookViewId="0"/>
  </sheetViews>
  <sheetFormatPr defaultColWidth="12.5703125" defaultRowHeight="15" customHeight="1" x14ac:dyDescent="0.2"/>
  <cols>
    <col min="1" max="1" width="6.85546875" customWidth="1"/>
    <col min="2" max="2" width="28.5703125" customWidth="1"/>
    <col min="3" max="8" width="6.5703125" customWidth="1"/>
    <col min="9" max="9" width="7" customWidth="1"/>
    <col min="10" max="10" width="31.5703125" customWidth="1"/>
    <col min="11" max="16" width="6.5703125" customWidth="1"/>
    <col min="17" max="29" width="8" customWidth="1"/>
  </cols>
  <sheetData>
    <row r="1" spans="1:29" ht="12.75" customHeight="1" x14ac:dyDescent="0.2"/>
    <row r="2" spans="1:29" ht="23.25" customHeight="1" x14ac:dyDescent="0.35">
      <c r="A2" s="130" t="s">
        <v>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9.5" customHeight="1" x14ac:dyDescent="0.2">
      <c r="A3" s="139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2.75" customHeight="1" x14ac:dyDescent="0.2"/>
    <row r="5" spans="1:29" ht="12.75" customHeight="1" x14ac:dyDescent="0.2">
      <c r="A5" s="23"/>
      <c r="B5" s="24" t="s">
        <v>164</v>
      </c>
      <c r="C5" s="25">
        <v>1</v>
      </c>
      <c r="D5" s="25">
        <v>2</v>
      </c>
      <c r="E5" s="25">
        <v>3</v>
      </c>
      <c r="F5" s="25">
        <v>4</v>
      </c>
      <c r="G5" s="25">
        <v>5</v>
      </c>
      <c r="H5" s="25" t="s">
        <v>165</v>
      </c>
      <c r="I5" s="26"/>
      <c r="J5" s="24" t="s">
        <v>164</v>
      </c>
      <c r="K5" s="25">
        <v>1</v>
      </c>
      <c r="L5" s="25">
        <v>2</v>
      </c>
      <c r="M5" s="25">
        <v>3</v>
      </c>
      <c r="N5" s="25">
        <v>4</v>
      </c>
      <c r="O5" s="25">
        <v>5</v>
      </c>
      <c r="P5" s="25" t="s">
        <v>165</v>
      </c>
    </row>
    <row r="6" spans="1:29" ht="18" customHeight="1" x14ac:dyDescent="0.25">
      <c r="A6" s="27" t="s">
        <v>2</v>
      </c>
      <c r="B6" s="28" t="str">
        <f>'Team Selection'!B4</f>
        <v>Grace Barbara</v>
      </c>
      <c r="C6" s="29"/>
      <c r="D6" s="29"/>
      <c r="E6" s="29"/>
      <c r="F6" s="29"/>
      <c r="G6" s="29"/>
      <c r="H6" s="30"/>
      <c r="I6" s="27" t="s">
        <v>3</v>
      </c>
      <c r="J6" s="31" t="str">
        <f>'Team Selection'!C4</f>
        <v>Francesca Sciortino</v>
      </c>
      <c r="K6" s="29"/>
      <c r="L6" s="29"/>
      <c r="M6" s="29"/>
      <c r="N6" s="29"/>
      <c r="O6" s="29"/>
      <c r="P6" s="32"/>
    </row>
    <row r="7" spans="1:29" ht="18" customHeight="1" x14ac:dyDescent="0.2">
      <c r="A7" s="33" t="s">
        <v>16</v>
      </c>
      <c r="B7" s="34" t="str">
        <f>'Team Selection'!B7</f>
        <v>Marc Vella Bonnici</v>
      </c>
      <c r="C7" s="29">
        <f t="array" ref="C7">IF(OR('Day 1'!$C$6:$K$113='Encounters played'!B7),1,"")</f>
        <v>1</v>
      </c>
      <c r="D7" s="29">
        <f t="array" ref="D7">IF(OR('Day 2'!$C$6:$K$113='Encounters played'!B7),1,"")</f>
        <v>1</v>
      </c>
      <c r="E7" s="29">
        <f t="array" ref="E7">IF(OR('Day 3'!$C$6:$K$113='Encounters played'!B7),1,"")</f>
        <v>1</v>
      </c>
      <c r="F7" s="29" t="str">
        <f t="array" ref="F7">IF(OR('Day 4'!$C$6:$K$113='Encounters played'!B7),1,"")</f>
        <v/>
      </c>
      <c r="G7" s="29">
        <f t="array" ref="G7">IF(OR('Day 5'!$C$6:$K$113='Encounters played'!B7),1,"")</f>
        <v>1</v>
      </c>
      <c r="H7" s="35">
        <f t="shared" ref="H7:H19" si="0">SUM(C7:G7)</f>
        <v>4</v>
      </c>
      <c r="I7" s="33" t="s">
        <v>16</v>
      </c>
      <c r="J7" s="36" t="str">
        <f>'Team Selection'!C7</f>
        <v>Matthew Mifsud</v>
      </c>
      <c r="K7" s="29">
        <f t="array" ref="K7">IF(OR('Day 1'!$C$6:$K$113='Encounters played'!J7),1,"")</f>
        <v>1</v>
      </c>
      <c r="L7" s="29">
        <f t="array" ref="L7">IF(OR('Day 2'!$C$6:$K$113='Encounters played'!J7),1,"")</f>
        <v>1</v>
      </c>
      <c r="M7" s="29">
        <f t="array" ref="M7">IF(OR('Day 3'!$C$6:$K$113='Encounters played'!J7),1,"")</f>
        <v>1</v>
      </c>
      <c r="N7" s="29" t="str">
        <f t="array" ref="N7">IF(OR('Day 4'!$C$6:$K$113='Encounters played'!J7),1,"")</f>
        <v/>
      </c>
      <c r="O7" s="29">
        <f t="array" ref="O7">IF(OR('Day 5'!$C$6:$K$113='Encounters played'!J7),1,"")</f>
        <v>1</v>
      </c>
      <c r="P7" s="35">
        <f t="shared" ref="P7:P19" si="1">SUM(K7:O7)</f>
        <v>4</v>
      </c>
    </row>
    <row r="8" spans="1:29" ht="18" customHeight="1" x14ac:dyDescent="0.2">
      <c r="A8" s="33" t="s">
        <v>23</v>
      </c>
      <c r="B8" s="36" t="str">
        <f>'Team Selection'!B8</f>
        <v>Eric Roca</v>
      </c>
      <c r="C8" s="29">
        <f t="array" ref="C8">IF(OR('Day 1'!$C$6:$K$113='Encounters played'!B8),1,"")</f>
        <v>1</v>
      </c>
      <c r="D8" s="29" t="str">
        <f t="array" ref="D8">IF(OR('Day 2'!$C$6:$K$113='Encounters played'!B8),1,"")</f>
        <v/>
      </c>
      <c r="E8" s="29" t="str">
        <f t="array" ref="E8">IF(OR('Day 3'!$C$6:$K$113='Encounters played'!B8),1,"")</f>
        <v/>
      </c>
      <c r="F8" s="29">
        <f t="array" ref="F8">IF(OR('Day 4'!$C$6:$K$113='Encounters played'!B8),1,"")</f>
        <v>1</v>
      </c>
      <c r="G8" s="29">
        <f t="array" ref="G8">IF(OR('Day 5'!$C$6:$K$113='Encounters played'!B8),1,"")</f>
        <v>1</v>
      </c>
      <c r="H8" s="35">
        <f t="shared" si="0"/>
        <v>3</v>
      </c>
      <c r="I8" s="33" t="s">
        <v>23</v>
      </c>
      <c r="J8" s="36" t="str">
        <f>'Team Selection'!C8</f>
        <v>Melchior Farrugia</v>
      </c>
      <c r="K8" s="29">
        <f t="array" ref="K8">IF(OR('Day 1'!$C$6:$K$113='Encounters played'!J8),1,"")</f>
        <v>1</v>
      </c>
      <c r="L8" s="29" t="str">
        <f t="array" ref="L8">IF(OR('Day 2'!$C$6:$K$113='Encounters played'!J8),1,"")</f>
        <v/>
      </c>
      <c r="M8" s="29" t="str">
        <f t="array" ref="M8">IF(OR('Day 3'!$C$6:$K$113='Encounters played'!J8),1,"")</f>
        <v/>
      </c>
      <c r="N8" s="29">
        <f t="array" ref="N8">IF(OR('Day 4'!$C$6:$K$113='Encounters played'!J8),1,"")</f>
        <v>1</v>
      </c>
      <c r="O8" s="29">
        <f t="array" ref="O8">IF(OR('Day 5'!$C$6:$K$113='Encounters played'!J8),1,"")</f>
        <v>1</v>
      </c>
      <c r="P8" s="35">
        <f t="shared" si="1"/>
        <v>3</v>
      </c>
    </row>
    <row r="9" spans="1:29" ht="18" customHeight="1" x14ac:dyDescent="0.2">
      <c r="A9" s="33" t="s">
        <v>30</v>
      </c>
      <c r="B9" s="36" t="str">
        <f>'Team Selection'!B9</f>
        <v>Keith Micallef</v>
      </c>
      <c r="C9" s="29" t="str">
        <f t="array" ref="C9">IF(OR('Day 1'!$C$6:$K$113='Encounters played'!B9),1,"")</f>
        <v/>
      </c>
      <c r="D9" s="29">
        <f t="array" ref="D9">IF(OR('Day 2'!$C$6:$K$113='Encounters played'!B9),1,"")</f>
        <v>1</v>
      </c>
      <c r="E9" s="29">
        <f t="array" ref="E9">IF(OR('Day 3'!$C$6:$K$113='Encounters played'!B9),1,"")</f>
        <v>1</v>
      </c>
      <c r="F9" s="29">
        <f t="array" ref="F9">IF(OR('Day 4'!$C$6:$K$113='Encounters played'!B9),1,"")</f>
        <v>1</v>
      </c>
      <c r="G9" s="29" t="str">
        <f t="array" ref="G9">IF(OR('Day 5'!$C$6:$K$113='Encounters played'!B9),1,"")</f>
        <v/>
      </c>
      <c r="H9" s="35">
        <f t="shared" si="0"/>
        <v>3</v>
      </c>
      <c r="I9" s="33" t="s">
        <v>30</v>
      </c>
      <c r="J9" s="36" t="str">
        <f>'Team Selection'!C9</f>
        <v>Nikolai Belli</v>
      </c>
      <c r="K9" s="29" t="str">
        <f t="array" ref="K9">IF(OR('Day 1'!$C$6:$K$113='Encounters played'!J9),1,"")</f>
        <v/>
      </c>
      <c r="L9" s="29">
        <f t="array" ref="L9">IF(OR('Day 2'!$C$6:$K$113='Encounters played'!J9),1,"")</f>
        <v>1</v>
      </c>
      <c r="M9" s="29">
        <f t="array" ref="M9">IF(OR('Day 3'!$C$6:$K$113='Encounters played'!J9),1,"")</f>
        <v>1</v>
      </c>
      <c r="N9" s="29">
        <f t="array" ref="N9">IF(OR('Day 4'!$C$6:$K$113='Encounters played'!J9),1,"")</f>
        <v>1</v>
      </c>
      <c r="O9" s="29" t="str">
        <f t="array" ref="O9">IF(OR('Day 5'!$C$6:$K$113='Encounters played'!J9),1,"")</f>
        <v/>
      </c>
      <c r="P9" s="35">
        <f t="shared" si="1"/>
        <v>3</v>
      </c>
    </row>
    <row r="10" spans="1:29" ht="18" customHeight="1" x14ac:dyDescent="0.2">
      <c r="A10" s="33" t="s">
        <v>37</v>
      </c>
      <c r="B10" s="36" t="str">
        <f>'Team Selection'!B11</f>
        <v>David Schembri</v>
      </c>
      <c r="C10" s="29">
        <f t="array" ref="C10">IF(OR('Day 1'!$C$6:$K$113='Encounters played'!B10),1,"")</f>
        <v>1</v>
      </c>
      <c r="D10" s="29">
        <f t="array" ref="D10">IF(OR('Day 2'!$C$6:$K$113='Encounters played'!B10),1,"")</f>
        <v>1</v>
      </c>
      <c r="E10" s="29" t="str">
        <f t="array" ref="E10">IF(OR('Day 3'!$C$6:$K$113='Encounters played'!B10),1,"")</f>
        <v/>
      </c>
      <c r="F10" s="29">
        <f t="array" ref="F10">IF(OR('Day 4'!$C$6:$K$113='Encounters played'!B10),1,"")</f>
        <v>1</v>
      </c>
      <c r="G10" s="29">
        <f t="array" ref="G10">IF(OR('Day 5'!$C$6:$K$113='Encounters played'!B10),1,"")</f>
        <v>1</v>
      </c>
      <c r="H10" s="35">
        <f t="shared" si="0"/>
        <v>4</v>
      </c>
      <c r="I10" s="33" t="s">
        <v>37</v>
      </c>
      <c r="J10" s="36" t="str">
        <f>'Team Selection'!C11</f>
        <v>Luigi Porto</v>
      </c>
      <c r="K10" s="29">
        <f t="array" ref="K10">IF(OR('Day 1'!$C$6:$K$113='Encounters played'!J10),1,"")</f>
        <v>1</v>
      </c>
      <c r="L10" s="29">
        <f t="array" ref="L10">IF(OR('Day 2'!$C$6:$K$113='Encounters played'!J10),1,"")</f>
        <v>1</v>
      </c>
      <c r="M10" s="29" t="str">
        <f t="array" ref="M10">IF(OR('Day 3'!$C$6:$K$113='Encounters played'!J10),1,"")</f>
        <v/>
      </c>
      <c r="N10" s="29">
        <f t="array" ref="N10">IF(OR('Day 4'!$C$6:$K$113='Encounters played'!J10),1,"")</f>
        <v>1</v>
      </c>
      <c r="O10" s="29">
        <f t="array" ref="O10">IF(OR('Day 5'!$C$6:$K$113='Encounters played'!J10),1,"")</f>
        <v>1</v>
      </c>
      <c r="P10" s="35">
        <f t="shared" si="1"/>
        <v>4</v>
      </c>
    </row>
    <row r="11" spans="1:29" ht="18" customHeight="1" x14ac:dyDescent="0.2">
      <c r="A11" s="33" t="s">
        <v>44</v>
      </c>
      <c r="B11" s="36" t="str">
        <f>'Team Selection'!B12</f>
        <v>George Grech</v>
      </c>
      <c r="C11" s="29" t="str">
        <f t="array" ref="C11">IF(OR('Day 1'!$C$6:$K$113='Encounters played'!B11),1,"")</f>
        <v/>
      </c>
      <c r="D11" s="29">
        <f t="array" ref="D11">IF(OR('Day 2'!$C$6:$K$113='Encounters played'!B11),1,"")</f>
        <v>1</v>
      </c>
      <c r="E11" s="29">
        <f t="array" ref="E11">IF(OR('Day 3'!$C$6:$K$113='Encounters played'!B11),1,"")</f>
        <v>1</v>
      </c>
      <c r="F11" s="29" t="str">
        <f t="array" ref="F11">IF(OR('Day 4'!$C$6:$K$113='Encounters played'!B11),1,"")</f>
        <v/>
      </c>
      <c r="G11" s="37">
        <v>1</v>
      </c>
      <c r="H11" s="35">
        <f t="shared" si="0"/>
        <v>3</v>
      </c>
      <c r="I11" s="33" t="s">
        <v>44</v>
      </c>
      <c r="J11" s="36" t="str">
        <f>'Team Selection'!C12</f>
        <v>Gio Marcos</v>
      </c>
      <c r="K11" s="29" t="str">
        <f t="array" ref="K11">IF(OR('Day 1'!$C$6:$K$113='Encounters played'!J11),1,"")</f>
        <v/>
      </c>
      <c r="L11" s="38">
        <v>1</v>
      </c>
      <c r="M11" s="38">
        <v>1</v>
      </c>
      <c r="N11" s="29">
        <f t="array" ref="N11">IF(OR('Day 4'!$C$6:$K$113='Encounters played'!J11),1,"")</f>
        <v>1</v>
      </c>
      <c r="O11" s="29" t="str">
        <f t="array" ref="O11">IF(OR('Day 5'!$C$6:$K$113='Encounters played'!J11),1,"")</f>
        <v/>
      </c>
      <c r="P11" s="35">
        <f t="shared" si="1"/>
        <v>3</v>
      </c>
    </row>
    <row r="12" spans="1:29" ht="18" customHeight="1" x14ac:dyDescent="0.2">
      <c r="A12" s="33" t="s">
        <v>51</v>
      </c>
      <c r="B12" s="36" t="str">
        <f>'Team Selection'!B13</f>
        <v>Roderick Spiteri</v>
      </c>
      <c r="C12" s="29">
        <f t="array" ref="C12">IF(OR('Day 1'!$C$6:$K$113='Encounters played'!B12),1,"")</f>
        <v>1</v>
      </c>
      <c r="D12" s="29" t="str">
        <f t="array" ref="D12">IF(OR('Day 2'!$C$6:$K$113='Encounters played'!B12),1,"")</f>
        <v/>
      </c>
      <c r="E12" s="29">
        <f t="array" ref="E12">IF(OR('Day 3'!$C$6:$K$113='Encounters played'!B12),1,"")</f>
        <v>1</v>
      </c>
      <c r="F12" s="29">
        <f t="array" ref="F12">IF(OR('Day 4'!$C$6:$K$113='Encounters played'!B12),1,"")</f>
        <v>1</v>
      </c>
      <c r="G12" s="29" t="str">
        <f t="array" ref="G12">IF(OR('Day 5'!$C$6:$K$113='Encounters played'!B12),1,"")</f>
        <v/>
      </c>
      <c r="H12" s="35">
        <f t="shared" si="0"/>
        <v>3</v>
      </c>
      <c r="I12" s="33" t="s">
        <v>51</v>
      </c>
      <c r="J12" s="36" t="str">
        <f>'Team Selection'!C13</f>
        <v>Clint Agius</v>
      </c>
      <c r="K12" s="29">
        <f t="array" ref="K12">IF(OR('Day 1'!$C$6:$K$113='Encounters played'!J12),1,"")</f>
        <v>1</v>
      </c>
      <c r="L12" s="29" t="str">
        <f t="array" ref="L12">IF(OR('Day 2'!$C$6:$K$113='Encounters played'!J12),1,"")</f>
        <v/>
      </c>
      <c r="M12" s="29">
        <f t="array" ref="M12">IF(OR('Day 3'!$C$6:$K$113='Encounters played'!J12),1,"")</f>
        <v>1</v>
      </c>
      <c r="N12" s="29" t="str">
        <f t="array" ref="N12">IF(OR('Day 4'!$C$6:$K$113='Encounters played'!J12),1,"")</f>
        <v/>
      </c>
      <c r="O12" s="29">
        <f t="array" ref="O12">IF(OR('Day 5'!$C$6:$K$113='Encounters played'!J12),1,"")</f>
        <v>1</v>
      </c>
      <c r="P12" s="35">
        <f t="shared" si="1"/>
        <v>3</v>
      </c>
    </row>
    <row r="13" spans="1:29" ht="18" customHeight="1" x14ac:dyDescent="0.2">
      <c r="A13" s="33" t="s">
        <v>58</v>
      </c>
      <c r="B13" s="36" t="str">
        <f>'Team Selection'!B15</f>
        <v>Joe Carabott</v>
      </c>
      <c r="C13" s="29">
        <f t="array" ref="C13">IF(OR('Day 1'!$C$6:$K$113='Encounters played'!B13),1,"")</f>
        <v>1</v>
      </c>
      <c r="D13" s="29" t="str">
        <f t="array" ref="D13">IF(OR('Day 2'!$C$6:$K$113='Encounters played'!B13),1,"")</f>
        <v/>
      </c>
      <c r="E13" s="29">
        <f t="array" ref="E13">IF(OR('Day 3'!$C$6:$K$113='Encounters played'!B13),1,"")</f>
        <v>1</v>
      </c>
      <c r="F13" s="29">
        <f t="array" ref="F13">IF(OR('Day 4'!$C$6:$K$113='Encounters played'!B13),1,"")</f>
        <v>1</v>
      </c>
      <c r="G13" s="29">
        <f t="array" ref="G13">IF(OR('Day 5'!$C$6:$K$113='Encounters played'!B13),1,"")</f>
        <v>1</v>
      </c>
      <c r="H13" s="35">
        <f t="shared" si="0"/>
        <v>4</v>
      </c>
      <c r="I13" s="33" t="s">
        <v>58</v>
      </c>
      <c r="J13" s="36" t="str">
        <f>'Team Selection'!C15</f>
        <v>Gene Zammit</v>
      </c>
      <c r="K13" s="29">
        <f t="array" ref="K13">IF(OR('Day 1'!$C$6:$K$113='Encounters played'!J13),1,"")</f>
        <v>1</v>
      </c>
      <c r="L13" s="29">
        <f t="array" ref="L13">IF(OR('Day 2'!$C$6:$K$113='Encounters played'!J13),1,"")</f>
        <v>1</v>
      </c>
      <c r="M13" s="29">
        <f t="array" ref="M13">IF(OR('Day 3'!$C$6:$K$113='Encounters played'!J13),1,"")</f>
        <v>1</v>
      </c>
      <c r="N13" s="29" t="str">
        <f t="array" ref="N13">IF(OR('Day 4'!$C$6:$K$113='Encounters played'!J13),1,"")</f>
        <v/>
      </c>
      <c r="O13" s="29" t="str">
        <f t="array" ref="O13">IF(OR('Day 5'!$C$6:$K$113='Encounters played'!J13),1,"")</f>
        <v/>
      </c>
      <c r="P13" s="35">
        <f t="shared" si="1"/>
        <v>3</v>
      </c>
    </row>
    <row r="14" spans="1:29" ht="18" customHeight="1" x14ac:dyDescent="0.2">
      <c r="A14" s="33" t="s">
        <v>64</v>
      </c>
      <c r="B14" s="36" t="str">
        <f>'Team Selection'!B16</f>
        <v>Clive Silvio Borg</v>
      </c>
      <c r="C14" s="29">
        <f t="array" ref="C14">IF(OR('Day 1'!$C$6:$K$113='Encounters played'!B14),1,"")</f>
        <v>1</v>
      </c>
      <c r="D14" s="29">
        <f t="array" ref="D14">IF(OR('Day 2'!$C$6:$K$113='Encounters played'!B14),1,"")</f>
        <v>1</v>
      </c>
      <c r="E14" s="29" t="str">
        <f t="array" ref="E14">IF(OR('Day 3'!$C$6:$K$113='Encounters played'!B14),1,"")</f>
        <v/>
      </c>
      <c r="F14" s="29">
        <f t="array" ref="F14">IF(OR('Day 4'!$C$6:$K$113='Encounters played'!B14),1,"")</f>
        <v>1</v>
      </c>
      <c r="G14" s="29">
        <f t="array" ref="G14">IF(OR('Day 5'!$C$6:$K$113='Encounters played'!B14),1,"")</f>
        <v>1</v>
      </c>
      <c r="H14" s="35">
        <f t="shared" si="0"/>
        <v>4</v>
      </c>
      <c r="I14" s="33" t="s">
        <v>64</v>
      </c>
      <c r="J14" s="36" t="str">
        <f>'Team Selection'!C16</f>
        <v>Neville Sciriha</v>
      </c>
      <c r="K14" s="29">
        <f t="array" ref="K14">IF(OR('Day 1'!$C$6:$K$113='Encounters played'!J14),1,"")</f>
        <v>1</v>
      </c>
      <c r="L14" s="29">
        <f t="array" ref="L14">IF(OR('Day 2'!$C$6:$K$113='Encounters played'!J14),1,"")</f>
        <v>1</v>
      </c>
      <c r="M14" s="29" t="str">
        <f t="array" ref="M14">IF(OR('Day 3'!$C$6:$K$113='Encounters played'!J14),1,"")</f>
        <v/>
      </c>
      <c r="N14" s="29">
        <f t="array" ref="N14">IF(OR('Day 4'!$C$6:$K$113='Encounters played'!J14),1,"")</f>
        <v>1</v>
      </c>
      <c r="O14" s="29">
        <f t="array" ref="O14">IF(OR('Day 5'!$C$6:$K$113='Encounters played'!J14),1,"")</f>
        <v>1</v>
      </c>
      <c r="P14" s="35">
        <f t="shared" si="1"/>
        <v>4</v>
      </c>
    </row>
    <row r="15" spans="1:29" ht="18" customHeight="1" x14ac:dyDescent="0.2">
      <c r="A15" s="33" t="s">
        <v>71</v>
      </c>
      <c r="B15" s="36" t="str">
        <f>'Team Selection'!B17</f>
        <v>Ray Ciantar</v>
      </c>
      <c r="C15" s="29">
        <f t="array" ref="C15">IF(OR('Day 1'!$C$6:$K$113='Encounters played'!B15),1,"")</f>
        <v>1</v>
      </c>
      <c r="D15" s="29">
        <f t="array" ref="D15">IF(OR('Day 2'!$C$6:$K$113='Encounters played'!B15),1,"")</f>
        <v>1</v>
      </c>
      <c r="E15" s="29">
        <f t="array" ref="E15">IF(OR('Day 3'!$C$6:$K$113='Encounters played'!B15),1,"")</f>
        <v>1</v>
      </c>
      <c r="F15" s="29" t="str">
        <f t="array" ref="F15">IF(OR('Day 4'!$C$6:$K$113='Encounters played'!B15),1,"")</f>
        <v/>
      </c>
      <c r="G15" s="29">
        <f t="array" ref="G15">IF(OR('Day 5'!$C$6:$K$113='Encounters played'!B15),1,"")</f>
        <v>1</v>
      </c>
      <c r="H15" s="35">
        <f t="shared" si="0"/>
        <v>4</v>
      </c>
      <c r="I15" s="33" t="s">
        <v>71</v>
      </c>
      <c r="J15" s="36" t="str">
        <f>'Team Selection'!C17</f>
        <v>Alain Frendo</v>
      </c>
      <c r="K15" s="29" t="str">
        <f t="array" ref="K15">IF(OR('Day 1'!$C$6:$K$113='Encounters played'!J15),1,"")</f>
        <v/>
      </c>
      <c r="L15" s="29">
        <f t="array" ref="L15">IF(OR('Day 2'!$C$6:$K$113='Encounters played'!J15),1,"")</f>
        <v>1</v>
      </c>
      <c r="M15" s="29">
        <f t="array" ref="M15">IF(OR('Day 3'!$C$6:$K$113='Encounters played'!J15),1,"")</f>
        <v>1</v>
      </c>
      <c r="N15" s="29">
        <f t="array" ref="N15">IF(OR('Day 4'!$C$6:$K$113='Encounters played'!J15),1,"")</f>
        <v>1</v>
      </c>
      <c r="O15" s="29">
        <f t="array" ref="O15">IF(OR('Day 5'!$C$6:$K$113='Encounters played'!J15),1,"")</f>
        <v>1</v>
      </c>
      <c r="P15" s="35">
        <f t="shared" si="1"/>
        <v>4</v>
      </c>
    </row>
    <row r="16" spans="1:29" ht="18" customHeight="1" x14ac:dyDescent="0.2">
      <c r="A16" s="33" t="s">
        <v>78</v>
      </c>
      <c r="B16" s="36" t="str">
        <f>'Team Selection'!B18</f>
        <v>Jean Paul Vella</v>
      </c>
      <c r="C16" s="29" t="str">
        <f t="array" ref="C16">IF(OR('Day 1'!$C$6:$K$113='Encounters played'!B16),1,"")</f>
        <v/>
      </c>
      <c r="D16" s="29">
        <f t="array" ref="D16">IF(OR('Day 2'!$C$6:$K$113='Encounters played'!B16),1,"")</f>
        <v>1</v>
      </c>
      <c r="E16" s="29">
        <f t="array" ref="E16">IF(OR('Day 3'!$C$6:$K$113='Encounters played'!B16),1,"")</f>
        <v>1</v>
      </c>
      <c r="F16" s="29">
        <f t="array" ref="F16">IF(OR('Day 4'!$C$6:$K$113='Encounters played'!B16),1,"")</f>
        <v>1</v>
      </c>
      <c r="G16" s="29" t="str">
        <f t="array" ref="G16">IF(OR('Day 5'!$C$6:$K$113='Encounters played'!B16),1,"")</f>
        <v/>
      </c>
      <c r="H16" s="35">
        <f t="shared" si="0"/>
        <v>3</v>
      </c>
      <c r="I16" s="33" t="s">
        <v>78</v>
      </c>
      <c r="J16" s="36" t="str">
        <f>'Team Selection'!C18</f>
        <v>Aaron Micallef Piccione</v>
      </c>
      <c r="K16" s="38">
        <v>1</v>
      </c>
      <c r="L16" s="29" t="str">
        <f t="array" ref="L16">IF(OR('Day 2'!$C$6:$K$113='Encounters played'!J16),1,"")</f>
        <v/>
      </c>
      <c r="M16" s="38">
        <v>1</v>
      </c>
      <c r="N16" s="29">
        <f t="array" ref="N16">IF(OR('Day 4'!$C$6:$K$113='Encounters played'!J16),1,"")</f>
        <v>1</v>
      </c>
      <c r="O16" s="29">
        <f t="array" ref="O16">IF(OR('Day 5'!$C$6:$K$113='Encounters played'!J16),1,"")</f>
        <v>1</v>
      </c>
      <c r="P16" s="35">
        <f t="shared" si="1"/>
        <v>4</v>
      </c>
    </row>
    <row r="17" spans="1:18" ht="18" customHeight="1" x14ac:dyDescent="0.2">
      <c r="A17" s="33" t="s">
        <v>83</v>
      </c>
      <c r="B17" s="36" t="str">
        <f>'Team Selection'!B20</f>
        <v>Charles Micallef</v>
      </c>
      <c r="C17" s="29" t="str">
        <f t="array" ref="C17">IF(OR('Day 1'!$C$6:$K$113='Encounters played'!B17),1,"")</f>
        <v/>
      </c>
      <c r="D17" s="29">
        <f t="array" ref="D17">IF(OR('Day 2'!$C$6:$K$113='Encounters played'!B17),1,"")</f>
        <v>1</v>
      </c>
      <c r="E17" s="29">
        <f t="array" ref="E17">IF(OR('Day 3'!$C$6:$K$113='Encounters played'!B17),1,"")</f>
        <v>1</v>
      </c>
      <c r="F17" s="29">
        <f t="array" ref="F17">IF(OR('Day 4'!$C$6:$K$113='Encounters played'!B17),1,"")</f>
        <v>1</v>
      </c>
      <c r="G17" s="29">
        <f t="array" ref="G17">IF(OR('Day 5'!$C$6:$K$113='Encounters played'!B17),1,"")</f>
        <v>1</v>
      </c>
      <c r="H17" s="35">
        <f t="shared" si="0"/>
        <v>4</v>
      </c>
      <c r="I17" s="33" t="s">
        <v>83</v>
      </c>
      <c r="J17" s="36" t="str">
        <f>'Team Selection'!C20</f>
        <v>Matthew Schembri</v>
      </c>
      <c r="K17" s="29" t="str">
        <f t="array" ref="K17">IF(OR('Day 1'!$C$6:$K$113='Encounters played'!J17),1,"")</f>
        <v/>
      </c>
      <c r="L17" s="29">
        <f t="array" ref="L17">IF(OR('Day 2'!$C$6:$K$113='Encounters played'!J17),1,"")</f>
        <v>1</v>
      </c>
      <c r="M17" s="29">
        <f t="array" ref="M17">IF(OR('Day 3'!$C$6:$K$113='Encounters played'!J17),1,"")</f>
        <v>1</v>
      </c>
      <c r="N17" s="29">
        <f t="array" ref="N17">IF(OR('Day 4'!$C$6:$K$113='Encounters played'!J17),1,"")</f>
        <v>1</v>
      </c>
      <c r="O17" s="29">
        <f t="array" ref="O17">IF(OR('Day 5'!$C$6:$K$113='Encounters played'!J17),1,"")</f>
        <v>1</v>
      </c>
      <c r="P17" s="35">
        <f t="shared" si="1"/>
        <v>4</v>
      </c>
    </row>
    <row r="18" spans="1:18" ht="18" customHeight="1" x14ac:dyDescent="0.2">
      <c r="A18" s="33" t="s">
        <v>90</v>
      </c>
      <c r="B18" s="36" t="str">
        <f>'Team Selection'!B21</f>
        <v>David Camilleri</v>
      </c>
      <c r="C18" s="29">
        <f t="array" ref="C18">IF(OR('Day 1'!$C$6:$K$113='Encounters played'!B18),1,"")</f>
        <v>1</v>
      </c>
      <c r="D18" s="29">
        <f t="array" ref="D18">IF(OR('Day 2'!$C$6:$K$113='Encounters played'!B18),1,"")</f>
        <v>1</v>
      </c>
      <c r="E18" s="29" t="str">
        <f t="array" ref="E18">IF(OR('Day 3'!$C$6:$K$113='Encounters played'!B18),1,"")</f>
        <v/>
      </c>
      <c r="F18" s="29">
        <f t="array" ref="F18">IF(OR('Day 4'!$C$6:$K$113='Encounters played'!B18),1,"")</f>
        <v>1</v>
      </c>
      <c r="G18" s="29" t="str">
        <f t="array" ref="G18">IF(OR('Day 5'!$C$6:$K$113='Encounters played'!B18),1,"")</f>
        <v/>
      </c>
      <c r="H18" s="35">
        <f t="shared" si="0"/>
        <v>3</v>
      </c>
      <c r="I18" s="33" t="s">
        <v>90</v>
      </c>
      <c r="J18" s="36" t="str">
        <f>'Team Selection'!C21</f>
        <v>Conrad Treeby Ward</v>
      </c>
      <c r="K18" s="29">
        <f t="array" ref="K18">IF(OR('Day 1'!$C$6:$K$113='Encounters played'!J18),1,"")</f>
        <v>1</v>
      </c>
      <c r="L18" s="29">
        <f t="array" ref="L18">IF(OR('Day 2'!$C$6:$K$113='Encounters played'!J18),1,"")</f>
        <v>1</v>
      </c>
      <c r="M18" s="29" t="str">
        <f t="array" ref="M18">IF(OR('Day 3'!$C$6:$K$113='Encounters played'!J18),1,"")</f>
        <v/>
      </c>
      <c r="N18" s="29" t="str">
        <f t="array" ref="N18">IF(OR('Day 4'!$C$6:$K$113='Encounters played'!J18),1,"")</f>
        <v/>
      </c>
      <c r="O18" s="29">
        <f t="array" ref="O18">IF(OR('Day 5'!$C$6:$K$113='Encounters played'!J18),1,"")</f>
        <v>1</v>
      </c>
      <c r="P18" s="35">
        <f t="shared" si="1"/>
        <v>3</v>
      </c>
    </row>
    <row r="19" spans="1:18" ht="18" customHeight="1" x14ac:dyDescent="0.2">
      <c r="A19" s="33" t="s">
        <v>97</v>
      </c>
      <c r="B19" s="36" t="str">
        <f>'Team Selection'!B22</f>
        <v>Dorian Demanuele</v>
      </c>
      <c r="C19" s="29">
        <f t="array" ref="C19">IF(OR('Day 1'!$C$6:$K$113='Encounters played'!B19),1,"")</f>
        <v>1</v>
      </c>
      <c r="D19" s="29" t="str">
        <f t="array" ref="D19">IF(OR('Day 2'!$C$6:$K$113='Encounters played'!B19),1,"")</f>
        <v/>
      </c>
      <c r="E19" s="29">
        <f t="array" ref="E19">IF(OR('Day 3'!$C$6:$K$113='Encounters played'!B19),1,"")</f>
        <v>1</v>
      </c>
      <c r="F19" s="29" t="str">
        <f t="array" ref="F19">IF(OR('Day 4'!$C$6:$K$113='Encounters played'!B19),1,"")</f>
        <v/>
      </c>
      <c r="G19" s="29">
        <f t="array" ref="G19">IF(OR('Day 5'!$C$6:$K$113='Encounters played'!B19),1,"")</f>
        <v>1</v>
      </c>
      <c r="H19" s="35">
        <f t="shared" si="0"/>
        <v>3</v>
      </c>
      <c r="I19" s="33" t="s">
        <v>97</v>
      </c>
      <c r="J19" s="36" t="str">
        <f>'Team Selection'!C22</f>
        <v>Ralf Bahmuller</v>
      </c>
      <c r="K19" s="29">
        <f t="array" ref="K19">IF(OR('Day 1'!$C$6:$K$113='Encounters played'!J19),1,"")</f>
        <v>1</v>
      </c>
      <c r="L19" s="29" t="str">
        <f t="array" ref="L19">IF(OR('Day 2'!$C$6:$K$113='Encounters played'!J19),1,"")</f>
        <v/>
      </c>
      <c r="M19" s="29">
        <f t="array" ref="M19">IF(OR('Day 3'!$C$6:$K$113='Encounters played'!J19),1,"")</f>
        <v>1</v>
      </c>
      <c r="N19" s="29">
        <f t="array" ref="N19">IF(OR('Day 4'!$C$6:$K$113='Encounters played'!J19),1,"")</f>
        <v>1</v>
      </c>
      <c r="O19" s="29" t="str">
        <f t="array" ref="O19">IF(OR('Day 5'!$C$6:$K$113='Encounters played'!J19),1,"")</f>
        <v/>
      </c>
      <c r="P19" s="35">
        <f t="shared" si="1"/>
        <v>3</v>
      </c>
    </row>
    <row r="20" spans="1:18" ht="15" customHeight="1" x14ac:dyDescent="0.2">
      <c r="J20" s="39"/>
      <c r="P20" s="40"/>
    </row>
    <row r="21" spans="1:18" ht="18" customHeight="1" x14ac:dyDescent="0.2">
      <c r="A21" s="41" t="s">
        <v>16</v>
      </c>
      <c r="B21" s="36" t="str">
        <f>'Team Selection'!B25</f>
        <v>Sharon Mizzi</v>
      </c>
      <c r="C21" s="42">
        <f t="array" ref="C21">IF(OR('Day 1'!$C$6:$K$113='Encounters played'!B21),1,"")</f>
        <v>1</v>
      </c>
      <c r="D21" s="42">
        <f t="array" ref="D21">IF(OR('Day 2'!$C$6:$K$113='Encounters played'!B21),1,"")</f>
        <v>1</v>
      </c>
      <c r="E21" s="42">
        <f t="array" ref="E21">IF(OR('Day 3'!$C$6:$K$113='Encounters played'!B21),1,"")</f>
        <v>1</v>
      </c>
      <c r="F21" s="42" t="str">
        <f t="array" ref="F21">IF(OR('Day 4'!$C$6:$K$113='Encounters played'!B21),1,"")</f>
        <v/>
      </c>
      <c r="G21" s="42">
        <f t="array" ref="G21">IF(OR('Day 5'!$C$6:$K$113='Encounters played'!B21),1,"")</f>
        <v>1</v>
      </c>
      <c r="H21" s="35">
        <f t="shared" ref="H21:H30" si="2">SUM(C21:G21)</f>
        <v>4</v>
      </c>
      <c r="I21" s="41" t="s">
        <v>16</v>
      </c>
      <c r="J21" s="36" t="str">
        <f>'Team Selection'!C25</f>
        <v>Alexia Spiteri Willets</v>
      </c>
      <c r="K21" s="42">
        <f t="array" ref="K21">IF(OR('Day 1'!$C$6:$K$113='Encounters played'!J21),1,"")</f>
        <v>1</v>
      </c>
      <c r="L21" s="42">
        <f t="array" ref="L21">IF(OR('Day 2'!$C$6:$K$113='Encounters played'!J21),1,"")</f>
        <v>1</v>
      </c>
      <c r="M21" s="42">
        <f t="array" ref="M21">IF(OR('Day 3'!$C$6:$K$113='Encounters played'!J21),1,"")</f>
        <v>1</v>
      </c>
      <c r="N21" s="42" t="str">
        <f t="array" ref="N21">IF(OR('Day 4'!$C$6:$K$113='Encounters played'!J21),1,"")</f>
        <v/>
      </c>
      <c r="O21" s="42" t="str">
        <f t="array" ref="O21">IF(OR('Day 5'!$C$6:$K$113='Encounters played'!J21),1,"")</f>
        <v/>
      </c>
      <c r="P21" s="35">
        <f t="shared" ref="P21:P30" si="3">SUM(K21:O21)</f>
        <v>3</v>
      </c>
    </row>
    <row r="22" spans="1:18" ht="18" customHeight="1" x14ac:dyDescent="0.2">
      <c r="A22" s="41" t="s">
        <v>23</v>
      </c>
      <c r="B22" s="36" t="str">
        <f>'Team Selection'!B26</f>
        <v>Elaine Grech</v>
      </c>
      <c r="C22" s="42">
        <f t="array" ref="C22">IF(OR('Day 1'!$C$6:$K$113='Encounters played'!B22),1,"")</f>
        <v>1</v>
      </c>
      <c r="D22" s="42">
        <f t="array" ref="D22">IF(OR('Day 2'!$C$6:$K$113='Encounters played'!B22),1,"")</f>
        <v>1</v>
      </c>
      <c r="E22" s="42" t="str">
        <f t="array" ref="E22">IF(OR('Day 3'!$C$6:$K$113='Encounters played'!B22),1,"")</f>
        <v/>
      </c>
      <c r="F22" s="42">
        <f t="array" ref="F22">IF(OR('Day 4'!$C$6:$K$113='Encounters played'!B22),1,"")</f>
        <v>1</v>
      </c>
      <c r="G22" s="42" t="str">
        <f t="array" ref="G22">IF(OR('Day 5'!$C$6:$K$113='Encounters played'!B22),1,"")</f>
        <v/>
      </c>
      <c r="H22" s="35">
        <f t="shared" si="2"/>
        <v>3</v>
      </c>
      <c r="I22" s="41" t="s">
        <v>23</v>
      </c>
      <c r="J22" s="36" t="str">
        <f>'Team Selection'!C26</f>
        <v>Lucienne Meli</v>
      </c>
      <c r="K22" s="42">
        <f t="array" ref="K22">IF(OR('Day 1'!$C$6:$K$113='Encounters played'!J22),1,"")</f>
        <v>1</v>
      </c>
      <c r="L22" s="42" t="str">
        <f t="array" ref="L22">IF(OR('Day 2'!$C$6:$K$113='Encounters played'!J22),1,"")</f>
        <v/>
      </c>
      <c r="M22" s="42">
        <f t="array" ref="M22">IF(OR('Day 3'!$C$6:$K$113='Encounters played'!J22),1,"")</f>
        <v>1</v>
      </c>
      <c r="N22" s="42">
        <f t="array" ref="N22">IF(OR('Day 4'!$C$6:$K$113='Encounters played'!J22),1,"")</f>
        <v>1</v>
      </c>
      <c r="O22" s="42" t="str">
        <f t="array" ref="O22">IF(OR('Day 5'!$C$6:$K$113='Encounters played'!J22),1,"")</f>
        <v/>
      </c>
      <c r="P22" s="35">
        <f t="shared" si="3"/>
        <v>3</v>
      </c>
    </row>
    <row r="23" spans="1:18" ht="18" customHeight="1" x14ac:dyDescent="0.2">
      <c r="A23" s="41" t="s">
        <v>30</v>
      </c>
      <c r="B23" s="36" t="str">
        <f>'Team Selection'!B27</f>
        <v>Celeste Zammit Marquette</v>
      </c>
      <c r="C23" s="42" t="str">
        <f t="array" ref="C23">IF(OR('Day 1'!$C$6:$K$113='Encounters played'!B23),1,"")</f>
        <v/>
      </c>
      <c r="D23" s="42" t="str">
        <f t="array" ref="D23">IF(OR('Day 2'!$C$6:$K$113='Encounters played'!B23),1,"")</f>
        <v/>
      </c>
      <c r="E23" s="42">
        <f t="array" ref="E23">IF(OR('Day 3'!$C$6:$K$113='Encounters played'!B23),1,"")</f>
        <v>1</v>
      </c>
      <c r="F23" s="42">
        <f t="array" ref="F23">IF(OR('Day 4'!$C$6:$K$113='Encounters played'!B23),1,"")</f>
        <v>1</v>
      </c>
      <c r="G23" s="42">
        <f t="array" ref="G23">IF(OR('Day 5'!$C$6:$K$113='Encounters played'!B23),1,"")</f>
        <v>1</v>
      </c>
      <c r="H23" s="35">
        <f t="shared" si="2"/>
        <v>3</v>
      </c>
      <c r="I23" s="41" t="s">
        <v>30</v>
      </c>
      <c r="J23" s="36" t="str">
        <f>'Team Selection'!C27</f>
        <v>Doriana Portelli</v>
      </c>
      <c r="K23" s="42" t="str">
        <f t="array" ref="K23">IF(OR('Day 1'!$C$6:$K$113='Encounters played'!J23),1,"")</f>
        <v/>
      </c>
      <c r="L23" s="42">
        <f t="array" ref="L23">IF(OR('Day 2'!$C$6:$K$113='Encounters played'!J23),1,"")</f>
        <v>1</v>
      </c>
      <c r="M23" s="42" t="str">
        <f t="array" ref="M23">IF(OR('Day 3'!$C$6:$K$113='Encounters played'!J23),1,"")</f>
        <v/>
      </c>
      <c r="N23" s="42">
        <f t="array" ref="N23">IF(OR('Day 4'!$C$6:$K$113='Encounters played'!J23),1,"")</f>
        <v>1</v>
      </c>
      <c r="O23" s="42">
        <f t="array" ref="O23">IF(OR('Day 5'!$C$6:$K$113='Encounters played'!J23),1,"")</f>
        <v>1</v>
      </c>
      <c r="P23" s="35">
        <f t="shared" si="3"/>
        <v>3</v>
      </c>
    </row>
    <row r="24" spans="1:18" ht="18" customHeight="1" x14ac:dyDescent="0.2">
      <c r="A24" s="41" t="s">
        <v>37</v>
      </c>
      <c r="B24" s="36" t="str">
        <f>'Team Selection'!B29</f>
        <v>Brenda Baldacchino</v>
      </c>
      <c r="C24" s="42">
        <f t="array" ref="C24">IF(OR('Day 1'!$C$6:$K$113='Encounters played'!B24),1,"")</f>
        <v>1</v>
      </c>
      <c r="D24" s="42">
        <f t="array" ref="D24">IF(OR('Day 2'!$C$6:$K$113='Encounters played'!B24),1,"")</f>
        <v>1</v>
      </c>
      <c r="E24" s="42">
        <f t="array" ref="E24">IF(OR('Day 3'!$C$6:$K$113='Encounters played'!B24),1,"")</f>
        <v>1</v>
      </c>
      <c r="F24" s="42" t="str">
        <f t="array" ref="F24">IF(OR('Day 4'!$C$6:$K$113='Encounters played'!B24),1,"")</f>
        <v/>
      </c>
      <c r="G24" s="43">
        <v>1</v>
      </c>
      <c r="H24" s="35">
        <f t="shared" si="2"/>
        <v>4</v>
      </c>
      <c r="I24" s="41" t="s">
        <v>37</v>
      </c>
      <c r="J24" s="36" t="str">
        <f>'Team Selection'!C29</f>
        <v>Anabel Borg</v>
      </c>
      <c r="K24" s="42" t="str">
        <f t="array" ref="K24">IF(OR('Day 1'!$C$6:$K$113='Encounters played'!J24),1,"")</f>
        <v/>
      </c>
      <c r="L24" s="42">
        <f t="array" ref="L24">IF(OR('Day 2'!$C$6:$K$113='Encounters played'!J24),1,"")</f>
        <v>1</v>
      </c>
      <c r="M24" s="42">
        <f t="array" ref="M24">IF(OR('Day 3'!$C$6:$K$113='Encounters played'!J24),1,"")</f>
        <v>1</v>
      </c>
      <c r="N24" s="42">
        <f t="array" ref="N24">IF(OR('Day 4'!$C$6:$K$113='Encounters played'!J24),1,"")</f>
        <v>1</v>
      </c>
      <c r="O24" s="42">
        <f t="array" ref="O24">IF(OR('Day 5'!$C$6:$K$113='Encounters played'!J24),1,"")</f>
        <v>1</v>
      </c>
      <c r="P24" s="35">
        <f t="shared" si="3"/>
        <v>4</v>
      </c>
    </row>
    <row r="25" spans="1:18" ht="18" customHeight="1" x14ac:dyDescent="0.2">
      <c r="A25" s="41" t="s">
        <v>44</v>
      </c>
      <c r="B25" s="36" t="str">
        <f>'Team Selection'!B30</f>
        <v>Deborah Farrugia</v>
      </c>
      <c r="C25" s="42">
        <f t="array" ref="C25">IF(OR('Day 1'!$C$6:$K$113='Encounters played'!B25),1,"")</f>
        <v>1</v>
      </c>
      <c r="D25" s="42">
        <f t="array" ref="D25">IF(OR('Day 2'!$C$6:$K$113='Encounters played'!B25),1,"")</f>
        <v>1</v>
      </c>
      <c r="E25" s="42" t="str">
        <f t="array" ref="E25">IF(OR('Day 3'!$C$6:$K$113='Encounters played'!B25),1,"")</f>
        <v/>
      </c>
      <c r="F25" s="42">
        <f t="array" ref="F25">IF(OR('Day 4'!$C$6:$K$113='Encounters played'!B25),1,"")</f>
        <v>1</v>
      </c>
      <c r="G25" s="42">
        <f t="array" ref="G25">IF(OR('Day 5'!$C$6:$K$113='Encounters played'!B25),1,"")</f>
        <v>1</v>
      </c>
      <c r="H25" s="35">
        <f t="shared" si="2"/>
        <v>4</v>
      </c>
      <c r="I25" s="41" t="s">
        <v>44</v>
      </c>
      <c r="J25" s="36" t="str">
        <f>'Team Selection'!C30</f>
        <v>Kristina Briffa</v>
      </c>
      <c r="K25" s="42">
        <f t="array" ref="K25">IF(OR('Day 1'!$C$6:$K$113='Encounters played'!J25),1,"")</f>
        <v>1</v>
      </c>
      <c r="L25" s="42">
        <f t="array" ref="L25">IF(OR('Day 2'!$C$6:$K$113='Encounters played'!J25),1,"")</f>
        <v>1</v>
      </c>
      <c r="M25" s="42">
        <f t="array" ref="M25">IF(OR('Day 3'!$C$6:$K$113='Encounters played'!J25),1,"")</f>
        <v>1</v>
      </c>
      <c r="N25" s="42" t="str">
        <f t="array" ref="N25">IF(OR('Day 4'!$C$6:$K$113='Encounters played'!J25),1,"")</f>
        <v/>
      </c>
      <c r="O25" s="42">
        <f t="array" ref="O25">IF(OR('Day 5'!$C$6:$K$113='Encounters played'!J25),1,"")</f>
        <v>1</v>
      </c>
      <c r="P25" s="35">
        <f t="shared" si="3"/>
        <v>4</v>
      </c>
    </row>
    <row r="26" spans="1:18" ht="18" customHeight="1" x14ac:dyDescent="0.2">
      <c r="A26" s="41" t="s">
        <v>51</v>
      </c>
      <c r="B26" s="36" t="str">
        <f>'Team Selection'!B31</f>
        <v>Angele Pule'</v>
      </c>
      <c r="C26" s="42">
        <f t="array" ref="C26">IF(OR('Day 1'!$C$6:$K$113='Encounters played'!B26),1,"")</f>
        <v>1</v>
      </c>
      <c r="D26" s="42" t="str">
        <f t="array" ref="D26">IF(OR('Day 2'!$C$6:$K$113='Encounters played'!B26),1,"")</f>
        <v/>
      </c>
      <c r="E26" s="42">
        <f t="array" ref="E26">IF(OR('Day 3'!$C$6:$K$113='Encounters played'!B26),1,"")</f>
        <v>1</v>
      </c>
      <c r="F26" s="42">
        <f t="array" ref="F26">IF(OR('Day 4'!$C$6:$K$113='Encounters played'!B26),1,"")</f>
        <v>1</v>
      </c>
      <c r="G26" s="42">
        <f t="array" ref="G26">IF(OR('Day 5'!$C$6:$K$113='Encounters played'!B26),1,"")</f>
        <v>1</v>
      </c>
      <c r="H26" s="35">
        <f t="shared" si="2"/>
        <v>4</v>
      </c>
      <c r="I26" s="41" t="s">
        <v>51</v>
      </c>
      <c r="J26" s="36" t="str">
        <f>'Team Selection'!C31</f>
        <v>Francesca Sciortino</v>
      </c>
      <c r="K26" s="42">
        <f t="array" ref="K26">IF(OR('Day 1'!$C$6:$K$113='Encounters played'!J26),1,"")</f>
        <v>1</v>
      </c>
      <c r="L26" s="44">
        <v>1</v>
      </c>
      <c r="M26" s="42" t="str">
        <f t="array" ref="M26">IF(OR('Day 3'!$C$6:$K$113='Encounters played'!J26),1,"")</f>
        <v/>
      </c>
      <c r="N26" s="42">
        <f t="array" ref="N26">IF(OR('Day 4'!$C$6:$K$113='Encounters played'!J26),1,"")</f>
        <v>1</v>
      </c>
      <c r="O26" s="42">
        <f t="array" ref="O26">IF(OR('Day 5'!$C$6:$K$113='Encounters played'!J26),1,"")</f>
        <v>1</v>
      </c>
      <c r="P26" s="35">
        <f t="shared" si="3"/>
        <v>4</v>
      </c>
    </row>
    <row r="27" spans="1:18" ht="18" customHeight="1" x14ac:dyDescent="0.2">
      <c r="A27" s="41" t="s">
        <v>139</v>
      </c>
      <c r="B27" s="36" t="str">
        <f>'Team Selection'!B32</f>
        <v>Lonia Carabott</v>
      </c>
      <c r="C27" s="42" t="str">
        <f t="array" ref="C27">IF(OR('Day 1'!$C$6:$K$113='Encounters played'!B27),1,"")</f>
        <v/>
      </c>
      <c r="D27" s="42">
        <f t="array" ref="D27">IF(OR('Day 2'!$C$6:$K$113='Encounters played'!B27),1,"")</f>
        <v>1</v>
      </c>
      <c r="E27" s="42">
        <f t="array" ref="E27">IF(OR('Day 3'!$C$6:$K$113='Encounters played'!B27),1,"")</f>
        <v>1</v>
      </c>
      <c r="F27" s="42">
        <f t="array" ref="F27">IF(OR('Day 4'!$C$6:$K$113='Encounters played'!B27),1,"")</f>
        <v>1</v>
      </c>
      <c r="G27" s="42" t="str">
        <f t="array" ref="G27">IF(OR('Day 5'!$C$6:$K$113='Encounters played'!B27),1,"")</f>
        <v/>
      </c>
      <c r="H27" s="35">
        <f t="shared" si="2"/>
        <v>3</v>
      </c>
      <c r="I27" s="41" t="s">
        <v>139</v>
      </c>
      <c r="J27" s="36" t="str">
        <f>'Team Selection'!C32</f>
        <v>Jin Attard</v>
      </c>
      <c r="K27" s="42">
        <f t="array" ref="K27">IF(OR('Day 1'!$C$6:$K$113='Encounters played'!J27),1,"")</f>
        <v>1</v>
      </c>
      <c r="L27" s="42" t="str">
        <f t="array" ref="L27">IF(OR('Day 2'!$C$6:$K$113='Encounters played'!J27),1,"")</f>
        <v/>
      </c>
      <c r="M27" s="42">
        <f t="array" ref="M27">IF(OR('Day 3'!$C$6:$K$113='Encounters played'!J27),1,"")</f>
        <v>1</v>
      </c>
      <c r="N27" s="42">
        <f t="array" ref="N27">IF(OR('Day 4'!$C$6:$K$113='Encounters played'!J27),1,"")</f>
        <v>1</v>
      </c>
      <c r="O27" s="42" t="str">
        <f t="array" ref="O27">IF(OR('Day 5'!$C$6:$K$113='Encounters played'!J27),1,"")</f>
        <v/>
      </c>
      <c r="P27" s="35">
        <f t="shared" si="3"/>
        <v>3</v>
      </c>
    </row>
    <row r="28" spans="1:18" ht="18" customHeight="1" x14ac:dyDescent="0.2">
      <c r="A28" s="41" t="s">
        <v>58</v>
      </c>
      <c r="B28" s="36" t="str">
        <f>'Team Selection'!B34</f>
        <v>Christine Seychell</v>
      </c>
      <c r="C28" s="42">
        <f t="array" ref="C28">IF(OR('Day 1'!$C$6:$K$113='Encounters played'!B28),1,"")</f>
        <v>1</v>
      </c>
      <c r="D28" s="42" t="str">
        <f t="array" ref="D28">IF(OR('Day 2'!$C$6:$K$113='Encounters played'!B28),1,"")</f>
        <v/>
      </c>
      <c r="E28" s="42">
        <f t="array" ref="E28">IF(OR('Day 3'!$C$6:$K$113='Encounters played'!B28),1,"")</f>
        <v>1</v>
      </c>
      <c r="F28" s="42" t="str">
        <f t="array" ref="F28">IF(OR('Day 4'!$C$6:$K$113='Encounters played'!B28),1,"")</f>
        <v/>
      </c>
      <c r="G28" s="42">
        <f t="array" ref="G28">IF(OR('Day 5'!$C$6:$K$113='Encounters played'!B28),1,"")</f>
        <v>1</v>
      </c>
      <c r="H28" s="35">
        <f t="shared" si="2"/>
        <v>3</v>
      </c>
      <c r="I28" s="41" t="s">
        <v>58</v>
      </c>
      <c r="J28" s="36" t="str">
        <f>'Team Selection'!C34</f>
        <v>Helga Azzopardi</v>
      </c>
      <c r="K28" s="42">
        <f t="array" ref="K28">IF(OR('Day 1'!$C$6:$K$113='Encounters played'!J28),1,"")</f>
        <v>1</v>
      </c>
      <c r="L28" s="42">
        <f t="array" ref="L28">IF(OR('Day 2'!$C$6:$K$113='Encounters played'!J28),1,"")</f>
        <v>1</v>
      </c>
      <c r="M28" s="42">
        <f t="array" ref="M28">IF(OR('Day 3'!$C$6:$K$113='Encounters played'!J28),1,"")</f>
        <v>1</v>
      </c>
      <c r="N28" s="42">
        <f t="array" ref="N28">IF(OR('Day 4'!$C$6:$K$113='Encounters played'!J28),1,"")</f>
        <v>1</v>
      </c>
      <c r="O28" s="42" t="str">
        <f t="array" ref="O28">IF(OR('Day 5'!$C$6:$K$113='Encounters played'!J28),1,"")</f>
        <v/>
      </c>
      <c r="P28" s="35">
        <f t="shared" si="3"/>
        <v>4</v>
      </c>
    </row>
    <row r="29" spans="1:18" ht="18" customHeight="1" x14ac:dyDescent="0.2">
      <c r="A29" s="41" t="s">
        <v>64</v>
      </c>
      <c r="B29" s="36" t="str">
        <f>'Team Selection'!B35</f>
        <v>Frances Saliba Hersey</v>
      </c>
      <c r="C29" s="42">
        <f t="array" ref="C29">IF(OR('Day 1'!$C$6:$K$113='Encounters played'!B29),1,"")</f>
        <v>1</v>
      </c>
      <c r="D29" s="42">
        <f t="array" ref="D29">IF(OR('Day 2'!$C$6:$K$113='Encounters played'!B29),1,"")</f>
        <v>1</v>
      </c>
      <c r="E29" s="42" t="str">
        <f t="array" ref="E29">IF(OR('Day 3'!$C$6:$K$113='Encounters played'!B29),1,"")</f>
        <v/>
      </c>
      <c r="F29" s="42">
        <f t="array" ref="F29">IF(OR('Day 4'!$C$6:$K$113='Encounters played'!B29),1,"")</f>
        <v>1</v>
      </c>
      <c r="G29" s="42">
        <f t="array" ref="G29">IF(OR('Day 5'!$C$6:$K$113='Encounters played'!B29),1,"")</f>
        <v>1</v>
      </c>
      <c r="H29" s="35">
        <f t="shared" si="2"/>
        <v>4</v>
      </c>
      <c r="I29" s="41" t="s">
        <v>64</v>
      </c>
      <c r="J29" s="36" t="str">
        <f>'Team Selection'!C35</f>
        <v>Marica Cassar</v>
      </c>
      <c r="K29" s="42">
        <f t="array" ref="K29">IF(OR('Day 1'!$C$6:$K$113='Encounters played'!J29),1,"")</f>
        <v>1</v>
      </c>
      <c r="L29" s="42" t="str">
        <f t="array" ref="L29">IF(OR('Day 2'!$C$6:$K$113='Encounters played'!J29),1,"")</f>
        <v/>
      </c>
      <c r="M29" s="42" t="str">
        <f t="array" ref="M29">IF(OR('Day 3'!$C$6:$K$113='Encounters played'!J29),1,"")</f>
        <v/>
      </c>
      <c r="N29" s="44">
        <v>1</v>
      </c>
      <c r="O29" s="42">
        <f t="array" ref="O29">IF(OR('Day 5'!$C$6:$K$113='Encounters played'!J29),1,"")</f>
        <v>1</v>
      </c>
      <c r="P29" s="35">
        <f t="shared" si="3"/>
        <v>3</v>
      </c>
    </row>
    <row r="30" spans="1:18" ht="18" customHeight="1" x14ac:dyDescent="0.2">
      <c r="A30" s="41" t="s">
        <v>71</v>
      </c>
      <c r="B30" s="36" t="str">
        <f>'Team Selection'!B36</f>
        <v>Mary Ciantar</v>
      </c>
      <c r="C30" s="42" t="str">
        <f t="array" ref="C30">IF(OR('Day 1'!$C$6:$K$113='Encounters played'!B30),1,"")</f>
        <v/>
      </c>
      <c r="D30" s="42">
        <f t="array" ref="D30">IF(OR('Day 2'!$C$6:$K$113='Encounters played'!B30),1,"")</f>
        <v>1</v>
      </c>
      <c r="E30" s="42">
        <f t="array" ref="E30">IF(OR('Day 3'!$C$6:$K$113='Encounters played'!B30),1,"")</f>
        <v>1</v>
      </c>
      <c r="F30" s="42">
        <f t="array" ref="F30">IF(OR('Day 4'!$C$6:$K$113='Encounters played'!B30),1,"")</f>
        <v>1</v>
      </c>
      <c r="G30" s="42" t="str">
        <f t="array" ref="G30">IF(OR('Day 5'!$C$6:$K$113='Encounters played'!B30),1,"")</f>
        <v/>
      </c>
      <c r="H30" s="35">
        <f t="shared" si="2"/>
        <v>3</v>
      </c>
      <c r="I30" s="41" t="s">
        <v>71</v>
      </c>
      <c r="J30" s="36" t="str">
        <f>'Team Selection'!C36</f>
        <v>Maria Ellul</v>
      </c>
      <c r="K30" s="42" t="str">
        <f t="array" ref="K30">IF(OR('Day 1'!$C$6:$K$113='Encounters played'!J30),1,"")</f>
        <v/>
      </c>
      <c r="L30" s="42">
        <f t="array" ref="L30">IF(OR('Day 2'!$C$6:$K$113='Encounters played'!J30),1,"")</f>
        <v>1</v>
      </c>
      <c r="M30" s="42">
        <f t="array" ref="M30">IF(OR('Day 3'!$C$6:$K$113='Encounters played'!J30),1,"")</f>
        <v>1</v>
      </c>
      <c r="N30" s="42" t="str">
        <f t="array" ref="N30">IF(OR('Day 4'!$C$6:$K$113='Encounters played'!J30),1,"")</f>
        <v/>
      </c>
      <c r="O30" s="42">
        <f t="array" ref="O30">IF(OR('Day 5'!$C$6:$K$113='Encounters played'!J30),1,"")</f>
        <v>1</v>
      </c>
      <c r="P30" s="35">
        <f t="shared" si="3"/>
        <v>3</v>
      </c>
    </row>
    <row r="31" spans="1:18" ht="18" customHeight="1" x14ac:dyDescent="0.2">
      <c r="A31" s="45"/>
      <c r="B31" s="34"/>
      <c r="C31" s="46"/>
      <c r="D31" s="46"/>
      <c r="E31" s="46"/>
      <c r="F31" s="46"/>
      <c r="G31" s="46"/>
      <c r="H31" s="47"/>
      <c r="I31" s="45"/>
      <c r="J31" s="34"/>
      <c r="K31" s="46"/>
      <c r="L31" s="46"/>
      <c r="M31" s="46"/>
      <c r="N31" s="46"/>
      <c r="O31" s="46"/>
      <c r="P31" s="47"/>
      <c r="Q31" s="48"/>
      <c r="R31" s="48"/>
    </row>
    <row r="32" spans="1:18" ht="18" customHeight="1" x14ac:dyDescent="0.2">
      <c r="A32" s="45"/>
      <c r="B32" s="34"/>
      <c r="C32" s="46"/>
      <c r="D32" s="46"/>
      <c r="E32" s="46"/>
      <c r="F32" s="46"/>
      <c r="G32" s="46"/>
      <c r="H32" s="47"/>
      <c r="I32" s="45"/>
      <c r="J32" s="34"/>
      <c r="K32" s="46"/>
      <c r="L32" s="46"/>
      <c r="M32" s="46"/>
      <c r="N32" s="46"/>
      <c r="O32" s="46"/>
      <c r="P32" s="47"/>
      <c r="Q32" s="48"/>
      <c r="R32" s="48"/>
    </row>
    <row r="33" spans="1:18" ht="18" customHeight="1" x14ac:dyDescent="0.2">
      <c r="A33" s="45"/>
      <c r="B33" s="34"/>
      <c r="C33" s="46"/>
      <c r="D33" s="46"/>
      <c r="E33" s="46"/>
      <c r="F33" s="46"/>
      <c r="G33" s="46"/>
      <c r="H33" s="47"/>
      <c r="I33" s="45"/>
      <c r="J33" s="34"/>
      <c r="K33" s="46"/>
      <c r="L33" s="46"/>
      <c r="M33" s="46"/>
      <c r="N33" s="46"/>
      <c r="O33" s="46"/>
      <c r="P33" s="47"/>
      <c r="Q33" s="48"/>
      <c r="R33" s="48"/>
    </row>
    <row r="34" spans="1:18" ht="18" customHeight="1" x14ac:dyDescent="0.2">
      <c r="A34" s="45"/>
      <c r="B34" s="34"/>
      <c r="C34" s="46"/>
      <c r="D34" s="46"/>
      <c r="E34" s="46"/>
      <c r="F34" s="46"/>
      <c r="G34" s="46"/>
      <c r="H34" s="47"/>
      <c r="I34" s="45"/>
      <c r="J34" s="34"/>
      <c r="K34" s="46"/>
      <c r="L34" s="46"/>
      <c r="M34" s="46"/>
      <c r="N34" s="46"/>
      <c r="O34" s="46"/>
      <c r="P34" s="47"/>
      <c r="Q34" s="48"/>
      <c r="R34" s="48"/>
    </row>
    <row r="35" spans="1:18" ht="18" customHeight="1" x14ac:dyDescent="0.2">
      <c r="A35" s="45"/>
      <c r="B35" s="34"/>
      <c r="C35" s="46"/>
      <c r="D35" s="46"/>
      <c r="E35" s="46"/>
      <c r="F35" s="46"/>
      <c r="G35" s="46"/>
      <c r="H35" s="47"/>
      <c r="I35" s="45"/>
      <c r="J35" s="34"/>
      <c r="K35" s="46"/>
      <c r="L35" s="46"/>
      <c r="M35" s="46"/>
      <c r="N35" s="46"/>
      <c r="O35" s="46"/>
      <c r="P35" s="47"/>
      <c r="Q35" s="48"/>
      <c r="R35" s="48"/>
    </row>
    <row r="36" spans="1:18" ht="12.75" customHeight="1" x14ac:dyDescent="0.2">
      <c r="A36" s="23"/>
      <c r="B36" s="24" t="s">
        <v>164</v>
      </c>
      <c r="C36" s="25">
        <v>1</v>
      </c>
      <c r="D36" s="25">
        <v>2</v>
      </c>
      <c r="E36" s="25">
        <v>3</v>
      </c>
      <c r="F36" s="25">
        <v>4</v>
      </c>
      <c r="G36" s="25">
        <v>5</v>
      </c>
      <c r="H36" s="25" t="s">
        <v>165</v>
      </c>
      <c r="I36" s="26"/>
      <c r="J36" s="24" t="s">
        <v>164</v>
      </c>
      <c r="K36" s="25">
        <v>1</v>
      </c>
      <c r="L36" s="25">
        <v>2</v>
      </c>
      <c r="M36" s="25">
        <v>3</v>
      </c>
      <c r="N36" s="25">
        <v>4</v>
      </c>
      <c r="O36" s="25">
        <v>5</v>
      </c>
      <c r="P36" s="25" t="s">
        <v>165</v>
      </c>
    </row>
    <row r="37" spans="1:18" ht="18" customHeight="1" x14ac:dyDescent="0.25">
      <c r="A37" s="27" t="s">
        <v>4</v>
      </c>
      <c r="B37" s="28" t="str">
        <f>'Team Selection'!D4</f>
        <v>Victor Rutter</v>
      </c>
      <c r="C37" s="29"/>
      <c r="D37" s="29"/>
      <c r="E37" s="29"/>
      <c r="F37" s="30"/>
      <c r="G37" s="30"/>
      <c r="H37" s="30"/>
      <c r="I37" s="27" t="s">
        <v>5</v>
      </c>
      <c r="J37" s="31" t="str">
        <f>'Team Selection'!E4</f>
        <v>Roberto Murdocco</v>
      </c>
      <c r="K37" s="49"/>
      <c r="L37" s="49"/>
      <c r="M37" s="49"/>
      <c r="N37" s="49"/>
      <c r="O37" s="49"/>
      <c r="P37" s="32"/>
    </row>
    <row r="38" spans="1:18" ht="18" customHeight="1" x14ac:dyDescent="0.2">
      <c r="A38" s="33" t="s">
        <v>16</v>
      </c>
      <c r="B38" s="34" t="str">
        <f>'Team Selection'!D7</f>
        <v>Marcelo Villanueva</v>
      </c>
      <c r="C38" s="29">
        <f t="array" ref="C38">IF(OR('Day 1'!$C$6:$K$113='Encounters played'!B38),1,"")</f>
        <v>1</v>
      </c>
      <c r="D38" s="29">
        <f t="array" ref="D38">IF(OR('Day 2'!$C$6:$K$113='Encounters played'!B38),1,"")</f>
        <v>1</v>
      </c>
      <c r="E38" s="29">
        <f t="array" ref="E38">IF(OR('Day 3'!$C$6:$K$113='Encounters played'!B38),1,"")</f>
        <v>1</v>
      </c>
      <c r="F38" s="29">
        <f t="array" ref="F38">IF(OR('Day 4'!$C$6:$K$113='Encounters played'!B38),1,"")</f>
        <v>1</v>
      </c>
      <c r="G38" s="29" t="str">
        <f t="array" ref="G38">IF(OR('Day 5'!$C$6:$K$113='Encounters played'!B38),1,"")</f>
        <v/>
      </c>
      <c r="H38" s="35">
        <f t="shared" ref="H38:H50" si="4">SUM(C38:G38)</f>
        <v>4</v>
      </c>
      <c r="I38" s="33" t="s">
        <v>16</v>
      </c>
      <c r="J38" s="36" t="str">
        <f>'Team Selection'!E7</f>
        <v>Jesmond Pule'</v>
      </c>
      <c r="K38" s="29">
        <f t="array" ref="K38">IF(OR('Day 1'!$C$6:$K$113='Encounters played'!J38),1,"")</f>
        <v>1</v>
      </c>
      <c r="L38" s="29">
        <f t="array" ref="L38">IF(OR('Day 2'!$C$6:$K$113='Encounters played'!J38),1,"")</f>
        <v>1</v>
      </c>
      <c r="M38" s="29" t="str">
        <f t="array" ref="M38">IF(OR('Day 3'!$C$6:$K$113='Encounters played'!J38),1,"")</f>
        <v/>
      </c>
      <c r="N38" s="29">
        <f t="array" ref="N38">IF(OR('Day 4'!$C$6:$K$113='Encounters played'!J38),1,"")</f>
        <v>1</v>
      </c>
      <c r="O38" s="29">
        <f t="array" ref="O38">IF(OR('Day 5'!$C$6:$K$113='Encounters played'!J38),1,"")</f>
        <v>1</v>
      </c>
      <c r="P38" s="35">
        <f t="shared" ref="P38:P50" si="5">SUM(K38:O38)</f>
        <v>4</v>
      </c>
    </row>
    <row r="39" spans="1:18" ht="18" customHeight="1" x14ac:dyDescent="0.2">
      <c r="A39" s="33" t="s">
        <v>23</v>
      </c>
      <c r="B39" s="36" t="str">
        <f>'Team Selection'!D8</f>
        <v>Trevor Rutter</v>
      </c>
      <c r="C39" s="29">
        <f t="array" ref="C39">IF(OR('Day 1'!$C$6:$K$113='Encounters played'!B39),1,"")</f>
        <v>1</v>
      </c>
      <c r="D39" s="29" t="str">
        <f t="array" ref="D39">IF(OR('Day 2'!$C$6:$K$113='Encounters played'!B39),1,"")</f>
        <v/>
      </c>
      <c r="E39" s="29">
        <f t="array" ref="E39">IF(OR('Day 3'!$C$6:$K$113='Encounters played'!B39),1,"")</f>
        <v>1</v>
      </c>
      <c r="F39" s="29" t="str">
        <f t="array" ref="F39">IF(OR('Day 4'!$C$6:$K$113='Encounters played'!B39),1,"")</f>
        <v/>
      </c>
      <c r="G39" s="29">
        <f t="array" ref="G39">IF(OR('Day 5'!$C$6:$K$113='Encounters played'!B39),1,"")</f>
        <v>1</v>
      </c>
      <c r="H39" s="35">
        <f t="shared" si="4"/>
        <v>3</v>
      </c>
      <c r="I39" s="33" t="s">
        <v>23</v>
      </c>
      <c r="J39" s="36" t="str">
        <f>'Team Selection'!E8</f>
        <v>Clyde Grech</v>
      </c>
      <c r="K39" s="29">
        <f t="array" ref="K39">IF(OR('Day 1'!$C$6:$K$113='Encounters played'!J39),1,"")</f>
        <v>1</v>
      </c>
      <c r="L39" s="29" t="str">
        <f t="array" ref="L39">IF(OR('Day 2'!$C$6:$K$113='Encounters played'!J39),1,"")</f>
        <v/>
      </c>
      <c r="M39" s="29">
        <f t="array" ref="M39">IF(OR('Day 3'!$C$6:$K$113='Encounters played'!J39),1,"")</f>
        <v>1</v>
      </c>
      <c r="N39" s="29" t="str">
        <f t="array" ref="N39">IF(OR('Day 4'!$C$6:$K$113='Encounters played'!J39),1,"")</f>
        <v/>
      </c>
      <c r="O39" s="29">
        <f t="array" ref="O39">IF(OR('Day 5'!$C$6:$K$113='Encounters played'!J39),1,"")</f>
        <v>1</v>
      </c>
      <c r="P39" s="35">
        <f t="shared" si="5"/>
        <v>3</v>
      </c>
    </row>
    <row r="40" spans="1:18" ht="18" customHeight="1" x14ac:dyDescent="0.2">
      <c r="A40" s="33" t="s">
        <v>30</v>
      </c>
      <c r="B40" s="36" t="str">
        <f>'Team Selection'!D9</f>
        <v>Jean Carl Azzopardi</v>
      </c>
      <c r="C40" s="29" t="str">
        <f t="array" ref="C40">IF(OR('Day 1'!$C$6:$K$113='Encounters played'!B40),1,"")</f>
        <v/>
      </c>
      <c r="D40" s="29">
        <f t="array" ref="D40">IF(OR('Day 2'!$C$6:$K$113='Encounters played'!B40),1,"")</f>
        <v>1</v>
      </c>
      <c r="E40" s="29" t="str">
        <f t="array" ref="E40">IF(OR('Day 3'!$C$6:$K$113='Encounters played'!B40),1,"")</f>
        <v/>
      </c>
      <c r="F40" s="29">
        <f t="array" ref="F40">IF(OR('Day 4'!$C$6:$K$113='Encounters played'!B40),1,"")</f>
        <v>1</v>
      </c>
      <c r="G40" s="29">
        <f t="array" ref="G40">IF(OR('Day 5'!$C$6:$K$113='Encounters played'!B40),1,"")</f>
        <v>1</v>
      </c>
      <c r="H40" s="35">
        <f t="shared" si="4"/>
        <v>3</v>
      </c>
      <c r="I40" s="33" t="s">
        <v>30</v>
      </c>
      <c r="J40" s="36" t="str">
        <f>'Team Selection'!E9</f>
        <v>Andrew Pule'</v>
      </c>
      <c r="K40" s="29" t="str">
        <f t="array" ref="K40">IF(OR('Day 1'!$C$6:$K$113='Encounters played'!J40),1,"")</f>
        <v/>
      </c>
      <c r="L40" s="29">
        <f t="array" ref="L40">IF(OR('Day 2'!$C$6:$K$113='Encounters played'!J40),1,"")</f>
        <v>1</v>
      </c>
      <c r="M40" s="29">
        <f t="array" ref="M40">IF(OR('Day 3'!$C$6:$K$113='Encounters played'!J40),1,"")</f>
        <v>1</v>
      </c>
      <c r="N40" s="29">
        <f t="array" ref="N40">IF(OR('Day 4'!$C$6:$K$113='Encounters played'!J40),1,"")</f>
        <v>1</v>
      </c>
      <c r="O40" s="29" t="str">
        <f t="array" ref="O40">IF(OR('Day 5'!$C$6:$K$113='Encounters played'!J40),1,"")</f>
        <v/>
      </c>
      <c r="P40" s="35">
        <f t="shared" si="5"/>
        <v>3</v>
      </c>
    </row>
    <row r="41" spans="1:18" ht="18" customHeight="1" x14ac:dyDescent="0.2">
      <c r="A41" s="33" t="s">
        <v>37</v>
      </c>
      <c r="B41" s="36" t="str">
        <f>'Team Selection'!D11</f>
        <v>Ivan Cachia</v>
      </c>
      <c r="C41" s="29">
        <f t="array" ref="C41">IF(OR('Day 1'!$C$6:$K$113='Encounters played'!B41),1,"")</f>
        <v>1</v>
      </c>
      <c r="D41" s="29" t="str">
        <f t="array" ref="D41">IF(OR('Day 2'!$C$6:$K$113='Encounters played'!B41),1,"")</f>
        <v/>
      </c>
      <c r="E41" s="29">
        <f t="array" ref="E41">IF(OR('Day 3'!$C$6:$K$113='Encounters played'!B41),1,"")</f>
        <v>1</v>
      </c>
      <c r="F41" s="29">
        <f t="array" ref="F41">IF(OR('Day 4'!$C$6:$K$113='Encounters played'!B41),1,"")</f>
        <v>1</v>
      </c>
      <c r="G41" s="29">
        <f t="array" ref="G41">IF(OR('Day 5'!$C$6:$K$113='Encounters played'!B41),1,"")</f>
        <v>1</v>
      </c>
      <c r="H41" s="35">
        <f t="shared" si="4"/>
        <v>4</v>
      </c>
      <c r="I41" s="33" t="s">
        <v>37</v>
      </c>
      <c r="J41" s="36" t="str">
        <f>'Team Selection'!E11</f>
        <v>Fotios Evangelou</v>
      </c>
      <c r="K41" s="29">
        <f t="array" ref="K41">IF(OR('Day 1'!$C$6:$K$113='Encounters played'!J41),1,"")</f>
        <v>1</v>
      </c>
      <c r="L41" s="29" t="str">
        <f t="array" ref="L41">IF(OR('Day 2'!$C$6:$K$113='Encounters played'!J41),1,"")</f>
        <v/>
      </c>
      <c r="M41" s="29">
        <f t="array" ref="M41">IF(OR('Day 3'!$C$6:$K$113='Encounters played'!J41),1,"")</f>
        <v>1</v>
      </c>
      <c r="N41" s="29">
        <f t="array" ref="N41">IF(OR('Day 4'!$C$6:$K$113='Encounters played'!J41),1,"")</f>
        <v>1</v>
      </c>
      <c r="O41" s="29">
        <f t="array" ref="O41">IF(OR('Day 5'!$C$6:$K$113='Encounters played'!J41),1,"")</f>
        <v>1</v>
      </c>
      <c r="P41" s="35">
        <f t="shared" si="5"/>
        <v>4</v>
      </c>
    </row>
    <row r="42" spans="1:18" ht="18" customHeight="1" x14ac:dyDescent="0.2">
      <c r="A42" s="33" t="s">
        <v>44</v>
      </c>
      <c r="B42" s="36" t="str">
        <f>'Team Selection'!D12</f>
        <v>Jonathan Vella</v>
      </c>
      <c r="C42" s="38">
        <v>1</v>
      </c>
      <c r="D42" s="29">
        <f t="array" ref="D42">IF(OR('Day 2'!$C$6:$K$113='Encounters played'!B42),1,"")</f>
        <v>1</v>
      </c>
      <c r="E42" s="29" t="str">
        <f t="array" ref="E42">IF(OR('Day 3'!$C$6:$K$113='Encounters played'!B42),1,"")</f>
        <v/>
      </c>
      <c r="F42" s="29" t="str">
        <f t="array" ref="F42">IF(OR('Day 4'!$C$6:$K$113='Encounters played'!B42),1,"")</f>
        <v/>
      </c>
      <c r="G42" s="29">
        <f t="array" ref="G42">IF(OR('Day 5'!$C$6:$K$113='Encounters played'!B42),1,"")</f>
        <v>1</v>
      </c>
      <c r="H42" s="35">
        <f t="shared" si="4"/>
        <v>3</v>
      </c>
      <c r="I42" s="33" t="s">
        <v>44</v>
      </c>
      <c r="J42" s="36" t="str">
        <f>'Team Selection'!E12</f>
        <v>Chi Chi Canonce</v>
      </c>
      <c r="K42" s="29">
        <f t="array" ref="K42">IF(OR('Day 1'!$C$6:$K$113='Encounters played'!J42),1,"")</f>
        <v>1</v>
      </c>
      <c r="L42" s="29">
        <f t="array" ref="L42">IF(OR('Day 2'!$C$6:$K$113='Encounters played'!J42),1,"")</f>
        <v>1</v>
      </c>
      <c r="M42" s="29" t="str">
        <f t="array" ref="M42">IF(OR('Day 3'!$C$6:$K$113='Encounters played'!J42),1,"")</f>
        <v/>
      </c>
      <c r="N42" s="29">
        <f t="array" ref="N42">IF(OR('Day 4'!$C$6:$K$113='Encounters played'!J42),1,"")</f>
        <v>1</v>
      </c>
      <c r="O42" s="29" t="str">
        <f t="array" ref="O42">IF(OR('Day 5'!$C$6:$K$113='Encounters played'!J42),1,"")</f>
        <v/>
      </c>
      <c r="P42" s="35">
        <f t="shared" si="5"/>
        <v>3</v>
      </c>
    </row>
    <row r="43" spans="1:18" ht="18" customHeight="1" x14ac:dyDescent="0.2">
      <c r="A43" s="33" t="s">
        <v>51</v>
      </c>
      <c r="B43" s="36" t="str">
        <f>'Team Selection'!D13</f>
        <v>Richard Byrne</v>
      </c>
      <c r="C43" s="29" t="str">
        <f t="array" ref="C43">IF(OR('Day 1'!$C$6:$K$113='Encounters played'!B43),1,"")</f>
        <v/>
      </c>
      <c r="D43" s="29">
        <f t="array" ref="D43">IF(OR('Day 2'!$C$6:$K$113='Encounters played'!B43),1,"")</f>
        <v>1</v>
      </c>
      <c r="E43" s="29">
        <f t="array" ref="E43">IF(OR('Day 3'!$C$6:$K$113='Encounters played'!B43),1,"")</f>
        <v>1</v>
      </c>
      <c r="F43" s="29">
        <f t="array" ref="F43">IF(OR('Day 4'!$C$6:$K$113='Encounters played'!B43),1,"")</f>
        <v>1</v>
      </c>
      <c r="G43" s="29" t="str">
        <f t="array" ref="G43">IF(OR('Day 5'!$C$6:$K$113='Encounters played'!B43),1,"")</f>
        <v/>
      </c>
      <c r="H43" s="35">
        <f t="shared" si="4"/>
        <v>3</v>
      </c>
      <c r="I43" s="33" t="s">
        <v>51</v>
      </c>
      <c r="J43" s="36" t="str">
        <f>'Team Selection'!E13</f>
        <v>Kevin Formosa</v>
      </c>
      <c r="K43" s="29" t="str">
        <f t="array" ref="K43">IF(OR('Day 1'!$C$6:$K$113='Encounters played'!J43),1,"")</f>
        <v/>
      </c>
      <c r="L43" s="29">
        <f t="array" ref="L43">IF(OR('Day 2'!$C$6:$K$113='Encounters played'!J43),1,"")</f>
        <v>1</v>
      </c>
      <c r="M43" s="29">
        <f t="array" ref="M43">IF(OR('Day 3'!$C$6:$K$113='Encounters played'!J43),1,"")</f>
        <v>1</v>
      </c>
      <c r="N43" s="29" t="str">
        <f t="array" ref="N43">IF(OR('Day 4'!$C$6:$K$113='Encounters played'!J43),1,"")</f>
        <v/>
      </c>
      <c r="O43" s="29">
        <f t="array" ref="O43">IF(OR('Day 5'!$C$6:$K$113='Encounters played'!J43),1,"")</f>
        <v>1</v>
      </c>
      <c r="P43" s="35">
        <f t="shared" si="5"/>
        <v>3</v>
      </c>
    </row>
    <row r="44" spans="1:18" ht="18" customHeight="1" x14ac:dyDescent="0.2">
      <c r="A44" s="33" t="s">
        <v>58</v>
      </c>
      <c r="B44" s="36" t="str">
        <f>'Team Selection'!D15</f>
        <v>Stephen Belli</v>
      </c>
      <c r="C44" s="29">
        <f t="array" ref="C44">IF(OR('Day 1'!$C$6:$K$113='Encounters played'!B44),1,"")</f>
        <v>1</v>
      </c>
      <c r="D44" s="29">
        <f t="array" ref="D44">IF(OR('Day 2'!$C$6:$K$113='Encounters played'!B44),1,"")</f>
        <v>1</v>
      </c>
      <c r="E44" s="29">
        <f t="array" ref="E44">IF(OR('Day 3'!$C$6:$K$113='Encounters played'!B44),1,"")</f>
        <v>1</v>
      </c>
      <c r="F44" s="29" t="str">
        <f t="array" ref="F44">IF(OR('Day 4'!$C$6:$K$113='Encounters played'!B44),1,"")</f>
        <v/>
      </c>
      <c r="G44" s="37">
        <v>1</v>
      </c>
      <c r="H44" s="35">
        <f t="shared" si="4"/>
        <v>4</v>
      </c>
      <c r="I44" s="33" t="s">
        <v>58</v>
      </c>
      <c r="J44" s="36" t="str">
        <f>'Team Selection'!E15</f>
        <v>Roberto Murdocco</v>
      </c>
      <c r="K44" s="29">
        <f t="array" ref="K44">IF(OR('Day 1'!$C$6:$K$113='Encounters played'!J44),1,"")</f>
        <v>1</v>
      </c>
      <c r="L44" s="29">
        <f t="array" ref="L44">IF(OR('Day 2'!$C$6:$K$113='Encounters played'!J44),1,"")</f>
        <v>1</v>
      </c>
      <c r="M44" s="29">
        <f t="array" ref="M44">IF(OR('Day 3'!$C$6:$K$113='Encounters played'!J44),1,"")</f>
        <v>1</v>
      </c>
      <c r="N44" s="29">
        <f t="array" ref="N44">IF(OR('Day 4'!$C$6:$K$113='Encounters played'!J44),1,"")</f>
        <v>1</v>
      </c>
      <c r="O44" s="29" t="str">
        <f t="array" ref="O44">IF(OR('Day 5'!$C$6:$K$113='Encounters played'!J44),1,"")</f>
        <v/>
      </c>
      <c r="P44" s="35">
        <f t="shared" si="5"/>
        <v>4</v>
      </c>
    </row>
    <row r="45" spans="1:18" ht="18" customHeight="1" x14ac:dyDescent="0.2">
      <c r="A45" s="33" t="s">
        <v>64</v>
      </c>
      <c r="B45" s="36" t="str">
        <f>'Team Selection'!D16</f>
        <v>Charles Sacco</v>
      </c>
      <c r="C45" s="29" t="str">
        <f t="array" ref="C45">IF(OR('Day 1'!$C$6:$K$113='Encounters played'!B45),1,"")</f>
        <v/>
      </c>
      <c r="D45" s="29">
        <f t="array" ref="D45">IF(OR('Day 2'!$C$6:$K$113='Encounters played'!B45),1,"")</f>
        <v>1</v>
      </c>
      <c r="E45" s="29" t="str">
        <f t="array" ref="E45">IF(OR('Day 3'!$C$6:$K$113='Encounters played'!B45),1,"")</f>
        <v/>
      </c>
      <c r="F45" s="29">
        <f t="array" ref="F45">IF(OR('Day 4'!$C$6:$K$113='Encounters played'!B45),1,"")</f>
        <v>1</v>
      </c>
      <c r="G45" s="29">
        <f t="array" ref="G45">IF(OR('Day 5'!$C$6:$K$113='Encounters played'!B45),1,"")</f>
        <v>1</v>
      </c>
      <c r="H45" s="35">
        <f t="shared" si="4"/>
        <v>3</v>
      </c>
      <c r="I45" s="33" t="s">
        <v>64</v>
      </c>
      <c r="J45" s="36" t="str">
        <f>'Team Selection'!E16</f>
        <v>Sebastian Attard</v>
      </c>
      <c r="K45" s="29">
        <f t="array" ref="K45">IF(OR('Day 1'!$C$6:$K$113='Encounters played'!J45),1,"")</f>
        <v>1</v>
      </c>
      <c r="L45" s="29" t="str">
        <f t="array" ref="L45">IF(OR('Day 2'!$C$6:$K$113='Encounters played'!J45),1,"")</f>
        <v/>
      </c>
      <c r="M45" s="29">
        <f t="array" ref="M45">IF(OR('Day 3'!$C$6:$K$113='Encounters played'!J45),1,"")</f>
        <v>1</v>
      </c>
      <c r="N45" s="29">
        <f t="array" ref="N45">IF(OR('Day 4'!$C$6:$K$113='Encounters played'!J45),1,"")</f>
        <v>1</v>
      </c>
      <c r="O45" s="29">
        <f t="array" ref="O45">IF(OR('Day 5'!$C$6:$K$113='Encounters played'!J45),1,"")</f>
        <v>1</v>
      </c>
      <c r="P45" s="35">
        <f t="shared" si="5"/>
        <v>4</v>
      </c>
    </row>
    <row r="46" spans="1:18" ht="18" customHeight="1" x14ac:dyDescent="0.2">
      <c r="A46" s="33" t="s">
        <v>71</v>
      </c>
      <c r="B46" s="36" t="str">
        <f>'Team Selection'!D17</f>
        <v>Kristen Cachia</v>
      </c>
      <c r="C46" s="29">
        <f t="array" ref="C46">IF(OR('Day 1'!$C$6:$K$113='Encounters played'!B46),1,"")</f>
        <v>1</v>
      </c>
      <c r="D46" s="29" t="str">
        <f t="array" ref="D46">IF(OR('Day 2'!$C$6:$K$113='Encounters played'!B46),1,"")</f>
        <v/>
      </c>
      <c r="E46" s="29">
        <f t="array" ref="E46">IF(OR('Day 3'!$C$6:$K$113='Encounters played'!B46),1,"")</f>
        <v>1</v>
      </c>
      <c r="F46" s="29">
        <f t="array" ref="F46">IF(OR('Day 4'!$C$6:$K$113='Encounters played'!B46),1,"")</f>
        <v>1</v>
      </c>
      <c r="G46" s="29">
        <f t="array" ref="G46">IF(OR('Day 5'!$C$6:$K$113='Encounters played'!B46),1,"")</f>
        <v>1</v>
      </c>
      <c r="H46" s="35">
        <f t="shared" si="4"/>
        <v>4</v>
      </c>
      <c r="I46" s="33" t="s">
        <v>71</v>
      </c>
      <c r="J46" s="36" t="str">
        <f>'Team Selection'!E17</f>
        <v>Frans Ellul</v>
      </c>
      <c r="K46" s="29">
        <f t="array" ref="K46">IF(OR('Day 1'!$C$6:$K$113='Encounters played'!J46),1,"")</f>
        <v>1</v>
      </c>
      <c r="L46" s="29">
        <f t="array" ref="L46">IF(OR('Day 2'!$C$6:$K$113='Encounters played'!J46),1,"")</f>
        <v>1</v>
      </c>
      <c r="M46" s="29" t="str">
        <f t="array" ref="M46">IF(OR('Day 3'!$C$6:$K$113='Encounters played'!J46),1,"")</f>
        <v/>
      </c>
      <c r="N46" s="29">
        <f t="array" ref="N46">IF(OR('Day 4'!$C$6:$K$113='Encounters played'!J46),1,"")</f>
        <v>1</v>
      </c>
      <c r="O46" s="29">
        <f t="array" ref="O46">IF(OR('Day 5'!$C$6:$K$113='Encounters played'!J46),1,"")</f>
        <v>1</v>
      </c>
      <c r="P46" s="35">
        <f t="shared" si="5"/>
        <v>4</v>
      </c>
    </row>
    <row r="47" spans="1:18" ht="18" customHeight="1" x14ac:dyDescent="0.2">
      <c r="A47" s="33" t="s">
        <v>78</v>
      </c>
      <c r="B47" s="36" t="str">
        <f>'Team Selection'!D18</f>
        <v>Victor Rutter</v>
      </c>
      <c r="C47" s="29">
        <f t="array" ref="C47">IF(OR('Day 1'!$C$6:$K$113='Encounters played'!B47),1,"")</f>
        <v>1</v>
      </c>
      <c r="D47" s="29">
        <f t="array" ref="D47">IF(OR('Day 2'!$C$6:$K$113='Encounters played'!B47),1,"")</f>
        <v>1</v>
      </c>
      <c r="E47" s="29">
        <f t="array" ref="E47">IF(OR('Day 3'!$C$6:$K$113='Encounters played'!B47),1,"")</f>
        <v>1</v>
      </c>
      <c r="F47" s="29">
        <f t="array" ref="F47">IF(OR('Day 4'!$C$6:$K$113='Encounters played'!B47),1,"")</f>
        <v>1</v>
      </c>
      <c r="G47" s="29" t="str">
        <f t="array" ref="G47">IF(OR('Day 5'!$C$6:$K$113='Encounters played'!B47),1,"")</f>
        <v/>
      </c>
      <c r="H47" s="35">
        <f t="shared" si="4"/>
        <v>4</v>
      </c>
      <c r="I47" s="33" t="s">
        <v>78</v>
      </c>
      <c r="J47" s="36" t="str">
        <f>'Team Selection'!E18</f>
        <v>Ryan Ebejer</v>
      </c>
      <c r="K47" s="29" t="str">
        <f t="array" ref="K47">IF(OR('Day 1'!$C$6:$K$113='Encounters played'!J47),1,"")</f>
        <v/>
      </c>
      <c r="L47" s="29">
        <f t="array" ref="L47">IF(OR('Day 2'!$C$6:$K$113='Encounters played'!J47),1,"")</f>
        <v>1</v>
      </c>
      <c r="M47" s="29">
        <f t="array" ref="M47">IF(OR('Day 3'!$C$6:$K$113='Encounters played'!J47),1,"")</f>
        <v>1</v>
      </c>
      <c r="N47" s="29" t="str">
        <f t="array" ref="N47">IF(OR('Day 4'!$C$6:$K$113='Encounters played'!J47),1,"")</f>
        <v/>
      </c>
      <c r="O47" s="29">
        <f t="array" ref="O47">IF(OR('Day 5'!$C$6:$K$113='Encounters played'!J47),1,"")</f>
        <v>1</v>
      </c>
      <c r="P47" s="35">
        <f t="shared" si="5"/>
        <v>3</v>
      </c>
    </row>
    <row r="48" spans="1:18" ht="18" customHeight="1" x14ac:dyDescent="0.2">
      <c r="A48" s="33" t="s">
        <v>83</v>
      </c>
      <c r="B48" s="36" t="str">
        <f>'Team Selection'!D20</f>
        <v>Simone Re</v>
      </c>
      <c r="C48" s="29">
        <f t="array" ref="C48">IF(OR('Day 1'!$C$6:$K$113='Encounters played'!B48),1,"")</f>
        <v>1</v>
      </c>
      <c r="D48" s="29">
        <f t="array" ref="D48">IF(OR('Day 2'!$C$6:$K$113='Encounters played'!B48),1,"")</f>
        <v>1</v>
      </c>
      <c r="E48" s="29" t="str">
        <f t="array" ref="E48">IF(OR('Day 3'!$C$6:$K$113='Encounters played'!B48),1,"")</f>
        <v/>
      </c>
      <c r="F48" s="29">
        <f t="array" ref="F48">IF(OR('Day 4'!$C$6:$K$113='Encounters played'!B48),1,"")</f>
        <v>1</v>
      </c>
      <c r="G48" s="29">
        <f t="array" ref="G48">IF(OR('Day 5'!$C$6:$K$113='Encounters played'!B48),1,"")</f>
        <v>1</v>
      </c>
      <c r="H48" s="35">
        <f t="shared" si="4"/>
        <v>4</v>
      </c>
      <c r="I48" s="33" t="s">
        <v>83</v>
      </c>
      <c r="J48" s="36" t="str">
        <f>'Team Selection'!E20</f>
        <v>Twanny Pule'</v>
      </c>
      <c r="K48" s="29">
        <f t="array" ref="K48">IF(OR('Day 1'!$C$6:$K$113='Encounters played'!J48),1,"")</f>
        <v>1</v>
      </c>
      <c r="L48" s="29">
        <f t="array" ref="L48">IF(OR('Day 2'!$C$6:$K$113='Encounters played'!J48),1,"")</f>
        <v>1</v>
      </c>
      <c r="M48" s="29">
        <f t="array" ref="M48">IF(OR('Day 3'!$C$6:$K$113='Encounters played'!J48),1,"")</f>
        <v>1</v>
      </c>
      <c r="N48" s="29" t="str">
        <f t="array" ref="N48">IF(OR('Day 4'!$C$6:$K$113='Encounters played'!J48),1,"")</f>
        <v/>
      </c>
      <c r="O48" s="29">
        <f t="array" ref="O48">IF(OR('Day 5'!$C$6:$K$113='Encounters played'!J48),1,"")</f>
        <v>1</v>
      </c>
      <c r="P48" s="35">
        <f t="shared" si="5"/>
        <v>4</v>
      </c>
    </row>
    <row r="49" spans="1:17" ht="18" customHeight="1" x14ac:dyDescent="0.2">
      <c r="A49" s="33" t="s">
        <v>90</v>
      </c>
      <c r="B49" s="36" t="str">
        <f>'Team Selection'!D21</f>
        <v>Charles Borg Grech</v>
      </c>
      <c r="C49" s="29">
        <f t="array" ref="C49">IF(OR('Day 1'!$C$6:$K$113='Encounters played'!B49),1,"")</f>
        <v>1</v>
      </c>
      <c r="D49" s="29" t="str">
        <f t="array" ref="D49">IF(OR('Day 2'!$C$6:$K$113='Encounters played'!B49),1,"")</f>
        <v/>
      </c>
      <c r="E49" s="29">
        <f t="array" ref="E49">IF(OR('Day 3'!$C$6:$K$113='Encounters played'!B49),1,"")</f>
        <v>1</v>
      </c>
      <c r="F49" s="29" t="str">
        <f t="array" ref="F49">IF(OR('Day 4'!$C$6:$K$113='Encounters played'!B49),1,"")</f>
        <v/>
      </c>
      <c r="G49" s="29">
        <f t="array" ref="G49">IF(OR('Day 5'!$C$6:$K$113='Encounters played'!B49),1,"")</f>
        <v>1</v>
      </c>
      <c r="H49" s="35">
        <f t="shared" si="4"/>
        <v>3</v>
      </c>
      <c r="I49" s="33" t="s">
        <v>90</v>
      </c>
      <c r="J49" s="36" t="str">
        <f>'Team Selection'!E21</f>
        <v>Kenneth Caruana</v>
      </c>
      <c r="K49" s="29">
        <f t="array" ref="K49">IF(OR('Day 1'!$C$6:$K$113='Encounters played'!J49),1,"")</f>
        <v>1</v>
      </c>
      <c r="L49" s="29" t="str">
        <f t="array" ref="L49">IF(OR('Day 2'!$C$6:$K$113='Encounters played'!J49),1,"")</f>
        <v/>
      </c>
      <c r="M49" s="29" t="str">
        <f t="array" ref="M49">IF(OR('Day 3'!$C$6:$K$113='Encounters played'!J49),1,"")</f>
        <v/>
      </c>
      <c r="N49" s="29">
        <f t="array" ref="N49">IF(OR('Day 4'!$C$6:$K$113='Encounters played'!J49),1,"")</f>
        <v>1</v>
      </c>
      <c r="O49" s="29">
        <f t="array" ref="O49">IF(OR('Day 5'!$C$6:$K$113='Encounters played'!J49),1,"")</f>
        <v>1</v>
      </c>
      <c r="P49" s="35">
        <f t="shared" si="5"/>
        <v>3</v>
      </c>
    </row>
    <row r="50" spans="1:17" ht="18" customHeight="1" x14ac:dyDescent="0.2">
      <c r="A50" s="33" t="s">
        <v>97</v>
      </c>
      <c r="B50" s="36" t="str">
        <f>'Team Selection'!D22</f>
        <v>Donald Deguzman</v>
      </c>
      <c r="C50" s="29" t="str">
        <f t="array" ref="C50">IF(OR('Day 1'!$C$6:$K$113='Encounters played'!B50),1,"")</f>
        <v/>
      </c>
      <c r="D50" s="38">
        <v>1</v>
      </c>
      <c r="E50" s="29">
        <f t="array" ref="E50">IF(OR('Day 3'!$C$6:$K$113='Encounters played'!B50),1,"")</f>
        <v>1</v>
      </c>
      <c r="F50" s="38">
        <v>1</v>
      </c>
      <c r="G50" s="29" t="str">
        <f t="array" ref="G50">IF(OR('Day 5'!$C$6:$K$113='Encounters played'!B50),1,"")</f>
        <v/>
      </c>
      <c r="H50" s="35">
        <f t="shared" si="4"/>
        <v>3</v>
      </c>
      <c r="I50" s="33" t="s">
        <v>97</v>
      </c>
      <c r="J50" s="36" t="str">
        <f>'Team Selection'!E22</f>
        <v>Cory Greenland</v>
      </c>
      <c r="K50" s="29" t="str">
        <f t="array" ref="K50">IF(OR('Day 1'!$C$6:$K$113='Encounters played'!J50),1,"")</f>
        <v/>
      </c>
      <c r="L50" s="29">
        <f t="array" ref="L50">IF(OR('Day 2'!$C$6:$K$113='Encounters played'!J50),1,"")</f>
        <v>1</v>
      </c>
      <c r="M50" s="29">
        <f t="array" ref="M50">IF(OR('Day 3'!$C$6:$K$113='Encounters played'!J50),1,"")</f>
        <v>1</v>
      </c>
      <c r="N50" s="29">
        <f t="array" ref="N50">IF(OR('Day 4'!$C$6:$K$113='Encounters played'!J50),1,"")</f>
        <v>1</v>
      </c>
      <c r="O50" s="29" t="str">
        <f t="array" ref="O50">IF(OR('Day 5'!$C$6:$K$113='Encounters played'!J50),1,"")</f>
        <v/>
      </c>
      <c r="P50" s="35">
        <f t="shared" si="5"/>
        <v>3</v>
      </c>
    </row>
    <row r="51" spans="1:17" ht="15" customHeight="1" x14ac:dyDescent="0.2">
      <c r="J51" s="39"/>
      <c r="P51" s="40"/>
    </row>
    <row r="52" spans="1:17" ht="18" customHeight="1" x14ac:dyDescent="0.2">
      <c r="A52" s="41" t="s">
        <v>16</v>
      </c>
      <c r="B52" s="36" t="str">
        <f>'Team Selection'!D25</f>
        <v>Christine Schembri</v>
      </c>
      <c r="C52" s="42">
        <f t="array" ref="C52">IF(OR('Day 1'!$C$6:$K$113='Encounters played'!B52),1,"")</f>
        <v>1</v>
      </c>
      <c r="D52" s="42">
        <f t="array" ref="D52">IF(OR('Day 2'!$C$6:$K$113='Encounters played'!B52),1,"")</f>
        <v>1</v>
      </c>
      <c r="E52" s="42" t="str">
        <f t="array" ref="E52">IF(OR('Day 3'!$C$6:$K$113='Encounters played'!B52),1,"")</f>
        <v/>
      </c>
      <c r="F52" s="42">
        <f t="array" ref="F52">IF(OR('Day 4'!$C$6:$K$113='Encounters played'!B52),1,"")</f>
        <v>1</v>
      </c>
      <c r="G52" s="42">
        <f t="array" ref="G52">IF(OR('Day 5'!$C$6:$K$113='Encounters played'!B52),1,"")</f>
        <v>1</v>
      </c>
      <c r="H52" s="35">
        <f t="shared" ref="H52:H61" si="6">SUM(C52:G52)</f>
        <v>4</v>
      </c>
      <c r="I52" s="41" t="s">
        <v>16</v>
      </c>
      <c r="J52" s="36" t="str">
        <f>'Team Selection'!E25</f>
        <v>Annemarie Mangion</v>
      </c>
      <c r="K52" s="42">
        <f t="array" ref="K52">IF(OR('Day 1'!$C$6:$K$113='Encounters played'!J52),1,"")</f>
        <v>1</v>
      </c>
      <c r="L52" s="44">
        <v>1</v>
      </c>
      <c r="M52" s="42">
        <f t="array" ref="M52">IF(OR('Day 3'!$C$6:$K$113='Encounters played'!J52),1,"")</f>
        <v>1</v>
      </c>
      <c r="N52" s="42">
        <f t="array" ref="N52">IF(OR('Day 4'!$C$6:$K$113='Encounters played'!J52),1,"")</f>
        <v>1</v>
      </c>
      <c r="O52" s="42" t="str">
        <f t="array" ref="O52">IF(OR('Day 5'!$C$6:$K$113='Encounters played'!J52),1,"")</f>
        <v/>
      </c>
      <c r="P52" s="35">
        <f t="shared" ref="P52:P61" si="7">SUM(K52:O52)</f>
        <v>4</v>
      </c>
    </row>
    <row r="53" spans="1:17" ht="18" customHeight="1" x14ac:dyDescent="0.2">
      <c r="A53" s="41" t="s">
        <v>23</v>
      </c>
      <c r="B53" s="36" t="str">
        <f>'Team Selection'!D26</f>
        <v>Alison Muscat</v>
      </c>
      <c r="C53" s="42">
        <f t="array" ref="C53">IF(OR('Day 1'!$C$6:$K$113='Encounters played'!B53),1,"")</f>
        <v>1</v>
      </c>
      <c r="D53" s="42" t="str">
        <f t="array" ref="D53">IF(OR('Day 2'!$C$6:$K$113='Encounters played'!B53),1,"")</f>
        <v/>
      </c>
      <c r="E53" s="42">
        <f t="array" ref="E53">IF(OR('Day 3'!$C$6:$K$113='Encounters played'!B53),1,"")</f>
        <v>1</v>
      </c>
      <c r="F53" s="42" t="str">
        <f t="array" ref="F53">IF(OR('Day 4'!$C$6:$K$113='Encounters played'!B53),1,"")</f>
        <v/>
      </c>
      <c r="G53" s="42">
        <f t="array" ref="G53">IF(OR('Day 5'!$C$6:$K$113='Encounters played'!B53),1,"")</f>
        <v>1</v>
      </c>
      <c r="H53" s="35">
        <f t="shared" si="6"/>
        <v>3</v>
      </c>
      <c r="I53" s="41" t="s">
        <v>23</v>
      </c>
      <c r="J53" s="36" t="str">
        <f>'Team Selection'!E26</f>
        <v>Olivia Belli</v>
      </c>
      <c r="K53" s="42" t="str">
        <f t="array" ref="K53">IF(OR('Day 1'!$C$6:$K$113='Encounters played'!J53),1,"")</f>
        <v/>
      </c>
      <c r="L53" s="42">
        <f t="array" ref="L53">IF(OR('Day 2'!$C$6:$K$113='Encounters played'!J53),1,"")</f>
        <v>1</v>
      </c>
      <c r="M53" s="42" t="str">
        <f t="array" ref="M53">IF(OR('Day 3'!$C$6:$K$113='Encounters played'!J53),1,"")</f>
        <v/>
      </c>
      <c r="N53" s="43">
        <v>1</v>
      </c>
      <c r="O53" s="43">
        <v>1</v>
      </c>
      <c r="P53" s="35">
        <f t="shared" si="7"/>
        <v>3</v>
      </c>
    </row>
    <row r="54" spans="1:17" ht="18" customHeight="1" x14ac:dyDescent="0.2">
      <c r="A54" s="41" t="s">
        <v>30</v>
      </c>
      <c r="B54" s="36" t="str">
        <f>'Team Selection'!D27</f>
        <v>Amanda Falzon</v>
      </c>
      <c r="C54" s="42" t="str">
        <f t="array" ref="C54">IF(OR('Day 1'!$C$6:$K$113='Encounters played'!B54),1,"")</f>
        <v/>
      </c>
      <c r="D54" s="42">
        <f t="array" ref="D54">IF(OR('Day 2'!$C$6:$K$113='Encounters played'!B54),1,"")</f>
        <v>1</v>
      </c>
      <c r="E54" s="42">
        <f t="array" ref="E54">IF(OR('Day 3'!$C$6:$K$113='Encounters played'!B54),1,"")</f>
        <v>1</v>
      </c>
      <c r="F54" s="42">
        <f t="array" ref="F54">IF(OR('Day 4'!$C$6:$K$113='Encounters played'!B54),1,"")</f>
        <v>1</v>
      </c>
      <c r="G54" s="42" t="str">
        <f t="array" ref="G54">IF(OR('Day 5'!$C$6:$K$113='Encounters played'!B54),1,"")</f>
        <v/>
      </c>
      <c r="H54" s="35">
        <f t="shared" si="6"/>
        <v>3</v>
      </c>
      <c r="I54" s="41" t="s">
        <v>30</v>
      </c>
      <c r="J54" s="36" t="str">
        <f>'Team Selection'!E27</f>
        <v>Anthea Gauci</v>
      </c>
      <c r="K54" s="42">
        <f t="array" ref="K54">IF(OR('Day 1'!$C$6:$K$113='Encounters played'!J54),1,"")</f>
        <v>1</v>
      </c>
      <c r="L54" s="42" t="str">
        <f t="array" ref="L54">IF(OR('Day 2'!$C$6:$K$113='Encounters played'!J54),1,"")</f>
        <v/>
      </c>
      <c r="M54" s="42">
        <f t="array" ref="M54">IF(OR('Day 3'!$C$6:$K$113='Encounters played'!J54),1,"")</f>
        <v>1</v>
      </c>
      <c r="N54" s="42" t="str">
        <f t="array" ref="N54">IF(OR('Day 4'!$C$6:$K$113='Encounters played'!J54),1,"")</f>
        <v/>
      </c>
      <c r="O54" s="42">
        <f t="array" ref="O54">IF(OR('Day 5'!$C$6:$K$113='Encounters played'!J54),1,"")</f>
        <v>1</v>
      </c>
      <c r="P54" s="35">
        <f t="shared" si="7"/>
        <v>3</v>
      </c>
    </row>
    <row r="55" spans="1:17" ht="18" customHeight="1" x14ac:dyDescent="0.2">
      <c r="A55" s="41" t="s">
        <v>37</v>
      </c>
      <c r="B55" s="36" t="str">
        <f>'Team Selection'!D29</f>
        <v>Silvana Portelli</v>
      </c>
      <c r="C55" s="42" t="str">
        <f t="array" ref="C55">IF(OR('Day 1'!$C$6:$K$113='Encounters played'!B55),1,"")</f>
        <v/>
      </c>
      <c r="D55" s="42">
        <f t="array" ref="D55">IF(OR('Day 2'!$C$6:$K$113='Encounters played'!B55),1,"")</f>
        <v>1</v>
      </c>
      <c r="E55" s="42">
        <f t="array" ref="E55">IF(OR('Day 3'!$C$6:$K$113='Encounters played'!B55),1,"")</f>
        <v>1</v>
      </c>
      <c r="F55" s="42">
        <f t="array" ref="F55">IF(OR('Day 4'!$C$6:$K$113='Encounters played'!B55),1,"")</f>
        <v>1</v>
      </c>
      <c r="G55" s="42">
        <f t="array" ref="G55">IF(OR('Day 5'!$C$6:$K$113='Encounters played'!B55),1,"")</f>
        <v>1</v>
      </c>
      <c r="H55" s="35">
        <f t="shared" si="6"/>
        <v>4</v>
      </c>
      <c r="I55" s="41" t="s">
        <v>37</v>
      </c>
      <c r="J55" s="36" t="str">
        <f>'Team Selection'!E29</f>
        <v>Romina Gauci</v>
      </c>
      <c r="K55" s="42">
        <f t="array" ref="K55">IF(OR('Day 1'!$C$6:$K$113='Encounters played'!J55),1,"")</f>
        <v>1</v>
      </c>
      <c r="L55" s="42">
        <f t="array" ref="L55">IF(OR('Day 2'!$C$6:$K$113='Encounters played'!J55),1,"")</f>
        <v>1</v>
      </c>
      <c r="M55" s="42">
        <f t="array" ref="M55">IF(OR('Day 3'!$C$6:$K$113='Encounters played'!J55),1,"")</f>
        <v>1</v>
      </c>
      <c r="N55" s="42" t="str">
        <f t="array" ref="N55">IF(OR('Day 4'!$C$6:$K$113='Encounters played'!J55),1,"")</f>
        <v/>
      </c>
      <c r="O55" s="42">
        <f t="array" ref="O55">IF(OR('Day 5'!$C$6:$K$113='Encounters played'!J55),1,"")</f>
        <v>1</v>
      </c>
      <c r="P55" s="35">
        <f t="shared" si="7"/>
        <v>4</v>
      </c>
    </row>
    <row r="56" spans="1:17" ht="18" customHeight="1" x14ac:dyDescent="0.2">
      <c r="A56" s="41" t="s">
        <v>44</v>
      </c>
      <c r="B56" s="36" t="str">
        <f>'Team Selection'!D30</f>
        <v>Kelsey Gauci</v>
      </c>
      <c r="C56" s="42">
        <f t="array" ref="C56">IF(OR('Day 1'!$C$6:$K$113='Encounters played'!B56),1,"")</f>
        <v>1</v>
      </c>
      <c r="D56" s="42" t="str">
        <f t="array" ref="D56">IF(OR('Day 2'!$C$6:$K$113='Encounters played'!B56),1,"")</f>
        <v/>
      </c>
      <c r="E56" s="42">
        <f t="array" ref="E56">IF(OR('Day 3'!$C$6:$K$113='Encounters played'!B56),1,"")</f>
        <v>1</v>
      </c>
      <c r="F56" s="42">
        <f t="array" ref="F56">IF(OR('Day 4'!$C$6:$K$113='Encounters played'!B56),1,"")</f>
        <v>1</v>
      </c>
      <c r="G56" s="42">
        <f t="array" ref="G56">IF(OR('Day 5'!$C$6:$K$113='Encounters played'!B56),1,"")</f>
        <v>1</v>
      </c>
      <c r="H56" s="35">
        <f t="shared" si="6"/>
        <v>4</v>
      </c>
      <c r="I56" s="41" t="s">
        <v>44</v>
      </c>
      <c r="J56" s="36" t="str">
        <f>'Team Selection'!E30</f>
        <v>Julie Spiteri</v>
      </c>
      <c r="K56" s="42">
        <f t="array" ref="K56">IF(OR('Day 1'!$C$6:$K$113='Encounters played'!J56),1,"")</f>
        <v>1</v>
      </c>
      <c r="L56" s="42">
        <f t="array" ref="L56">IF(OR('Day 2'!$C$6:$K$113='Encounters played'!J56),1,"")</f>
        <v>1</v>
      </c>
      <c r="M56" s="42" t="str">
        <f t="array" ref="M56">IF(OR('Day 3'!$C$6:$K$113='Encounters played'!J56),1,"")</f>
        <v/>
      </c>
      <c r="N56" s="42">
        <f t="array" ref="N56">IF(OR('Day 4'!$C$6:$K$113='Encounters played'!J56),1,"")</f>
        <v>1</v>
      </c>
      <c r="O56" s="42">
        <f t="array" ref="O56">IF(OR('Day 5'!$C$6:$K$113='Encounters played'!J56),1,"")</f>
        <v>1</v>
      </c>
      <c r="P56" s="35">
        <f t="shared" si="7"/>
        <v>4</v>
      </c>
    </row>
    <row r="57" spans="1:17" ht="18" customHeight="1" x14ac:dyDescent="0.2">
      <c r="A57" s="41" t="s">
        <v>51</v>
      </c>
      <c r="B57" s="36" t="str">
        <f>'Team Selection'!D31</f>
        <v>Marthese Camoin</v>
      </c>
      <c r="C57" s="42">
        <f t="array" ref="C57">IF(OR('Day 1'!$C$6:$K$113='Encounters played'!B57),1,"")</f>
        <v>1</v>
      </c>
      <c r="D57" s="42">
        <f t="array" ref="D57">IF(OR('Day 2'!$C$6:$K$113='Encounters played'!B57),1,"")</f>
        <v>1</v>
      </c>
      <c r="E57" s="42" t="str">
        <f t="array" ref="E57">IF(OR('Day 3'!$C$6:$K$113='Encounters played'!B57),1,"")</f>
        <v/>
      </c>
      <c r="F57" s="42">
        <f t="array" ref="F57">IF(OR('Day 4'!$C$6:$K$113='Encounters played'!B57),1,"")</f>
        <v>1</v>
      </c>
      <c r="G57" s="42" t="str">
        <f t="array" ref="G57">IF(OR('Day 5'!$C$6:$K$113='Encounters played'!B57),1,"")</f>
        <v/>
      </c>
      <c r="H57" s="35">
        <f t="shared" si="6"/>
        <v>3</v>
      </c>
      <c r="I57" s="41" t="s">
        <v>51</v>
      </c>
      <c r="J57" s="36" t="str">
        <f>'Team Selection'!E31</f>
        <v>Jennifer Mifsud</v>
      </c>
      <c r="K57" s="42">
        <f t="array" ref="K57">IF(OR('Day 1'!$C$6:$K$113='Encounters played'!J57),1,"")</f>
        <v>1</v>
      </c>
      <c r="L57" s="42" t="str">
        <f t="array" ref="L57">IF(OR('Day 2'!$C$6:$K$113='Encounters played'!J57),1,"")</f>
        <v/>
      </c>
      <c r="M57" s="42">
        <f t="array" ref="M57">IF(OR('Day 3'!$C$6:$K$113='Encounters played'!J57),1,"")</f>
        <v>1</v>
      </c>
      <c r="N57" s="42">
        <f t="array" ref="N57">IF(OR('Day 4'!$C$6:$K$113='Encounters played'!J57),1,"")</f>
        <v>1</v>
      </c>
      <c r="O57" s="42">
        <f t="array" ref="O57">IF(OR('Day 5'!$C$6:$K$113='Encounters played'!J57),1,"")</f>
        <v>1</v>
      </c>
      <c r="P57" s="35">
        <f t="shared" si="7"/>
        <v>4</v>
      </c>
    </row>
    <row r="58" spans="1:17" ht="18" customHeight="1" x14ac:dyDescent="0.2">
      <c r="A58" s="41" t="s">
        <v>139</v>
      </c>
      <c r="B58" s="36" t="str">
        <f>'Team Selection'!D32</f>
        <v>Nancy Wong</v>
      </c>
      <c r="C58" s="42">
        <f t="array" ref="C58">IF(OR('Day 1'!$C$6:$K$113='Encounters played'!B58),1,"")</f>
        <v>1</v>
      </c>
      <c r="D58" s="42">
        <f t="array" ref="D58">IF(OR('Day 2'!$C$6:$K$113='Encounters played'!B58),1,"")</f>
        <v>1</v>
      </c>
      <c r="E58" s="42">
        <f t="array" ref="E58">IF(OR('Day 3'!$C$6:$K$113='Encounters played'!B58),1,"")</f>
        <v>1</v>
      </c>
      <c r="F58" s="42" t="str">
        <f t="array" ref="F58">IF(OR('Day 4'!$C$6:$K$113='Encounters played'!B58),1,"")</f>
        <v/>
      </c>
      <c r="G58" s="42">
        <f t="array" ref="G58">IF(OR('Day 5'!$C$6:$K$113='Encounters played'!B58),1,"")</f>
        <v>1</v>
      </c>
      <c r="H58" s="35">
        <f t="shared" si="6"/>
        <v>4</v>
      </c>
      <c r="I58" s="41" t="s">
        <v>139</v>
      </c>
      <c r="J58" s="36" t="str">
        <f>'Team Selection'!E32</f>
        <v>Sarah Axiaq</v>
      </c>
      <c r="K58" s="42" t="str">
        <f t="array" ref="K58">IF(OR('Day 1'!$C$6:$K$113='Encounters played'!J58),1,"")</f>
        <v/>
      </c>
      <c r="L58" s="42">
        <f t="array" ref="L58">IF(OR('Day 2'!$C$6:$K$113='Encounters played'!J58),1,"")</f>
        <v>1</v>
      </c>
      <c r="M58" s="42">
        <f t="array" ref="M58">IF(OR('Day 3'!$C$6:$K$113='Encounters played'!J58),1,"")</f>
        <v>1</v>
      </c>
      <c r="N58" s="42">
        <f t="array" ref="N58">IF(OR('Day 4'!$C$6:$K$113='Encounters played'!J58),1,"")</f>
        <v>1</v>
      </c>
      <c r="O58" s="42" t="str">
        <f t="array" ref="O58">IF(OR('Day 5'!$C$6:$K$113='Encounters played'!J58),1,"")</f>
        <v/>
      </c>
      <c r="P58" s="35">
        <f t="shared" si="7"/>
        <v>3</v>
      </c>
    </row>
    <row r="59" spans="1:17" ht="18" customHeight="1" x14ac:dyDescent="0.2">
      <c r="A59" s="41" t="s">
        <v>58</v>
      </c>
      <c r="B59" s="36" t="str">
        <f>'Team Selection'!D34</f>
        <v>Yvonne Borg Cardona</v>
      </c>
      <c r="C59" s="42">
        <f t="array" ref="C59">IF(OR('Day 1'!$C$6:$K$113='Encounters played'!B59),1,"")</f>
        <v>1</v>
      </c>
      <c r="D59" s="42">
        <f t="array" ref="D59">IF(OR('Day 2'!$C$6:$K$113='Encounters played'!B59),1,"")</f>
        <v>1</v>
      </c>
      <c r="E59" s="42">
        <f t="array" ref="E59">IF(OR('Day 3'!$C$6:$K$113='Encounters played'!B59),1,"")</f>
        <v>1</v>
      </c>
      <c r="F59" s="42" t="str">
        <f t="array" ref="F59">IF(OR('Day 4'!$C$6:$K$113='Encounters played'!B59),1,"")</f>
        <v/>
      </c>
      <c r="G59" s="42">
        <f t="array" ref="G59">IF(OR('Day 5'!$C$6:$K$113='Encounters played'!B59),1,"")</f>
        <v>1</v>
      </c>
      <c r="H59" s="35">
        <f t="shared" si="6"/>
        <v>4</v>
      </c>
      <c r="I59" s="41" t="s">
        <v>58</v>
      </c>
      <c r="J59" s="36" t="str">
        <f>'Team Selection'!E34</f>
        <v>Mary Borg</v>
      </c>
      <c r="K59" s="42">
        <f t="array" ref="K59">IF(OR('Day 1'!$C$6:$K$113='Encounters played'!J59),1,"")</f>
        <v>1</v>
      </c>
      <c r="L59" s="42" t="str">
        <f t="array" ref="L59">IF(OR('Day 2'!$C$6:$K$113='Encounters played'!J59),1,"")</f>
        <v/>
      </c>
      <c r="M59" s="42">
        <f t="array" ref="M59">IF(OR('Day 3'!$C$6:$K$113='Encounters played'!J59),1,"")</f>
        <v>1</v>
      </c>
      <c r="N59" s="42" t="str">
        <f t="array" ref="N59">IF(OR('Day 4'!$C$6:$K$113='Encounters played'!J59),1,"")</f>
        <v/>
      </c>
      <c r="O59" s="42">
        <f t="array" ref="O59">IF(OR('Day 5'!$C$6:$K$113='Encounters played'!J59),1,"")</f>
        <v>1</v>
      </c>
      <c r="P59" s="35">
        <f t="shared" si="7"/>
        <v>3</v>
      </c>
    </row>
    <row r="60" spans="1:17" ht="18" customHeight="1" x14ac:dyDescent="0.2">
      <c r="A60" s="41" t="s">
        <v>64</v>
      </c>
      <c r="B60" s="36" t="str">
        <f>'Team Selection'!D35</f>
        <v>Christabelle Chetcuti</v>
      </c>
      <c r="C60" s="44">
        <v>1</v>
      </c>
      <c r="D60" s="42" t="str">
        <f t="array" ref="D60">IF(OR('Day 2'!$C$6:$K$113='Encounters played'!B60),1,"")</f>
        <v/>
      </c>
      <c r="E60" s="42">
        <f t="array" ref="E60">IF(OR('Day 3'!$C$6:$K$113='Encounters played'!B60),1,"")</f>
        <v>1</v>
      </c>
      <c r="F60" s="42">
        <f t="array" ref="F60">IF(OR('Day 4'!$C$6:$K$113='Encounters played'!B60),1,"")</f>
        <v>1</v>
      </c>
      <c r="G60" s="42" t="str">
        <f t="array" ref="G60">IF(OR('Day 5'!$C$6:$K$113='Encounters played'!B60),1,"")</f>
        <v/>
      </c>
      <c r="H60" s="35">
        <f t="shared" si="6"/>
        <v>3</v>
      </c>
      <c r="I60" s="41" t="s">
        <v>64</v>
      </c>
      <c r="J60" s="36" t="str">
        <f>'Team Selection'!E35</f>
        <v>Stefania Camilleri</v>
      </c>
      <c r="K60" s="42">
        <f t="array" ref="K60">IF(OR('Day 1'!$C$6:$K$113='Encounters played'!J60),1,"")</f>
        <v>1</v>
      </c>
      <c r="L60" s="42">
        <f t="array" ref="L60">IF(OR('Day 2'!$C$6:$K$113='Encounters played'!J60),1,"")</f>
        <v>1</v>
      </c>
      <c r="M60" s="42" t="str">
        <f t="array" ref="M60">IF(OR('Day 3'!$C$6:$K$113='Encounters played'!J60),1,"")</f>
        <v/>
      </c>
      <c r="N60" s="42" t="str">
        <f t="array" ref="N60">IF(OR('Day 4'!$C$6:$K$113='Encounters played'!J60),1,"")</f>
        <v/>
      </c>
      <c r="O60" s="42">
        <f t="array" ref="O60">IF(OR('Day 5'!$C$6:$K$113='Encounters played'!J60),1,"")</f>
        <v>1</v>
      </c>
      <c r="P60" s="35">
        <f t="shared" si="7"/>
        <v>3</v>
      </c>
      <c r="Q60" s="48"/>
    </row>
    <row r="61" spans="1:17" ht="18" customHeight="1" x14ac:dyDescent="0.2">
      <c r="A61" s="41" t="s">
        <v>71</v>
      </c>
      <c r="B61" s="36" t="str">
        <f>'Team Selection'!D36</f>
        <v>Anna Fenech</v>
      </c>
      <c r="C61" s="42" t="str">
        <f t="array" ref="C61">IF(OR('Day 1'!$C$6:$K$113='Encounters played'!B61),1,"")</f>
        <v/>
      </c>
      <c r="D61" s="42">
        <f t="array" ref="D61">IF(OR('Day 2'!$C$6:$K$113='Encounters played'!B61),1,"")</f>
        <v>1</v>
      </c>
      <c r="E61" s="42" t="str">
        <f t="array" ref="E61">IF(OR('Day 3'!$C$6:$K$113='Encounters played'!B61),1,"")</f>
        <v/>
      </c>
      <c r="F61" s="42">
        <f t="array" ref="F61">IF(OR('Day 4'!$C$6:$K$113='Encounters played'!B61),1,"")</f>
        <v>1</v>
      </c>
      <c r="G61" s="42">
        <f t="array" ref="G61">IF(OR('Day 5'!$C$6:$K$113='Encounters played'!B61),1,"")</f>
        <v>1</v>
      </c>
      <c r="H61" s="35">
        <f t="shared" si="6"/>
        <v>3</v>
      </c>
      <c r="I61" s="41" t="s">
        <v>71</v>
      </c>
      <c r="J61" s="36" t="str">
        <f>'Team Selection'!E36</f>
        <v>Christine Scerri</v>
      </c>
      <c r="K61" s="42" t="str">
        <f t="array" ref="K61">IF(OR('Day 1'!$C$6:$K$113='Encounters played'!J61),1,"")</f>
        <v/>
      </c>
      <c r="L61" s="42">
        <f t="array" ref="L61">IF(OR('Day 2'!$C$6:$K$113='Encounters played'!J61),1,"")</f>
        <v>1</v>
      </c>
      <c r="M61" s="42">
        <f t="array" ref="M61">IF(OR('Day 3'!$C$6:$K$113='Encounters played'!J61),1,"")</f>
        <v>1</v>
      </c>
      <c r="N61" s="42">
        <f t="array" ref="N61">IF(OR('Day 4'!$C$6:$K$113='Encounters played'!J61),1,"")</f>
        <v>1</v>
      </c>
      <c r="O61" s="42" t="str">
        <f t="array" ref="O61">IF(OR('Day 5'!$C$6:$K$113='Encounters played'!J61),1,"")</f>
        <v/>
      </c>
      <c r="P61" s="35">
        <f t="shared" si="7"/>
        <v>3</v>
      </c>
      <c r="Q61" s="48"/>
    </row>
    <row r="62" spans="1:17" ht="18" customHeight="1" x14ac:dyDescent="0.2">
      <c r="A62" s="45"/>
      <c r="B62" s="34"/>
      <c r="C62" s="46"/>
      <c r="D62" s="46"/>
      <c r="E62" s="46"/>
      <c r="F62" s="46"/>
      <c r="G62" s="46"/>
      <c r="H62" s="47"/>
      <c r="I62" s="45"/>
      <c r="J62" s="34"/>
      <c r="K62" s="46"/>
      <c r="L62" s="46"/>
      <c r="M62" s="46"/>
      <c r="N62" s="46"/>
      <c r="O62" s="46"/>
      <c r="P62" s="46"/>
      <c r="Q62" s="48"/>
    </row>
    <row r="63" spans="1:17" ht="18" customHeight="1" x14ac:dyDescent="0.2">
      <c r="A63" s="45"/>
      <c r="B63" s="34"/>
      <c r="C63" s="46"/>
      <c r="D63" s="46"/>
      <c r="E63" s="46"/>
      <c r="F63" s="46"/>
      <c r="G63" s="46"/>
      <c r="H63" s="47"/>
      <c r="I63" s="45"/>
      <c r="J63" s="34"/>
      <c r="K63" s="46"/>
      <c r="L63" s="46"/>
      <c r="M63" s="46"/>
      <c r="N63" s="46"/>
      <c r="O63" s="46"/>
      <c r="P63" s="46"/>
      <c r="Q63" s="48"/>
    </row>
    <row r="64" spans="1:17" ht="18" customHeight="1" x14ac:dyDescent="0.2">
      <c r="A64" s="45"/>
      <c r="B64" s="34"/>
      <c r="C64" s="46"/>
      <c r="D64" s="46"/>
      <c r="E64" s="46"/>
      <c r="F64" s="46"/>
      <c r="G64" s="46"/>
      <c r="H64" s="47"/>
      <c r="I64" s="45"/>
      <c r="J64" s="34"/>
      <c r="K64" s="46"/>
      <c r="L64" s="46"/>
      <c r="M64" s="46"/>
      <c r="N64" s="46"/>
      <c r="O64" s="46"/>
      <c r="P64" s="46"/>
      <c r="Q64" s="48"/>
    </row>
    <row r="65" spans="1:17" ht="18" customHeight="1" x14ac:dyDescent="0.2">
      <c r="A65" s="45"/>
      <c r="B65" s="34"/>
      <c r="C65" s="46"/>
      <c r="D65" s="46"/>
      <c r="E65" s="46"/>
      <c r="F65" s="46"/>
      <c r="G65" s="46"/>
      <c r="H65" s="47"/>
      <c r="I65" s="45"/>
      <c r="J65" s="34"/>
      <c r="K65" s="46"/>
      <c r="L65" s="46"/>
      <c r="M65" s="46"/>
      <c r="N65" s="46"/>
      <c r="O65" s="46"/>
      <c r="P65" s="46"/>
      <c r="Q65" s="48"/>
    </row>
    <row r="66" spans="1:17" ht="18" customHeight="1" x14ac:dyDescent="0.2">
      <c r="A66" s="45"/>
      <c r="B66" s="34"/>
      <c r="C66" s="46"/>
      <c r="D66" s="46"/>
      <c r="E66" s="46"/>
      <c r="F66" s="46"/>
      <c r="G66" s="46"/>
      <c r="H66" s="47"/>
      <c r="I66" s="45"/>
      <c r="J66" s="34"/>
      <c r="K66" s="46"/>
      <c r="L66" s="46"/>
      <c r="M66" s="46"/>
      <c r="N66" s="46"/>
      <c r="O66" s="46"/>
      <c r="P66" s="46"/>
      <c r="Q66" s="48"/>
    </row>
    <row r="67" spans="1:17" ht="18" customHeight="1" x14ac:dyDescent="0.2">
      <c r="A67" s="45"/>
      <c r="B67" s="34"/>
      <c r="C67" s="46"/>
      <c r="D67" s="46"/>
      <c r="E67" s="46"/>
      <c r="F67" s="46"/>
      <c r="G67" s="46"/>
      <c r="H67" s="47"/>
      <c r="I67" s="45"/>
      <c r="J67" s="34"/>
      <c r="K67" s="46"/>
      <c r="L67" s="46"/>
      <c r="M67" s="46"/>
      <c r="N67" s="46"/>
      <c r="O67" s="46"/>
      <c r="P67" s="46"/>
      <c r="Q67" s="48"/>
    </row>
    <row r="68" spans="1:17" ht="18" customHeight="1" x14ac:dyDescent="0.2">
      <c r="A68" s="45"/>
      <c r="B68" s="34"/>
      <c r="C68" s="46"/>
      <c r="D68" s="46"/>
      <c r="E68" s="46"/>
      <c r="F68" s="46"/>
      <c r="G68" s="46"/>
      <c r="H68" s="47"/>
      <c r="I68" s="45"/>
      <c r="J68" s="34"/>
      <c r="K68" s="46"/>
      <c r="L68" s="46"/>
      <c r="M68" s="46"/>
      <c r="N68" s="46"/>
      <c r="O68" s="46"/>
      <c r="P68" s="46"/>
      <c r="Q68" s="48"/>
    </row>
    <row r="69" spans="1:17" ht="18" customHeight="1" x14ac:dyDescent="0.2">
      <c r="A69" s="45"/>
      <c r="B69" s="34"/>
      <c r="C69" s="46"/>
      <c r="D69" s="46"/>
      <c r="E69" s="46"/>
      <c r="F69" s="46"/>
      <c r="G69" s="46"/>
      <c r="H69" s="47"/>
      <c r="I69" s="45"/>
      <c r="J69" s="34"/>
      <c r="K69" s="46"/>
      <c r="L69" s="46"/>
      <c r="M69" s="46"/>
      <c r="N69" s="46"/>
      <c r="O69" s="46"/>
      <c r="P69" s="46"/>
      <c r="Q69" s="48"/>
    </row>
    <row r="70" spans="1:17" ht="12.75" customHeight="1" x14ac:dyDescent="0.2">
      <c r="A70" s="23"/>
      <c r="B70" s="24" t="s">
        <v>164</v>
      </c>
      <c r="C70" s="25">
        <v>1</v>
      </c>
      <c r="D70" s="25">
        <v>2</v>
      </c>
      <c r="E70" s="25">
        <v>3</v>
      </c>
      <c r="F70" s="25">
        <v>4</v>
      </c>
      <c r="G70" s="25">
        <v>5</v>
      </c>
      <c r="H70" s="25" t="s">
        <v>165</v>
      </c>
      <c r="I70" s="26"/>
      <c r="J70" s="24" t="s">
        <v>164</v>
      </c>
      <c r="K70" s="25">
        <v>1</v>
      </c>
      <c r="L70" s="25">
        <v>2</v>
      </c>
      <c r="M70" s="25">
        <v>3</v>
      </c>
      <c r="N70" s="25">
        <v>4</v>
      </c>
      <c r="O70" s="25">
        <v>5</v>
      </c>
      <c r="P70" s="25" t="s">
        <v>165</v>
      </c>
    </row>
    <row r="71" spans="1:17" ht="18" customHeight="1" x14ac:dyDescent="0.25">
      <c r="A71" s="27" t="s">
        <v>6</v>
      </c>
      <c r="B71" s="28" t="str">
        <f>'Team Selection'!F4</f>
        <v>Darrell Pace</v>
      </c>
      <c r="C71" s="29"/>
      <c r="D71" s="29"/>
      <c r="E71" s="29"/>
      <c r="F71" s="30"/>
      <c r="G71" s="30"/>
      <c r="H71" s="30"/>
      <c r="I71" s="27" t="s">
        <v>7</v>
      </c>
      <c r="J71" s="28" t="str">
        <f>'Team Selection'!G4</f>
        <v>Tiziana Anastasi</v>
      </c>
      <c r="K71" s="49"/>
      <c r="L71" s="49"/>
      <c r="M71" s="49"/>
      <c r="N71" s="49"/>
      <c r="O71" s="49"/>
      <c r="P71" s="32"/>
    </row>
    <row r="72" spans="1:17" ht="18" customHeight="1" x14ac:dyDescent="0.2">
      <c r="A72" s="33" t="s">
        <v>16</v>
      </c>
      <c r="B72" s="34" t="str">
        <f>'Team Selection'!F7</f>
        <v>Clayton Zammit Cesare</v>
      </c>
      <c r="C72" s="29">
        <f t="array" ref="C72">IF(OR('Day 1'!$C$6:$K$113='Encounters played'!B72),1,"")</f>
        <v>1</v>
      </c>
      <c r="D72" s="29">
        <f t="array" ref="D72">IF(OR('Day 2'!$C$6:$K$113='Encounters played'!B72),1,"")</f>
        <v>1</v>
      </c>
      <c r="E72" s="29">
        <f t="array" ref="E72">IF(OR('Day 3'!$C$6:$K$113='Encounters played'!B72),1,"")</f>
        <v>1</v>
      </c>
      <c r="F72" s="29" t="str">
        <f t="array" ref="F72">IF(OR('Day 4'!$C$6:$K$113='Encounters played'!B72),1,"")</f>
        <v/>
      </c>
      <c r="G72" s="29">
        <f t="array" ref="G72">IF(OR('Day 5'!$C$6:$K$113='Encounters played'!B72),1,"")</f>
        <v>1</v>
      </c>
      <c r="H72" s="35">
        <f t="shared" ref="H72:H84" si="8">SUM(C72:G72)</f>
        <v>4</v>
      </c>
      <c r="I72" s="33" t="s">
        <v>16</v>
      </c>
      <c r="J72" s="36" t="str">
        <f>'Team Selection'!G7</f>
        <v>Kurt Carabott</v>
      </c>
      <c r="K72" s="29">
        <f t="array" ref="K72">IF(OR('Day 1'!$C$6:$K$113='Encounters played'!J72),1,"")</f>
        <v>1</v>
      </c>
      <c r="L72" s="29">
        <f t="array" ref="L72">IF(OR('Day 2'!$C$6:$K$113='Encounters played'!J72),1,"")</f>
        <v>1</v>
      </c>
      <c r="M72" s="29">
        <f t="array" ref="M72">IF(OR('Day 3'!$C$6:$K$113='Encounters played'!J72),1,"")</f>
        <v>1</v>
      </c>
      <c r="N72" s="29" t="str">
        <f t="array" ref="N72">IF(OR('Day 4'!$C$6:$K$113='Encounters played'!J72),1,"")</f>
        <v/>
      </c>
      <c r="O72" s="29">
        <f t="array" ref="O72">IF(OR('Day 5'!$C$6:$K$113='Encounters played'!J72),1,"")</f>
        <v>1</v>
      </c>
      <c r="P72" s="35">
        <f t="shared" ref="P72:P84" si="9">SUM(K72:O72)</f>
        <v>4</v>
      </c>
    </row>
    <row r="73" spans="1:17" ht="18" customHeight="1" x14ac:dyDescent="0.2">
      <c r="A73" s="33" t="s">
        <v>23</v>
      </c>
      <c r="B73" s="36" t="str">
        <f>'Team Selection'!F8</f>
        <v>Duncan D'Alessandro</v>
      </c>
      <c r="C73" s="29" t="str">
        <f t="array" ref="C73">IF(OR('Day 1'!$C$6:$K$113='Encounters played'!B73),1,"")</f>
        <v/>
      </c>
      <c r="D73" s="29">
        <f t="array" ref="D73">IF(OR('Day 2'!$C$6:$K$113='Encounters played'!B73),1,"")</f>
        <v>1</v>
      </c>
      <c r="E73" s="29" t="str">
        <f t="array" ref="E73">IF(OR('Day 3'!$C$6:$K$113='Encounters played'!B73),1,"")</f>
        <v/>
      </c>
      <c r="F73" s="29">
        <f t="array" ref="F73">IF(OR('Day 4'!$C$6:$K$113='Encounters played'!B73),1,"")</f>
        <v>1</v>
      </c>
      <c r="G73" s="29">
        <f t="array" ref="G73">IF(OR('Day 5'!$C$6:$K$113='Encounters played'!B73),1,"")</f>
        <v>1</v>
      </c>
      <c r="H73" s="35">
        <f t="shared" si="8"/>
        <v>3</v>
      </c>
      <c r="I73" s="33" t="s">
        <v>23</v>
      </c>
      <c r="J73" s="36" t="str">
        <f>'Team Selection'!G8</f>
        <v>Adrian Chetcuti</v>
      </c>
      <c r="K73" s="38">
        <v>1</v>
      </c>
      <c r="L73" s="29" t="str">
        <f t="array" ref="L73">IF(OR('Day 2'!$C$6:$K$113='Encounters played'!J73),1,"")</f>
        <v/>
      </c>
      <c r="M73" s="29">
        <f t="array" ref="M73">IF(OR('Day 3'!$C$6:$K$113='Encounters played'!J73),1,"")</f>
        <v>1</v>
      </c>
      <c r="N73" s="29">
        <f t="array" ref="N73">IF(OR('Day 4'!$C$6:$K$113='Encounters played'!J73),1,"")</f>
        <v>1</v>
      </c>
      <c r="O73" s="29" t="str">
        <f t="array" ref="O73">IF(OR('Day 5'!$C$6:$K$113='Encounters played'!J73),1,"")</f>
        <v/>
      </c>
      <c r="P73" s="35">
        <f t="shared" si="9"/>
        <v>3</v>
      </c>
    </row>
    <row r="74" spans="1:17" ht="18" customHeight="1" x14ac:dyDescent="0.2">
      <c r="A74" s="33" t="s">
        <v>30</v>
      </c>
      <c r="B74" s="36" t="str">
        <f>'Team Selection'!F9</f>
        <v>Manuel Bonello</v>
      </c>
      <c r="C74" s="38">
        <v>1</v>
      </c>
      <c r="D74" s="29" t="str">
        <f t="array" ref="D74">IF(OR('Day 2'!$C$6:$K$113='Encounters played'!B74),1,"")</f>
        <v/>
      </c>
      <c r="E74" s="29">
        <f t="array" ref="E74">IF(OR('Day 3'!$C$6:$K$113='Encounters played'!B74),1,"")</f>
        <v>1</v>
      </c>
      <c r="F74" s="29">
        <f t="array" ref="F74">IF(OR('Day 4'!$C$6:$K$113='Encounters played'!B74),1,"")</f>
        <v>1</v>
      </c>
      <c r="G74" s="29" t="str">
        <f t="array" ref="G74">IF(OR('Day 5'!$C$6:$K$113='Encounters played'!B74),1,"")</f>
        <v/>
      </c>
      <c r="H74" s="35">
        <f t="shared" si="8"/>
        <v>3</v>
      </c>
      <c r="I74" s="33" t="s">
        <v>30</v>
      </c>
      <c r="J74" s="36" t="str">
        <f>'Team Selection'!G9</f>
        <v>John Azzopardi</v>
      </c>
      <c r="K74" s="29" t="str">
        <f t="array" ref="K74">IF(OR('Day 1'!$C$6:$K$113='Encounters played'!J74),1,"")</f>
        <v/>
      </c>
      <c r="L74" s="29">
        <f t="array" ref="L74">IF(OR('Day 2'!$C$6:$K$113='Encounters played'!J74),1,"")</f>
        <v>1</v>
      </c>
      <c r="M74" s="29" t="str">
        <f t="array" ref="M74">IF(OR('Day 3'!$C$6:$K$113='Encounters played'!J74),1,"")</f>
        <v/>
      </c>
      <c r="N74" s="29">
        <f t="array" ref="N74">IF(OR('Day 4'!$C$6:$K$113='Encounters played'!J74),1,"")</f>
        <v>1</v>
      </c>
      <c r="O74" s="29">
        <f t="array" ref="O74">IF(OR('Day 5'!$C$6:$K$113='Encounters played'!J74),1,"")</f>
        <v>1</v>
      </c>
      <c r="P74" s="35">
        <f t="shared" si="9"/>
        <v>3</v>
      </c>
    </row>
    <row r="75" spans="1:17" ht="18" customHeight="1" x14ac:dyDescent="0.2">
      <c r="A75" s="33" t="s">
        <v>37</v>
      </c>
      <c r="B75" s="36" t="str">
        <f>'Team Selection'!F11</f>
        <v>Marco Mercieca</v>
      </c>
      <c r="C75" s="29">
        <f t="array" ref="C75">IF(OR('Day 1'!$C$6:$K$113='Encounters played'!B75),1,"")</f>
        <v>1</v>
      </c>
      <c r="D75" s="29" t="str">
        <f t="array" ref="D75">IF(OR('Day 2'!$C$6:$K$113='Encounters played'!B75),1,"")</f>
        <v/>
      </c>
      <c r="E75" s="29">
        <f t="array" ref="E75">IF(OR('Day 3'!$C$6:$K$113='Encounters played'!B75),1,"")</f>
        <v>1</v>
      </c>
      <c r="F75" s="29">
        <f t="array" ref="F75">IF(OR('Day 4'!$C$6:$K$113='Encounters played'!B75),1,"")</f>
        <v>1</v>
      </c>
      <c r="G75" s="29">
        <f t="array" ref="G75">IF(OR('Day 5'!$C$6:$K$113='Encounters played'!B75),1,"")</f>
        <v>1</v>
      </c>
      <c r="H75" s="35">
        <f t="shared" si="8"/>
        <v>4</v>
      </c>
      <c r="I75" s="33" t="s">
        <v>37</v>
      </c>
      <c r="J75" s="36" t="str">
        <f>'Team Selection'!G11</f>
        <v>Ryan Mizzi</v>
      </c>
      <c r="K75" s="29">
        <f t="array" ref="K75">IF(OR('Day 1'!$C$6:$K$113='Encounters played'!J75),1,"")</f>
        <v>1</v>
      </c>
      <c r="L75" s="29">
        <f t="array" ref="L75">IF(OR('Day 2'!$C$6:$K$113='Encounters played'!J75),1,"")</f>
        <v>1</v>
      </c>
      <c r="M75" s="29">
        <f t="array" ref="M75">IF(OR('Day 3'!$C$6:$K$113='Encounters played'!J75),1,"")</f>
        <v>1</v>
      </c>
      <c r="N75" s="29">
        <f t="array" ref="N75">IF(OR('Day 4'!$C$6:$K$113='Encounters played'!J75),1,"")</f>
        <v>1</v>
      </c>
      <c r="O75" s="29" t="str">
        <f t="array" ref="O75">IF(OR('Day 5'!$C$6:$K$113='Encounters played'!J75),1,"")</f>
        <v/>
      </c>
      <c r="P75" s="35">
        <f t="shared" si="9"/>
        <v>4</v>
      </c>
    </row>
    <row r="76" spans="1:17" ht="18" customHeight="1" x14ac:dyDescent="0.2">
      <c r="A76" s="33" t="s">
        <v>44</v>
      </c>
      <c r="B76" s="36" t="str">
        <f>'Team Selection'!F12</f>
        <v>Eric Micallef</v>
      </c>
      <c r="C76" s="29">
        <f t="array" ref="C76">IF(OR('Day 1'!$C$6:$K$113='Encounters played'!B76),1,"")</f>
        <v>1</v>
      </c>
      <c r="D76" s="29">
        <f t="array" ref="D76">IF(OR('Day 2'!$C$6:$K$113='Encounters played'!B76),1,"")</f>
        <v>1</v>
      </c>
      <c r="E76" s="29" t="str">
        <f t="array" ref="E76">IF(OR('Day 3'!$C$6:$K$113='Encounters played'!B76),1,"")</f>
        <v/>
      </c>
      <c r="F76" s="29" t="str">
        <f t="array" ref="F76">IF(OR('Day 4'!$C$6:$K$113='Encounters played'!B76),1,"")</f>
        <v/>
      </c>
      <c r="G76" s="29">
        <f t="array" ref="G76">IF(OR('Day 5'!$C$6:$K$113='Encounters played'!B76),1,"")</f>
        <v>1</v>
      </c>
      <c r="H76" s="35">
        <f t="shared" si="8"/>
        <v>3</v>
      </c>
      <c r="I76" s="33" t="s">
        <v>44</v>
      </c>
      <c r="J76" s="36" t="str">
        <f>'Team Selection'!G12</f>
        <v>James Farrugia</v>
      </c>
      <c r="K76" s="29" t="str">
        <f t="array" ref="K76">IF(OR('Day 1'!$C$6:$K$113='Encounters played'!J76),1,"")</f>
        <v/>
      </c>
      <c r="L76" s="29">
        <f t="array" ref="L76">IF(OR('Day 2'!$C$6:$K$113='Encounters played'!J76),1,"")</f>
        <v>1</v>
      </c>
      <c r="M76" s="29">
        <f t="array" ref="M76">IF(OR('Day 3'!$C$6:$K$113='Encounters played'!J76),1,"")</f>
        <v>1</v>
      </c>
      <c r="N76" s="29" t="str">
        <f t="array" ref="N76">IF(OR('Day 4'!$C$6:$K$113='Encounters played'!J76),1,"")</f>
        <v/>
      </c>
      <c r="O76" s="29">
        <f t="array" ref="O76">IF(OR('Day 5'!$C$6:$K$113='Encounters played'!J76),1,"")</f>
        <v>1</v>
      </c>
      <c r="P76" s="35">
        <f t="shared" si="9"/>
        <v>3</v>
      </c>
    </row>
    <row r="77" spans="1:17" ht="18" customHeight="1" x14ac:dyDescent="0.2">
      <c r="A77" s="33" t="s">
        <v>51</v>
      </c>
      <c r="B77" s="36" t="str">
        <f>'Team Selection'!F13</f>
        <v>Gabriel Pace</v>
      </c>
      <c r="C77" s="29" t="str">
        <f t="array" ref="C77">IF(OR('Day 1'!$C$6:$K$113='Encounters played'!B77),1,"")</f>
        <v/>
      </c>
      <c r="D77" s="29">
        <f t="array" ref="D77">IF(OR('Day 2'!$C$6:$K$113='Encounters played'!B77),1,"")</f>
        <v>1</v>
      </c>
      <c r="E77" s="29">
        <f t="array" ref="E77">IF(OR('Day 3'!$C$6:$K$113='Encounters played'!B77),1,"")</f>
        <v>1</v>
      </c>
      <c r="F77" s="29">
        <f t="array" ref="F77">IF(OR('Day 4'!$C$6:$K$113='Encounters played'!B77),1,"")</f>
        <v>1</v>
      </c>
      <c r="G77" s="29" t="str">
        <f t="array" ref="G77">IF(OR('Day 5'!$C$6:$K$113='Encounters played'!B77),1,"")</f>
        <v/>
      </c>
      <c r="H77" s="35">
        <f t="shared" si="8"/>
        <v>3</v>
      </c>
      <c r="I77" s="33" t="s">
        <v>51</v>
      </c>
      <c r="J77" s="36" t="str">
        <f>'Team Selection'!G13</f>
        <v>Willem Steenkamer</v>
      </c>
      <c r="K77" s="29">
        <f t="array" ref="K77">IF(OR('Day 1'!$C$6:$K$113='Encounters played'!J77),1,"")</f>
        <v>1</v>
      </c>
      <c r="L77" s="29" t="str">
        <f t="array" ref="L77">IF(OR('Day 2'!$C$6:$K$113='Encounters played'!J77),1,"")</f>
        <v/>
      </c>
      <c r="M77" s="29" t="str">
        <f t="array" ref="M77">IF(OR('Day 3'!$C$6:$K$113='Encounters played'!J77),1,"")</f>
        <v/>
      </c>
      <c r="N77" s="29">
        <f t="array" ref="N77">IF(OR('Day 4'!$C$6:$K$113='Encounters played'!J77),1,"")</f>
        <v>1</v>
      </c>
      <c r="O77" s="29">
        <f t="array" ref="O77">IF(OR('Day 5'!$C$6:$K$113='Encounters played'!J77),1,"")</f>
        <v>1</v>
      </c>
      <c r="P77" s="35">
        <f t="shared" si="9"/>
        <v>3</v>
      </c>
    </row>
    <row r="78" spans="1:17" ht="18" customHeight="1" x14ac:dyDescent="0.2">
      <c r="A78" s="33" t="s">
        <v>58</v>
      </c>
      <c r="B78" s="36" t="str">
        <f>'Team Selection'!F15</f>
        <v>Manuel Gatt</v>
      </c>
      <c r="C78" s="29">
        <f t="array" ref="C78">IF(OR('Day 1'!$C$6:$K$113='Encounters played'!B78),1,"")</f>
        <v>1</v>
      </c>
      <c r="D78" s="29">
        <f t="array" ref="D78">IF(OR('Day 2'!$C$6:$K$113='Encounters played'!B78),1,"")</f>
        <v>1</v>
      </c>
      <c r="E78" s="29" t="str">
        <f t="array" ref="E78">IF(OR('Day 3'!$C$6:$K$113='Encounters played'!B78),1,"")</f>
        <v/>
      </c>
      <c r="F78" s="29">
        <f t="array" ref="F78">IF(OR('Day 4'!$C$6:$K$113='Encounters played'!B78),1,"")</f>
        <v>1</v>
      </c>
      <c r="G78" s="29">
        <f t="array" ref="G78">IF(OR('Day 5'!$C$6:$K$113='Encounters played'!B78),1,"")</f>
        <v>1</v>
      </c>
      <c r="H78" s="35">
        <f t="shared" si="8"/>
        <v>4</v>
      </c>
      <c r="I78" s="33" t="s">
        <v>58</v>
      </c>
      <c r="J78" s="36" t="str">
        <f>'Team Selection'!G15</f>
        <v>Max Anastasi</v>
      </c>
      <c r="K78" s="29">
        <f t="array" ref="K78">IF(OR('Day 1'!$C$6:$K$113='Encounters played'!J78),1,"")</f>
        <v>1</v>
      </c>
      <c r="L78" s="29">
        <f t="array" ref="L78">IF(OR('Day 2'!$C$6:$K$113='Encounters played'!J78),1,"")</f>
        <v>1</v>
      </c>
      <c r="M78" s="29">
        <f t="array" ref="M78">IF(OR('Day 3'!$C$6:$K$113='Encounters played'!J78),1,"")</f>
        <v>1</v>
      </c>
      <c r="N78" s="29" t="str">
        <f t="array" ref="N78">IF(OR('Day 4'!$C$6:$K$113='Encounters played'!J78),1,"")</f>
        <v/>
      </c>
      <c r="O78" s="29">
        <f t="array" ref="O78">IF(OR('Day 5'!$C$6:$K$113='Encounters played'!J78),1,"")</f>
        <v>1</v>
      </c>
      <c r="P78" s="35">
        <f t="shared" si="9"/>
        <v>4</v>
      </c>
    </row>
    <row r="79" spans="1:17" ht="18" customHeight="1" x14ac:dyDescent="0.2">
      <c r="A79" s="33" t="s">
        <v>64</v>
      </c>
      <c r="B79" s="36" t="str">
        <f>'Team Selection'!F16</f>
        <v>Manuel Mifsud</v>
      </c>
      <c r="C79" s="29">
        <f t="array" ref="C79">IF(OR('Day 1'!$C$6:$K$113='Encounters played'!B79),1,"")</f>
        <v>1</v>
      </c>
      <c r="D79" s="29" t="str">
        <f t="array" ref="D79">IF(OR('Day 2'!$C$6:$K$113='Encounters played'!B79),1,"")</f>
        <v/>
      </c>
      <c r="E79" s="29">
        <f t="array" ref="E79">IF(OR('Day 3'!$C$6:$K$113='Encounters played'!B79),1,"")</f>
        <v>1</v>
      </c>
      <c r="F79" s="29">
        <f t="array" ref="F79">IF(OR('Day 4'!$C$6:$K$113='Encounters played'!B79),1,"")</f>
        <v>1</v>
      </c>
      <c r="G79" s="29">
        <f t="array" ref="G79">IF(OR('Day 5'!$C$6:$K$113='Encounters played'!B79),1,"")</f>
        <v>1</v>
      </c>
      <c r="H79" s="35">
        <f t="shared" si="8"/>
        <v>4</v>
      </c>
      <c r="I79" s="33" t="s">
        <v>64</v>
      </c>
      <c r="J79" s="36" t="str">
        <f>'Team Selection'!G16</f>
        <v>Mavric Sawyer</v>
      </c>
      <c r="K79" s="29">
        <f t="array" ref="K79">IF(OR('Day 1'!$C$6:$K$113='Encounters played'!J79),1,"")</f>
        <v>1</v>
      </c>
      <c r="L79" s="29">
        <f t="array" ref="L79">IF(OR('Day 2'!$C$6:$K$113='Encounters played'!J79),1,"")</f>
        <v>1</v>
      </c>
      <c r="M79" s="29">
        <f t="array" ref="M79">IF(OR('Day 3'!$C$6:$K$113='Encounters played'!J79),1,"")</f>
        <v>1</v>
      </c>
      <c r="N79" s="29">
        <f t="array" ref="N79">IF(OR('Day 4'!$C$6:$K$113='Encounters played'!J79),1,"")</f>
        <v>1</v>
      </c>
      <c r="O79" s="29" t="str">
        <f t="array" ref="O79">IF(OR('Day 5'!$C$6:$K$113='Encounters played'!J79),1,"")</f>
        <v/>
      </c>
      <c r="P79" s="35">
        <f t="shared" si="9"/>
        <v>4</v>
      </c>
    </row>
    <row r="80" spans="1:17" ht="18" customHeight="1" x14ac:dyDescent="0.2">
      <c r="A80" s="33" t="s">
        <v>71</v>
      </c>
      <c r="B80" s="36" t="str">
        <f>'Team Selection'!F17</f>
        <v>Etienne Formosa Carabez</v>
      </c>
      <c r="C80" s="29" t="str">
        <f t="array" ref="C80">IF(OR('Day 1'!$C$6:$K$113='Encounters played'!B80),1,"")</f>
        <v/>
      </c>
      <c r="D80" s="29">
        <f t="array" ref="D80">IF(OR('Day 2'!$C$6:$K$113='Encounters played'!B80),1,"")</f>
        <v>1</v>
      </c>
      <c r="E80" s="29">
        <f t="array" ref="E80">IF(OR('Day 3'!$C$6:$K$113='Encounters played'!B80),1,"")</f>
        <v>1</v>
      </c>
      <c r="F80" s="29">
        <f t="array" ref="F80">IF(OR('Day 4'!$C$6:$K$113='Encounters played'!B80),1,"")</f>
        <v>1</v>
      </c>
      <c r="G80" s="29">
        <f t="array" ref="G80">IF(OR('Day 5'!$C$6:$K$113='Encounters played'!B80),1,"")</f>
        <v>1</v>
      </c>
      <c r="H80" s="35">
        <f t="shared" si="8"/>
        <v>4</v>
      </c>
      <c r="I80" s="33" t="s">
        <v>71</v>
      </c>
      <c r="J80" s="36" t="str">
        <f>'Team Selection'!G17</f>
        <v>Julian Esposito</v>
      </c>
      <c r="K80" s="29">
        <f t="array" ref="K80">IF(OR('Day 1'!$C$6:$K$113='Encounters played'!J80),1,"")</f>
        <v>1</v>
      </c>
      <c r="L80" s="29" t="str">
        <f t="array" ref="L80">IF(OR('Day 2'!$C$6:$K$113='Encounters played'!J80),1,"")</f>
        <v/>
      </c>
      <c r="M80" s="38">
        <v>1</v>
      </c>
      <c r="N80" s="29">
        <f t="array" ref="N80">IF(OR('Day 4'!$C$6:$K$113='Encounters played'!J80),1,"")</f>
        <v>1</v>
      </c>
      <c r="O80" s="29">
        <f t="array" ref="O80">IF(OR('Day 5'!$C$6:$K$113='Encounters played'!J80),1,"")</f>
        <v>1</v>
      </c>
      <c r="P80" s="35">
        <f t="shared" si="9"/>
        <v>4</v>
      </c>
    </row>
    <row r="81" spans="1:16" ht="18" customHeight="1" x14ac:dyDescent="0.2">
      <c r="A81" s="33" t="s">
        <v>78</v>
      </c>
      <c r="B81" s="36" t="str">
        <f>'Team Selection'!F18</f>
        <v>Darrell Pace</v>
      </c>
      <c r="C81" s="29">
        <f t="array" ref="C81">IF(OR('Day 1'!$C$6:$K$113='Encounters played'!B81),1,"")</f>
        <v>1</v>
      </c>
      <c r="D81" s="29">
        <f t="array" ref="D81">IF(OR('Day 2'!$C$6:$K$113='Encounters played'!B81),1,"")</f>
        <v>1</v>
      </c>
      <c r="E81" s="29">
        <f t="array" ref="E81">IF(OR('Day 3'!$C$6:$K$113='Encounters played'!B81),1,"")</f>
        <v>1</v>
      </c>
      <c r="F81" s="29" t="str">
        <f t="array" ref="F81">IF(OR('Day 4'!$C$6:$K$113='Encounters played'!B81),1,"")</f>
        <v/>
      </c>
      <c r="G81" s="29" t="str">
        <f t="array" ref="G81">IF(OR('Day 5'!$C$6:$K$113='Encounters played'!B81),1,"")</f>
        <v/>
      </c>
      <c r="H81" s="35">
        <f t="shared" si="8"/>
        <v>3</v>
      </c>
      <c r="I81" s="33" t="s">
        <v>78</v>
      </c>
      <c r="J81" s="36" t="str">
        <f>'Team Selection'!G18</f>
        <v>Ivan Saliba</v>
      </c>
      <c r="K81" s="29" t="str">
        <f t="array" ref="K81">IF(OR('Day 1'!$C$6:$K$113='Encounters played'!J81),1,"")</f>
        <v/>
      </c>
      <c r="L81" s="29">
        <f t="array" ref="L81">IF(OR('Day 2'!$C$6:$K$113='Encounters played'!J81),1,"")</f>
        <v>1</v>
      </c>
      <c r="M81" s="29" t="str">
        <f t="array" ref="M81">IF(OR('Day 3'!$C$6:$K$113='Encounters played'!J81),1,"")</f>
        <v/>
      </c>
      <c r="N81" s="29">
        <f t="array" ref="N81">IF(OR('Day 4'!$C$6:$K$113='Encounters played'!J81),1,"")</f>
        <v>1</v>
      </c>
      <c r="O81" s="29">
        <f t="array" ref="O81">IF(OR('Day 5'!$C$6:$K$113='Encounters played'!J81),1,"")</f>
        <v>1</v>
      </c>
      <c r="P81" s="35">
        <f t="shared" si="9"/>
        <v>3</v>
      </c>
    </row>
    <row r="82" spans="1:16" ht="18" customHeight="1" x14ac:dyDescent="0.2">
      <c r="A82" s="33" t="s">
        <v>83</v>
      </c>
      <c r="B82" s="36" t="str">
        <f>'Team Selection'!F20</f>
        <v>Isaac Joseph Zammit</v>
      </c>
      <c r="C82" s="29">
        <f t="array" ref="C82">IF(OR('Day 1'!$C$6:$K$113='Encounters played'!B82),1,"")</f>
        <v>1</v>
      </c>
      <c r="D82" s="38">
        <v>1</v>
      </c>
      <c r="E82" s="29">
        <f t="array" ref="E82">IF(OR('Day 3'!$C$6:$K$113='Encounters played'!B82),1,"")</f>
        <v>1</v>
      </c>
      <c r="F82" s="29" t="str">
        <f t="array" ref="F82">IF(OR('Day 4'!$C$6:$K$113='Encounters played'!B82),1,"")</f>
        <v/>
      </c>
      <c r="G82" s="29">
        <f t="array" ref="G82">IF(OR('Day 5'!$C$6:$K$113='Encounters played'!B82),1,"")</f>
        <v>1</v>
      </c>
      <c r="H82" s="35">
        <f t="shared" si="8"/>
        <v>4</v>
      </c>
      <c r="I82" s="33" t="s">
        <v>83</v>
      </c>
      <c r="J82" s="36" t="str">
        <f>'Team Selection'!G20</f>
        <v>Max Anastasi Jr.</v>
      </c>
      <c r="K82" s="38">
        <v>1</v>
      </c>
      <c r="L82" s="29">
        <f t="array" ref="L82">IF(OR('Day 2'!$C$6:$K$113='Encounters played'!J82),1,"")</f>
        <v>1</v>
      </c>
      <c r="M82" s="29">
        <f t="array" ref="M82">IF(OR('Day 3'!$C$6:$K$113='Encounters played'!J82),1,"")</f>
        <v>1</v>
      </c>
      <c r="N82" s="29">
        <f t="array" ref="N82">IF(OR('Day 4'!$C$6:$K$113='Encounters played'!J82),1,"")</f>
        <v>1</v>
      </c>
      <c r="O82" s="29" t="str">
        <f t="array" ref="O82">IF(OR('Day 5'!$C$6:$K$113='Encounters played'!J82),1,"")</f>
        <v/>
      </c>
      <c r="P82" s="35">
        <f t="shared" si="9"/>
        <v>4</v>
      </c>
    </row>
    <row r="83" spans="1:16" ht="18" customHeight="1" x14ac:dyDescent="0.2">
      <c r="A83" s="33" t="s">
        <v>90</v>
      </c>
      <c r="B83" s="36" t="str">
        <f>'Team Selection'!F21</f>
        <v>Joseph Randich</v>
      </c>
      <c r="C83" s="29">
        <f t="array" ref="C83">IF(OR('Day 1'!$C$6:$K$113='Encounters played'!B83),1,"")</f>
        <v>1</v>
      </c>
      <c r="D83" s="29" t="str">
        <f t="array" ref="D83">IF(OR('Day 2'!$C$6:$K$113='Encounters played'!B83),1,"")</f>
        <v/>
      </c>
      <c r="E83" s="29" t="str">
        <f t="array" ref="E83">IF(OR('Day 3'!$C$6:$K$113='Encounters played'!B83),1,"")</f>
        <v/>
      </c>
      <c r="F83" s="29">
        <f t="array" ref="F83">IF(OR('Day 4'!$C$6:$K$113='Encounters played'!B83),1,"")</f>
        <v>1</v>
      </c>
      <c r="G83" s="37">
        <v>1</v>
      </c>
      <c r="H83" s="35">
        <f t="shared" si="8"/>
        <v>3</v>
      </c>
      <c r="I83" s="33" t="s">
        <v>90</v>
      </c>
      <c r="J83" s="36" t="str">
        <f>'Team Selection'!G21</f>
        <v>Dunstan Vella</v>
      </c>
      <c r="K83" s="29" t="str">
        <f t="array" ref="K83">IF(OR('Day 1'!$C$6:$K$113='Encounters played'!J83),1,"")</f>
        <v/>
      </c>
      <c r="L83" s="29">
        <f t="array" ref="L83">IF(OR('Day 2'!$C$6:$K$113='Encounters played'!J83),1,"")</f>
        <v>1</v>
      </c>
      <c r="M83" s="29" t="str">
        <f t="array" ref="M83">IF(OR('Day 3'!$C$6:$K$113='Encounters played'!J83),1,"")</f>
        <v/>
      </c>
      <c r="N83" s="29">
        <f t="array" ref="N83">IF(OR('Day 4'!$C$6:$K$113='Encounters played'!J83),1,"")</f>
        <v>1</v>
      </c>
      <c r="O83" s="29">
        <f t="array" ref="O83">IF(OR('Day 5'!$C$6:$K$113='Encounters played'!J83),1,"")</f>
        <v>1</v>
      </c>
      <c r="P83" s="35">
        <f t="shared" si="9"/>
        <v>3</v>
      </c>
    </row>
    <row r="84" spans="1:16" ht="18" customHeight="1" x14ac:dyDescent="0.2">
      <c r="A84" s="33" t="s">
        <v>97</v>
      </c>
      <c r="B84" s="36" t="str">
        <f>'Team Selection'!F22</f>
        <v>Sean Cachia</v>
      </c>
      <c r="C84" s="29" t="str">
        <f t="array" ref="C84">IF(OR('Day 1'!$C$6:$K$113='Encounters played'!B84),1,"")</f>
        <v/>
      </c>
      <c r="D84" s="29">
        <f t="array" ref="D84">IF(OR('Day 2'!$C$6:$K$113='Encounters played'!B84),1,"")</f>
        <v>1</v>
      </c>
      <c r="E84" s="29">
        <f t="array" ref="E84">IF(OR('Day 3'!$C$6:$K$113='Encounters played'!B84),1,"")</f>
        <v>1</v>
      </c>
      <c r="F84" s="29">
        <f t="array" ref="F84">IF(OR('Day 4'!$C$6:$K$113='Encounters played'!B84),1,"")</f>
        <v>1</v>
      </c>
      <c r="G84" s="29" t="str">
        <f t="array" ref="G84">IF(OR('Day 5'!$C$6:$K$113='Encounters played'!B84),1,"")</f>
        <v/>
      </c>
      <c r="H84" s="35">
        <f t="shared" si="8"/>
        <v>3</v>
      </c>
      <c r="I84" s="33" t="s">
        <v>97</v>
      </c>
      <c r="J84" s="36" t="str">
        <f>'Team Selection'!G22</f>
        <v>Mario Abdilla</v>
      </c>
      <c r="K84" s="29">
        <f t="array" ref="K84">IF(OR('Day 1'!$C$6:$K$113='Encounters played'!J84),1,"")</f>
        <v>1</v>
      </c>
      <c r="L84" s="29" t="str">
        <f t="array" ref="L84">IF(OR('Day 2'!$C$6:$K$113='Encounters played'!J84),1,"")</f>
        <v/>
      </c>
      <c r="M84" s="29">
        <f t="array" ref="M84">IF(OR('Day 3'!$C$6:$K$113='Encounters played'!J84),1,"")</f>
        <v>1</v>
      </c>
      <c r="N84" s="29" t="str">
        <f t="array" ref="N84">IF(OR('Day 4'!$C$6:$K$113='Encounters played'!J84),1,"")</f>
        <v/>
      </c>
      <c r="O84" s="29">
        <f t="array" ref="O84">IF(OR('Day 5'!$C$6:$K$113='Encounters played'!J84),1,"")</f>
        <v>1</v>
      </c>
      <c r="P84" s="35">
        <f t="shared" si="9"/>
        <v>3</v>
      </c>
    </row>
    <row r="85" spans="1:16" ht="15" customHeight="1" x14ac:dyDescent="0.2">
      <c r="J85" s="39"/>
      <c r="P85" s="40"/>
    </row>
    <row r="86" spans="1:16" ht="18" customHeight="1" x14ac:dyDescent="0.2">
      <c r="A86" s="41" t="s">
        <v>16</v>
      </c>
      <c r="B86" s="36" t="str">
        <f>'Team Selection'!F25</f>
        <v>Lara Pule'</v>
      </c>
      <c r="C86" s="42">
        <f t="array" ref="C86">IF(OR('Day 1'!$C$6:$K$113='Encounters played'!B86),1,"")</f>
        <v>1</v>
      </c>
      <c r="D86" s="42">
        <f t="array" ref="D86">IF(OR('Day 2'!$C$6:$K$113='Encounters played'!B86),1,"")</f>
        <v>1</v>
      </c>
      <c r="E86" s="42">
        <f t="array" ref="E86">IF(OR('Day 3'!$C$6:$K$113='Encounters played'!B86),1,"")</f>
        <v>1</v>
      </c>
      <c r="F86" s="42">
        <f t="array" ref="F86">IF(OR('Day 4'!$C$6:$K$113='Encounters played'!B86),1,"")</f>
        <v>1</v>
      </c>
      <c r="G86" s="42" t="str">
        <f t="array" ref="G86">IF(OR('Day 5'!$C$6:$K$113='Encounters played'!B86),1,"")</f>
        <v/>
      </c>
      <c r="H86" s="35">
        <f t="shared" ref="H86:H95" si="10">SUM(C86:G86)</f>
        <v>4</v>
      </c>
      <c r="I86" s="41" t="s">
        <v>16</v>
      </c>
      <c r="J86" s="36" t="str">
        <f>'Team Selection'!G25</f>
        <v>Martina Cuschieri</v>
      </c>
      <c r="K86" s="42">
        <f t="array" ref="K86">IF(OR('Day 1'!$C$6:$K$113='Encounters played'!J86),1,"")</f>
        <v>1</v>
      </c>
      <c r="L86" s="42">
        <f t="array" ref="L86">IF(OR('Day 2'!$C$6:$K$113='Encounters played'!J86),1,"")</f>
        <v>1</v>
      </c>
      <c r="M86" s="42">
        <f t="array" ref="M86">IF(OR('Day 3'!$C$6:$K$113='Encounters played'!J86),1,"")</f>
        <v>1</v>
      </c>
      <c r="N86" s="42" t="str">
        <f t="array" ref="N86">IF(OR('Day 4'!$C$6:$K$113='Encounters played'!J86),1,"")</f>
        <v/>
      </c>
      <c r="O86" s="42">
        <f t="array" ref="O86">IF(OR('Day 5'!$C$6:$K$113='Encounters played'!J86),1,"")</f>
        <v>1</v>
      </c>
      <c r="P86" s="35">
        <f t="shared" ref="P86:P95" si="11">SUM(K86:O86)</f>
        <v>4</v>
      </c>
    </row>
    <row r="87" spans="1:16" ht="18" customHeight="1" x14ac:dyDescent="0.2">
      <c r="A87" s="41" t="s">
        <v>23</v>
      </c>
      <c r="B87" s="36" t="str">
        <f>'Team Selection'!F26</f>
        <v>Kirsty Mercieca</v>
      </c>
      <c r="C87" s="42">
        <f t="array" ref="C87">IF(OR('Day 1'!$C$6:$K$113='Encounters played'!B87),1,"")</f>
        <v>1</v>
      </c>
      <c r="D87" s="42" t="str">
        <f t="array" ref="D87">IF(OR('Day 2'!$C$6:$K$113='Encounters played'!B87),1,"")</f>
        <v/>
      </c>
      <c r="E87" s="42" t="str">
        <f t="array" ref="E87">IF(OR('Day 3'!$C$6:$K$113='Encounters played'!B87),1,"")</f>
        <v/>
      </c>
      <c r="F87" s="42">
        <f t="array" ref="F87">IF(OR('Day 4'!$C$6:$K$113='Encounters played'!B87),1,"")</f>
        <v>1</v>
      </c>
      <c r="G87" s="42">
        <f t="array" ref="G87">IF(OR('Day 5'!$C$6:$K$113='Encounters played'!B87),1,"")</f>
        <v>1</v>
      </c>
      <c r="H87" s="35">
        <f t="shared" si="10"/>
        <v>3</v>
      </c>
      <c r="I87" s="41" t="s">
        <v>23</v>
      </c>
      <c r="J87" s="36" t="str">
        <f>'Team Selection'!G26</f>
        <v>Natalya Abela</v>
      </c>
      <c r="K87" s="44">
        <v>1</v>
      </c>
      <c r="L87" s="42" t="str">
        <f t="array" ref="L87">IF(OR('Day 2'!$C$6:$K$113='Encounters played'!J87),1,"")</f>
        <v/>
      </c>
      <c r="M87" s="42">
        <f t="array" ref="M87">IF(OR('Day 3'!$C$6:$K$113='Encounters played'!J87),1,"")</f>
        <v>1</v>
      </c>
      <c r="N87" s="42">
        <f t="array" ref="N87">IF(OR('Day 4'!$C$6:$K$113='Encounters played'!J87),1,"")</f>
        <v>1</v>
      </c>
      <c r="O87" s="42" t="str">
        <f t="array" ref="O87">IF(OR('Day 5'!$C$6:$K$113='Encounters played'!J87),1,"")</f>
        <v/>
      </c>
      <c r="P87" s="35">
        <f t="shared" si="11"/>
        <v>3</v>
      </c>
    </row>
    <row r="88" spans="1:16" ht="18" customHeight="1" x14ac:dyDescent="0.2">
      <c r="A88" s="41" t="s">
        <v>30</v>
      </c>
      <c r="B88" s="36" t="str">
        <f>'Team Selection'!F27</f>
        <v>Annabelle Abela</v>
      </c>
      <c r="C88" s="42" t="str">
        <f t="array" ref="C88">IF(OR('Day 1'!$C$6:$K$113='Encounters played'!B88),1,"")</f>
        <v/>
      </c>
      <c r="D88" s="44">
        <v>1</v>
      </c>
      <c r="E88" s="42">
        <f t="array" ref="E88">IF(OR('Day 3'!$C$6:$K$113='Encounters played'!B88),1,"")</f>
        <v>1</v>
      </c>
      <c r="F88" s="42" t="str">
        <f t="array" ref="F88">IF(OR('Day 4'!$C$6:$K$113='Encounters played'!B88),1,"")</f>
        <v/>
      </c>
      <c r="G88" s="42">
        <f t="array" ref="G88">IF(OR('Day 5'!$C$6:$K$113='Encounters played'!B88),1,"")</f>
        <v>1</v>
      </c>
      <c r="H88" s="35">
        <f t="shared" si="10"/>
        <v>3</v>
      </c>
      <c r="I88" s="41" t="s">
        <v>30</v>
      </c>
      <c r="J88" s="36" t="str">
        <f>'Team Selection'!G27</f>
        <v>Yanika Pace</v>
      </c>
      <c r="K88" s="42" t="str">
        <f t="array" ref="K88">IF(OR('Day 1'!$C$6:$K$113='Encounters played'!J88),1,"")</f>
        <v/>
      </c>
      <c r="L88" s="42">
        <f t="array" ref="L88">IF(OR('Day 2'!$C$6:$K$113='Encounters played'!J88),1,"")</f>
        <v>1</v>
      </c>
      <c r="M88" s="42" t="str">
        <f t="array" ref="M88">IF(OR('Day 3'!$C$6:$K$113='Encounters played'!J88),1,"")</f>
        <v/>
      </c>
      <c r="N88" s="42">
        <f t="array" ref="N88">IF(OR('Day 4'!$C$6:$K$113='Encounters played'!J88),1,"")</f>
        <v>1</v>
      </c>
      <c r="O88" s="42">
        <f t="array" ref="O88">IF(OR('Day 5'!$C$6:$K$113='Encounters played'!J88),1,"")</f>
        <v>1</v>
      </c>
      <c r="P88" s="35">
        <f t="shared" si="11"/>
        <v>3</v>
      </c>
    </row>
    <row r="89" spans="1:16" ht="18" customHeight="1" x14ac:dyDescent="0.2">
      <c r="A89" s="41" t="s">
        <v>37</v>
      </c>
      <c r="B89" s="36" t="str">
        <f>'Team Selection'!F29</f>
        <v>Alexia Gouder</v>
      </c>
      <c r="C89" s="42">
        <f t="array" ref="C89">IF(OR('Day 1'!$C$6:$K$113='Encounters played'!B89),1,"")</f>
        <v>1</v>
      </c>
      <c r="D89" s="42">
        <f t="array" ref="D89">IF(OR('Day 2'!$C$6:$K$113='Encounters played'!B89),1,"")</f>
        <v>1</v>
      </c>
      <c r="E89" s="42" t="str">
        <f t="array" ref="E89">IF(OR('Day 3'!$C$6:$K$113='Encounters played'!B89),1,"")</f>
        <v/>
      </c>
      <c r="F89" s="42">
        <f t="array" ref="F89">IF(OR('Day 4'!$C$6:$K$113='Encounters played'!B89),1,"")</f>
        <v>1</v>
      </c>
      <c r="G89" s="42">
        <f t="array" ref="G89">IF(OR('Day 5'!$C$6:$K$113='Encounters played'!B89),1,"")</f>
        <v>1</v>
      </c>
      <c r="H89" s="35">
        <f t="shared" si="10"/>
        <v>4</v>
      </c>
      <c r="I89" s="41" t="s">
        <v>37</v>
      </c>
      <c r="J89" s="36" t="str">
        <f>'Team Selection'!G29</f>
        <v>Tiziana Anastasi</v>
      </c>
      <c r="K89" s="42">
        <f t="array" ref="K89">IF(OR('Day 1'!$C$6:$K$113='Encounters played'!J89),1,"")</f>
        <v>1</v>
      </c>
      <c r="L89" s="42">
        <f t="array" ref="L89">IF(OR('Day 2'!$C$6:$K$113='Encounters played'!J89),1,"")</f>
        <v>1</v>
      </c>
      <c r="M89" s="42">
        <f t="array" ref="M89">IF(OR('Day 3'!$C$6:$K$113='Encounters played'!J89),1,"")</f>
        <v>1</v>
      </c>
      <c r="N89" s="42" t="str">
        <f t="array" ref="N89">IF(OR('Day 4'!$C$6:$K$113='Encounters played'!J89),1,"")</f>
        <v/>
      </c>
      <c r="O89" s="42">
        <f t="array" ref="O89">IF(OR('Day 5'!$C$6:$K$113='Encounters played'!J89),1,"")</f>
        <v>1</v>
      </c>
      <c r="P89" s="35">
        <f t="shared" si="11"/>
        <v>4</v>
      </c>
    </row>
    <row r="90" spans="1:16" ht="18" customHeight="1" x14ac:dyDescent="0.2">
      <c r="A90" s="41" t="s">
        <v>44</v>
      </c>
      <c r="B90" s="36" t="str">
        <f>'Team Selection'!F30</f>
        <v>Daniela Curmi</v>
      </c>
      <c r="C90" s="42">
        <f t="array" ref="C90">IF(OR('Day 1'!$C$6:$K$113='Encounters played'!B90),1,"")</f>
        <v>1</v>
      </c>
      <c r="D90" s="42" t="str">
        <f t="array" ref="D90">IF(OR('Day 2'!$C$6:$K$113='Encounters played'!B90),1,"")</f>
        <v/>
      </c>
      <c r="E90" s="42">
        <f t="array" ref="E90">IF(OR('Day 3'!$C$6:$K$113='Encounters played'!B90),1,"")</f>
        <v>1</v>
      </c>
      <c r="F90" s="42">
        <f t="array" ref="F90">IF(OR('Day 4'!$C$6:$K$113='Encounters played'!B90),1,"")</f>
        <v>1</v>
      </c>
      <c r="G90" s="42">
        <f t="array" ref="G90">IF(OR('Day 5'!$C$6:$K$113='Encounters played'!B90),1,"")</f>
        <v>1</v>
      </c>
      <c r="H90" s="35">
        <f t="shared" si="10"/>
        <v>4</v>
      </c>
      <c r="I90" s="41" t="s">
        <v>44</v>
      </c>
      <c r="J90" s="36" t="str">
        <f>'Team Selection'!G30</f>
        <v>Mariska Steenkamer</v>
      </c>
      <c r="K90" s="42">
        <f t="array" ref="K90">IF(OR('Day 1'!$C$6:$K$113='Encounters played'!J90),1,"")</f>
        <v>1</v>
      </c>
      <c r="L90" s="42">
        <f t="array" ref="L90">IF(OR('Day 2'!$C$6:$K$113='Encounters played'!J90),1,"")</f>
        <v>1</v>
      </c>
      <c r="M90" s="42">
        <f t="array" ref="M90">IF(OR('Day 3'!$C$6:$K$113='Encounters played'!J90),1,"")</f>
        <v>1</v>
      </c>
      <c r="N90" s="42">
        <f t="array" ref="N90">IF(OR('Day 4'!$C$6:$K$113='Encounters played'!J90),1,"")</f>
        <v>1</v>
      </c>
      <c r="O90" s="42" t="str">
        <f t="array" ref="O90">IF(OR('Day 5'!$C$6:$K$113='Encounters played'!J90),1,"")</f>
        <v/>
      </c>
      <c r="P90" s="35">
        <f t="shared" si="11"/>
        <v>4</v>
      </c>
    </row>
    <row r="91" spans="1:16" ht="18" customHeight="1" x14ac:dyDescent="0.2">
      <c r="A91" s="41" t="s">
        <v>51</v>
      </c>
      <c r="B91" s="36" t="str">
        <f>'Team Selection'!F31</f>
        <v>Vanessa Vella</v>
      </c>
      <c r="C91" s="42">
        <f t="array" ref="C91">IF(OR('Day 1'!$C$6:$K$113='Encounters played'!B91),1,"")</f>
        <v>1</v>
      </c>
      <c r="D91" s="42">
        <f t="array" ref="D91">IF(OR('Day 2'!$C$6:$K$113='Encounters played'!B91),1,"")</f>
        <v>1</v>
      </c>
      <c r="E91" s="42">
        <f t="array" ref="E91">IF(OR('Day 3'!$C$6:$K$113='Encounters played'!B91),1,"")</f>
        <v>1</v>
      </c>
      <c r="F91" s="42" t="str">
        <f t="array" ref="F91">IF(OR('Day 4'!$C$6:$K$113='Encounters played'!B91),1,"")</f>
        <v/>
      </c>
      <c r="G91" s="43">
        <v>1</v>
      </c>
      <c r="H91" s="35">
        <f t="shared" si="10"/>
        <v>4</v>
      </c>
      <c r="I91" s="41" t="s">
        <v>51</v>
      </c>
      <c r="J91" s="36" t="str">
        <f>'Team Selection'!G31</f>
        <v>Carmen Difesa</v>
      </c>
      <c r="K91" s="42">
        <f t="array" ref="K91">IF(OR('Day 1'!$C$6:$K$113='Encounters played'!J91),1,"")</f>
        <v>1</v>
      </c>
      <c r="L91" s="42" t="str">
        <f t="array" ref="L91">IF(OR('Day 2'!$C$6:$K$113='Encounters played'!J91),1,"")</f>
        <v/>
      </c>
      <c r="M91" s="42">
        <f t="array" ref="M91">IF(OR('Day 3'!$C$6:$K$113='Encounters played'!J91),1,"")</f>
        <v>1</v>
      </c>
      <c r="N91" s="42">
        <f t="array" ref="N91">IF(OR('Day 4'!$C$6:$K$113='Encounters played'!J91),1,"")</f>
        <v>1</v>
      </c>
      <c r="O91" s="42">
        <f t="array" ref="O91">IF(OR('Day 5'!$C$6:$K$113='Encounters played'!J91),1,"")</f>
        <v>1</v>
      </c>
      <c r="P91" s="35">
        <f t="shared" si="11"/>
        <v>4</v>
      </c>
    </row>
    <row r="92" spans="1:16" ht="18" customHeight="1" x14ac:dyDescent="0.2">
      <c r="A92" s="41" t="s">
        <v>139</v>
      </c>
      <c r="B92" s="36" t="str">
        <f>'Team Selection'!F32</f>
        <v>Diane Debono</v>
      </c>
      <c r="C92" s="42" t="str">
        <f t="array" ref="C92">IF(OR('Day 1'!$C$6:$K$113='Encounters played'!B92),1,"")</f>
        <v/>
      </c>
      <c r="D92" s="42">
        <f t="array" ref="D92">IF(OR('Day 2'!$C$6:$K$113='Encounters played'!B92),1,"")</f>
        <v>1</v>
      </c>
      <c r="E92" s="42">
        <f t="array" ref="E92">IF(OR('Day 3'!$C$6:$K$113='Encounters played'!B92),1,"")</f>
        <v>1</v>
      </c>
      <c r="F92" s="42">
        <f t="array" ref="F92">IF(OR('Day 4'!$C$6:$K$113='Encounters played'!B92),1,"")</f>
        <v>1</v>
      </c>
      <c r="G92" s="42" t="str">
        <f t="array" ref="G92">IF(OR('Day 5'!$C$6:$K$113='Encounters played'!B92),1,"")</f>
        <v/>
      </c>
      <c r="H92" s="35">
        <f t="shared" si="10"/>
        <v>3</v>
      </c>
      <c r="I92" s="41" t="s">
        <v>139</v>
      </c>
      <c r="J92" s="36" t="str">
        <f>'Team Selection'!G32</f>
        <v>Ann-Marie Attard</v>
      </c>
      <c r="K92" s="42" t="str">
        <f t="array" ref="K92">IF(OR('Day 1'!$C$6:$K$113='Encounters played'!J92),1,"")</f>
        <v/>
      </c>
      <c r="L92" s="42">
        <f t="array" ref="L92">IF(OR('Day 2'!$C$6:$K$113='Encounters played'!J92),1,"")</f>
        <v>1</v>
      </c>
      <c r="M92" s="42" t="str">
        <f t="array" ref="M92">IF(OR('Day 3'!$C$6:$K$113='Encounters played'!J92),1,"")</f>
        <v/>
      </c>
      <c r="N92" s="42">
        <f t="array" ref="N92">IF(OR('Day 4'!$C$6:$K$113='Encounters played'!J92),1,"")</f>
        <v>1</v>
      </c>
      <c r="O92" s="42">
        <f t="array" ref="O92">IF(OR('Day 5'!$C$6:$K$113='Encounters played'!J92),1,"")</f>
        <v>1</v>
      </c>
      <c r="P92" s="35">
        <f t="shared" si="11"/>
        <v>3</v>
      </c>
    </row>
    <row r="93" spans="1:16" ht="18" customHeight="1" x14ac:dyDescent="0.2">
      <c r="A93" s="41" t="s">
        <v>58</v>
      </c>
      <c r="B93" s="36" t="str">
        <f>'Team Selection'!F34</f>
        <v>Elisa Sacco</v>
      </c>
      <c r="C93" s="42">
        <f t="array" ref="C93">IF(OR('Day 1'!$C$6:$K$113='Encounters played'!B93),1,"")</f>
        <v>1</v>
      </c>
      <c r="D93" s="42">
        <f t="array" ref="D93">IF(OR('Day 2'!$C$6:$K$113='Encounters played'!B93),1,"")</f>
        <v>1</v>
      </c>
      <c r="E93" s="42" t="str">
        <f t="array" ref="E93">IF(OR('Day 3'!$C$6:$K$113='Encounters played'!B93),1,"")</f>
        <v/>
      </c>
      <c r="F93" s="42">
        <f t="array" ref="F93">IF(OR('Day 4'!$C$6:$K$113='Encounters played'!B93),1,"")</f>
        <v>1</v>
      </c>
      <c r="G93" s="42">
        <f t="array" ref="G93">IF(OR('Day 5'!$C$6:$K$113='Encounters played'!B93),1,"")</f>
        <v>1</v>
      </c>
      <c r="H93" s="35">
        <f t="shared" si="10"/>
        <v>4</v>
      </c>
      <c r="I93" s="41" t="s">
        <v>58</v>
      </c>
      <c r="J93" s="36" t="str">
        <f>'Team Selection'!G34</f>
        <v>Tanya Cassar</v>
      </c>
      <c r="K93" s="42">
        <f t="array" ref="K93">IF(OR('Day 1'!$C$6:$K$113='Encounters played'!J93),1,"")</f>
        <v>1</v>
      </c>
      <c r="L93" s="42">
        <f t="array" ref="L93">IF(OR('Day 2'!$C$6:$K$113='Encounters played'!J93),1,"")</f>
        <v>1</v>
      </c>
      <c r="M93" s="42" t="str">
        <f t="array" ref="M93">IF(OR('Day 3'!$C$6:$K$113='Encounters played'!J93),1,"")</f>
        <v/>
      </c>
      <c r="N93" s="42">
        <f t="array" ref="N93">IF(OR('Day 4'!$C$6:$K$113='Encounters played'!J93),1,"")</f>
        <v>1</v>
      </c>
      <c r="O93" s="42">
        <f t="array" ref="O93">IF(OR('Day 5'!$C$6:$K$113='Encounters played'!J93),1,"")</f>
        <v>1</v>
      </c>
      <c r="P93" s="35">
        <f t="shared" si="11"/>
        <v>4</v>
      </c>
    </row>
    <row r="94" spans="1:16" ht="18" customHeight="1" x14ac:dyDescent="0.2">
      <c r="A94" s="41" t="s">
        <v>64</v>
      </c>
      <c r="B94" s="36" t="str">
        <f>'Team Selection'!F35</f>
        <v>Jodie Stivala</v>
      </c>
      <c r="C94" s="42">
        <f t="array" ref="C94">IF(OR('Day 1'!$C$6:$K$113='Encounters played'!B94),1,"")</f>
        <v>1</v>
      </c>
      <c r="D94" s="42" t="str">
        <f t="array" ref="D94">IF(OR('Day 2'!$C$6:$K$113='Encounters played'!B94),1,"")</f>
        <v/>
      </c>
      <c r="E94" s="42">
        <f t="array" ref="E94">IF(OR('Day 3'!$C$6:$K$113='Encounters played'!B94),1,"")</f>
        <v>1</v>
      </c>
      <c r="F94" s="42">
        <f t="array" ref="F94">IF(OR('Day 4'!$C$6:$K$113='Encounters played'!B94),1,"")</f>
        <v>1</v>
      </c>
      <c r="G94" s="42" t="str">
        <f t="array" ref="G94">IF(OR('Day 5'!$C$6:$K$113='Encounters played'!B94),1,"")</f>
        <v/>
      </c>
      <c r="H94" s="35">
        <f t="shared" si="10"/>
        <v>3</v>
      </c>
      <c r="I94" s="41" t="s">
        <v>64</v>
      </c>
      <c r="J94" s="36" t="str">
        <f>'Team Selection'!G35</f>
        <v>Heidi Tabone</v>
      </c>
      <c r="K94" s="42">
        <f t="array" ref="K94">IF(OR('Day 1'!$C$6:$K$113='Encounters played'!J94),1,"")</f>
        <v>1</v>
      </c>
      <c r="L94" s="42" t="str">
        <f t="array" ref="L94">IF(OR('Day 2'!$C$6:$K$113='Encounters played'!J94),1,"")</f>
        <v/>
      </c>
      <c r="M94" s="42">
        <f t="array" ref="M94">IF(OR('Day 3'!$C$6:$K$113='Encounters played'!J94),1,"")</f>
        <v>1</v>
      </c>
      <c r="N94" s="42">
        <f t="array" ref="N94">IF(OR('Day 4'!$C$6:$K$113='Encounters played'!J94),1,"")</f>
        <v>1</v>
      </c>
      <c r="O94" s="42" t="str">
        <f t="array" ref="O94">IF(OR('Day 5'!$C$6:$K$113='Encounters played'!J94),1,"")</f>
        <v/>
      </c>
      <c r="P94" s="35">
        <f t="shared" si="11"/>
        <v>3</v>
      </c>
    </row>
    <row r="95" spans="1:16" ht="18" customHeight="1" x14ac:dyDescent="0.2">
      <c r="A95" s="41" t="s">
        <v>71</v>
      </c>
      <c r="B95" s="36" t="str">
        <f>'Team Selection'!F36</f>
        <v>Claire Genovese</v>
      </c>
      <c r="C95" s="42" t="str">
        <f t="array" ref="C95">IF(OR('Day 1'!$C$6:$K$113='Encounters played'!B95),1,"")</f>
        <v/>
      </c>
      <c r="D95" s="42">
        <f t="array" ref="D95">IF(OR('Day 2'!$C$6:$K$113='Encounters played'!B95),1,"")</f>
        <v>1</v>
      </c>
      <c r="E95" s="42">
        <f t="array" ref="E95">IF(OR('Day 3'!$C$6:$K$113='Encounters played'!B95),1,"")</f>
        <v>1</v>
      </c>
      <c r="F95" s="42" t="str">
        <f t="array" ref="F95">IF(OR('Day 4'!$C$6:$K$113='Encounters played'!B95),1,"")</f>
        <v/>
      </c>
      <c r="G95" s="42">
        <f t="array" ref="G95">IF(OR('Day 5'!$C$6:$K$113='Encounters played'!B95),1,"")</f>
        <v>1</v>
      </c>
      <c r="H95" s="35">
        <f t="shared" si="10"/>
        <v>3</v>
      </c>
      <c r="I95" s="41" t="s">
        <v>71</v>
      </c>
      <c r="J95" s="36" t="str">
        <f>'Team Selection'!G36</f>
        <v>Sabrina Xuereb</v>
      </c>
      <c r="K95" s="42" t="str">
        <f t="array" ref="K95">IF(OR('Day 1'!$C$6:$K$113='Encounters played'!J95),1,"")</f>
        <v/>
      </c>
      <c r="L95" s="42">
        <f t="array" ref="L95">IF(OR('Day 2'!$C$6:$K$113='Encounters played'!J95),1,"")</f>
        <v>1</v>
      </c>
      <c r="M95" s="42">
        <f t="array" ref="M95">IF(OR('Day 3'!$C$6:$K$113='Encounters played'!J95),1,"")</f>
        <v>1</v>
      </c>
      <c r="N95" s="42" t="str">
        <f t="array" ref="N95">IF(OR('Day 4'!$C$6:$K$113='Encounters played'!J95),1,"")</f>
        <v/>
      </c>
      <c r="O95" s="42">
        <f t="array" ref="O95">IF(OR('Day 5'!$C$6:$K$113='Encounters played'!J95),1,"")</f>
        <v>1</v>
      </c>
      <c r="P95" s="35">
        <f t="shared" si="11"/>
        <v>3</v>
      </c>
    </row>
    <row r="96" spans="1:1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</sheetData>
  <mergeCells count="2">
    <mergeCell ref="A2:P2"/>
    <mergeCell ref="A3:P3"/>
  </mergeCells>
  <pageMargins left="0.7" right="0.7" top="0.75" bottom="0.75" header="0" footer="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/>
  </sheetViews>
  <sheetFormatPr defaultColWidth="12.5703125" defaultRowHeight="15" customHeight="1" x14ac:dyDescent="0.2"/>
  <cols>
    <col min="1" max="1" width="5" customWidth="1"/>
    <col min="2" max="2" width="13.140625" customWidth="1"/>
    <col min="3" max="3" width="19.85546875" customWidth="1"/>
    <col min="4" max="4" width="14" customWidth="1"/>
    <col min="5" max="5" width="7" customWidth="1"/>
    <col min="6" max="6" width="11.42578125" customWidth="1"/>
    <col min="7" max="7" width="0.85546875" customWidth="1"/>
    <col min="8" max="8" width="7" customWidth="1"/>
    <col min="9" max="9" width="11.42578125" customWidth="1"/>
    <col min="10" max="10" width="1.42578125" customWidth="1"/>
    <col min="11" max="11" width="6.42578125" customWidth="1"/>
    <col min="12" max="12" width="11.42578125" customWidth="1"/>
    <col min="13" max="13" width="0.85546875" customWidth="1"/>
    <col min="14" max="14" width="7" customWidth="1"/>
    <col min="15" max="15" width="11.42578125" customWidth="1"/>
    <col min="16" max="16" width="0.85546875" customWidth="1"/>
    <col min="17" max="17" width="7" customWidth="1"/>
    <col min="18" max="18" width="11.42578125" customWidth="1"/>
    <col min="19" max="19" width="0.85546875" customWidth="1"/>
    <col min="20" max="20" width="14.28515625" customWidth="1"/>
    <col min="21" max="22" width="7.5703125" customWidth="1"/>
  </cols>
  <sheetData>
    <row r="1" spans="1:22" ht="14.25" customHeight="1" x14ac:dyDescent="0.2">
      <c r="B1" s="50"/>
      <c r="C1" s="50"/>
      <c r="D1" s="51"/>
    </row>
    <row r="2" spans="1:22" ht="23.25" customHeight="1" x14ac:dyDescent="0.35">
      <c r="B2" s="130" t="s">
        <v>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</row>
    <row r="3" spans="1:22" ht="19.5" customHeight="1" x14ac:dyDescent="0.2">
      <c r="B3" s="139" t="s">
        <v>1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</row>
    <row r="4" spans="1:22" ht="14.25" customHeight="1" x14ac:dyDescent="0.2">
      <c r="B4" s="50"/>
      <c r="C4" s="50"/>
      <c r="D4" s="52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U4" s="48"/>
    </row>
    <row r="5" spans="1:22" ht="15" customHeight="1" x14ac:dyDescent="0.2">
      <c r="B5" s="50"/>
      <c r="C5" s="50"/>
      <c r="D5" s="51"/>
      <c r="U5" s="48"/>
    </row>
    <row r="6" spans="1:22" ht="12.75" customHeight="1" x14ac:dyDescent="0.2">
      <c r="B6" s="53"/>
      <c r="C6" s="54"/>
      <c r="D6" s="149" t="s">
        <v>166</v>
      </c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1"/>
    </row>
    <row r="7" spans="1:22" ht="12.75" customHeight="1" x14ac:dyDescent="0.2">
      <c r="B7" s="55"/>
      <c r="C7" s="56"/>
      <c r="D7" s="152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4"/>
      <c r="U7" s="48"/>
    </row>
    <row r="8" spans="1:22" ht="23.25" customHeight="1" x14ac:dyDescent="0.25">
      <c r="A8" s="57"/>
      <c r="B8" s="58"/>
      <c r="C8" s="59"/>
      <c r="D8" s="60"/>
      <c r="E8" s="61" t="s">
        <v>167</v>
      </c>
      <c r="F8" s="61" t="s">
        <v>168</v>
      </c>
      <c r="G8" s="14"/>
      <c r="H8" s="61" t="s">
        <v>169</v>
      </c>
      <c r="I8" s="61" t="s">
        <v>170</v>
      </c>
      <c r="J8" s="62"/>
      <c r="K8" s="61" t="s">
        <v>171</v>
      </c>
      <c r="L8" s="61" t="s">
        <v>172</v>
      </c>
      <c r="M8" s="14"/>
      <c r="N8" s="61" t="s">
        <v>173</v>
      </c>
      <c r="O8" s="61" t="s">
        <v>174</v>
      </c>
      <c r="P8" s="14"/>
      <c r="Q8" s="61" t="s">
        <v>175</v>
      </c>
      <c r="R8" s="61" t="s">
        <v>176</v>
      </c>
      <c r="S8" s="14"/>
      <c r="T8" s="63" t="s">
        <v>177</v>
      </c>
      <c r="U8" s="57"/>
      <c r="V8" s="57"/>
    </row>
    <row r="9" spans="1:22" ht="15.75" customHeight="1" x14ac:dyDescent="0.25">
      <c r="A9" s="39"/>
      <c r="B9" s="64"/>
      <c r="C9" s="65"/>
      <c r="D9" s="66"/>
      <c r="E9" s="67" t="s">
        <v>178</v>
      </c>
      <c r="F9" s="67" t="s">
        <v>178</v>
      </c>
      <c r="G9" s="68"/>
      <c r="H9" s="67" t="s">
        <v>178</v>
      </c>
      <c r="I9" s="67" t="s">
        <v>178</v>
      </c>
      <c r="J9" s="62"/>
      <c r="K9" s="67" t="s">
        <v>178</v>
      </c>
      <c r="L9" s="67" t="s">
        <v>178</v>
      </c>
      <c r="M9" s="68"/>
      <c r="N9" s="67" t="s">
        <v>178</v>
      </c>
      <c r="O9" s="67" t="s">
        <v>178</v>
      </c>
      <c r="P9" s="68"/>
      <c r="Q9" s="67" t="s">
        <v>178</v>
      </c>
      <c r="R9" s="67" t="s">
        <v>178</v>
      </c>
      <c r="S9" s="68"/>
      <c r="T9" s="67" t="s">
        <v>178</v>
      </c>
      <c r="U9" s="39"/>
      <c r="V9" s="39"/>
    </row>
    <row r="10" spans="1:22" ht="7.5" customHeight="1" x14ac:dyDescent="0.25">
      <c r="A10" s="39"/>
      <c r="B10" s="69"/>
      <c r="C10" s="65"/>
      <c r="D10" s="66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1"/>
      <c r="U10" s="39"/>
      <c r="V10" s="39"/>
    </row>
    <row r="11" spans="1:22" ht="36" customHeight="1" x14ac:dyDescent="0.2">
      <c r="A11" s="39"/>
      <c r="B11" s="143" t="s">
        <v>179</v>
      </c>
      <c r="C11" s="145" t="str">
        <f>'Team Selection'!B4</f>
        <v>Grace Barbara</v>
      </c>
      <c r="D11" s="72" t="s">
        <v>180</v>
      </c>
      <c r="E11" s="73">
        <f>SUM('Day 1'!J25)</f>
        <v>34</v>
      </c>
      <c r="F11" s="147">
        <f>E11+E12</f>
        <v>66</v>
      </c>
      <c r="G11" s="74"/>
      <c r="H11" s="73">
        <f>SUM('Day 2'!J60)</f>
        <v>32</v>
      </c>
      <c r="I11" s="147">
        <f>H11+H12</f>
        <v>64</v>
      </c>
      <c r="J11" s="75"/>
      <c r="K11" s="73">
        <f>SUM('Day 3'!J95)</f>
        <v>35</v>
      </c>
      <c r="L11" s="147">
        <f>K11+K12</f>
        <v>79</v>
      </c>
      <c r="M11" s="74"/>
      <c r="N11" s="73">
        <f>SUM('Day 4'!J95)</f>
        <v>45</v>
      </c>
      <c r="O11" s="140">
        <f>N11+N12</f>
        <v>82</v>
      </c>
      <c r="P11" s="74"/>
      <c r="Q11" s="73">
        <f>SUM('Day 5'!J25)</f>
        <v>33</v>
      </c>
      <c r="R11" s="147">
        <f>Q11+Q12</f>
        <v>75</v>
      </c>
      <c r="S11" s="74"/>
      <c r="T11" s="140">
        <f>+F11+I11+L11+O11+R11</f>
        <v>366</v>
      </c>
      <c r="U11" s="142"/>
      <c r="V11" s="39"/>
    </row>
    <row r="12" spans="1:22" ht="36" customHeight="1" x14ac:dyDescent="0.2">
      <c r="A12" s="39"/>
      <c r="B12" s="144"/>
      <c r="C12" s="146"/>
      <c r="D12" s="72" t="s">
        <v>181</v>
      </c>
      <c r="E12" s="73">
        <f>SUM('Day 1'!J40)</f>
        <v>32</v>
      </c>
      <c r="F12" s="141"/>
      <c r="G12" s="74"/>
      <c r="H12" s="73">
        <f>SUM('Day 2'!J75)</f>
        <v>32</v>
      </c>
      <c r="I12" s="141"/>
      <c r="J12" s="75"/>
      <c r="K12" s="73">
        <f>SUM('Day 3'!J110)</f>
        <v>44</v>
      </c>
      <c r="L12" s="141"/>
      <c r="M12" s="74"/>
      <c r="N12" s="73">
        <f>SUM('Day 4'!J110)</f>
        <v>37</v>
      </c>
      <c r="O12" s="141"/>
      <c r="P12" s="74"/>
      <c r="Q12" s="73">
        <f>SUM('Day 5'!J40)</f>
        <v>42</v>
      </c>
      <c r="R12" s="141"/>
      <c r="S12" s="74"/>
      <c r="T12" s="141"/>
      <c r="U12" s="131"/>
      <c r="V12" s="39"/>
    </row>
    <row r="13" spans="1:22" ht="12.75" customHeight="1" x14ac:dyDescent="0.3">
      <c r="A13" s="39"/>
      <c r="B13" s="77"/>
      <c r="C13" s="78"/>
      <c r="D13" s="79"/>
      <c r="E13" s="80"/>
      <c r="F13" s="80"/>
      <c r="G13" s="81"/>
      <c r="H13" s="80"/>
      <c r="I13" s="80"/>
      <c r="J13" s="80"/>
      <c r="K13" s="80"/>
      <c r="L13" s="80"/>
      <c r="M13" s="81"/>
      <c r="N13" s="80"/>
      <c r="O13" s="80"/>
      <c r="P13" s="81"/>
      <c r="Q13" s="80"/>
      <c r="R13" s="80"/>
      <c r="S13" s="81"/>
      <c r="T13" s="80"/>
      <c r="U13" s="82"/>
      <c r="V13" s="39"/>
    </row>
    <row r="14" spans="1:22" ht="36" customHeight="1" x14ac:dyDescent="0.3">
      <c r="A14" s="39"/>
      <c r="B14" s="143" t="s">
        <v>182</v>
      </c>
      <c r="C14" s="145" t="str">
        <f>'Team Selection'!C4</f>
        <v>Francesca Sciortino</v>
      </c>
      <c r="D14" s="72" t="s">
        <v>180</v>
      </c>
      <c r="E14" s="73">
        <f>SUM('Day 1'!J95)</f>
        <v>34</v>
      </c>
      <c r="F14" s="140">
        <f>E14+E15</f>
        <v>63</v>
      </c>
      <c r="G14" s="81"/>
      <c r="H14" s="73">
        <f>SUM('Day 2'!J25)</f>
        <v>38</v>
      </c>
      <c r="I14" s="147">
        <f>H14+H15</f>
        <v>80</v>
      </c>
      <c r="J14" s="75"/>
      <c r="K14" s="73">
        <f>SUM('Day 3'!J60)</f>
        <v>42</v>
      </c>
      <c r="L14" s="140">
        <f>K14+K15</f>
        <v>77</v>
      </c>
      <c r="M14" s="81"/>
      <c r="N14" s="73">
        <f>SUM('Day 4'!K95)</f>
        <v>28</v>
      </c>
      <c r="O14" s="140">
        <f>N14+N15</f>
        <v>63</v>
      </c>
      <c r="P14" s="81"/>
      <c r="Q14" s="73">
        <f>SUM('Day 5'!J60)</f>
        <v>38</v>
      </c>
      <c r="R14" s="140">
        <f>Q14+Q15</f>
        <v>79</v>
      </c>
      <c r="S14" s="81"/>
      <c r="T14" s="140">
        <f>+F14+I14+L14+O14+R14</f>
        <v>362</v>
      </c>
      <c r="U14" s="82"/>
      <c r="V14" s="39"/>
    </row>
    <row r="15" spans="1:22" ht="36" customHeight="1" x14ac:dyDescent="0.3">
      <c r="A15" s="39"/>
      <c r="B15" s="144"/>
      <c r="C15" s="146"/>
      <c r="D15" s="72" t="s">
        <v>181</v>
      </c>
      <c r="E15" s="73">
        <f>SUM('Day 1'!J110)</f>
        <v>29</v>
      </c>
      <c r="F15" s="141"/>
      <c r="G15" s="81"/>
      <c r="H15" s="73">
        <f>'Day 2'!J40</f>
        <v>42</v>
      </c>
      <c r="I15" s="141"/>
      <c r="J15" s="75"/>
      <c r="K15" s="73">
        <f>SUM('Day 3'!J75)</f>
        <v>35</v>
      </c>
      <c r="L15" s="141"/>
      <c r="M15" s="81"/>
      <c r="N15" s="73">
        <f>SUM('Day 4'!K110)</f>
        <v>35</v>
      </c>
      <c r="O15" s="141"/>
      <c r="P15" s="81"/>
      <c r="Q15" s="73">
        <f>'Day 5'!J75</f>
        <v>41</v>
      </c>
      <c r="R15" s="141"/>
      <c r="S15" s="81"/>
      <c r="T15" s="141"/>
      <c r="U15" s="83"/>
      <c r="V15" s="39"/>
    </row>
    <row r="16" spans="1:22" ht="12.75" customHeight="1" x14ac:dyDescent="0.3">
      <c r="A16" s="39"/>
      <c r="B16" s="77"/>
      <c r="C16" s="78"/>
      <c r="D16" s="79"/>
      <c r="E16" s="80"/>
      <c r="F16" s="80"/>
      <c r="G16" s="81"/>
      <c r="H16" s="80"/>
      <c r="I16" s="80"/>
      <c r="J16" s="80"/>
      <c r="K16" s="80"/>
      <c r="L16" s="80"/>
      <c r="M16" s="81"/>
      <c r="N16" s="80"/>
      <c r="O16" s="80"/>
      <c r="P16" s="81"/>
      <c r="Q16" s="80"/>
      <c r="R16" s="80"/>
      <c r="S16" s="81"/>
      <c r="T16" s="80"/>
      <c r="U16" s="82"/>
      <c r="V16" s="39"/>
    </row>
    <row r="17" spans="1:22" ht="36" customHeight="1" x14ac:dyDescent="0.3">
      <c r="A17" s="39"/>
      <c r="B17" s="143" t="s">
        <v>183</v>
      </c>
      <c r="C17" s="145" t="str">
        <f>'Team Selection'!D4</f>
        <v>Victor Rutter</v>
      </c>
      <c r="D17" s="72" t="s">
        <v>180</v>
      </c>
      <c r="E17" s="73">
        <f>SUM('Day 1'!K25)</f>
        <v>38</v>
      </c>
      <c r="F17" s="140">
        <f>E17+E18</f>
        <v>79</v>
      </c>
      <c r="G17" s="81"/>
      <c r="H17" s="73">
        <f>SUM('Day 2'!J95)</f>
        <v>37</v>
      </c>
      <c r="I17" s="147">
        <f>H17+H18</f>
        <v>73</v>
      </c>
      <c r="J17" s="75"/>
      <c r="K17" s="73">
        <f>SUM('Day 3'!J25)</f>
        <v>42</v>
      </c>
      <c r="L17" s="140">
        <f>K17+K18</f>
        <v>67</v>
      </c>
      <c r="M17" s="81"/>
      <c r="N17" s="73">
        <f>SUM('Day 4'!J60)</f>
        <v>33</v>
      </c>
      <c r="O17" s="140">
        <f>N17+N18</f>
        <v>58</v>
      </c>
      <c r="P17" s="81"/>
      <c r="Q17" s="73">
        <f>SUM('Day 5'!K60)</f>
        <v>34</v>
      </c>
      <c r="R17" s="140">
        <f>Q17+Q18</f>
        <v>66</v>
      </c>
      <c r="S17" s="81"/>
      <c r="T17" s="140">
        <f>+F17+I17+L17+O17+R17</f>
        <v>343</v>
      </c>
      <c r="U17" s="82"/>
      <c r="V17" s="39"/>
    </row>
    <row r="18" spans="1:22" ht="36" customHeight="1" x14ac:dyDescent="0.3">
      <c r="A18" s="39"/>
      <c r="B18" s="144"/>
      <c r="C18" s="146"/>
      <c r="D18" s="72" t="s">
        <v>181</v>
      </c>
      <c r="E18" s="73">
        <f>SUM('Day 1'!K40)</f>
        <v>41</v>
      </c>
      <c r="F18" s="141"/>
      <c r="G18" s="81"/>
      <c r="H18" s="73">
        <f>'Day 2'!J110</f>
        <v>36</v>
      </c>
      <c r="I18" s="141"/>
      <c r="J18" s="75"/>
      <c r="K18" s="73">
        <f>SUM('Day 3'!J40)</f>
        <v>25</v>
      </c>
      <c r="L18" s="141"/>
      <c r="M18" s="81"/>
      <c r="N18" s="73">
        <f>SUM('Day 4'!J75)</f>
        <v>25</v>
      </c>
      <c r="O18" s="141"/>
      <c r="P18" s="81"/>
      <c r="Q18" s="73">
        <f>'Day 5'!K75</f>
        <v>32</v>
      </c>
      <c r="R18" s="141"/>
      <c r="S18" s="81"/>
      <c r="T18" s="141"/>
      <c r="U18" s="83"/>
      <c r="V18" s="39"/>
    </row>
    <row r="19" spans="1:22" ht="12.75" customHeight="1" x14ac:dyDescent="0.3">
      <c r="A19" s="39"/>
      <c r="B19" s="77"/>
      <c r="C19" s="78"/>
      <c r="D19" s="79"/>
      <c r="E19" s="80"/>
      <c r="F19" s="80"/>
      <c r="G19" s="81"/>
      <c r="H19" s="80"/>
      <c r="I19" s="80"/>
      <c r="J19" s="80"/>
      <c r="K19" s="80"/>
      <c r="L19" s="80"/>
      <c r="M19" s="81"/>
      <c r="N19" s="80"/>
      <c r="O19" s="80"/>
      <c r="P19" s="81"/>
      <c r="Q19" s="80"/>
      <c r="R19" s="80"/>
      <c r="S19" s="81"/>
      <c r="T19" s="80"/>
      <c r="U19" s="82"/>
      <c r="V19" s="39"/>
    </row>
    <row r="20" spans="1:22" ht="36" customHeight="1" x14ac:dyDescent="0.2">
      <c r="A20" s="39"/>
      <c r="B20" s="143" t="s">
        <v>184</v>
      </c>
      <c r="C20" s="145" t="str">
        <f>'Team Selection'!E4</f>
        <v>Roberto Murdocco</v>
      </c>
      <c r="D20" s="72" t="s">
        <v>180</v>
      </c>
      <c r="E20" s="73">
        <f>SUM('Day 1'!J60)</f>
        <v>33</v>
      </c>
      <c r="F20" s="140">
        <f>E20+E21</f>
        <v>68</v>
      </c>
      <c r="G20" s="81"/>
      <c r="H20" s="73">
        <f>SUM('Day 2'!K95)</f>
        <v>36</v>
      </c>
      <c r="I20" s="147">
        <f>H20+H21</f>
        <v>72</v>
      </c>
      <c r="J20" s="75"/>
      <c r="K20" s="73">
        <f>SUM('Day 3'!K60)</f>
        <v>31</v>
      </c>
      <c r="L20" s="140">
        <f>K20+K21</f>
        <v>68</v>
      </c>
      <c r="M20" s="81"/>
      <c r="N20" s="73">
        <f>SUM('Day 4'!J25)</f>
        <v>40</v>
      </c>
      <c r="O20" s="140">
        <f>N20+N21</f>
        <v>77</v>
      </c>
      <c r="P20" s="81"/>
      <c r="Q20" s="73">
        <f>SUM('Day 5'!K25)</f>
        <v>39</v>
      </c>
      <c r="R20" s="140">
        <f>Q20+Q21</f>
        <v>70</v>
      </c>
      <c r="S20" s="81"/>
      <c r="T20" s="140">
        <f>+F20+I20+L20+O20+R20</f>
        <v>355</v>
      </c>
      <c r="U20" s="142"/>
      <c r="V20" s="39"/>
    </row>
    <row r="21" spans="1:22" ht="36" customHeight="1" x14ac:dyDescent="0.2">
      <c r="A21" s="39"/>
      <c r="B21" s="144"/>
      <c r="C21" s="146"/>
      <c r="D21" s="72" t="s">
        <v>181</v>
      </c>
      <c r="E21" s="73">
        <f>SUM('Day 1'!J75)</f>
        <v>35</v>
      </c>
      <c r="F21" s="141"/>
      <c r="G21" s="81"/>
      <c r="H21" s="73">
        <f>'Day 2'!K110</f>
        <v>36</v>
      </c>
      <c r="I21" s="141"/>
      <c r="J21" s="75"/>
      <c r="K21" s="73">
        <f>SUM('Day 3'!K75)</f>
        <v>37</v>
      </c>
      <c r="L21" s="141"/>
      <c r="M21" s="81"/>
      <c r="N21" s="73">
        <f>SUM('Day 4'!J40)</f>
        <v>37</v>
      </c>
      <c r="O21" s="141"/>
      <c r="P21" s="81"/>
      <c r="Q21" s="73">
        <f>SUM('Day 5'!K40)</f>
        <v>31</v>
      </c>
      <c r="R21" s="141"/>
      <c r="S21" s="81"/>
      <c r="T21" s="141"/>
      <c r="U21" s="131"/>
      <c r="V21" s="39"/>
    </row>
    <row r="22" spans="1:22" ht="12.75" customHeight="1" x14ac:dyDescent="0.2">
      <c r="A22" s="39"/>
      <c r="B22" s="77"/>
      <c r="C22" s="78"/>
      <c r="D22" s="79"/>
      <c r="E22" s="80"/>
      <c r="F22" s="80"/>
      <c r="G22" s="81"/>
      <c r="H22" s="80"/>
      <c r="I22" s="80"/>
      <c r="J22" s="80"/>
      <c r="K22" s="80"/>
      <c r="L22" s="80"/>
      <c r="M22" s="81"/>
      <c r="N22" s="80"/>
      <c r="O22" s="80"/>
      <c r="P22" s="81"/>
      <c r="Q22" s="80"/>
      <c r="R22" s="80"/>
      <c r="S22" s="81"/>
      <c r="T22" s="80"/>
      <c r="U22" s="76"/>
      <c r="V22" s="39"/>
    </row>
    <row r="23" spans="1:22" ht="36" customHeight="1" x14ac:dyDescent="0.2">
      <c r="A23" s="39"/>
      <c r="B23" s="143" t="s">
        <v>185</v>
      </c>
      <c r="C23" s="145" t="str">
        <f>'Team Selection'!F4</f>
        <v>Darrell Pace</v>
      </c>
      <c r="D23" s="72" t="s">
        <v>180</v>
      </c>
      <c r="E23" s="73">
        <f>SUM('Day 1'!K60)</f>
        <v>39</v>
      </c>
      <c r="F23" s="140">
        <f>E23+E24</f>
        <v>77</v>
      </c>
      <c r="G23" s="81"/>
      <c r="H23" s="73">
        <f>SUM('Day 2'!K25)</f>
        <v>35</v>
      </c>
      <c r="I23" s="147">
        <f>H23+H24</f>
        <v>65</v>
      </c>
      <c r="J23" s="75"/>
      <c r="K23" s="73">
        <f>SUM('Day 3'!K95)</f>
        <v>37</v>
      </c>
      <c r="L23" s="140">
        <f>K23+K24</f>
        <v>66</v>
      </c>
      <c r="M23" s="81"/>
      <c r="N23" s="73">
        <f>SUM('Day 4'!K60)</f>
        <v>39</v>
      </c>
      <c r="O23" s="140">
        <f>N23+N24</f>
        <v>87</v>
      </c>
      <c r="P23" s="81"/>
      <c r="Q23" s="73">
        <f>SUM('Day 5'!J95)</f>
        <v>40</v>
      </c>
      <c r="R23" s="140">
        <f>Q23+Q24</f>
        <v>77</v>
      </c>
      <c r="S23" s="81"/>
      <c r="T23" s="140">
        <f>+F23+I23+L23+O23+R23</f>
        <v>372</v>
      </c>
      <c r="U23" s="142"/>
      <c r="V23" s="39"/>
    </row>
    <row r="24" spans="1:22" ht="36" customHeight="1" x14ac:dyDescent="0.2">
      <c r="A24" s="39"/>
      <c r="B24" s="144"/>
      <c r="C24" s="146"/>
      <c r="D24" s="72" t="s">
        <v>181</v>
      </c>
      <c r="E24" s="73">
        <f>SUM('Day 1'!K75)</f>
        <v>38</v>
      </c>
      <c r="F24" s="141"/>
      <c r="G24" s="81"/>
      <c r="H24" s="73">
        <f>'Day 2'!K40</f>
        <v>30</v>
      </c>
      <c r="I24" s="141"/>
      <c r="J24" s="75"/>
      <c r="K24" s="73">
        <f>SUM('Day 3'!K110)</f>
        <v>29</v>
      </c>
      <c r="L24" s="141"/>
      <c r="M24" s="81"/>
      <c r="N24" s="73">
        <f>SUM('Day 4'!K75)</f>
        <v>48</v>
      </c>
      <c r="O24" s="141"/>
      <c r="P24" s="81"/>
      <c r="Q24" s="73">
        <f>SUM('Day 5'!J110)</f>
        <v>37</v>
      </c>
      <c r="R24" s="141"/>
      <c r="S24" s="81"/>
      <c r="T24" s="141"/>
      <c r="U24" s="131"/>
      <c r="V24" s="39"/>
    </row>
    <row r="25" spans="1:22" ht="12.75" customHeight="1" x14ac:dyDescent="0.2">
      <c r="A25" s="39"/>
      <c r="B25" s="77"/>
      <c r="C25" s="78"/>
      <c r="D25" s="79"/>
      <c r="E25" s="80"/>
      <c r="F25" s="80"/>
      <c r="G25" s="81"/>
      <c r="H25" s="80"/>
      <c r="I25" s="80"/>
      <c r="J25" s="80"/>
      <c r="K25" s="80"/>
      <c r="L25" s="80"/>
      <c r="M25" s="81"/>
      <c r="N25" s="80"/>
      <c r="O25" s="80"/>
      <c r="P25" s="81"/>
      <c r="Q25" s="80"/>
      <c r="R25" s="80"/>
      <c r="S25" s="81"/>
      <c r="T25" s="80"/>
      <c r="U25" s="76"/>
      <c r="V25" s="39"/>
    </row>
    <row r="26" spans="1:22" ht="36" customHeight="1" x14ac:dyDescent="0.2">
      <c r="A26" s="39"/>
      <c r="B26" s="143" t="s">
        <v>186</v>
      </c>
      <c r="C26" s="145" t="str">
        <f>'Team Selection'!G4</f>
        <v>Tiziana Anastasi</v>
      </c>
      <c r="D26" s="72" t="s">
        <v>180</v>
      </c>
      <c r="E26" s="73">
        <f>SUM('Day 1'!K95)</f>
        <v>39</v>
      </c>
      <c r="F26" s="140">
        <f>E26+E27</f>
        <v>82</v>
      </c>
      <c r="G26" s="81"/>
      <c r="H26" s="73">
        <f>SUM('Day 2'!K60)</f>
        <v>41</v>
      </c>
      <c r="I26" s="147">
        <f>H26+H27</f>
        <v>81</v>
      </c>
      <c r="J26" s="75"/>
      <c r="K26" s="73">
        <f>SUM('Day 3'!K25)</f>
        <v>31</v>
      </c>
      <c r="L26" s="140">
        <f>K26+K27</f>
        <v>78</v>
      </c>
      <c r="M26" s="81"/>
      <c r="N26" s="73">
        <f>SUM('Day 4'!K25)</f>
        <v>32</v>
      </c>
      <c r="O26" s="140">
        <f>N26+N27</f>
        <v>68</v>
      </c>
      <c r="P26" s="81"/>
      <c r="Q26" s="73">
        <f>SUM('Day 5'!K95)</f>
        <v>32</v>
      </c>
      <c r="R26" s="140">
        <f>Q26+Q27</f>
        <v>68</v>
      </c>
      <c r="S26" s="81"/>
      <c r="T26" s="140">
        <f>+F26+I26+L26+O26+R26</f>
        <v>377</v>
      </c>
      <c r="U26" s="142"/>
      <c r="V26" s="39"/>
    </row>
    <row r="27" spans="1:22" ht="36" customHeight="1" x14ac:dyDescent="0.2">
      <c r="A27" s="39"/>
      <c r="B27" s="148"/>
      <c r="C27" s="146"/>
      <c r="D27" s="72" t="s">
        <v>181</v>
      </c>
      <c r="E27" s="73">
        <f>SUM('Day 1'!K110)</f>
        <v>43</v>
      </c>
      <c r="F27" s="141"/>
      <c r="G27" s="81"/>
      <c r="H27" s="73">
        <f>'Day 2'!K75</f>
        <v>40</v>
      </c>
      <c r="I27" s="141"/>
      <c r="J27" s="75"/>
      <c r="K27" s="73">
        <f>SUM('Day 3'!K40)</f>
        <v>47</v>
      </c>
      <c r="L27" s="141"/>
      <c r="M27" s="81"/>
      <c r="N27" s="73">
        <f>SUM('Day 4'!K40)</f>
        <v>36</v>
      </c>
      <c r="O27" s="141"/>
      <c r="P27" s="81"/>
      <c r="Q27" s="73">
        <f>SUM('Day 5'!K110)</f>
        <v>36</v>
      </c>
      <c r="R27" s="141"/>
      <c r="S27" s="81"/>
      <c r="T27" s="141"/>
      <c r="U27" s="131"/>
      <c r="V27" s="39"/>
    </row>
    <row r="28" spans="1:22" ht="12.75" customHeight="1" x14ac:dyDescent="0.2">
      <c r="A28" s="39"/>
      <c r="B28" s="84"/>
      <c r="C28" s="85"/>
      <c r="D28" s="86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7"/>
      <c r="Q28" s="88"/>
      <c r="R28" s="87"/>
      <c r="S28" s="87"/>
      <c r="T28" s="88"/>
      <c r="U28" s="39"/>
      <c r="V28" s="39"/>
    </row>
    <row r="29" spans="1:22" ht="15" customHeight="1" x14ac:dyDescent="0.2">
      <c r="B29" s="89"/>
      <c r="C29" s="89"/>
      <c r="D29" s="90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1:22" ht="14.25" customHeight="1" x14ac:dyDescent="0.2">
      <c r="B30" s="50"/>
      <c r="C30" s="50"/>
      <c r="D30" s="51"/>
    </row>
    <row r="31" spans="1:22" ht="14.25" customHeight="1" x14ac:dyDescent="0.2">
      <c r="B31" s="50"/>
      <c r="C31" s="50"/>
      <c r="D31" s="51"/>
    </row>
    <row r="32" spans="1:22" ht="18" customHeight="1" x14ac:dyDescent="0.25">
      <c r="B32" s="155"/>
      <c r="C32" s="131"/>
      <c r="D32" s="131"/>
      <c r="E32" s="131"/>
      <c r="F32" s="131"/>
    </row>
    <row r="33" spans="2:4" ht="18" customHeight="1" x14ac:dyDescent="0.25">
      <c r="B33" s="156" t="s">
        <v>187</v>
      </c>
      <c r="C33" s="126"/>
      <c r="D33" s="93"/>
    </row>
    <row r="34" spans="2:4" ht="18" customHeight="1" x14ac:dyDescent="0.25">
      <c r="B34" s="92"/>
      <c r="C34" s="92"/>
      <c r="D34" s="51"/>
    </row>
    <row r="35" spans="2:4" ht="18" customHeight="1" x14ac:dyDescent="0.25">
      <c r="B35" s="156" t="s">
        <v>188</v>
      </c>
      <c r="C35" s="126"/>
      <c r="D35" s="94"/>
    </row>
    <row r="36" spans="2:4" ht="14.25" customHeight="1" x14ac:dyDescent="0.2">
      <c r="B36" s="50"/>
      <c r="C36" s="50"/>
      <c r="D36" s="51"/>
    </row>
    <row r="37" spans="2:4" ht="14.25" customHeight="1" x14ac:dyDescent="0.2">
      <c r="B37" s="50"/>
      <c r="C37" s="50"/>
      <c r="D37" s="51"/>
    </row>
    <row r="38" spans="2:4" ht="18" customHeight="1" x14ac:dyDescent="0.25">
      <c r="B38" s="92"/>
      <c r="C38" s="92"/>
      <c r="D38" s="51"/>
    </row>
    <row r="39" spans="2:4" ht="14.25" customHeight="1" x14ac:dyDescent="0.2">
      <c r="B39" s="50"/>
      <c r="C39" s="50"/>
      <c r="D39" s="51"/>
    </row>
    <row r="40" spans="2:4" ht="14.25" customHeight="1" x14ac:dyDescent="0.2">
      <c r="B40" s="50"/>
      <c r="C40" s="50"/>
      <c r="D40" s="51"/>
    </row>
    <row r="41" spans="2:4" ht="14.25" customHeight="1" x14ac:dyDescent="0.2">
      <c r="B41" s="50"/>
      <c r="C41" s="50"/>
      <c r="D41" s="51"/>
    </row>
    <row r="42" spans="2:4" ht="14.25" customHeight="1" x14ac:dyDescent="0.2">
      <c r="B42" s="50"/>
      <c r="C42" s="50"/>
      <c r="D42" s="51"/>
    </row>
    <row r="43" spans="2:4" ht="14.25" customHeight="1" x14ac:dyDescent="0.2">
      <c r="B43" s="50"/>
      <c r="C43" s="50"/>
      <c r="D43" s="51"/>
    </row>
    <row r="44" spans="2:4" ht="14.25" customHeight="1" x14ac:dyDescent="0.2">
      <c r="B44" s="50"/>
      <c r="C44" s="50"/>
      <c r="D44" s="51"/>
    </row>
    <row r="45" spans="2:4" ht="14.25" customHeight="1" x14ac:dyDescent="0.2">
      <c r="B45" s="50"/>
      <c r="C45" s="50"/>
      <c r="D45" s="51"/>
    </row>
    <row r="46" spans="2:4" ht="14.25" customHeight="1" x14ac:dyDescent="0.2">
      <c r="B46" s="50"/>
      <c r="C46" s="50"/>
      <c r="D46" s="51"/>
    </row>
    <row r="47" spans="2:4" ht="14.25" customHeight="1" x14ac:dyDescent="0.2">
      <c r="B47" s="50"/>
      <c r="C47" s="50"/>
      <c r="D47" s="51"/>
    </row>
    <row r="48" spans="2:4" ht="14.25" customHeight="1" x14ac:dyDescent="0.2">
      <c r="B48" s="50"/>
      <c r="C48" s="50"/>
      <c r="D48" s="51"/>
    </row>
    <row r="49" spans="2:4" ht="14.25" customHeight="1" x14ac:dyDescent="0.2">
      <c r="B49" s="50"/>
      <c r="C49" s="50"/>
      <c r="D49" s="51"/>
    </row>
    <row r="50" spans="2:4" ht="14.25" customHeight="1" x14ac:dyDescent="0.2">
      <c r="B50" s="50"/>
      <c r="C50" s="50"/>
      <c r="D50" s="51"/>
    </row>
    <row r="51" spans="2:4" ht="14.25" customHeight="1" x14ac:dyDescent="0.2">
      <c r="B51" s="50"/>
      <c r="C51" s="50"/>
      <c r="D51" s="51"/>
    </row>
    <row r="52" spans="2:4" ht="14.25" customHeight="1" x14ac:dyDescent="0.2">
      <c r="B52" s="50"/>
      <c r="C52" s="50"/>
      <c r="D52" s="51"/>
    </row>
    <row r="53" spans="2:4" ht="14.25" customHeight="1" x14ac:dyDescent="0.2">
      <c r="B53" s="50"/>
      <c r="C53" s="50"/>
      <c r="D53" s="51"/>
    </row>
    <row r="54" spans="2:4" ht="14.25" customHeight="1" x14ac:dyDescent="0.2">
      <c r="B54" s="50"/>
      <c r="C54" s="50"/>
      <c r="D54" s="51"/>
    </row>
    <row r="55" spans="2:4" ht="14.25" customHeight="1" x14ac:dyDescent="0.2">
      <c r="B55" s="50"/>
      <c r="C55" s="50"/>
      <c r="D55" s="51"/>
    </row>
    <row r="56" spans="2:4" ht="14.25" customHeight="1" x14ac:dyDescent="0.2">
      <c r="B56" s="50"/>
      <c r="C56" s="50"/>
      <c r="D56" s="51"/>
    </row>
    <row r="57" spans="2:4" ht="14.25" customHeight="1" x14ac:dyDescent="0.2">
      <c r="B57" s="50"/>
      <c r="C57" s="50"/>
      <c r="D57" s="51"/>
    </row>
    <row r="58" spans="2:4" ht="14.25" customHeight="1" x14ac:dyDescent="0.2">
      <c r="B58" s="50"/>
      <c r="C58" s="50"/>
      <c r="D58" s="51"/>
    </row>
    <row r="59" spans="2:4" ht="14.25" customHeight="1" x14ac:dyDescent="0.2">
      <c r="B59" s="50"/>
      <c r="C59" s="50"/>
      <c r="D59" s="51"/>
    </row>
    <row r="60" spans="2:4" ht="14.25" customHeight="1" x14ac:dyDescent="0.2">
      <c r="B60" s="50"/>
      <c r="C60" s="50"/>
      <c r="D60" s="51"/>
    </row>
    <row r="61" spans="2:4" ht="14.25" customHeight="1" x14ac:dyDescent="0.2">
      <c r="B61" s="50"/>
      <c r="C61" s="50"/>
      <c r="D61" s="51"/>
    </row>
    <row r="62" spans="2:4" ht="14.25" customHeight="1" x14ac:dyDescent="0.2">
      <c r="B62" s="50"/>
      <c r="C62" s="50"/>
      <c r="D62" s="51"/>
    </row>
    <row r="63" spans="2:4" ht="14.25" customHeight="1" x14ac:dyDescent="0.2">
      <c r="B63" s="50"/>
      <c r="C63" s="50"/>
      <c r="D63" s="51"/>
    </row>
    <row r="64" spans="2:4" ht="14.25" customHeight="1" x14ac:dyDescent="0.2">
      <c r="B64" s="50"/>
      <c r="C64" s="50"/>
      <c r="D64" s="51"/>
    </row>
    <row r="65" spans="2:4" ht="14.25" customHeight="1" x14ac:dyDescent="0.2">
      <c r="B65" s="50"/>
      <c r="C65" s="50"/>
      <c r="D65" s="51"/>
    </row>
    <row r="66" spans="2:4" ht="14.25" customHeight="1" x14ac:dyDescent="0.2">
      <c r="B66" s="50"/>
      <c r="C66" s="50"/>
      <c r="D66" s="51"/>
    </row>
    <row r="67" spans="2:4" ht="14.25" customHeight="1" x14ac:dyDescent="0.2">
      <c r="B67" s="50"/>
      <c r="C67" s="50"/>
      <c r="D67" s="51"/>
    </row>
    <row r="68" spans="2:4" ht="14.25" customHeight="1" x14ac:dyDescent="0.2">
      <c r="B68" s="50"/>
      <c r="C68" s="50"/>
      <c r="D68" s="51"/>
    </row>
    <row r="69" spans="2:4" ht="14.25" customHeight="1" x14ac:dyDescent="0.2">
      <c r="B69" s="50"/>
      <c r="C69" s="50"/>
      <c r="D69" s="51"/>
    </row>
    <row r="70" spans="2:4" ht="14.25" customHeight="1" x14ac:dyDescent="0.2">
      <c r="B70" s="50"/>
      <c r="C70" s="50"/>
      <c r="D70" s="51"/>
    </row>
    <row r="71" spans="2:4" ht="14.25" customHeight="1" x14ac:dyDescent="0.2">
      <c r="B71" s="50"/>
      <c r="C71" s="50"/>
      <c r="D71" s="51"/>
    </row>
    <row r="72" spans="2:4" ht="14.25" customHeight="1" x14ac:dyDescent="0.2">
      <c r="B72" s="50"/>
      <c r="C72" s="50"/>
      <c r="D72" s="51"/>
    </row>
    <row r="73" spans="2:4" ht="14.25" customHeight="1" x14ac:dyDescent="0.2">
      <c r="B73" s="50"/>
      <c r="C73" s="50"/>
      <c r="D73" s="51"/>
    </row>
    <row r="74" spans="2:4" ht="14.25" customHeight="1" x14ac:dyDescent="0.2">
      <c r="B74" s="50"/>
      <c r="C74" s="50"/>
      <c r="D74" s="51"/>
    </row>
    <row r="75" spans="2:4" ht="14.25" customHeight="1" x14ac:dyDescent="0.2">
      <c r="B75" s="50"/>
      <c r="C75" s="50"/>
      <c r="D75" s="51"/>
    </row>
    <row r="76" spans="2:4" ht="14.25" customHeight="1" x14ac:dyDescent="0.2">
      <c r="B76" s="50"/>
      <c r="C76" s="50"/>
      <c r="D76" s="51"/>
    </row>
    <row r="77" spans="2:4" ht="14.25" customHeight="1" x14ac:dyDescent="0.2">
      <c r="B77" s="50"/>
      <c r="C77" s="50"/>
      <c r="D77" s="51"/>
    </row>
    <row r="78" spans="2:4" ht="14.25" customHeight="1" x14ac:dyDescent="0.2">
      <c r="B78" s="50"/>
      <c r="C78" s="50"/>
      <c r="D78" s="51"/>
    </row>
    <row r="79" spans="2:4" ht="14.25" customHeight="1" x14ac:dyDescent="0.2">
      <c r="B79" s="50"/>
      <c r="C79" s="50"/>
      <c r="D79" s="51"/>
    </row>
    <row r="80" spans="2:4" ht="14.25" customHeight="1" x14ac:dyDescent="0.2">
      <c r="B80" s="50"/>
      <c r="C80" s="50"/>
      <c r="D80" s="51"/>
    </row>
    <row r="81" spans="2:4" ht="14.25" customHeight="1" x14ac:dyDescent="0.2">
      <c r="B81" s="50"/>
      <c r="C81" s="50"/>
      <c r="D81" s="51"/>
    </row>
    <row r="82" spans="2:4" ht="14.25" customHeight="1" x14ac:dyDescent="0.2">
      <c r="B82" s="50"/>
      <c r="C82" s="50"/>
      <c r="D82" s="51"/>
    </row>
    <row r="83" spans="2:4" ht="14.25" customHeight="1" x14ac:dyDescent="0.2">
      <c r="B83" s="50"/>
      <c r="C83" s="50"/>
      <c r="D83" s="51"/>
    </row>
    <row r="84" spans="2:4" ht="14.25" customHeight="1" x14ac:dyDescent="0.2">
      <c r="B84" s="50"/>
      <c r="C84" s="50"/>
      <c r="D84" s="51"/>
    </row>
    <row r="85" spans="2:4" ht="14.25" customHeight="1" x14ac:dyDescent="0.2">
      <c r="B85" s="50"/>
      <c r="C85" s="50"/>
      <c r="D85" s="51"/>
    </row>
    <row r="86" spans="2:4" ht="14.25" customHeight="1" x14ac:dyDescent="0.2">
      <c r="B86" s="50"/>
      <c r="C86" s="50"/>
      <c r="D86" s="51"/>
    </row>
    <row r="87" spans="2:4" ht="14.25" customHeight="1" x14ac:dyDescent="0.2">
      <c r="B87" s="50"/>
      <c r="C87" s="50"/>
      <c r="D87" s="51"/>
    </row>
    <row r="88" spans="2:4" ht="14.25" customHeight="1" x14ac:dyDescent="0.2">
      <c r="B88" s="50"/>
      <c r="C88" s="50"/>
      <c r="D88" s="51"/>
    </row>
    <row r="89" spans="2:4" ht="14.25" customHeight="1" x14ac:dyDescent="0.2">
      <c r="B89" s="50"/>
      <c r="C89" s="50"/>
      <c r="D89" s="51"/>
    </row>
    <row r="90" spans="2:4" ht="14.25" customHeight="1" x14ac:dyDescent="0.2">
      <c r="B90" s="50"/>
      <c r="C90" s="50"/>
      <c r="D90" s="51"/>
    </row>
    <row r="91" spans="2:4" ht="14.25" customHeight="1" x14ac:dyDescent="0.2">
      <c r="B91" s="50"/>
      <c r="C91" s="50"/>
      <c r="D91" s="51"/>
    </row>
    <row r="92" spans="2:4" ht="14.25" customHeight="1" x14ac:dyDescent="0.2">
      <c r="B92" s="50"/>
      <c r="C92" s="50"/>
      <c r="D92" s="51"/>
    </row>
    <row r="93" spans="2:4" ht="14.25" customHeight="1" x14ac:dyDescent="0.2">
      <c r="B93" s="50"/>
      <c r="C93" s="50"/>
      <c r="D93" s="51"/>
    </row>
    <row r="94" spans="2:4" ht="14.25" customHeight="1" x14ac:dyDescent="0.2">
      <c r="B94" s="50"/>
      <c r="C94" s="50"/>
      <c r="D94" s="51"/>
    </row>
    <row r="95" spans="2:4" ht="14.25" customHeight="1" x14ac:dyDescent="0.2">
      <c r="B95" s="50"/>
      <c r="C95" s="50"/>
      <c r="D95" s="51"/>
    </row>
    <row r="96" spans="2:4" ht="14.25" customHeight="1" x14ac:dyDescent="0.2">
      <c r="B96" s="50"/>
      <c r="C96" s="50"/>
      <c r="D96" s="51"/>
    </row>
    <row r="97" spans="2:4" ht="14.25" customHeight="1" x14ac:dyDescent="0.2">
      <c r="B97" s="50"/>
      <c r="C97" s="50"/>
      <c r="D97" s="51"/>
    </row>
    <row r="98" spans="2:4" ht="14.25" customHeight="1" x14ac:dyDescent="0.2">
      <c r="B98" s="50"/>
      <c r="C98" s="50"/>
      <c r="D98" s="51"/>
    </row>
    <row r="99" spans="2:4" ht="14.25" customHeight="1" x14ac:dyDescent="0.2">
      <c r="B99" s="50"/>
      <c r="C99" s="50"/>
      <c r="D99" s="51"/>
    </row>
    <row r="100" spans="2:4" ht="14.25" customHeight="1" x14ac:dyDescent="0.2">
      <c r="B100" s="50"/>
      <c r="C100" s="50"/>
      <c r="D100" s="51"/>
    </row>
    <row r="101" spans="2:4" ht="14.25" customHeight="1" x14ac:dyDescent="0.2">
      <c r="B101" s="50"/>
      <c r="C101" s="50"/>
      <c r="D101" s="51"/>
    </row>
    <row r="102" spans="2:4" ht="14.25" customHeight="1" x14ac:dyDescent="0.2">
      <c r="B102" s="50"/>
      <c r="C102" s="50"/>
      <c r="D102" s="51"/>
    </row>
    <row r="103" spans="2:4" ht="14.25" customHeight="1" x14ac:dyDescent="0.2">
      <c r="B103" s="50"/>
      <c r="C103" s="50"/>
      <c r="D103" s="51"/>
    </row>
    <row r="104" spans="2:4" ht="14.25" customHeight="1" x14ac:dyDescent="0.2">
      <c r="B104" s="50"/>
      <c r="C104" s="50"/>
      <c r="D104" s="51"/>
    </row>
    <row r="105" spans="2:4" ht="14.25" customHeight="1" x14ac:dyDescent="0.2">
      <c r="B105" s="50"/>
      <c r="C105" s="50"/>
      <c r="D105" s="51"/>
    </row>
    <row r="106" spans="2:4" ht="14.25" customHeight="1" x14ac:dyDescent="0.2">
      <c r="B106" s="50"/>
      <c r="C106" s="50"/>
      <c r="D106" s="51"/>
    </row>
    <row r="107" spans="2:4" ht="14.25" customHeight="1" x14ac:dyDescent="0.2">
      <c r="B107" s="50"/>
      <c r="C107" s="50"/>
      <c r="D107" s="51"/>
    </row>
    <row r="108" spans="2:4" ht="14.25" customHeight="1" x14ac:dyDescent="0.2">
      <c r="B108" s="50"/>
      <c r="C108" s="50"/>
      <c r="D108" s="51"/>
    </row>
    <row r="109" spans="2:4" ht="14.25" customHeight="1" x14ac:dyDescent="0.2">
      <c r="B109" s="50"/>
      <c r="C109" s="50"/>
      <c r="D109" s="51"/>
    </row>
    <row r="110" spans="2:4" ht="14.25" customHeight="1" x14ac:dyDescent="0.2">
      <c r="B110" s="50"/>
      <c r="C110" s="50"/>
      <c r="D110" s="51"/>
    </row>
    <row r="111" spans="2:4" ht="14.25" customHeight="1" x14ac:dyDescent="0.2">
      <c r="B111" s="50"/>
      <c r="C111" s="50"/>
      <c r="D111" s="51"/>
    </row>
    <row r="112" spans="2:4" ht="14.25" customHeight="1" x14ac:dyDescent="0.2">
      <c r="B112" s="50"/>
      <c r="C112" s="50"/>
      <c r="D112" s="51"/>
    </row>
    <row r="113" spans="2:4" ht="14.25" customHeight="1" x14ac:dyDescent="0.2">
      <c r="B113" s="50"/>
      <c r="C113" s="50"/>
      <c r="D113" s="51"/>
    </row>
    <row r="114" spans="2:4" ht="14.25" customHeight="1" x14ac:dyDescent="0.2">
      <c r="B114" s="50"/>
      <c r="C114" s="50"/>
      <c r="D114" s="51"/>
    </row>
    <row r="115" spans="2:4" ht="14.25" customHeight="1" x14ac:dyDescent="0.2">
      <c r="B115" s="50"/>
      <c r="C115" s="50"/>
      <c r="D115" s="51"/>
    </row>
    <row r="116" spans="2:4" ht="14.25" customHeight="1" x14ac:dyDescent="0.2">
      <c r="B116" s="50"/>
      <c r="C116" s="50"/>
      <c r="D116" s="51"/>
    </row>
    <row r="117" spans="2:4" ht="14.25" customHeight="1" x14ac:dyDescent="0.2">
      <c r="B117" s="50"/>
      <c r="C117" s="50"/>
      <c r="D117" s="51"/>
    </row>
    <row r="118" spans="2:4" ht="14.25" customHeight="1" x14ac:dyDescent="0.2">
      <c r="B118" s="50"/>
      <c r="C118" s="50"/>
      <c r="D118" s="51"/>
    </row>
    <row r="119" spans="2:4" ht="14.25" customHeight="1" x14ac:dyDescent="0.2">
      <c r="B119" s="50"/>
      <c r="C119" s="50"/>
      <c r="D119" s="51"/>
    </row>
    <row r="120" spans="2:4" ht="14.25" customHeight="1" x14ac:dyDescent="0.2">
      <c r="B120" s="50"/>
      <c r="C120" s="50"/>
      <c r="D120" s="51"/>
    </row>
    <row r="121" spans="2:4" ht="14.25" customHeight="1" x14ac:dyDescent="0.2">
      <c r="B121" s="50"/>
      <c r="C121" s="50"/>
      <c r="D121" s="51"/>
    </row>
    <row r="122" spans="2:4" ht="14.25" customHeight="1" x14ac:dyDescent="0.2">
      <c r="B122" s="50"/>
      <c r="C122" s="50"/>
      <c r="D122" s="51"/>
    </row>
    <row r="123" spans="2:4" ht="14.25" customHeight="1" x14ac:dyDescent="0.2">
      <c r="B123" s="50"/>
      <c r="C123" s="50"/>
      <c r="D123" s="51"/>
    </row>
    <row r="124" spans="2:4" ht="14.25" customHeight="1" x14ac:dyDescent="0.2">
      <c r="B124" s="50"/>
      <c r="C124" s="50"/>
      <c r="D124" s="51"/>
    </row>
    <row r="125" spans="2:4" ht="14.25" customHeight="1" x14ac:dyDescent="0.2">
      <c r="B125" s="50"/>
      <c r="C125" s="50"/>
      <c r="D125" s="51"/>
    </row>
    <row r="126" spans="2:4" ht="14.25" customHeight="1" x14ac:dyDescent="0.2">
      <c r="B126" s="50"/>
      <c r="C126" s="50"/>
      <c r="D126" s="51"/>
    </row>
    <row r="127" spans="2:4" ht="14.25" customHeight="1" x14ac:dyDescent="0.2">
      <c r="B127" s="50"/>
      <c r="C127" s="50"/>
      <c r="D127" s="51"/>
    </row>
    <row r="128" spans="2:4" ht="14.25" customHeight="1" x14ac:dyDescent="0.2">
      <c r="B128" s="50"/>
      <c r="C128" s="50"/>
      <c r="D128" s="51"/>
    </row>
    <row r="129" spans="2:4" ht="14.25" customHeight="1" x14ac:dyDescent="0.2">
      <c r="B129" s="50"/>
      <c r="C129" s="50"/>
      <c r="D129" s="51"/>
    </row>
    <row r="130" spans="2:4" ht="14.25" customHeight="1" x14ac:dyDescent="0.2">
      <c r="B130" s="50"/>
      <c r="C130" s="50"/>
      <c r="D130" s="51"/>
    </row>
    <row r="131" spans="2:4" ht="14.25" customHeight="1" x14ac:dyDescent="0.2">
      <c r="B131" s="50"/>
      <c r="C131" s="50"/>
      <c r="D131" s="51"/>
    </row>
    <row r="132" spans="2:4" ht="14.25" customHeight="1" x14ac:dyDescent="0.2">
      <c r="B132" s="50"/>
      <c r="C132" s="50"/>
      <c r="D132" s="51"/>
    </row>
    <row r="133" spans="2:4" ht="14.25" customHeight="1" x14ac:dyDescent="0.2">
      <c r="B133" s="50"/>
      <c r="C133" s="50"/>
      <c r="D133" s="51"/>
    </row>
    <row r="134" spans="2:4" ht="14.25" customHeight="1" x14ac:dyDescent="0.2">
      <c r="B134" s="50"/>
      <c r="C134" s="50"/>
      <c r="D134" s="51"/>
    </row>
    <row r="135" spans="2:4" ht="14.25" customHeight="1" x14ac:dyDescent="0.2">
      <c r="B135" s="50"/>
      <c r="C135" s="50"/>
      <c r="D135" s="51"/>
    </row>
    <row r="136" spans="2:4" ht="14.25" customHeight="1" x14ac:dyDescent="0.2">
      <c r="B136" s="50"/>
      <c r="C136" s="50"/>
      <c r="D136" s="51"/>
    </row>
    <row r="137" spans="2:4" ht="14.25" customHeight="1" x14ac:dyDescent="0.2">
      <c r="B137" s="50"/>
      <c r="C137" s="50"/>
      <c r="D137" s="51"/>
    </row>
    <row r="138" spans="2:4" ht="14.25" customHeight="1" x14ac:dyDescent="0.2">
      <c r="B138" s="50"/>
      <c r="C138" s="50"/>
      <c r="D138" s="51"/>
    </row>
    <row r="139" spans="2:4" ht="14.25" customHeight="1" x14ac:dyDescent="0.2">
      <c r="B139" s="50"/>
      <c r="C139" s="50"/>
      <c r="D139" s="51"/>
    </row>
    <row r="140" spans="2:4" ht="14.25" customHeight="1" x14ac:dyDescent="0.2">
      <c r="B140" s="50"/>
      <c r="C140" s="50"/>
      <c r="D140" s="51"/>
    </row>
    <row r="141" spans="2:4" ht="14.25" customHeight="1" x14ac:dyDescent="0.2">
      <c r="B141" s="50"/>
      <c r="C141" s="50"/>
      <c r="D141" s="51"/>
    </row>
    <row r="142" spans="2:4" ht="14.25" customHeight="1" x14ac:dyDescent="0.2">
      <c r="B142" s="50"/>
      <c r="C142" s="50"/>
      <c r="D142" s="51"/>
    </row>
    <row r="143" spans="2:4" ht="14.25" customHeight="1" x14ac:dyDescent="0.2">
      <c r="B143" s="50"/>
      <c r="C143" s="50"/>
      <c r="D143" s="51"/>
    </row>
    <row r="144" spans="2:4" ht="14.25" customHeight="1" x14ac:dyDescent="0.2">
      <c r="B144" s="50"/>
      <c r="C144" s="50"/>
      <c r="D144" s="51"/>
    </row>
    <row r="145" spans="2:4" ht="14.25" customHeight="1" x14ac:dyDescent="0.2">
      <c r="B145" s="50"/>
      <c r="C145" s="50"/>
      <c r="D145" s="51"/>
    </row>
    <row r="146" spans="2:4" ht="14.25" customHeight="1" x14ac:dyDescent="0.2">
      <c r="B146" s="50"/>
      <c r="C146" s="50"/>
      <c r="D146" s="51"/>
    </row>
    <row r="147" spans="2:4" ht="14.25" customHeight="1" x14ac:dyDescent="0.2">
      <c r="B147" s="50"/>
      <c r="C147" s="50"/>
      <c r="D147" s="51"/>
    </row>
    <row r="148" spans="2:4" ht="14.25" customHeight="1" x14ac:dyDescent="0.2">
      <c r="B148" s="50"/>
      <c r="C148" s="50"/>
      <c r="D148" s="51"/>
    </row>
    <row r="149" spans="2:4" ht="14.25" customHeight="1" x14ac:dyDescent="0.2">
      <c r="B149" s="50"/>
      <c r="C149" s="50"/>
      <c r="D149" s="51"/>
    </row>
    <row r="150" spans="2:4" ht="14.25" customHeight="1" x14ac:dyDescent="0.2">
      <c r="B150" s="50"/>
      <c r="C150" s="50"/>
      <c r="D150" s="51"/>
    </row>
    <row r="151" spans="2:4" ht="14.25" customHeight="1" x14ac:dyDescent="0.2">
      <c r="B151" s="50"/>
      <c r="C151" s="50"/>
      <c r="D151" s="51"/>
    </row>
    <row r="152" spans="2:4" ht="14.25" customHeight="1" x14ac:dyDescent="0.2">
      <c r="B152" s="50"/>
      <c r="C152" s="50"/>
      <c r="D152" s="51"/>
    </row>
    <row r="153" spans="2:4" ht="14.25" customHeight="1" x14ac:dyDescent="0.2">
      <c r="B153" s="50"/>
      <c r="C153" s="50"/>
      <c r="D153" s="51"/>
    </row>
    <row r="154" spans="2:4" ht="14.25" customHeight="1" x14ac:dyDescent="0.2">
      <c r="B154" s="50"/>
      <c r="C154" s="50"/>
      <c r="D154" s="51"/>
    </row>
    <row r="155" spans="2:4" ht="14.25" customHeight="1" x14ac:dyDescent="0.2">
      <c r="B155" s="50"/>
      <c r="C155" s="50"/>
      <c r="D155" s="51"/>
    </row>
    <row r="156" spans="2:4" ht="14.25" customHeight="1" x14ac:dyDescent="0.2">
      <c r="B156" s="50"/>
      <c r="C156" s="50"/>
      <c r="D156" s="51"/>
    </row>
    <row r="157" spans="2:4" ht="14.25" customHeight="1" x14ac:dyDescent="0.2">
      <c r="B157" s="50"/>
      <c r="C157" s="50"/>
      <c r="D157" s="51"/>
    </row>
    <row r="158" spans="2:4" ht="14.25" customHeight="1" x14ac:dyDescent="0.2">
      <c r="B158" s="50"/>
      <c r="C158" s="50"/>
      <c r="D158" s="51"/>
    </row>
    <row r="159" spans="2:4" ht="14.25" customHeight="1" x14ac:dyDescent="0.2">
      <c r="B159" s="50"/>
      <c r="C159" s="50"/>
      <c r="D159" s="51"/>
    </row>
    <row r="160" spans="2:4" ht="14.25" customHeight="1" x14ac:dyDescent="0.2">
      <c r="B160" s="50"/>
      <c r="C160" s="50"/>
      <c r="D160" s="51"/>
    </row>
    <row r="161" spans="2:4" ht="14.25" customHeight="1" x14ac:dyDescent="0.2">
      <c r="B161" s="50"/>
      <c r="C161" s="50"/>
      <c r="D161" s="51"/>
    </row>
    <row r="162" spans="2:4" ht="14.25" customHeight="1" x14ac:dyDescent="0.2">
      <c r="B162" s="50"/>
      <c r="C162" s="50"/>
      <c r="D162" s="51"/>
    </row>
    <row r="163" spans="2:4" ht="14.25" customHeight="1" x14ac:dyDescent="0.2">
      <c r="B163" s="50"/>
      <c r="C163" s="50"/>
      <c r="D163" s="51"/>
    </row>
    <row r="164" spans="2:4" ht="14.25" customHeight="1" x14ac:dyDescent="0.2">
      <c r="B164" s="50"/>
      <c r="C164" s="50"/>
      <c r="D164" s="51"/>
    </row>
    <row r="165" spans="2:4" ht="14.25" customHeight="1" x14ac:dyDescent="0.2">
      <c r="B165" s="50"/>
      <c r="C165" s="50"/>
      <c r="D165" s="51"/>
    </row>
    <row r="166" spans="2:4" ht="14.25" customHeight="1" x14ac:dyDescent="0.2">
      <c r="B166" s="50"/>
      <c r="C166" s="50"/>
      <c r="D166" s="51"/>
    </row>
    <row r="167" spans="2:4" ht="14.25" customHeight="1" x14ac:dyDescent="0.2">
      <c r="B167" s="50"/>
      <c r="C167" s="50"/>
      <c r="D167" s="51"/>
    </row>
    <row r="168" spans="2:4" ht="14.25" customHeight="1" x14ac:dyDescent="0.2">
      <c r="B168" s="50"/>
      <c r="C168" s="50"/>
      <c r="D168" s="51"/>
    </row>
    <row r="169" spans="2:4" ht="14.25" customHeight="1" x14ac:dyDescent="0.2">
      <c r="B169" s="50"/>
      <c r="C169" s="50"/>
      <c r="D169" s="51"/>
    </row>
    <row r="170" spans="2:4" ht="14.25" customHeight="1" x14ac:dyDescent="0.2">
      <c r="B170" s="50"/>
      <c r="C170" s="50"/>
      <c r="D170" s="51"/>
    </row>
    <row r="171" spans="2:4" ht="14.25" customHeight="1" x14ac:dyDescent="0.2">
      <c r="B171" s="50"/>
      <c r="C171" s="50"/>
      <c r="D171" s="51"/>
    </row>
    <row r="172" spans="2:4" ht="14.25" customHeight="1" x14ac:dyDescent="0.2">
      <c r="B172" s="50"/>
      <c r="C172" s="50"/>
      <c r="D172" s="51"/>
    </row>
    <row r="173" spans="2:4" ht="14.25" customHeight="1" x14ac:dyDescent="0.2">
      <c r="B173" s="50"/>
      <c r="C173" s="50"/>
      <c r="D173" s="51"/>
    </row>
    <row r="174" spans="2:4" ht="14.25" customHeight="1" x14ac:dyDescent="0.2">
      <c r="B174" s="50"/>
      <c r="C174" s="50"/>
      <c r="D174" s="51"/>
    </row>
    <row r="175" spans="2:4" ht="14.25" customHeight="1" x14ac:dyDescent="0.2">
      <c r="B175" s="50"/>
      <c r="C175" s="50"/>
      <c r="D175" s="51"/>
    </row>
    <row r="176" spans="2:4" ht="14.25" customHeight="1" x14ac:dyDescent="0.2">
      <c r="B176" s="50"/>
      <c r="C176" s="50"/>
      <c r="D176" s="51"/>
    </row>
    <row r="177" spans="2:4" ht="14.25" customHeight="1" x14ac:dyDescent="0.2">
      <c r="B177" s="50"/>
      <c r="C177" s="50"/>
      <c r="D177" s="51"/>
    </row>
    <row r="178" spans="2:4" ht="14.25" customHeight="1" x14ac:dyDescent="0.2">
      <c r="B178" s="50"/>
      <c r="C178" s="50"/>
      <c r="D178" s="51"/>
    </row>
    <row r="179" spans="2:4" ht="14.25" customHeight="1" x14ac:dyDescent="0.2">
      <c r="B179" s="50"/>
      <c r="C179" s="50"/>
      <c r="D179" s="51"/>
    </row>
    <row r="180" spans="2:4" ht="14.25" customHeight="1" x14ac:dyDescent="0.2">
      <c r="B180" s="50"/>
      <c r="C180" s="50"/>
      <c r="D180" s="51"/>
    </row>
    <row r="181" spans="2:4" ht="14.25" customHeight="1" x14ac:dyDescent="0.2">
      <c r="B181" s="50"/>
      <c r="C181" s="50"/>
      <c r="D181" s="51"/>
    </row>
    <row r="182" spans="2:4" ht="14.25" customHeight="1" x14ac:dyDescent="0.2">
      <c r="B182" s="50"/>
      <c r="C182" s="50"/>
      <c r="D182" s="51"/>
    </row>
    <row r="183" spans="2:4" ht="14.25" customHeight="1" x14ac:dyDescent="0.2">
      <c r="B183" s="50"/>
      <c r="C183" s="50"/>
      <c r="D183" s="51"/>
    </row>
    <row r="184" spans="2:4" ht="14.25" customHeight="1" x14ac:dyDescent="0.2">
      <c r="B184" s="50"/>
      <c r="C184" s="50"/>
      <c r="D184" s="51"/>
    </row>
    <row r="185" spans="2:4" ht="14.25" customHeight="1" x14ac:dyDescent="0.2">
      <c r="B185" s="50"/>
      <c r="C185" s="50"/>
      <c r="D185" s="51"/>
    </row>
    <row r="186" spans="2:4" ht="14.25" customHeight="1" x14ac:dyDescent="0.2">
      <c r="B186" s="50"/>
      <c r="C186" s="50"/>
      <c r="D186" s="51"/>
    </row>
    <row r="187" spans="2:4" ht="14.25" customHeight="1" x14ac:dyDescent="0.2">
      <c r="B187" s="50"/>
      <c r="C187" s="50"/>
      <c r="D187" s="51"/>
    </row>
    <row r="188" spans="2:4" ht="14.25" customHeight="1" x14ac:dyDescent="0.2">
      <c r="B188" s="50"/>
      <c r="C188" s="50"/>
      <c r="D188" s="51"/>
    </row>
    <row r="189" spans="2:4" ht="14.25" customHeight="1" x14ac:dyDescent="0.2">
      <c r="B189" s="50"/>
      <c r="C189" s="50"/>
      <c r="D189" s="51"/>
    </row>
    <row r="190" spans="2:4" ht="14.25" customHeight="1" x14ac:dyDescent="0.2">
      <c r="B190" s="50"/>
      <c r="C190" s="50"/>
      <c r="D190" s="51"/>
    </row>
    <row r="191" spans="2:4" ht="14.25" customHeight="1" x14ac:dyDescent="0.2">
      <c r="B191" s="50"/>
      <c r="C191" s="50"/>
      <c r="D191" s="51"/>
    </row>
    <row r="192" spans="2:4" ht="14.25" customHeight="1" x14ac:dyDescent="0.2">
      <c r="B192" s="50"/>
      <c r="C192" s="50"/>
      <c r="D192" s="51"/>
    </row>
    <row r="193" spans="2:4" ht="14.25" customHeight="1" x14ac:dyDescent="0.2">
      <c r="B193" s="50"/>
      <c r="C193" s="50"/>
      <c r="D193" s="51"/>
    </row>
    <row r="194" spans="2:4" ht="14.25" customHeight="1" x14ac:dyDescent="0.2">
      <c r="B194" s="50"/>
      <c r="C194" s="50"/>
      <c r="D194" s="51"/>
    </row>
    <row r="195" spans="2:4" ht="14.25" customHeight="1" x14ac:dyDescent="0.2">
      <c r="B195" s="50"/>
      <c r="C195" s="50"/>
      <c r="D195" s="51"/>
    </row>
    <row r="196" spans="2:4" ht="14.25" customHeight="1" x14ac:dyDescent="0.2">
      <c r="B196" s="50"/>
      <c r="C196" s="50"/>
      <c r="D196" s="51"/>
    </row>
    <row r="197" spans="2:4" ht="14.25" customHeight="1" x14ac:dyDescent="0.2">
      <c r="B197" s="50"/>
      <c r="C197" s="50"/>
      <c r="D197" s="51"/>
    </row>
    <row r="198" spans="2:4" ht="14.25" customHeight="1" x14ac:dyDescent="0.2">
      <c r="B198" s="50"/>
      <c r="C198" s="50"/>
      <c r="D198" s="51"/>
    </row>
    <row r="199" spans="2:4" ht="14.25" customHeight="1" x14ac:dyDescent="0.2">
      <c r="B199" s="50"/>
      <c r="C199" s="50"/>
      <c r="D199" s="51"/>
    </row>
    <row r="200" spans="2:4" ht="14.25" customHeight="1" x14ac:dyDescent="0.2">
      <c r="B200" s="50"/>
      <c r="C200" s="50"/>
      <c r="D200" s="51"/>
    </row>
    <row r="201" spans="2:4" ht="14.25" customHeight="1" x14ac:dyDescent="0.2">
      <c r="B201" s="50"/>
      <c r="C201" s="50"/>
      <c r="D201" s="51"/>
    </row>
    <row r="202" spans="2:4" ht="14.25" customHeight="1" x14ac:dyDescent="0.2">
      <c r="B202" s="50"/>
      <c r="C202" s="50"/>
      <c r="D202" s="51"/>
    </row>
    <row r="203" spans="2:4" ht="14.25" customHeight="1" x14ac:dyDescent="0.2">
      <c r="B203" s="50"/>
      <c r="C203" s="50"/>
      <c r="D203" s="51"/>
    </row>
    <row r="204" spans="2:4" ht="14.25" customHeight="1" x14ac:dyDescent="0.2">
      <c r="B204" s="50"/>
      <c r="C204" s="50"/>
      <c r="D204" s="51"/>
    </row>
    <row r="205" spans="2:4" ht="14.25" customHeight="1" x14ac:dyDescent="0.2">
      <c r="B205" s="50"/>
      <c r="C205" s="50"/>
      <c r="D205" s="51"/>
    </row>
    <row r="206" spans="2:4" ht="14.25" customHeight="1" x14ac:dyDescent="0.2">
      <c r="B206" s="50"/>
      <c r="C206" s="50"/>
      <c r="D206" s="51"/>
    </row>
    <row r="207" spans="2:4" ht="14.25" customHeight="1" x14ac:dyDescent="0.2">
      <c r="B207" s="50"/>
      <c r="C207" s="50"/>
      <c r="D207" s="51"/>
    </row>
    <row r="208" spans="2:4" ht="14.25" customHeight="1" x14ac:dyDescent="0.2">
      <c r="B208" s="50"/>
      <c r="C208" s="50"/>
      <c r="D208" s="51"/>
    </row>
    <row r="209" spans="2:4" ht="14.25" customHeight="1" x14ac:dyDescent="0.2">
      <c r="B209" s="50"/>
      <c r="C209" s="50"/>
      <c r="D209" s="51"/>
    </row>
    <row r="210" spans="2:4" ht="14.25" customHeight="1" x14ac:dyDescent="0.2">
      <c r="B210" s="50"/>
      <c r="C210" s="50"/>
      <c r="D210" s="51"/>
    </row>
    <row r="211" spans="2:4" ht="14.25" customHeight="1" x14ac:dyDescent="0.2">
      <c r="B211" s="50"/>
      <c r="C211" s="50"/>
      <c r="D211" s="51"/>
    </row>
    <row r="212" spans="2:4" ht="14.25" customHeight="1" x14ac:dyDescent="0.2">
      <c r="B212" s="50"/>
      <c r="C212" s="50"/>
      <c r="D212" s="51"/>
    </row>
    <row r="213" spans="2:4" ht="14.25" customHeight="1" x14ac:dyDescent="0.2">
      <c r="B213" s="50"/>
      <c r="C213" s="50"/>
      <c r="D213" s="51"/>
    </row>
    <row r="214" spans="2:4" ht="14.25" customHeight="1" x14ac:dyDescent="0.2">
      <c r="B214" s="50"/>
      <c r="C214" s="50"/>
      <c r="D214" s="51"/>
    </row>
    <row r="215" spans="2:4" ht="14.25" customHeight="1" x14ac:dyDescent="0.2">
      <c r="B215" s="50"/>
      <c r="C215" s="50"/>
      <c r="D215" s="51"/>
    </row>
    <row r="216" spans="2:4" ht="14.25" customHeight="1" x14ac:dyDescent="0.2">
      <c r="B216" s="50"/>
      <c r="C216" s="50"/>
      <c r="D216" s="51"/>
    </row>
    <row r="217" spans="2:4" ht="14.25" customHeight="1" x14ac:dyDescent="0.2">
      <c r="B217" s="50"/>
      <c r="C217" s="50"/>
      <c r="D217" s="51"/>
    </row>
    <row r="218" spans="2:4" ht="14.25" customHeight="1" x14ac:dyDescent="0.2">
      <c r="B218" s="50"/>
      <c r="C218" s="50"/>
      <c r="D218" s="51"/>
    </row>
    <row r="219" spans="2:4" ht="14.25" customHeight="1" x14ac:dyDescent="0.2">
      <c r="B219" s="50"/>
      <c r="C219" s="50"/>
      <c r="D219" s="51"/>
    </row>
    <row r="220" spans="2:4" ht="14.25" customHeight="1" x14ac:dyDescent="0.2">
      <c r="B220" s="50"/>
      <c r="C220" s="50"/>
      <c r="D220" s="51"/>
    </row>
    <row r="221" spans="2:4" ht="14.25" customHeight="1" x14ac:dyDescent="0.2">
      <c r="B221" s="50"/>
      <c r="C221" s="50"/>
      <c r="D221" s="51"/>
    </row>
    <row r="222" spans="2:4" ht="14.25" customHeight="1" x14ac:dyDescent="0.2">
      <c r="B222" s="50"/>
      <c r="C222" s="50"/>
      <c r="D222" s="51"/>
    </row>
    <row r="223" spans="2:4" ht="14.25" customHeight="1" x14ac:dyDescent="0.2">
      <c r="B223" s="50"/>
      <c r="C223" s="50"/>
      <c r="D223" s="51"/>
    </row>
    <row r="224" spans="2:4" ht="14.25" customHeight="1" x14ac:dyDescent="0.2">
      <c r="B224" s="50"/>
      <c r="C224" s="50"/>
      <c r="D224" s="51"/>
    </row>
    <row r="225" spans="2:4" ht="14.25" customHeight="1" x14ac:dyDescent="0.2">
      <c r="B225" s="50"/>
      <c r="C225" s="50"/>
      <c r="D225" s="51"/>
    </row>
    <row r="226" spans="2:4" ht="14.25" customHeight="1" x14ac:dyDescent="0.2">
      <c r="B226" s="50"/>
      <c r="C226" s="50"/>
      <c r="D226" s="51"/>
    </row>
    <row r="227" spans="2:4" ht="14.25" customHeight="1" x14ac:dyDescent="0.2">
      <c r="B227" s="50"/>
      <c r="C227" s="50"/>
      <c r="D227" s="51"/>
    </row>
    <row r="228" spans="2:4" ht="14.25" customHeight="1" x14ac:dyDescent="0.2">
      <c r="B228" s="50"/>
      <c r="C228" s="50"/>
      <c r="D228" s="51"/>
    </row>
    <row r="229" spans="2:4" ht="14.25" customHeight="1" x14ac:dyDescent="0.2">
      <c r="B229" s="50"/>
      <c r="C229" s="50"/>
      <c r="D229" s="51"/>
    </row>
    <row r="230" spans="2:4" ht="14.25" customHeight="1" x14ac:dyDescent="0.2">
      <c r="B230" s="50"/>
      <c r="C230" s="50"/>
      <c r="D230" s="51"/>
    </row>
    <row r="231" spans="2:4" ht="14.25" customHeight="1" x14ac:dyDescent="0.2">
      <c r="B231" s="50"/>
      <c r="C231" s="50"/>
      <c r="D231" s="51"/>
    </row>
    <row r="232" spans="2:4" ht="14.25" customHeight="1" x14ac:dyDescent="0.2">
      <c r="B232" s="50"/>
      <c r="C232" s="50"/>
      <c r="D232" s="51"/>
    </row>
    <row r="233" spans="2:4" ht="14.25" customHeight="1" x14ac:dyDescent="0.2">
      <c r="B233" s="50"/>
      <c r="C233" s="50"/>
      <c r="D233" s="51"/>
    </row>
    <row r="234" spans="2:4" ht="14.25" customHeight="1" x14ac:dyDescent="0.2">
      <c r="B234" s="50"/>
      <c r="C234" s="50"/>
      <c r="D234" s="51"/>
    </row>
    <row r="235" spans="2:4" ht="14.25" customHeight="1" x14ac:dyDescent="0.2">
      <c r="B235" s="50"/>
      <c r="C235" s="50"/>
      <c r="D235" s="51"/>
    </row>
    <row r="236" spans="2:4" ht="14.25" customHeight="1" x14ac:dyDescent="0.2">
      <c r="B236" s="50"/>
      <c r="C236" s="50"/>
      <c r="D236" s="51"/>
    </row>
    <row r="237" spans="2:4" ht="14.25" customHeight="1" x14ac:dyDescent="0.2">
      <c r="B237" s="50"/>
      <c r="C237" s="50"/>
      <c r="D237" s="51"/>
    </row>
    <row r="238" spans="2:4" ht="14.25" customHeight="1" x14ac:dyDescent="0.2">
      <c r="B238" s="50"/>
      <c r="C238" s="50"/>
      <c r="D238" s="51"/>
    </row>
    <row r="239" spans="2:4" ht="14.25" customHeight="1" x14ac:dyDescent="0.2">
      <c r="B239" s="50"/>
      <c r="C239" s="50"/>
      <c r="D239" s="51"/>
    </row>
    <row r="240" spans="2:4" ht="14.25" customHeight="1" x14ac:dyDescent="0.2">
      <c r="B240" s="50"/>
      <c r="C240" s="50"/>
      <c r="D240" s="51"/>
    </row>
    <row r="241" spans="2:4" ht="14.25" customHeight="1" x14ac:dyDescent="0.2">
      <c r="B241" s="50"/>
      <c r="C241" s="50"/>
      <c r="D241" s="51"/>
    </row>
    <row r="242" spans="2:4" ht="14.25" customHeight="1" x14ac:dyDescent="0.2">
      <c r="B242" s="50"/>
      <c r="C242" s="50"/>
      <c r="D242" s="51"/>
    </row>
    <row r="243" spans="2:4" ht="14.25" customHeight="1" x14ac:dyDescent="0.2">
      <c r="B243" s="50"/>
      <c r="C243" s="50"/>
      <c r="D243" s="51"/>
    </row>
    <row r="244" spans="2:4" ht="14.25" customHeight="1" x14ac:dyDescent="0.2">
      <c r="B244" s="50"/>
      <c r="C244" s="50"/>
      <c r="D244" s="51"/>
    </row>
    <row r="245" spans="2:4" ht="14.25" customHeight="1" x14ac:dyDescent="0.2">
      <c r="B245" s="50"/>
      <c r="C245" s="50"/>
      <c r="D245" s="51"/>
    </row>
    <row r="246" spans="2:4" ht="14.25" customHeight="1" x14ac:dyDescent="0.2">
      <c r="B246" s="50"/>
      <c r="C246" s="50"/>
      <c r="D246" s="51"/>
    </row>
    <row r="247" spans="2:4" ht="14.25" customHeight="1" x14ac:dyDescent="0.2">
      <c r="B247" s="50"/>
      <c r="C247" s="50"/>
      <c r="D247" s="51"/>
    </row>
    <row r="248" spans="2:4" ht="14.25" customHeight="1" x14ac:dyDescent="0.2">
      <c r="B248" s="50"/>
      <c r="C248" s="50"/>
      <c r="D248" s="51"/>
    </row>
    <row r="249" spans="2:4" ht="14.25" customHeight="1" x14ac:dyDescent="0.2">
      <c r="B249" s="50"/>
      <c r="C249" s="50"/>
      <c r="D249" s="51"/>
    </row>
    <row r="250" spans="2:4" ht="14.25" customHeight="1" x14ac:dyDescent="0.2">
      <c r="B250" s="50"/>
      <c r="C250" s="50"/>
      <c r="D250" s="51"/>
    </row>
    <row r="251" spans="2:4" ht="14.25" customHeight="1" x14ac:dyDescent="0.2">
      <c r="B251" s="50"/>
      <c r="C251" s="50"/>
      <c r="D251" s="51"/>
    </row>
    <row r="252" spans="2:4" ht="14.25" customHeight="1" x14ac:dyDescent="0.2">
      <c r="B252" s="50"/>
      <c r="C252" s="50"/>
      <c r="D252" s="51"/>
    </row>
    <row r="253" spans="2:4" ht="14.25" customHeight="1" x14ac:dyDescent="0.2">
      <c r="B253" s="50"/>
      <c r="C253" s="50"/>
      <c r="D253" s="51"/>
    </row>
    <row r="254" spans="2:4" ht="14.25" customHeight="1" x14ac:dyDescent="0.2">
      <c r="B254" s="50"/>
      <c r="C254" s="50"/>
      <c r="D254" s="51"/>
    </row>
    <row r="255" spans="2:4" ht="14.25" customHeight="1" x14ac:dyDescent="0.2">
      <c r="B255" s="50"/>
      <c r="C255" s="50"/>
      <c r="D255" s="51"/>
    </row>
    <row r="256" spans="2:4" ht="14.25" customHeight="1" x14ac:dyDescent="0.2">
      <c r="B256" s="50"/>
      <c r="C256" s="50"/>
      <c r="D256" s="51"/>
    </row>
    <row r="257" spans="2:4" ht="14.25" customHeight="1" x14ac:dyDescent="0.2">
      <c r="B257" s="50"/>
      <c r="C257" s="50"/>
      <c r="D257" s="51"/>
    </row>
    <row r="258" spans="2:4" ht="14.25" customHeight="1" x14ac:dyDescent="0.2">
      <c r="B258" s="50"/>
      <c r="C258" s="50"/>
      <c r="D258" s="51"/>
    </row>
    <row r="259" spans="2:4" ht="14.25" customHeight="1" x14ac:dyDescent="0.2">
      <c r="B259" s="50"/>
      <c r="C259" s="50"/>
      <c r="D259" s="51"/>
    </row>
    <row r="260" spans="2:4" ht="14.25" customHeight="1" x14ac:dyDescent="0.2">
      <c r="B260" s="50"/>
      <c r="C260" s="50"/>
      <c r="D260" s="51"/>
    </row>
    <row r="261" spans="2:4" ht="14.25" customHeight="1" x14ac:dyDescent="0.2">
      <c r="B261" s="50"/>
      <c r="C261" s="50"/>
      <c r="D261" s="51"/>
    </row>
    <row r="262" spans="2:4" ht="14.25" customHeight="1" x14ac:dyDescent="0.2">
      <c r="B262" s="50"/>
      <c r="C262" s="50"/>
      <c r="D262" s="51"/>
    </row>
    <row r="263" spans="2:4" ht="14.25" customHeight="1" x14ac:dyDescent="0.2">
      <c r="B263" s="50"/>
      <c r="C263" s="50"/>
      <c r="D263" s="51"/>
    </row>
    <row r="264" spans="2:4" ht="14.25" customHeight="1" x14ac:dyDescent="0.2">
      <c r="B264" s="50"/>
      <c r="C264" s="50"/>
      <c r="D264" s="51"/>
    </row>
    <row r="265" spans="2:4" ht="14.25" customHeight="1" x14ac:dyDescent="0.2">
      <c r="B265" s="50"/>
      <c r="C265" s="50"/>
      <c r="D265" s="51"/>
    </row>
    <row r="266" spans="2:4" ht="14.25" customHeight="1" x14ac:dyDescent="0.2">
      <c r="B266" s="50"/>
      <c r="C266" s="50"/>
      <c r="D266" s="51"/>
    </row>
    <row r="267" spans="2:4" ht="14.25" customHeight="1" x14ac:dyDescent="0.2">
      <c r="B267" s="50"/>
      <c r="C267" s="50"/>
      <c r="D267" s="51"/>
    </row>
    <row r="268" spans="2:4" ht="14.25" customHeight="1" x14ac:dyDescent="0.2">
      <c r="B268" s="50"/>
      <c r="C268" s="50"/>
      <c r="D268" s="51"/>
    </row>
    <row r="269" spans="2:4" ht="14.25" customHeight="1" x14ac:dyDescent="0.2">
      <c r="B269" s="50"/>
      <c r="C269" s="50"/>
      <c r="D269" s="51"/>
    </row>
    <row r="270" spans="2:4" ht="14.25" customHeight="1" x14ac:dyDescent="0.2">
      <c r="B270" s="50"/>
      <c r="C270" s="50"/>
      <c r="D270" s="51"/>
    </row>
    <row r="271" spans="2:4" ht="14.25" customHeight="1" x14ac:dyDescent="0.2">
      <c r="B271" s="50"/>
      <c r="C271" s="50"/>
      <c r="D271" s="51"/>
    </row>
    <row r="272" spans="2:4" ht="14.25" customHeight="1" x14ac:dyDescent="0.2">
      <c r="B272" s="50"/>
      <c r="C272" s="50"/>
      <c r="D272" s="51"/>
    </row>
    <row r="273" spans="2:4" ht="14.25" customHeight="1" x14ac:dyDescent="0.2">
      <c r="B273" s="50"/>
      <c r="C273" s="50"/>
      <c r="D273" s="51"/>
    </row>
    <row r="274" spans="2:4" ht="14.25" customHeight="1" x14ac:dyDescent="0.2">
      <c r="B274" s="50"/>
      <c r="C274" s="50"/>
      <c r="D274" s="51"/>
    </row>
    <row r="275" spans="2:4" ht="14.25" customHeight="1" x14ac:dyDescent="0.2">
      <c r="B275" s="50"/>
      <c r="C275" s="50"/>
      <c r="D275" s="51"/>
    </row>
    <row r="276" spans="2:4" ht="14.25" customHeight="1" x14ac:dyDescent="0.2">
      <c r="B276" s="50"/>
      <c r="C276" s="50"/>
      <c r="D276" s="51"/>
    </row>
    <row r="277" spans="2:4" ht="14.25" customHeight="1" x14ac:dyDescent="0.2">
      <c r="B277" s="50"/>
      <c r="C277" s="50"/>
      <c r="D277" s="51"/>
    </row>
    <row r="278" spans="2:4" ht="14.25" customHeight="1" x14ac:dyDescent="0.2">
      <c r="B278" s="50"/>
      <c r="C278" s="50"/>
      <c r="D278" s="51"/>
    </row>
    <row r="279" spans="2:4" ht="14.25" customHeight="1" x14ac:dyDescent="0.2">
      <c r="B279" s="50"/>
      <c r="C279" s="50"/>
      <c r="D279" s="51"/>
    </row>
    <row r="280" spans="2:4" ht="14.25" customHeight="1" x14ac:dyDescent="0.2">
      <c r="B280" s="50"/>
      <c r="C280" s="50"/>
      <c r="D280" s="51"/>
    </row>
    <row r="281" spans="2:4" ht="14.25" customHeight="1" x14ac:dyDescent="0.2">
      <c r="B281" s="50"/>
      <c r="C281" s="50"/>
      <c r="D281" s="51"/>
    </row>
    <row r="282" spans="2:4" ht="14.25" customHeight="1" x14ac:dyDescent="0.2">
      <c r="B282" s="50"/>
      <c r="C282" s="50"/>
      <c r="D282" s="51"/>
    </row>
    <row r="283" spans="2:4" ht="14.25" customHeight="1" x14ac:dyDescent="0.2">
      <c r="B283" s="50"/>
      <c r="C283" s="50"/>
      <c r="D283" s="51"/>
    </row>
    <row r="284" spans="2:4" ht="14.25" customHeight="1" x14ac:dyDescent="0.2">
      <c r="B284" s="50"/>
      <c r="C284" s="50"/>
      <c r="D284" s="51"/>
    </row>
    <row r="285" spans="2:4" ht="14.25" customHeight="1" x14ac:dyDescent="0.2">
      <c r="B285" s="50"/>
      <c r="C285" s="50"/>
      <c r="D285" s="51"/>
    </row>
    <row r="286" spans="2:4" ht="14.25" customHeight="1" x14ac:dyDescent="0.2">
      <c r="B286" s="50"/>
      <c r="C286" s="50"/>
      <c r="D286" s="51"/>
    </row>
    <row r="287" spans="2:4" ht="14.25" customHeight="1" x14ac:dyDescent="0.2">
      <c r="B287" s="50"/>
      <c r="C287" s="50"/>
      <c r="D287" s="51"/>
    </row>
    <row r="288" spans="2:4" ht="14.25" customHeight="1" x14ac:dyDescent="0.2">
      <c r="B288" s="50"/>
      <c r="C288" s="50"/>
      <c r="D288" s="51"/>
    </row>
    <row r="289" spans="2:4" ht="14.25" customHeight="1" x14ac:dyDescent="0.2">
      <c r="B289" s="50"/>
      <c r="C289" s="50"/>
      <c r="D289" s="51"/>
    </row>
    <row r="290" spans="2:4" ht="14.25" customHeight="1" x14ac:dyDescent="0.2">
      <c r="B290" s="50"/>
      <c r="C290" s="50"/>
      <c r="D290" s="51"/>
    </row>
    <row r="291" spans="2:4" ht="14.25" customHeight="1" x14ac:dyDescent="0.2">
      <c r="B291" s="50"/>
      <c r="C291" s="50"/>
      <c r="D291" s="51"/>
    </row>
    <row r="292" spans="2:4" ht="14.25" customHeight="1" x14ac:dyDescent="0.2">
      <c r="B292" s="50"/>
      <c r="C292" s="50"/>
      <c r="D292" s="51"/>
    </row>
    <row r="293" spans="2:4" ht="14.25" customHeight="1" x14ac:dyDescent="0.2">
      <c r="B293" s="50"/>
      <c r="C293" s="50"/>
      <c r="D293" s="51"/>
    </row>
    <row r="294" spans="2:4" ht="14.25" customHeight="1" x14ac:dyDescent="0.2">
      <c r="B294" s="50"/>
      <c r="C294" s="50"/>
      <c r="D294" s="51"/>
    </row>
    <row r="295" spans="2:4" ht="14.25" customHeight="1" x14ac:dyDescent="0.2">
      <c r="B295" s="50"/>
      <c r="C295" s="50"/>
      <c r="D295" s="51"/>
    </row>
    <row r="296" spans="2:4" ht="14.25" customHeight="1" x14ac:dyDescent="0.2">
      <c r="B296" s="50"/>
      <c r="C296" s="50"/>
      <c r="D296" s="51"/>
    </row>
    <row r="297" spans="2:4" ht="14.25" customHeight="1" x14ac:dyDescent="0.2">
      <c r="B297" s="50"/>
      <c r="C297" s="50"/>
      <c r="D297" s="51"/>
    </row>
    <row r="298" spans="2:4" ht="14.25" customHeight="1" x14ac:dyDescent="0.2">
      <c r="B298" s="50"/>
      <c r="C298" s="50"/>
      <c r="D298" s="51"/>
    </row>
    <row r="299" spans="2:4" ht="14.25" customHeight="1" x14ac:dyDescent="0.2">
      <c r="B299" s="50"/>
      <c r="C299" s="50"/>
      <c r="D299" s="51"/>
    </row>
    <row r="300" spans="2:4" ht="14.25" customHeight="1" x14ac:dyDescent="0.2">
      <c r="B300" s="50"/>
      <c r="C300" s="50"/>
      <c r="D300" s="51"/>
    </row>
    <row r="301" spans="2:4" ht="14.25" customHeight="1" x14ac:dyDescent="0.2">
      <c r="B301" s="50"/>
      <c r="C301" s="50"/>
      <c r="D301" s="51"/>
    </row>
    <row r="302" spans="2:4" ht="14.25" customHeight="1" x14ac:dyDescent="0.2">
      <c r="B302" s="50"/>
      <c r="C302" s="50"/>
      <c r="D302" s="51"/>
    </row>
    <row r="303" spans="2:4" ht="14.25" customHeight="1" x14ac:dyDescent="0.2">
      <c r="B303" s="50"/>
      <c r="C303" s="50"/>
      <c r="D303" s="51"/>
    </row>
    <row r="304" spans="2:4" ht="14.25" customHeight="1" x14ac:dyDescent="0.2">
      <c r="B304" s="50"/>
      <c r="C304" s="50"/>
      <c r="D304" s="51"/>
    </row>
    <row r="305" spans="2:4" ht="14.25" customHeight="1" x14ac:dyDescent="0.2">
      <c r="B305" s="50"/>
      <c r="C305" s="50"/>
      <c r="D305" s="51"/>
    </row>
    <row r="306" spans="2:4" ht="14.25" customHeight="1" x14ac:dyDescent="0.2">
      <c r="B306" s="50"/>
      <c r="C306" s="50"/>
      <c r="D306" s="51"/>
    </row>
    <row r="307" spans="2:4" ht="14.25" customHeight="1" x14ac:dyDescent="0.2">
      <c r="B307" s="50"/>
      <c r="C307" s="50"/>
      <c r="D307" s="51"/>
    </row>
    <row r="308" spans="2:4" ht="14.25" customHeight="1" x14ac:dyDescent="0.2">
      <c r="B308" s="50"/>
      <c r="C308" s="50"/>
      <c r="D308" s="51"/>
    </row>
    <row r="309" spans="2:4" ht="14.25" customHeight="1" x14ac:dyDescent="0.2">
      <c r="B309" s="50"/>
      <c r="C309" s="50"/>
      <c r="D309" s="51"/>
    </row>
    <row r="310" spans="2:4" ht="14.25" customHeight="1" x14ac:dyDescent="0.2">
      <c r="B310" s="50"/>
      <c r="C310" s="50"/>
      <c r="D310" s="51"/>
    </row>
    <row r="311" spans="2:4" ht="14.25" customHeight="1" x14ac:dyDescent="0.2">
      <c r="B311" s="50"/>
      <c r="C311" s="50"/>
      <c r="D311" s="51"/>
    </row>
    <row r="312" spans="2:4" ht="14.25" customHeight="1" x14ac:dyDescent="0.2">
      <c r="B312" s="50"/>
      <c r="C312" s="50"/>
      <c r="D312" s="51"/>
    </row>
    <row r="313" spans="2:4" ht="14.25" customHeight="1" x14ac:dyDescent="0.2">
      <c r="B313" s="50"/>
      <c r="C313" s="50"/>
      <c r="D313" s="51"/>
    </row>
    <row r="314" spans="2:4" ht="14.25" customHeight="1" x14ac:dyDescent="0.2">
      <c r="B314" s="50"/>
      <c r="C314" s="50"/>
      <c r="D314" s="51"/>
    </row>
    <row r="315" spans="2:4" ht="14.25" customHeight="1" x14ac:dyDescent="0.2">
      <c r="B315" s="50"/>
      <c r="C315" s="50"/>
      <c r="D315" s="51"/>
    </row>
    <row r="316" spans="2:4" ht="14.25" customHeight="1" x14ac:dyDescent="0.2">
      <c r="B316" s="50"/>
      <c r="C316" s="50"/>
      <c r="D316" s="51"/>
    </row>
    <row r="317" spans="2:4" ht="14.25" customHeight="1" x14ac:dyDescent="0.2">
      <c r="B317" s="50"/>
      <c r="C317" s="50"/>
      <c r="D317" s="51"/>
    </row>
    <row r="318" spans="2:4" ht="14.25" customHeight="1" x14ac:dyDescent="0.2">
      <c r="B318" s="50"/>
      <c r="C318" s="50"/>
      <c r="D318" s="51"/>
    </row>
    <row r="319" spans="2:4" ht="14.25" customHeight="1" x14ac:dyDescent="0.2">
      <c r="B319" s="50"/>
      <c r="C319" s="50"/>
      <c r="D319" s="51"/>
    </row>
    <row r="320" spans="2:4" ht="14.25" customHeight="1" x14ac:dyDescent="0.2">
      <c r="B320" s="50"/>
      <c r="C320" s="50"/>
      <c r="D320" s="51"/>
    </row>
    <row r="321" spans="2:4" ht="14.25" customHeight="1" x14ac:dyDescent="0.2">
      <c r="B321" s="50"/>
      <c r="C321" s="50"/>
      <c r="D321" s="51"/>
    </row>
    <row r="322" spans="2:4" ht="14.25" customHeight="1" x14ac:dyDescent="0.2">
      <c r="B322" s="50"/>
      <c r="C322" s="50"/>
      <c r="D322" s="51"/>
    </row>
    <row r="323" spans="2:4" ht="14.25" customHeight="1" x14ac:dyDescent="0.2">
      <c r="B323" s="50"/>
      <c r="C323" s="50"/>
      <c r="D323" s="51"/>
    </row>
    <row r="324" spans="2:4" ht="14.25" customHeight="1" x14ac:dyDescent="0.2">
      <c r="B324" s="50"/>
      <c r="C324" s="50"/>
      <c r="D324" s="51"/>
    </row>
    <row r="325" spans="2:4" ht="14.25" customHeight="1" x14ac:dyDescent="0.2">
      <c r="B325" s="50"/>
      <c r="C325" s="50"/>
      <c r="D325" s="51"/>
    </row>
    <row r="326" spans="2:4" ht="14.25" customHeight="1" x14ac:dyDescent="0.2">
      <c r="B326" s="50"/>
      <c r="C326" s="50"/>
      <c r="D326" s="51"/>
    </row>
    <row r="327" spans="2:4" ht="14.25" customHeight="1" x14ac:dyDescent="0.2">
      <c r="B327" s="50"/>
      <c r="C327" s="50"/>
      <c r="D327" s="51"/>
    </row>
    <row r="328" spans="2:4" ht="14.25" customHeight="1" x14ac:dyDescent="0.2">
      <c r="B328" s="50"/>
      <c r="C328" s="50"/>
      <c r="D328" s="51"/>
    </row>
    <row r="329" spans="2:4" ht="14.25" customHeight="1" x14ac:dyDescent="0.2">
      <c r="B329" s="50"/>
      <c r="C329" s="50"/>
      <c r="D329" s="51"/>
    </row>
    <row r="330" spans="2:4" ht="14.25" customHeight="1" x14ac:dyDescent="0.2">
      <c r="B330" s="50"/>
      <c r="C330" s="50"/>
      <c r="D330" s="51"/>
    </row>
    <row r="331" spans="2:4" ht="14.25" customHeight="1" x14ac:dyDescent="0.2">
      <c r="B331" s="50"/>
      <c r="C331" s="50"/>
      <c r="D331" s="51"/>
    </row>
    <row r="332" spans="2:4" ht="14.25" customHeight="1" x14ac:dyDescent="0.2">
      <c r="B332" s="50"/>
      <c r="C332" s="50"/>
      <c r="D332" s="51"/>
    </row>
    <row r="333" spans="2:4" ht="14.25" customHeight="1" x14ac:dyDescent="0.2">
      <c r="B333" s="50"/>
      <c r="C333" s="50"/>
      <c r="D333" s="51"/>
    </row>
    <row r="334" spans="2:4" ht="14.25" customHeight="1" x14ac:dyDescent="0.2">
      <c r="B334" s="50"/>
      <c r="C334" s="50"/>
      <c r="D334" s="51"/>
    </row>
    <row r="335" spans="2:4" ht="14.25" customHeight="1" x14ac:dyDescent="0.2">
      <c r="B335" s="50"/>
      <c r="C335" s="50"/>
      <c r="D335" s="51"/>
    </row>
    <row r="336" spans="2:4" ht="14.25" customHeight="1" x14ac:dyDescent="0.2">
      <c r="B336" s="50"/>
      <c r="C336" s="50"/>
      <c r="D336" s="51"/>
    </row>
    <row r="337" spans="2:4" ht="14.25" customHeight="1" x14ac:dyDescent="0.2">
      <c r="B337" s="50"/>
      <c r="C337" s="50"/>
      <c r="D337" s="51"/>
    </row>
    <row r="338" spans="2:4" ht="14.25" customHeight="1" x14ac:dyDescent="0.2">
      <c r="B338" s="50"/>
      <c r="C338" s="50"/>
      <c r="D338" s="51"/>
    </row>
    <row r="339" spans="2:4" ht="14.25" customHeight="1" x14ac:dyDescent="0.2">
      <c r="B339" s="50"/>
      <c r="C339" s="50"/>
      <c r="D339" s="51"/>
    </row>
    <row r="340" spans="2:4" ht="14.25" customHeight="1" x14ac:dyDescent="0.2">
      <c r="B340" s="50"/>
      <c r="C340" s="50"/>
      <c r="D340" s="51"/>
    </row>
    <row r="341" spans="2:4" ht="14.25" customHeight="1" x14ac:dyDescent="0.2">
      <c r="B341" s="50"/>
      <c r="C341" s="50"/>
      <c r="D341" s="51"/>
    </row>
    <row r="342" spans="2:4" ht="14.25" customHeight="1" x14ac:dyDescent="0.2">
      <c r="B342" s="50"/>
      <c r="C342" s="50"/>
      <c r="D342" s="51"/>
    </row>
    <row r="343" spans="2:4" ht="14.25" customHeight="1" x14ac:dyDescent="0.2">
      <c r="B343" s="50"/>
      <c r="C343" s="50"/>
      <c r="D343" s="51"/>
    </row>
    <row r="344" spans="2:4" ht="14.25" customHeight="1" x14ac:dyDescent="0.2">
      <c r="B344" s="50"/>
      <c r="C344" s="50"/>
      <c r="D344" s="51"/>
    </row>
    <row r="345" spans="2:4" ht="14.25" customHeight="1" x14ac:dyDescent="0.2">
      <c r="B345" s="50"/>
      <c r="C345" s="50"/>
      <c r="D345" s="51"/>
    </row>
    <row r="346" spans="2:4" ht="14.25" customHeight="1" x14ac:dyDescent="0.2">
      <c r="B346" s="50"/>
      <c r="C346" s="50"/>
      <c r="D346" s="51"/>
    </row>
    <row r="347" spans="2:4" ht="14.25" customHeight="1" x14ac:dyDescent="0.2">
      <c r="B347" s="50"/>
      <c r="C347" s="50"/>
      <c r="D347" s="51"/>
    </row>
    <row r="348" spans="2:4" ht="14.25" customHeight="1" x14ac:dyDescent="0.2">
      <c r="B348" s="50"/>
      <c r="C348" s="50"/>
      <c r="D348" s="51"/>
    </row>
    <row r="349" spans="2:4" ht="14.25" customHeight="1" x14ac:dyDescent="0.2">
      <c r="B349" s="50"/>
      <c r="C349" s="50"/>
      <c r="D349" s="51"/>
    </row>
    <row r="350" spans="2:4" ht="14.25" customHeight="1" x14ac:dyDescent="0.2">
      <c r="B350" s="50"/>
      <c r="C350" s="50"/>
      <c r="D350" s="51"/>
    </row>
    <row r="351" spans="2:4" ht="14.25" customHeight="1" x14ac:dyDescent="0.2">
      <c r="B351" s="50"/>
      <c r="C351" s="50"/>
      <c r="D351" s="51"/>
    </row>
    <row r="352" spans="2:4" ht="14.25" customHeight="1" x14ac:dyDescent="0.2">
      <c r="B352" s="50"/>
      <c r="C352" s="50"/>
      <c r="D352" s="51"/>
    </row>
    <row r="353" spans="2:4" ht="14.25" customHeight="1" x14ac:dyDescent="0.2">
      <c r="B353" s="50"/>
      <c r="C353" s="50"/>
      <c r="D353" s="51"/>
    </row>
    <row r="354" spans="2:4" ht="14.25" customHeight="1" x14ac:dyDescent="0.2">
      <c r="B354" s="50"/>
      <c r="C354" s="50"/>
      <c r="D354" s="51"/>
    </row>
    <row r="355" spans="2:4" ht="14.25" customHeight="1" x14ac:dyDescent="0.2">
      <c r="B355" s="50"/>
      <c r="C355" s="50"/>
      <c r="D355" s="51"/>
    </row>
    <row r="356" spans="2:4" ht="14.25" customHeight="1" x14ac:dyDescent="0.2">
      <c r="B356" s="50"/>
      <c r="C356" s="50"/>
      <c r="D356" s="51"/>
    </row>
    <row r="357" spans="2:4" ht="14.25" customHeight="1" x14ac:dyDescent="0.2">
      <c r="B357" s="50"/>
      <c r="C357" s="50"/>
      <c r="D357" s="51"/>
    </row>
    <row r="358" spans="2:4" ht="14.25" customHeight="1" x14ac:dyDescent="0.2">
      <c r="B358" s="50"/>
      <c r="C358" s="50"/>
      <c r="D358" s="51"/>
    </row>
    <row r="359" spans="2:4" ht="14.25" customHeight="1" x14ac:dyDescent="0.2">
      <c r="B359" s="50"/>
      <c r="C359" s="50"/>
      <c r="D359" s="51"/>
    </row>
    <row r="360" spans="2:4" ht="14.25" customHeight="1" x14ac:dyDescent="0.2">
      <c r="B360" s="50"/>
      <c r="C360" s="50"/>
      <c r="D360" s="51"/>
    </row>
    <row r="361" spans="2:4" ht="14.25" customHeight="1" x14ac:dyDescent="0.2">
      <c r="B361" s="50"/>
      <c r="C361" s="50"/>
      <c r="D361" s="51"/>
    </row>
    <row r="362" spans="2:4" ht="14.25" customHeight="1" x14ac:dyDescent="0.2">
      <c r="B362" s="50"/>
      <c r="C362" s="50"/>
      <c r="D362" s="51"/>
    </row>
    <row r="363" spans="2:4" ht="14.25" customHeight="1" x14ac:dyDescent="0.2">
      <c r="B363" s="50"/>
      <c r="C363" s="50"/>
      <c r="D363" s="51"/>
    </row>
    <row r="364" spans="2:4" ht="14.25" customHeight="1" x14ac:dyDescent="0.2">
      <c r="B364" s="50"/>
      <c r="C364" s="50"/>
      <c r="D364" s="51"/>
    </row>
    <row r="365" spans="2:4" ht="14.25" customHeight="1" x14ac:dyDescent="0.2">
      <c r="B365" s="50"/>
      <c r="C365" s="50"/>
      <c r="D365" s="51"/>
    </row>
    <row r="366" spans="2:4" ht="14.25" customHeight="1" x14ac:dyDescent="0.2">
      <c r="B366" s="50"/>
      <c r="C366" s="50"/>
      <c r="D366" s="51"/>
    </row>
    <row r="367" spans="2:4" ht="14.25" customHeight="1" x14ac:dyDescent="0.2">
      <c r="B367" s="50"/>
      <c r="C367" s="50"/>
      <c r="D367" s="51"/>
    </row>
    <row r="368" spans="2:4" ht="14.25" customHeight="1" x14ac:dyDescent="0.2">
      <c r="B368" s="50"/>
      <c r="C368" s="50"/>
      <c r="D368" s="51"/>
    </row>
    <row r="369" spans="2:4" ht="14.25" customHeight="1" x14ac:dyDescent="0.2">
      <c r="B369" s="50"/>
      <c r="C369" s="50"/>
      <c r="D369" s="51"/>
    </row>
    <row r="370" spans="2:4" ht="14.25" customHeight="1" x14ac:dyDescent="0.2">
      <c r="B370" s="50"/>
      <c r="C370" s="50"/>
      <c r="D370" s="51"/>
    </row>
    <row r="371" spans="2:4" ht="14.25" customHeight="1" x14ac:dyDescent="0.2">
      <c r="B371" s="50"/>
      <c r="C371" s="50"/>
      <c r="D371" s="51"/>
    </row>
    <row r="372" spans="2:4" ht="14.25" customHeight="1" x14ac:dyDescent="0.2">
      <c r="B372" s="50"/>
      <c r="C372" s="50"/>
      <c r="D372" s="51"/>
    </row>
    <row r="373" spans="2:4" ht="14.25" customHeight="1" x14ac:dyDescent="0.2">
      <c r="B373" s="50"/>
      <c r="C373" s="50"/>
      <c r="D373" s="51"/>
    </row>
    <row r="374" spans="2:4" ht="14.25" customHeight="1" x14ac:dyDescent="0.2">
      <c r="B374" s="50"/>
      <c r="C374" s="50"/>
      <c r="D374" s="51"/>
    </row>
    <row r="375" spans="2:4" ht="14.25" customHeight="1" x14ac:dyDescent="0.2">
      <c r="B375" s="50"/>
      <c r="C375" s="50"/>
      <c r="D375" s="51"/>
    </row>
    <row r="376" spans="2:4" ht="14.25" customHeight="1" x14ac:dyDescent="0.2">
      <c r="B376" s="50"/>
      <c r="C376" s="50"/>
      <c r="D376" s="51"/>
    </row>
    <row r="377" spans="2:4" ht="14.25" customHeight="1" x14ac:dyDescent="0.2">
      <c r="B377" s="50"/>
      <c r="C377" s="50"/>
      <c r="D377" s="51"/>
    </row>
    <row r="378" spans="2:4" ht="14.25" customHeight="1" x14ac:dyDescent="0.2">
      <c r="B378" s="50"/>
      <c r="C378" s="50"/>
      <c r="D378" s="51"/>
    </row>
    <row r="379" spans="2:4" ht="14.25" customHeight="1" x14ac:dyDescent="0.2">
      <c r="B379" s="50"/>
      <c r="C379" s="50"/>
      <c r="D379" s="51"/>
    </row>
    <row r="380" spans="2:4" ht="14.25" customHeight="1" x14ac:dyDescent="0.2">
      <c r="B380" s="50"/>
      <c r="C380" s="50"/>
      <c r="D380" s="51"/>
    </row>
    <row r="381" spans="2:4" ht="14.25" customHeight="1" x14ac:dyDescent="0.2">
      <c r="B381" s="50"/>
      <c r="C381" s="50"/>
      <c r="D381" s="51"/>
    </row>
    <row r="382" spans="2:4" ht="14.25" customHeight="1" x14ac:dyDescent="0.2">
      <c r="B382" s="50"/>
      <c r="C382" s="50"/>
      <c r="D382" s="51"/>
    </row>
    <row r="383" spans="2:4" ht="14.25" customHeight="1" x14ac:dyDescent="0.2">
      <c r="B383" s="50"/>
      <c r="C383" s="50"/>
      <c r="D383" s="51"/>
    </row>
    <row r="384" spans="2:4" ht="14.25" customHeight="1" x14ac:dyDescent="0.2">
      <c r="B384" s="50"/>
      <c r="C384" s="50"/>
      <c r="D384" s="51"/>
    </row>
    <row r="385" spans="2:4" ht="14.25" customHeight="1" x14ac:dyDescent="0.2">
      <c r="B385" s="50"/>
      <c r="C385" s="50"/>
      <c r="D385" s="51"/>
    </row>
    <row r="386" spans="2:4" ht="14.25" customHeight="1" x14ac:dyDescent="0.2">
      <c r="B386" s="50"/>
      <c r="C386" s="50"/>
      <c r="D386" s="51"/>
    </row>
    <row r="387" spans="2:4" ht="14.25" customHeight="1" x14ac:dyDescent="0.2">
      <c r="B387" s="50"/>
      <c r="C387" s="50"/>
      <c r="D387" s="51"/>
    </row>
    <row r="388" spans="2:4" ht="14.25" customHeight="1" x14ac:dyDescent="0.2">
      <c r="B388" s="50"/>
      <c r="C388" s="50"/>
      <c r="D388" s="51"/>
    </row>
    <row r="389" spans="2:4" ht="14.25" customHeight="1" x14ac:dyDescent="0.2">
      <c r="B389" s="50"/>
      <c r="C389" s="50"/>
      <c r="D389" s="51"/>
    </row>
    <row r="390" spans="2:4" ht="14.25" customHeight="1" x14ac:dyDescent="0.2">
      <c r="B390" s="50"/>
      <c r="C390" s="50"/>
      <c r="D390" s="51"/>
    </row>
    <row r="391" spans="2:4" ht="14.25" customHeight="1" x14ac:dyDescent="0.2">
      <c r="B391" s="50"/>
      <c r="C391" s="50"/>
      <c r="D391" s="51"/>
    </row>
    <row r="392" spans="2:4" ht="14.25" customHeight="1" x14ac:dyDescent="0.2">
      <c r="B392" s="50"/>
      <c r="C392" s="50"/>
      <c r="D392" s="51"/>
    </row>
    <row r="393" spans="2:4" ht="14.25" customHeight="1" x14ac:dyDescent="0.2">
      <c r="B393" s="50"/>
      <c r="C393" s="50"/>
      <c r="D393" s="51"/>
    </row>
    <row r="394" spans="2:4" ht="14.25" customHeight="1" x14ac:dyDescent="0.2">
      <c r="B394" s="50"/>
      <c r="C394" s="50"/>
      <c r="D394" s="51"/>
    </row>
    <row r="395" spans="2:4" ht="14.25" customHeight="1" x14ac:dyDescent="0.2">
      <c r="B395" s="50"/>
      <c r="C395" s="50"/>
      <c r="D395" s="51"/>
    </row>
    <row r="396" spans="2:4" ht="14.25" customHeight="1" x14ac:dyDescent="0.2">
      <c r="B396" s="50"/>
      <c r="C396" s="50"/>
      <c r="D396" s="51"/>
    </row>
    <row r="397" spans="2:4" ht="14.25" customHeight="1" x14ac:dyDescent="0.2">
      <c r="B397" s="50"/>
      <c r="C397" s="50"/>
      <c r="D397" s="51"/>
    </row>
    <row r="398" spans="2:4" ht="14.25" customHeight="1" x14ac:dyDescent="0.2">
      <c r="B398" s="50"/>
      <c r="C398" s="50"/>
      <c r="D398" s="51"/>
    </row>
    <row r="399" spans="2:4" ht="14.25" customHeight="1" x14ac:dyDescent="0.2">
      <c r="B399" s="50"/>
      <c r="C399" s="50"/>
      <c r="D399" s="51"/>
    </row>
    <row r="400" spans="2:4" ht="14.25" customHeight="1" x14ac:dyDescent="0.2">
      <c r="B400" s="50"/>
      <c r="C400" s="50"/>
      <c r="D400" s="51"/>
    </row>
    <row r="401" spans="2:4" ht="14.25" customHeight="1" x14ac:dyDescent="0.2">
      <c r="B401" s="50"/>
      <c r="C401" s="50"/>
      <c r="D401" s="51"/>
    </row>
    <row r="402" spans="2:4" ht="14.25" customHeight="1" x14ac:dyDescent="0.2">
      <c r="B402" s="50"/>
      <c r="C402" s="50"/>
      <c r="D402" s="51"/>
    </row>
    <row r="403" spans="2:4" ht="14.25" customHeight="1" x14ac:dyDescent="0.2">
      <c r="B403" s="50"/>
      <c r="C403" s="50"/>
      <c r="D403" s="51"/>
    </row>
    <row r="404" spans="2:4" ht="14.25" customHeight="1" x14ac:dyDescent="0.2">
      <c r="B404" s="50"/>
      <c r="C404" s="50"/>
      <c r="D404" s="51"/>
    </row>
    <row r="405" spans="2:4" ht="14.25" customHeight="1" x14ac:dyDescent="0.2">
      <c r="B405" s="50"/>
      <c r="C405" s="50"/>
      <c r="D405" s="51"/>
    </row>
    <row r="406" spans="2:4" ht="14.25" customHeight="1" x14ac:dyDescent="0.2">
      <c r="B406" s="50"/>
      <c r="C406" s="50"/>
      <c r="D406" s="51"/>
    </row>
    <row r="407" spans="2:4" ht="14.25" customHeight="1" x14ac:dyDescent="0.2">
      <c r="B407" s="50"/>
      <c r="C407" s="50"/>
      <c r="D407" s="51"/>
    </row>
    <row r="408" spans="2:4" ht="14.25" customHeight="1" x14ac:dyDescent="0.2">
      <c r="B408" s="50"/>
      <c r="C408" s="50"/>
      <c r="D408" s="51"/>
    </row>
    <row r="409" spans="2:4" ht="14.25" customHeight="1" x14ac:dyDescent="0.2">
      <c r="B409" s="50"/>
      <c r="C409" s="50"/>
      <c r="D409" s="51"/>
    </row>
    <row r="410" spans="2:4" ht="14.25" customHeight="1" x14ac:dyDescent="0.2">
      <c r="B410" s="50"/>
      <c r="C410" s="50"/>
      <c r="D410" s="51"/>
    </row>
    <row r="411" spans="2:4" ht="14.25" customHeight="1" x14ac:dyDescent="0.2">
      <c r="B411" s="50"/>
      <c r="C411" s="50"/>
      <c r="D411" s="51"/>
    </row>
    <row r="412" spans="2:4" ht="14.25" customHeight="1" x14ac:dyDescent="0.2">
      <c r="B412" s="50"/>
      <c r="C412" s="50"/>
      <c r="D412" s="51"/>
    </row>
    <row r="413" spans="2:4" ht="14.25" customHeight="1" x14ac:dyDescent="0.2">
      <c r="B413" s="50"/>
      <c r="C413" s="50"/>
      <c r="D413" s="51"/>
    </row>
    <row r="414" spans="2:4" ht="14.25" customHeight="1" x14ac:dyDescent="0.2">
      <c r="B414" s="50"/>
      <c r="C414" s="50"/>
      <c r="D414" s="51"/>
    </row>
    <row r="415" spans="2:4" ht="14.25" customHeight="1" x14ac:dyDescent="0.2">
      <c r="B415" s="50"/>
      <c r="C415" s="50"/>
      <c r="D415" s="51"/>
    </row>
    <row r="416" spans="2:4" ht="14.25" customHeight="1" x14ac:dyDescent="0.2">
      <c r="B416" s="50"/>
      <c r="C416" s="50"/>
      <c r="D416" s="51"/>
    </row>
    <row r="417" spans="2:4" ht="14.25" customHeight="1" x14ac:dyDescent="0.2">
      <c r="B417" s="50"/>
      <c r="C417" s="50"/>
      <c r="D417" s="51"/>
    </row>
    <row r="418" spans="2:4" ht="14.25" customHeight="1" x14ac:dyDescent="0.2">
      <c r="B418" s="50"/>
      <c r="C418" s="50"/>
      <c r="D418" s="51"/>
    </row>
    <row r="419" spans="2:4" ht="14.25" customHeight="1" x14ac:dyDescent="0.2">
      <c r="B419" s="50"/>
      <c r="C419" s="50"/>
      <c r="D419" s="51"/>
    </row>
    <row r="420" spans="2:4" ht="14.25" customHeight="1" x14ac:dyDescent="0.2">
      <c r="B420" s="50"/>
      <c r="C420" s="50"/>
      <c r="D420" s="51"/>
    </row>
    <row r="421" spans="2:4" ht="14.25" customHeight="1" x14ac:dyDescent="0.2">
      <c r="B421" s="50"/>
      <c r="C421" s="50"/>
      <c r="D421" s="51"/>
    </row>
    <row r="422" spans="2:4" ht="14.25" customHeight="1" x14ac:dyDescent="0.2">
      <c r="B422" s="50"/>
      <c r="C422" s="50"/>
      <c r="D422" s="51"/>
    </row>
    <row r="423" spans="2:4" ht="14.25" customHeight="1" x14ac:dyDescent="0.2">
      <c r="B423" s="50"/>
      <c r="C423" s="50"/>
      <c r="D423" s="51"/>
    </row>
    <row r="424" spans="2:4" ht="14.25" customHeight="1" x14ac:dyDescent="0.2">
      <c r="B424" s="50"/>
      <c r="C424" s="50"/>
      <c r="D424" s="51"/>
    </row>
    <row r="425" spans="2:4" ht="14.25" customHeight="1" x14ac:dyDescent="0.2">
      <c r="B425" s="50"/>
      <c r="C425" s="50"/>
      <c r="D425" s="51"/>
    </row>
    <row r="426" spans="2:4" ht="14.25" customHeight="1" x14ac:dyDescent="0.2">
      <c r="B426" s="50"/>
      <c r="C426" s="50"/>
      <c r="D426" s="51"/>
    </row>
    <row r="427" spans="2:4" ht="14.25" customHeight="1" x14ac:dyDescent="0.2">
      <c r="B427" s="50"/>
      <c r="C427" s="50"/>
      <c r="D427" s="51"/>
    </row>
    <row r="428" spans="2:4" ht="14.25" customHeight="1" x14ac:dyDescent="0.2">
      <c r="B428" s="50"/>
      <c r="C428" s="50"/>
      <c r="D428" s="51"/>
    </row>
    <row r="429" spans="2:4" ht="14.25" customHeight="1" x14ac:dyDescent="0.2">
      <c r="B429" s="50"/>
      <c r="C429" s="50"/>
      <c r="D429" s="51"/>
    </row>
    <row r="430" spans="2:4" ht="14.25" customHeight="1" x14ac:dyDescent="0.2">
      <c r="B430" s="50"/>
      <c r="C430" s="50"/>
      <c r="D430" s="51"/>
    </row>
    <row r="431" spans="2:4" ht="14.25" customHeight="1" x14ac:dyDescent="0.2">
      <c r="B431" s="50"/>
      <c r="C431" s="50"/>
      <c r="D431" s="51"/>
    </row>
    <row r="432" spans="2:4" ht="14.25" customHeight="1" x14ac:dyDescent="0.2">
      <c r="B432" s="50"/>
      <c r="C432" s="50"/>
      <c r="D432" s="51"/>
    </row>
    <row r="433" spans="2:4" ht="14.25" customHeight="1" x14ac:dyDescent="0.2">
      <c r="B433" s="50"/>
      <c r="C433" s="50"/>
      <c r="D433" s="51"/>
    </row>
    <row r="434" spans="2:4" ht="14.25" customHeight="1" x14ac:dyDescent="0.2">
      <c r="B434" s="50"/>
      <c r="C434" s="50"/>
      <c r="D434" s="51"/>
    </row>
    <row r="435" spans="2:4" ht="14.25" customHeight="1" x14ac:dyDescent="0.2">
      <c r="B435" s="50"/>
      <c r="C435" s="50"/>
      <c r="D435" s="51"/>
    </row>
    <row r="436" spans="2:4" ht="14.25" customHeight="1" x14ac:dyDescent="0.2">
      <c r="B436" s="50"/>
      <c r="C436" s="50"/>
      <c r="D436" s="51"/>
    </row>
    <row r="437" spans="2:4" ht="14.25" customHeight="1" x14ac:dyDescent="0.2">
      <c r="B437" s="50"/>
      <c r="C437" s="50"/>
      <c r="D437" s="51"/>
    </row>
    <row r="438" spans="2:4" ht="14.25" customHeight="1" x14ac:dyDescent="0.2">
      <c r="B438" s="50"/>
      <c r="C438" s="50"/>
      <c r="D438" s="51"/>
    </row>
    <row r="439" spans="2:4" ht="14.25" customHeight="1" x14ac:dyDescent="0.2">
      <c r="B439" s="50"/>
      <c r="C439" s="50"/>
      <c r="D439" s="51"/>
    </row>
    <row r="440" spans="2:4" ht="14.25" customHeight="1" x14ac:dyDescent="0.2">
      <c r="B440" s="50"/>
      <c r="C440" s="50"/>
      <c r="D440" s="51"/>
    </row>
    <row r="441" spans="2:4" ht="14.25" customHeight="1" x14ac:dyDescent="0.2">
      <c r="B441" s="50"/>
      <c r="C441" s="50"/>
      <c r="D441" s="51"/>
    </row>
    <row r="442" spans="2:4" ht="14.25" customHeight="1" x14ac:dyDescent="0.2">
      <c r="B442" s="50"/>
      <c r="C442" s="50"/>
      <c r="D442" s="51"/>
    </row>
    <row r="443" spans="2:4" ht="14.25" customHeight="1" x14ac:dyDescent="0.2">
      <c r="B443" s="50"/>
      <c r="C443" s="50"/>
      <c r="D443" s="51"/>
    </row>
    <row r="444" spans="2:4" ht="14.25" customHeight="1" x14ac:dyDescent="0.2">
      <c r="B444" s="50"/>
      <c r="C444" s="50"/>
      <c r="D444" s="51"/>
    </row>
    <row r="445" spans="2:4" ht="14.25" customHeight="1" x14ac:dyDescent="0.2">
      <c r="B445" s="50"/>
      <c r="C445" s="50"/>
      <c r="D445" s="51"/>
    </row>
    <row r="446" spans="2:4" ht="14.25" customHeight="1" x14ac:dyDescent="0.2">
      <c r="B446" s="50"/>
      <c r="C446" s="50"/>
      <c r="D446" s="51"/>
    </row>
    <row r="447" spans="2:4" ht="14.25" customHeight="1" x14ac:dyDescent="0.2">
      <c r="B447" s="50"/>
      <c r="C447" s="50"/>
      <c r="D447" s="51"/>
    </row>
    <row r="448" spans="2:4" ht="14.25" customHeight="1" x14ac:dyDescent="0.2">
      <c r="B448" s="50"/>
      <c r="C448" s="50"/>
      <c r="D448" s="51"/>
    </row>
    <row r="449" spans="2:4" ht="14.25" customHeight="1" x14ac:dyDescent="0.2">
      <c r="B449" s="50"/>
      <c r="C449" s="50"/>
      <c r="D449" s="51"/>
    </row>
    <row r="450" spans="2:4" ht="14.25" customHeight="1" x14ac:dyDescent="0.2">
      <c r="B450" s="50"/>
      <c r="C450" s="50"/>
      <c r="D450" s="51"/>
    </row>
    <row r="451" spans="2:4" ht="14.25" customHeight="1" x14ac:dyDescent="0.2">
      <c r="B451" s="50"/>
      <c r="C451" s="50"/>
      <c r="D451" s="51"/>
    </row>
    <row r="452" spans="2:4" ht="14.25" customHeight="1" x14ac:dyDescent="0.2">
      <c r="B452" s="50"/>
      <c r="C452" s="50"/>
      <c r="D452" s="51"/>
    </row>
    <row r="453" spans="2:4" ht="14.25" customHeight="1" x14ac:dyDescent="0.2">
      <c r="B453" s="50"/>
      <c r="C453" s="50"/>
      <c r="D453" s="51"/>
    </row>
    <row r="454" spans="2:4" ht="14.25" customHeight="1" x14ac:dyDescent="0.2">
      <c r="B454" s="50"/>
      <c r="C454" s="50"/>
      <c r="D454" s="51"/>
    </row>
    <row r="455" spans="2:4" ht="14.25" customHeight="1" x14ac:dyDescent="0.2">
      <c r="B455" s="50"/>
      <c r="C455" s="50"/>
      <c r="D455" s="51"/>
    </row>
    <row r="456" spans="2:4" ht="14.25" customHeight="1" x14ac:dyDescent="0.2">
      <c r="B456" s="50"/>
      <c r="C456" s="50"/>
      <c r="D456" s="51"/>
    </row>
    <row r="457" spans="2:4" ht="14.25" customHeight="1" x14ac:dyDescent="0.2">
      <c r="B457" s="50"/>
      <c r="C457" s="50"/>
      <c r="D457" s="51"/>
    </row>
    <row r="458" spans="2:4" ht="14.25" customHeight="1" x14ac:dyDescent="0.2">
      <c r="B458" s="50"/>
      <c r="C458" s="50"/>
      <c r="D458" s="51"/>
    </row>
    <row r="459" spans="2:4" ht="14.25" customHeight="1" x14ac:dyDescent="0.2">
      <c r="B459" s="50"/>
      <c r="C459" s="50"/>
      <c r="D459" s="51"/>
    </row>
    <row r="460" spans="2:4" ht="14.25" customHeight="1" x14ac:dyDescent="0.2">
      <c r="B460" s="50"/>
      <c r="C460" s="50"/>
      <c r="D460" s="51"/>
    </row>
    <row r="461" spans="2:4" ht="14.25" customHeight="1" x14ac:dyDescent="0.2">
      <c r="B461" s="50"/>
      <c r="C461" s="50"/>
      <c r="D461" s="51"/>
    </row>
    <row r="462" spans="2:4" ht="14.25" customHeight="1" x14ac:dyDescent="0.2">
      <c r="B462" s="50"/>
      <c r="C462" s="50"/>
      <c r="D462" s="51"/>
    </row>
    <row r="463" spans="2:4" ht="14.25" customHeight="1" x14ac:dyDescent="0.2">
      <c r="B463" s="50"/>
      <c r="C463" s="50"/>
      <c r="D463" s="51"/>
    </row>
    <row r="464" spans="2:4" ht="14.25" customHeight="1" x14ac:dyDescent="0.2">
      <c r="B464" s="50"/>
      <c r="C464" s="50"/>
      <c r="D464" s="51"/>
    </row>
    <row r="465" spans="2:4" ht="14.25" customHeight="1" x14ac:dyDescent="0.2">
      <c r="B465" s="50"/>
      <c r="C465" s="50"/>
      <c r="D465" s="51"/>
    </row>
    <row r="466" spans="2:4" ht="14.25" customHeight="1" x14ac:dyDescent="0.2">
      <c r="B466" s="50"/>
      <c r="C466" s="50"/>
      <c r="D466" s="51"/>
    </row>
    <row r="467" spans="2:4" ht="14.25" customHeight="1" x14ac:dyDescent="0.2">
      <c r="B467" s="50"/>
      <c r="C467" s="50"/>
      <c r="D467" s="51"/>
    </row>
    <row r="468" spans="2:4" ht="14.25" customHeight="1" x14ac:dyDescent="0.2">
      <c r="B468" s="50"/>
      <c r="C468" s="50"/>
      <c r="D468" s="51"/>
    </row>
    <row r="469" spans="2:4" ht="14.25" customHeight="1" x14ac:dyDescent="0.2">
      <c r="B469" s="50"/>
      <c r="C469" s="50"/>
      <c r="D469" s="51"/>
    </row>
    <row r="470" spans="2:4" ht="14.25" customHeight="1" x14ac:dyDescent="0.2">
      <c r="B470" s="50"/>
      <c r="C470" s="50"/>
      <c r="D470" s="51"/>
    </row>
    <row r="471" spans="2:4" ht="14.25" customHeight="1" x14ac:dyDescent="0.2">
      <c r="B471" s="50"/>
      <c r="C471" s="50"/>
      <c r="D471" s="51"/>
    </row>
    <row r="472" spans="2:4" ht="14.25" customHeight="1" x14ac:dyDescent="0.2">
      <c r="B472" s="50"/>
      <c r="C472" s="50"/>
      <c r="D472" s="51"/>
    </row>
    <row r="473" spans="2:4" ht="14.25" customHeight="1" x14ac:dyDescent="0.2">
      <c r="B473" s="50"/>
      <c r="C473" s="50"/>
      <c r="D473" s="51"/>
    </row>
    <row r="474" spans="2:4" ht="14.25" customHeight="1" x14ac:dyDescent="0.2">
      <c r="B474" s="50"/>
      <c r="C474" s="50"/>
      <c r="D474" s="51"/>
    </row>
    <row r="475" spans="2:4" ht="14.25" customHeight="1" x14ac:dyDescent="0.2">
      <c r="B475" s="50"/>
      <c r="C475" s="50"/>
      <c r="D475" s="51"/>
    </row>
    <row r="476" spans="2:4" ht="14.25" customHeight="1" x14ac:dyDescent="0.2">
      <c r="B476" s="50"/>
      <c r="C476" s="50"/>
      <c r="D476" s="51"/>
    </row>
    <row r="477" spans="2:4" ht="14.25" customHeight="1" x14ac:dyDescent="0.2">
      <c r="B477" s="50"/>
      <c r="C477" s="50"/>
      <c r="D477" s="51"/>
    </row>
    <row r="478" spans="2:4" ht="14.25" customHeight="1" x14ac:dyDescent="0.2">
      <c r="B478" s="50"/>
      <c r="C478" s="50"/>
      <c r="D478" s="51"/>
    </row>
    <row r="479" spans="2:4" ht="14.25" customHeight="1" x14ac:dyDescent="0.2">
      <c r="B479" s="50"/>
      <c r="C479" s="50"/>
      <c r="D479" s="51"/>
    </row>
    <row r="480" spans="2:4" ht="14.25" customHeight="1" x14ac:dyDescent="0.2">
      <c r="B480" s="50"/>
      <c r="C480" s="50"/>
      <c r="D480" s="51"/>
    </row>
    <row r="481" spans="2:4" ht="14.25" customHeight="1" x14ac:dyDescent="0.2">
      <c r="B481" s="50"/>
      <c r="C481" s="50"/>
      <c r="D481" s="51"/>
    </row>
    <row r="482" spans="2:4" ht="14.25" customHeight="1" x14ac:dyDescent="0.2">
      <c r="B482" s="50"/>
      <c r="C482" s="50"/>
      <c r="D482" s="51"/>
    </row>
    <row r="483" spans="2:4" ht="14.25" customHeight="1" x14ac:dyDescent="0.2">
      <c r="B483" s="50"/>
      <c r="C483" s="50"/>
      <c r="D483" s="51"/>
    </row>
    <row r="484" spans="2:4" ht="14.25" customHeight="1" x14ac:dyDescent="0.2">
      <c r="B484" s="50"/>
      <c r="C484" s="50"/>
      <c r="D484" s="51"/>
    </row>
    <row r="485" spans="2:4" ht="14.25" customHeight="1" x14ac:dyDescent="0.2">
      <c r="B485" s="50"/>
      <c r="C485" s="50"/>
      <c r="D485" s="51"/>
    </row>
    <row r="486" spans="2:4" ht="14.25" customHeight="1" x14ac:dyDescent="0.2">
      <c r="B486" s="50"/>
      <c r="C486" s="50"/>
      <c r="D486" s="51"/>
    </row>
    <row r="487" spans="2:4" ht="14.25" customHeight="1" x14ac:dyDescent="0.2">
      <c r="B487" s="50"/>
      <c r="C487" s="50"/>
      <c r="D487" s="51"/>
    </row>
    <row r="488" spans="2:4" ht="14.25" customHeight="1" x14ac:dyDescent="0.2">
      <c r="B488" s="50"/>
      <c r="C488" s="50"/>
      <c r="D488" s="51"/>
    </row>
    <row r="489" spans="2:4" ht="14.25" customHeight="1" x14ac:dyDescent="0.2">
      <c r="B489" s="50"/>
      <c r="C489" s="50"/>
      <c r="D489" s="51"/>
    </row>
    <row r="490" spans="2:4" ht="14.25" customHeight="1" x14ac:dyDescent="0.2">
      <c r="B490" s="50"/>
      <c r="C490" s="50"/>
      <c r="D490" s="51"/>
    </row>
    <row r="491" spans="2:4" ht="14.25" customHeight="1" x14ac:dyDescent="0.2">
      <c r="B491" s="50"/>
      <c r="C491" s="50"/>
      <c r="D491" s="51"/>
    </row>
    <row r="492" spans="2:4" ht="14.25" customHeight="1" x14ac:dyDescent="0.2">
      <c r="B492" s="50"/>
      <c r="C492" s="50"/>
      <c r="D492" s="51"/>
    </row>
    <row r="493" spans="2:4" ht="14.25" customHeight="1" x14ac:dyDescent="0.2">
      <c r="B493" s="50"/>
      <c r="C493" s="50"/>
      <c r="D493" s="51"/>
    </row>
    <row r="494" spans="2:4" ht="14.25" customHeight="1" x14ac:dyDescent="0.2">
      <c r="B494" s="50"/>
      <c r="C494" s="50"/>
      <c r="D494" s="51"/>
    </row>
    <row r="495" spans="2:4" ht="14.25" customHeight="1" x14ac:dyDescent="0.2">
      <c r="B495" s="50"/>
      <c r="C495" s="50"/>
      <c r="D495" s="51"/>
    </row>
    <row r="496" spans="2:4" ht="14.25" customHeight="1" x14ac:dyDescent="0.2">
      <c r="B496" s="50"/>
      <c r="C496" s="50"/>
      <c r="D496" s="51"/>
    </row>
    <row r="497" spans="2:4" ht="14.25" customHeight="1" x14ac:dyDescent="0.2">
      <c r="B497" s="50"/>
      <c r="C497" s="50"/>
      <c r="D497" s="51"/>
    </row>
    <row r="498" spans="2:4" ht="14.25" customHeight="1" x14ac:dyDescent="0.2">
      <c r="B498" s="50"/>
      <c r="C498" s="50"/>
      <c r="D498" s="51"/>
    </row>
    <row r="499" spans="2:4" ht="14.25" customHeight="1" x14ac:dyDescent="0.2">
      <c r="B499" s="50"/>
      <c r="C499" s="50"/>
      <c r="D499" s="51"/>
    </row>
    <row r="500" spans="2:4" ht="14.25" customHeight="1" x14ac:dyDescent="0.2">
      <c r="B500" s="50"/>
      <c r="C500" s="50"/>
      <c r="D500" s="51"/>
    </row>
    <row r="501" spans="2:4" ht="14.25" customHeight="1" x14ac:dyDescent="0.2">
      <c r="B501" s="50"/>
      <c r="C501" s="50"/>
      <c r="D501" s="51"/>
    </row>
    <row r="502" spans="2:4" ht="14.25" customHeight="1" x14ac:dyDescent="0.2">
      <c r="B502" s="50"/>
      <c r="C502" s="50"/>
      <c r="D502" s="51"/>
    </row>
    <row r="503" spans="2:4" ht="14.25" customHeight="1" x14ac:dyDescent="0.2">
      <c r="B503" s="50"/>
      <c r="C503" s="50"/>
      <c r="D503" s="51"/>
    </row>
    <row r="504" spans="2:4" ht="14.25" customHeight="1" x14ac:dyDescent="0.2">
      <c r="B504" s="50"/>
      <c r="C504" s="50"/>
      <c r="D504" s="51"/>
    </row>
    <row r="505" spans="2:4" ht="14.25" customHeight="1" x14ac:dyDescent="0.2">
      <c r="B505" s="50"/>
      <c r="C505" s="50"/>
      <c r="D505" s="51"/>
    </row>
    <row r="506" spans="2:4" ht="14.25" customHeight="1" x14ac:dyDescent="0.2">
      <c r="B506" s="50"/>
      <c r="C506" s="50"/>
      <c r="D506" s="51"/>
    </row>
    <row r="507" spans="2:4" ht="14.25" customHeight="1" x14ac:dyDescent="0.2">
      <c r="B507" s="50"/>
      <c r="C507" s="50"/>
      <c r="D507" s="51"/>
    </row>
    <row r="508" spans="2:4" ht="14.25" customHeight="1" x14ac:dyDescent="0.2">
      <c r="B508" s="50"/>
      <c r="C508" s="50"/>
      <c r="D508" s="51"/>
    </row>
    <row r="509" spans="2:4" ht="14.25" customHeight="1" x14ac:dyDescent="0.2">
      <c r="B509" s="50"/>
      <c r="C509" s="50"/>
      <c r="D509" s="51"/>
    </row>
    <row r="510" spans="2:4" ht="14.25" customHeight="1" x14ac:dyDescent="0.2">
      <c r="B510" s="50"/>
      <c r="C510" s="50"/>
      <c r="D510" s="51"/>
    </row>
    <row r="511" spans="2:4" ht="14.25" customHeight="1" x14ac:dyDescent="0.2">
      <c r="B511" s="50"/>
      <c r="C511" s="50"/>
      <c r="D511" s="51"/>
    </row>
    <row r="512" spans="2:4" ht="14.25" customHeight="1" x14ac:dyDescent="0.2">
      <c r="B512" s="50"/>
      <c r="C512" s="50"/>
      <c r="D512" s="51"/>
    </row>
    <row r="513" spans="2:4" ht="14.25" customHeight="1" x14ac:dyDescent="0.2">
      <c r="B513" s="50"/>
      <c r="C513" s="50"/>
      <c r="D513" s="51"/>
    </row>
    <row r="514" spans="2:4" ht="14.25" customHeight="1" x14ac:dyDescent="0.2">
      <c r="B514" s="50"/>
      <c r="C514" s="50"/>
      <c r="D514" s="51"/>
    </row>
    <row r="515" spans="2:4" ht="14.25" customHeight="1" x14ac:dyDescent="0.2">
      <c r="B515" s="50"/>
      <c r="C515" s="50"/>
      <c r="D515" s="51"/>
    </row>
    <row r="516" spans="2:4" ht="14.25" customHeight="1" x14ac:dyDescent="0.2">
      <c r="B516" s="50"/>
      <c r="C516" s="50"/>
      <c r="D516" s="51"/>
    </row>
    <row r="517" spans="2:4" ht="14.25" customHeight="1" x14ac:dyDescent="0.2">
      <c r="B517" s="50"/>
      <c r="C517" s="50"/>
      <c r="D517" s="51"/>
    </row>
    <row r="518" spans="2:4" ht="14.25" customHeight="1" x14ac:dyDescent="0.2">
      <c r="B518" s="50"/>
      <c r="C518" s="50"/>
      <c r="D518" s="51"/>
    </row>
    <row r="519" spans="2:4" ht="14.25" customHeight="1" x14ac:dyDescent="0.2">
      <c r="B519" s="50"/>
      <c r="C519" s="50"/>
      <c r="D519" s="51"/>
    </row>
    <row r="520" spans="2:4" ht="14.25" customHeight="1" x14ac:dyDescent="0.2">
      <c r="B520" s="50"/>
      <c r="C520" s="50"/>
      <c r="D520" s="51"/>
    </row>
    <row r="521" spans="2:4" ht="14.25" customHeight="1" x14ac:dyDescent="0.2">
      <c r="B521" s="50"/>
      <c r="C521" s="50"/>
      <c r="D521" s="51"/>
    </row>
    <row r="522" spans="2:4" ht="14.25" customHeight="1" x14ac:dyDescent="0.2">
      <c r="B522" s="50"/>
      <c r="C522" s="50"/>
      <c r="D522" s="51"/>
    </row>
    <row r="523" spans="2:4" ht="14.25" customHeight="1" x14ac:dyDescent="0.2">
      <c r="B523" s="50"/>
      <c r="C523" s="50"/>
      <c r="D523" s="51"/>
    </row>
    <row r="524" spans="2:4" ht="14.25" customHeight="1" x14ac:dyDescent="0.2">
      <c r="B524" s="50"/>
      <c r="C524" s="50"/>
      <c r="D524" s="51"/>
    </row>
    <row r="525" spans="2:4" ht="14.25" customHeight="1" x14ac:dyDescent="0.2">
      <c r="B525" s="50"/>
      <c r="C525" s="50"/>
      <c r="D525" s="51"/>
    </row>
    <row r="526" spans="2:4" ht="14.25" customHeight="1" x14ac:dyDescent="0.2">
      <c r="B526" s="50"/>
      <c r="C526" s="50"/>
      <c r="D526" s="51"/>
    </row>
    <row r="527" spans="2:4" ht="14.25" customHeight="1" x14ac:dyDescent="0.2">
      <c r="B527" s="50"/>
      <c r="C527" s="50"/>
      <c r="D527" s="51"/>
    </row>
    <row r="528" spans="2:4" ht="14.25" customHeight="1" x14ac:dyDescent="0.2">
      <c r="B528" s="50"/>
      <c r="C528" s="50"/>
      <c r="D528" s="51"/>
    </row>
    <row r="529" spans="2:4" ht="14.25" customHeight="1" x14ac:dyDescent="0.2">
      <c r="B529" s="50"/>
      <c r="C529" s="50"/>
      <c r="D529" s="51"/>
    </row>
    <row r="530" spans="2:4" ht="14.25" customHeight="1" x14ac:dyDescent="0.2">
      <c r="B530" s="50"/>
      <c r="C530" s="50"/>
      <c r="D530" s="51"/>
    </row>
    <row r="531" spans="2:4" ht="14.25" customHeight="1" x14ac:dyDescent="0.2">
      <c r="B531" s="50"/>
      <c r="C531" s="50"/>
      <c r="D531" s="51"/>
    </row>
    <row r="532" spans="2:4" ht="14.25" customHeight="1" x14ac:dyDescent="0.2">
      <c r="B532" s="50"/>
      <c r="C532" s="50"/>
      <c r="D532" s="51"/>
    </row>
    <row r="533" spans="2:4" ht="14.25" customHeight="1" x14ac:dyDescent="0.2">
      <c r="B533" s="50"/>
      <c r="C533" s="50"/>
      <c r="D533" s="51"/>
    </row>
    <row r="534" spans="2:4" ht="14.25" customHeight="1" x14ac:dyDescent="0.2">
      <c r="B534" s="50"/>
      <c r="C534" s="50"/>
      <c r="D534" s="51"/>
    </row>
    <row r="535" spans="2:4" ht="14.25" customHeight="1" x14ac:dyDescent="0.2">
      <c r="B535" s="50"/>
      <c r="C535" s="50"/>
      <c r="D535" s="51"/>
    </row>
    <row r="536" spans="2:4" ht="14.25" customHeight="1" x14ac:dyDescent="0.2">
      <c r="B536" s="50"/>
      <c r="C536" s="50"/>
      <c r="D536" s="51"/>
    </row>
    <row r="537" spans="2:4" ht="14.25" customHeight="1" x14ac:dyDescent="0.2">
      <c r="B537" s="50"/>
      <c r="C537" s="50"/>
      <c r="D537" s="51"/>
    </row>
    <row r="538" spans="2:4" ht="14.25" customHeight="1" x14ac:dyDescent="0.2">
      <c r="B538" s="50"/>
      <c r="C538" s="50"/>
      <c r="D538" s="51"/>
    </row>
    <row r="539" spans="2:4" ht="14.25" customHeight="1" x14ac:dyDescent="0.2">
      <c r="B539" s="50"/>
      <c r="C539" s="50"/>
      <c r="D539" s="51"/>
    </row>
    <row r="540" spans="2:4" ht="14.25" customHeight="1" x14ac:dyDescent="0.2">
      <c r="B540" s="50"/>
      <c r="C540" s="50"/>
      <c r="D540" s="51"/>
    </row>
    <row r="541" spans="2:4" ht="14.25" customHeight="1" x14ac:dyDescent="0.2">
      <c r="B541" s="50"/>
      <c r="C541" s="50"/>
      <c r="D541" s="51"/>
    </row>
    <row r="542" spans="2:4" ht="14.25" customHeight="1" x14ac:dyDescent="0.2">
      <c r="B542" s="50"/>
      <c r="C542" s="50"/>
      <c r="D542" s="51"/>
    </row>
    <row r="543" spans="2:4" ht="14.25" customHeight="1" x14ac:dyDescent="0.2">
      <c r="B543" s="50"/>
      <c r="C543" s="50"/>
      <c r="D543" s="51"/>
    </row>
    <row r="544" spans="2:4" ht="14.25" customHeight="1" x14ac:dyDescent="0.2">
      <c r="B544" s="50"/>
      <c r="C544" s="50"/>
      <c r="D544" s="51"/>
    </row>
    <row r="545" spans="2:4" ht="14.25" customHeight="1" x14ac:dyDescent="0.2">
      <c r="B545" s="50"/>
      <c r="C545" s="50"/>
      <c r="D545" s="51"/>
    </row>
    <row r="546" spans="2:4" ht="14.25" customHeight="1" x14ac:dyDescent="0.2">
      <c r="B546" s="50"/>
      <c r="C546" s="50"/>
      <c r="D546" s="51"/>
    </row>
    <row r="547" spans="2:4" ht="14.25" customHeight="1" x14ac:dyDescent="0.2">
      <c r="B547" s="50"/>
      <c r="C547" s="50"/>
      <c r="D547" s="51"/>
    </row>
    <row r="548" spans="2:4" ht="14.25" customHeight="1" x14ac:dyDescent="0.2">
      <c r="B548" s="50"/>
      <c r="C548" s="50"/>
      <c r="D548" s="51"/>
    </row>
    <row r="549" spans="2:4" ht="14.25" customHeight="1" x14ac:dyDescent="0.2">
      <c r="B549" s="50"/>
      <c r="C549" s="50"/>
      <c r="D549" s="51"/>
    </row>
    <row r="550" spans="2:4" ht="14.25" customHeight="1" x14ac:dyDescent="0.2">
      <c r="B550" s="50"/>
      <c r="C550" s="50"/>
      <c r="D550" s="51"/>
    </row>
    <row r="551" spans="2:4" ht="14.25" customHeight="1" x14ac:dyDescent="0.2">
      <c r="B551" s="50"/>
      <c r="C551" s="50"/>
      <c r="D551" s="51"/>
    </row>
    <row r="552" spans="2:4" ht="14.25" customHeight="1" x14ac:dyDescent="0.2">
      <c r="B552" s="50"/>
      <c r="C552" s="50"/>
      <c r="D552" s="51"/>
    </row>
    <row r="553" spans="2:4" ht="14.25" customHeight="1" x14ac:dyDescent="0.2">
      <c r="B553" s="50"/>
      <c r="C553" s="50"/>
      <c r="D553" s="51"/>
    </row>
    <row r="554" spans="2:4" ht="14.25" customHeight="1" x14ac:dyDescent="0.2">
      <c r="B554" s="50"/>
      <c r="C554" s="50"/>
      <c r="D554" s="51"/>
    </row>
    <row r="555" spans="2:4" ht="14.25" customHeight="1" x14ac:dyDescent="0.2">
      <c r="B555" s="50"/>
      <c r="C555" s="50"/>
      <c r="D555" s="51"/>
    </row>
    <row r="556" spans="2:4" ht="14.25" customHeight="1" x14ac:dyDescent="0.2">
      <c r="B556" s="50"/>
      <c r="C556" s="50"/>
      <c r="D556" s="51"/>
    </row>
    <row r="557" spans="2:4" ht="14.25" customHeight="1" x14ac:dyDescent="0.2">
      <c r="B557" s="50"/>
      <c r="C557" s="50"/>
      <c r="D557" s="51"/>
    </row>
    <row r="558" spans="2:4" ht="14.25" customHeight="1" x14ac:dyDescent="0.2">
      <c r="B558" s="50"/>
      <c r="C558" s="50"/>
      <c r="D558" s="51"/>
    </row>
    <row r="559" spans="2:4" ht="14.25" customHeight="1" x14ac:dyDescent="0.2">
      <c r="B559" s="50"/>
      <c r="C559" s="50"/>
      <c r="D559" s="51"/>
    </row>
    <row r="560" spans="2:4" ht="14.25" customHeight="1" x14ac:dyDescent="0.2">
      <c r="B560" s="50"/>
      <c r="C560" s="50"/>
      <c r="D560" s="51"/>
    </row>
    <row r="561" spans="2:4" ht="14.25" customHeight="1" x14ac:dyDescent="0.2">
      <c r="B561" s="50"/>
      <c r="C561" s="50"/>
      <c r="D561" s="51"/>
    </row>
    <row r="562" spans="2:4" ht="14.25" customHeight="1" x14ac:dyDescent="0.2">
      <c r="B562" s="50"/>
      <c r="C562" s="50"/>
      <c r="D562" s="51"/>
    </row>
    <row r="563" spans="2:4" ht="14.25" customHeight="1" x14ac:dyDescent="0.2">
      <c r="B563" s="50"/>
      <c r="C563" s="50"/>
      <c r="D563" s="51"/>
    </row>
    <row r="564" spans="2:4" ht="14.25" customHeight="1" x14ac:dyDescent="0.2">
      <c r="B564" s="50"/>
      <c r="C564" s="50"/>
      <c r="D564" s="51"/>
    </row>
    <row r="565" spans="2:4" ht="14.25" customHeight="1" x14ac:dyDescent="0.2">
      <c r="B565" s="50"/>
      <c r="C565" s="50"/>
      <c r="D565" s="51"/>
    </row>
    <row r="566" spans="2:4" ht="14.25" customHeight="1" x14ac:dyDescent="0.2">
      <c r="B566" s="50"/>
      <c r="C566" s="50"/>
      <c r="D566" s="51"/>
    </row>
    <row r="567" spans="2:4" ht="14.25" customHeight="1" x14ac:dyDescent="0.2">
      <c r="B567" s="50"/>
      <c r="C567" s="50"/>
      <c r="D567" s="51"/>
    </row>
    <row r="568" spans="2:4" ht="14.25" customHeight="1" x14ac:dyDescent="0.2">
      <c r="B568" s="50"/>
      <c r="C568" s="50"/>
      <c r="D568" s="51"/>
    </row>
    <row r="569" spans="2:4" ht="14.25" customHeight="1" x14ac:dyDescent="0.2">
      <c r="B569" s="50"/>
      <c r="C569" s="50"/>
      <c r="D569" s="51"/>
    </row>
    <row r="570" spans="2:4" ht="14.25" customHeight="1" x14ac:dyDescent="0.2">
      <c r="B570" s="50"/>
      <c r="C570" s="50"/>
      <c r="D570" s="51"/>
    </row>
    <row r="571" spans="2:4" ht="14.25" customHeight="1" x14ac:dyDescent="0.2">
      <c r="B571" s="50"/>
      <c r="C571" s="50"/>
      <c r="D571" s="51"/>
    </row>
    <row r="572" spans="2:4" ht="14.25" customHeight="1" x14ac:dyDescent="0.2">
      <c r="B572" s="50"/>
      <c r="C572" s="50"/>
      <c r="D572" s="51"/>
    </row>
    <row r="573" spans="2:4" ht="14.25" customHeight="1" x14ac:dyDescent="0.2">
      <c r="B573" s="50"/>
      <c r="C573" s="50"/>
      <c r="D573" s="51"/>
    </row>
    <row r="574" spans="2:4" ht="14.25" customHeight="1" x14ac:dyDescent="0.2">
      <c r="B574" s="50"/>
      <c r="C574" s="50"/>
      <c r="D574" s="51"/>
    </row>
    <row r="575" spans="2:4" ht="14.25" customHeight="1" x14ac:dyDescent="0.2">
      <c r="B575" s="50"/>
      <c r="C575" s="50"/>
      <c r="D575" s="51"/>
    </row>
    <row r="576" spans="2:4" ht="14.25" customHeight="1" x14ac:dyDescent="0.2">
      <c r="B576" s="50"/>
      <c r="C576" s="50"/>
      <c r="D576" s="51"/>
    </row>
    <row r="577" spans="2:4" ht="14.25" customHeight="1" x14ac:dyDescent="0.2">
      <c r="B577" s="50"/>
      <c r="C577" s="50"/>
      <c r="D577" s="51"/>
    </row>
    <row r="578" spans="2:4" ht="14.25" customHeight="1" x14ac:dyDescent="0.2">
      <c r="B578" s="50"/>
      <c r="C578" s="50"/>
      <c r="D578" s="51"/>
    </row>
    <row r="579" spans="2:4" ht="14.25" customHeight="1" x14ac:dyDescent="0.2">
      <c r="B579" s="50"/>
      <c r="C579" s="50"/>
      <c r="D579" s="51"/>
    </row>
    <row r="580" spans="2:4" ht="14.25" customHeight="1" x14ac:dyDescent="0.2">
      <c r="B580" s="50"/>
      <c r="C580" s="50"/>
      <c r="D580" s="51"/>
    </row>
    <row r="581" spans="2:4" ht="14.25" customHeight="1" x14ac:dyDescent="0.2">
      <c r="B581" s="50"/>
      <c r="C581" s="50"/>
      <c r="D581" s="51"/>
    </row>
    <row r="582" spans="2:4" ht="14.25" customHeight="1" x14ac:dyDescent="0.2">
      <c r="B582" s="50"/>
      <c r="C582" s="50"/>
      <c r="D582" s="51"/>
    </row>
    <row r="583" spans="2:4" ht="14.25" customHeight="1" x14ac:dyDescent="0.2">
      <c r="B583" s="50"/>
      <c r="C583" s="50"/>
      <c r="D583" s="51"/>
    </row>
    <row r="584" spans="2:4" ht="14.25" customHeight="1" x14ac:dyDescent="0.2">
      <c r="B584" s="50"/>
      <c r="C584" s="50"/>
      <c r="D584" s="51"/>
    </row>
    <row r="585" spans="2:4" ht="14.25" customHeight="1" x14ac:dyDescent="0.2">
      <c r="B585" s="50"/>
      <c r="C585" s="50"/>
      <c r="D585" s="51"/>
    </row>
    <row r="586" spans="2:4" ht="14.25" customHeight="1" x14ac:dyDescent="0.2">
      <c r="B586" s="50"/>
      <c r="C586" s="50"/>
      <c r="D586" s="51"/>
    </row>
    <row r="587" spans="2:4" ht="14.25" customHeight="1" x14ac:dyDescent="0.2">
      <c r="B587" s="50"/>
      <c r="C587" s="50"/>
      <c r="D587" s="51"/>
    </row>
    <row r="588" spans="2:4" ht="14.25" customHeight="1" x14ac:dyDescent="0.2">
      <c r="B588" s="50"/>
      <c r="C588" s="50"/>
      <c r="D588" s="51"/>
    </row>
    <row r="589" spans="2:4" ht="14.25" customHeight="1" x14ac:dyDescent="0.2">
      <c r="B589" s="50"/>
      <c r="C589" s="50"/>
      <c r="D589" s="51"/>
    </row>
    <row r="590" spans="2:4" ht="14.25" customHeight="1" x14ac:dyDescent="0.2">
      <c r="B590" s="50"/>
      <c r="C590" s="50"/>
      <c r="D590" s="51"/>
    </row>
    <row r="591" spans="2:4" ht="14.25" customHeight="1" x14ac:dyDescent="0.2">
      <c r="B591" s="50"/>
      <c r="C591" s="50"/>
      <c r="D591" s="51"/>
    </row>
    <row r="592" spans="2:4" ht="14.25" customHeight="1" x14ac:dyDescent="0.2">
      <c r="B592" s="50"/>
      <c r="C592" s="50"/>
      <c r="D592" s="51"/>
    </row>
    <row r="593" spans="2:4" ht="14.25" customHeight="1" x14ac:dyDescent="0.2">
      <c r="B593" s="50"/>
      <c r="C593" s="50"/>
      <c r="D593" s="51"/>
    </row>
    <row r="594" spans="2:4" ht="14.25" customHeight="1" x14ac:dyDescent="0.2">
      <c r="B594" s="50"/>
      <c r="C594" s="50"/>
      <c r="D594" s="51"/>
    </row>
    <row r="595" spans="2:4" ht="14.25" customHeight="1" x14ac:dyDescent="0.2">
      <c r="B595" s="50"/>
      <c r="C595" s="50"/>
      <c r="D595" s="51"/>
    </row>
    <row r="596" spans="2:4" ht="14.25" customHeight="1" x14ac:dyDescent="0.2">
      <c r="B596" s="50"/>
      <c r="C596" s="50"/>
      <c r="D596" s="51"/>
    </row>
    <row r="597" spans="2:4" ht="14.25" customHeight="1" x14ac:dyDescent="0.2">
      <c r="B597" s="50"/>
      <c r="C597" s="50"/>
      <c r="D597" s="51"/>
    </row>
    <row r="598" spans="2:4" ht="14.25" customHeight="1" x14ac:dyDescent="0.2">
      <c r="B598" s="50"/>
      <c r="C598" s="50"/>
      <c r="D598" s="51"/>
    </row>
    <row r="599" spans="2:4" ht="14.25" customHeight="1" x14ac:dyDescent="0.2">
      <c r="B599" s="50"/>
      <c r="C599" s="50"/>
      <c r="D599" s="51"/>
    </row>
    <row r="600" spans="2:4" ht="14.25" customHeight="1" x14ac:dyDescent="0.2">
      <c r="B600" s="50"/>
      <c r="C600" s="50"/>
      <c r="D600" s="51"/>
    </row>
    <row r="601" spans="2:4" ht="14.25" customHeight="1" x14ac:dyDescent="0.2">
      <c r="B601" s="50"/>
      <c r="C601" s="50"/>
      <c r="D601" s="51"/>
    </row>
    <row r="602" spans="2:4" ht="14.25" customHeight="1" x14ac:dyDescent="0.2">
      <c r="B602" s="50"/>
      <c r="C602" s="50"/>
      <c r="D602" s="51"/>
    </row>
    <row r="603" spans="2:4" ht="14.25" customHeight="1" x14ac:dyDescent="0.2">
      <c r="B603" s="50"/>
      <c r="C603" s="50"/>
      <c r="D603" s="51"/>
    </row>
    <row r="604" spans="2:4" ht="14.25" customHeight="1" x14ac:dyDescent="0.2">
      <c r="B604" s="50"/>
      <c r="C604" s="50"/>
      <c r="D604" s="51"/>
    </row>
    <row r="605" spans="2:4" ht="14.25" customHeight="1" x14ac:dyDescent="0.2">
      <c r="B605" s="50"/>
      <c r="C605" s="50"/>
      <c r="D605" s="51"/>
    </row>
    <row r="606" spans="2:4" ht="14.25" customHeight="1" x14ac:dyDescent="0.2">
      <c r="B606" s="50"/>
      <c r="C606" s="50"/>
      <c r="D606" s="51"/>
    </row>
    <row r="607" spans="2:4" ht="14.25" customHeight="1" x14ac:dyDescent="0.2">
      <c r="B607" s="50"/>
      <c r="C607" s="50"/>
      <c r="D607" s="51"/>
    </row>
    <row r="608" spans="2:4" ht="14.25" customHeight="1" x14ac:dyDescent="0.2">
      <c r="B608" s="50"/>
      <c r="C608" s="50"/>
      <c r="D608" s="51"/>
    </row>
    <row r="609" spans="2:4" ht="14.25" customHeight="1" x14ac:dyDescent="0.2">
      <c r="B609" s="50"/>
      <c r="C609" s="50"/>
      <c r="D609" s="51"/>
    </row>
    <row r="610" spans="2:4" ht="14.25" customHeight="1" x14ac:dyDescent="0.2">
      <c r="B610" s="50"/>
      <c r="C610" s="50"/>
      <c r="D610" s="51"/>
    </row>
    <row r="611" spans="2:4" ht="14.25" customHeight="1" x14ac:dyDescent="0.2">
      <c r="B611" s="50"/>
      <c r="C611" s="50"/>
      <c r="D611" s="51"/>
    </row>
    <row r="612" spans="2:4" ht="14.25" customHeight="1" x14ac:dyDescent="0.2">
      <c r="B612" s="50"/>
      <c r="C612" s="50"/>
      <c r="D612" s="51"/>
    </row>
    <row r="613" spans="2:4" ht="14.25" customHeight="1" x14ac:dyDescent="0.2">
      <c r="B613" s="50"/>
      <c r="C613" s="50"/>
      <c r="D613" s="51"/>
    </row>
    <row r="614" spans="2:4" ht="14.25" customHeight="1" x14ac:dyDescent="0.2">
      <c r="B614" s="50"/>
      <c r="C614" s="50"/>
      <c r="D614" s="51"/>
    </row>
    <row r="615" spans="2:4" ht="14.25" customHeight="1" x14ac:dyDescent="0.2">
      <c r="B615" s="50"/>
      <c r="C615" s="50"/>
      <c r="D615" s="51"/>
    </row>
    <row r="616" spans="2:4" ht="14.25" customHeight="1" x14ac:dyDescent="0.2">
      <c r="B616" s="50"/>
      <c r="C616" s="50"/>
      <c r="D616" s="51"/>
    </row>
    <row r="617" spans="2:4" ht="14.25" customHeight="1" x14ac:dyDescent="0.2">
      <c r="B617" s="50"/>
      <c r="C617" s="50"/>
      <c r="D617" s="51"/>
    </row>
    <row r="618" spans="2:4" ht="14.25" customHeight="1" x14ac:dyDescent="0.2">
      <c r="B618" s="50"/>
      <c r="C618" s="50"/>
      <c r="D618" s="51"/>
    </row>
    <row r="619" spans="2:4" ht="14.25" customHeight="1" x14ac:dyDescent="0.2">
      <c r="B619" s="50"/>
      <c r="C619" s="50"/>
      <c r="D619" s="51"/>
    </row>
    <row r="620" spans="2:4" ht="14.25" customHeight="1" x14ac:dyDescent="0.2">
      <c r="B620" s="50"/>
      <c r="C620" s="50"/>
      <c r="D620" s="51"/>
    </row>
    <row r="621" spans="2:4" ht="14.25" customHeight="1" x14ac:dyDescent="0.2">
      <c r="B621" s="50"/>
      <c r="C621" s="50"/>
      <c r="D621" s="51"/>
    </row>
    <row r="622" spans="2:4" ht="14.25" customHeight="1" x14ac:dyDescent="0.2">
      <c r="B622" s="50"/>
      <c r="C622" s="50"/>
      <c r="D622" s="51"/>
    </row>
    <row r="623" spans="2:4" ht="14.25" customHeight="1" x14ac:dyDescent="0.2">
      <c r="B623" s="50"/>
      <c r="C623" s="50"/>
      <c r="D623" s="51"/>
    </row>
    <row r="624" spans="2:4" ht="14.25" customHeight="1" x14ac:dyDescent="0.2">
      <c r="B624" s="50"/>
      <c r="C624" s="50"/>
      <c r="D624" s="51"/>
    </row>
    <row r="625" spans="2:4" ht="14.25" customHeight="1" x14ac:dyDescent="0.2">
      <c r="B625" s="50"/>
      <c r="C625" s="50"/>
      <c r="D625" s="51"/>
    </row>
    <row r="626" spans="2:4" ht="14.25" customHeight="1" x14ac:dyDescent="0.2">
      <c r="B626" s="50"/>
      <c r="C626" s="50"/>
      <c r="D626" s="51"/>
    </row>
    <row r="627" spans="2:4" ht="14.25" customHeight="1" x14ac:dyDescent="0.2">
      <c r="B627" s="50"/>
      <c r="C627" s="50"/>
      <c r="D627" s="51"/>
    </row>
    <row r="628" spans="2:4" ht="14.25" customHeight="1" x14ac:dyDescent="0.2">
      <c r="B628" s="50"/>
      <c r="C628" s="50"/>
      <c r="D628" s="51"/>
    </row>
    <row r="629" spans="2:4" ht="14.25" customHeight="1" x14ac:dyDescent="0.2">
      <c r="B629" s="50"/>
      <c r="C629" s="50"/>
      <c r="D629" s="51"/>
    </row>
    <row r="630" spans="2:4" ht="14.25" customHeight="1" x14ac:dyDescent="0.2">
      <c r="B630" s="50"/>
      <c r="C630" s="50"/>
      <c r="D630" s="51"/>
    </row>
    <row r="631" spans="2:4" ht="14.25" customHeight="1" x14ac:dyDescent="0.2">
      <c r="B631" s="50"/>
      <c r="C631" s="50"/>
      <c r="D631" s="51"/>
    </row>
    <row r="632" spans="2:4" ht="14.25" customHeight="1" x14ac:dyDescent="0.2">
      <c r="B632" s="50"/>
      <c r="C632" s="50"/>
      <c r="D632" s="51"/>
    </row>
    <row r="633" spans="2:4" ht="14.25" customHeight="1" x14ac:dyDescent="0.2">
      <c r="B633" s="50"/>
      <c r="C633" s="50"/>
      <c r="D633" s="51"/>
    </row>
    <row r="634" spans="2:4" ht="14.25" customHeight="1" x14ac:dyDescent="0.2">
      <c r="B634" s="50"/>
      <c r="C634" s="50"/>
      <c r="D634" s="51"/>
    </row>
    <row r="635" spans="2:4" ht="14.25" customHeight="1" x14ac:dyDescent="0.2">
      <c r="B635" s="50"/>
      <c r="C635" s="50"/>
      <c r="D635" s="51"/>
    </row>
    <row r="636" spans="2:4" ht="14.25" customHeight="1" x14ac:dyDescent="0.2">
      <c r="B636" s="50"/>
      <c r="C636" s="50"/>
      <c r="D636" s="51"/>
    </row>
    <row r="637" spans="2:4" ht="14.25" customHeight="1" x14ac:dyDescent="0.2">
      <c r="B637" s="50"/>
      <c r="C637" s="50"/>
      <c r="D637" s="51"/>
    </row>
    <row r="638" spans="2:4" ht="14.25" customHeight="1" x14ac:dyDescent="0.2">
      <c r="B638" s="50"/>
      <c r="C638" s="50"/>
      <c r="D638" s="51"/>
    </row>
    <row r="639" spans="2:4" ht="14.25" customHeight="1" x14ac:dyDescent="0.2">
      <c r="B639" s="50"/>
      <c r="C639" s="50"/>
      <c r="D639" s="51"/>
    </row>
    <row r="640" spans="2:4" ht="14.25" customHeight="1" x14ac:dyDescent="0.2">
      <c r="B640" s="50"/>
      <c r="C640" s="50"/>
      <c r="D640" s="51"/>
    </row>
    <row r="641" spans="2:4" ht="14.25" customHeight="1" x14ac:dyDescent="0.2">
      <c r="B641" s="50"/>
      <c r="C641" s="50"/>
      <c r="D641" s="51"/>
    </row>
    <row r="642" spans="2:4" ht="14.25" customHeight="1" x14ac:dyDescent="0.2">
      <c r="B642" s="50"/>
      <c r="C642" s="50"/>
      <c r="D642" s="51"/>
    </row>
    <row r="643" spans="2:4" ht="14.25" customHeight="1" x14ac:dyDescent="0.2">
      <c r="B643" s="50"/>
      <c r="C643" s="50"/>
      <c r="D643" s="51"/>
    </row>
    <row r="644" spans="2:4" ht="14.25" customHeight="1" x14ac:dyDescent="0.2">
      <c r="B644" s="50"/>
      <c r="C644" s="50"/>
      <c r="D644" s="51"/>
    </row>
    <row r="645" spans="2:4" ht="14.25" customHeight="1" x14ac:dyDescent="0.2">
      <c r="B645" s="50"/>
      <c r="C645" s="50"/>
      <c r="D645" s="51"/>
    </row>
    <row r="646" spans="2:4" ht="14.25" customHeight="1" x14ac:dyDescent="0.2">
      <c r="B646" s="50"/>
      <c r="C646" s="50"/>
      <c r="D646" s="51"/>
    </row>
    <row r="647" spans="2:4" ht="14.25" customHeight="1" x14ac:dyDescent="0.2">
      <c r="B647" s="50"/>
      <c r="C647" s="50"/>
      <c r="D647" s="51"/>
    </row>
    <row r="648" spans="2:4" ht="14.25" customHeight="1" x14ac:dyDescent="0.2">
      <c r="B648" s="50"/>
      <c r="C648" s="50"/>
      <c r="D648" s="51"/>
    </row>
    <row r="649" spans="2:4" ht="14.25" customHeight="1" x14ac:dyDescent="0.2">
      <c r="B649" s="50"/>
      <c r="C649" s="50"/>
      <c r="D649" s="51"/>
    </row>
    <row r="650" spans="2:4" ht="14.25" customHeight="1" x14ac:dyDescent="0.2">
      <c r="B650" s="50"/>
      <c r="C650" s="50"/>
      <c r="D650" s="51"/>
    </row>
    <row r="651" spans="2:4" ht="14.25" customHeight="1" x14ac:dyDescent="0.2">
      <c r="B651" s="50"/>
      <c r="C651" s="50"/>
      <c r="D651" s="51"/>
    </row>
    <row r="652" spans="2:4" ht="14.25" customHeight="1" x14ac:dyDescent="0.2">
      <c r="B652" s="50"/>
      <c r="C652" s="50"/>
      <c r="D652" s="51"/>
    </row>
    <row r="653" spans="2:4" ht="14.25" customHeight="1" x14ac:dyDescent="0.2">
      <c r="B653" s="50"/>
      <c r="C653" s="50"/>
      <c r="D653" s="51"/>
    </row>
    <row r="654" spans="2:4" ht="14.25" customHeight="1" x14ac:dyDescent="0.2">
      <c r="B654" s="50"/>
      <c r="C654" s="50"/>
      <c r="D654" s="51"/>
    </row>
    <row r="655" spans="2:4" ht="14.25" customHeight="1" x14ac:dyDescent="0.2">
      <c r="B655" s="50"/>
      <c r="C655" s="50"/>
      <c r="D655" s="51"/>
    </row>
    <row r="656" spans="2:4" ht="14.25" customHeight="1" x14ac:dyDescent="0.2">
      <c r="B656" s="50"/>
      <c r="C656" s="50"/>
      <c r="D656" s="51"/>
    </row>
    <row r="657" spans="2:4" ht="14.25" customHeight="1" x14ac:dyDescent="0.2">
      <c r="B657" s="50"/>
      <c r="C657" s="50"/>
      <c r="D657" s="51"/>
    </row>
    <row r="658" spans="2:4" ht="14.25" customHeight="1" x14ac:dyDescent="0.2">
      <c r="B658" s="50"/>
      <c r="C658" s="50"/>
      <c r="D658" s="51"/>
    </row>
    <row r="659" spans="2:4" ht="14.25" customHeight="1" x14ac:dyDescent="0.2">
      <c r="B659" s="50"/>
      <c r="C659" s="50"/>
      <c r="D659" s="51"/>
    </row>
    <row r="660" spans="2:4" ht="14.25" customHeight="1" x14ac:dyDescent="0.2">
      <c r="B660" s="50"/>
      <c r="C660" s="50"/>
      <c r="D660" s="51"/>
    </row>
    <row r="661" spans="2:4" ht="14.25" customHeight="1" x14ac:dyDescent="0.2">
      <c r="B661" s="50"/>
      <c r="C661" s="50"/>
      <c r="D661" s="51"/>
    </row>
    <row r="662" spans="2:4" ht="14.25" customHeight="1" x14ac:dyDescent="0.2">
      <c r="B662" s="50"/>
      <c r="C662" s="50"/>
      <c r="D662" s="51"/>
    </row>
    <row r="663" spans="2:4" ht="14.25" customHeight="1" x14ac:dyDescent="0.2">
      <c r="B663" s="50"/>
      <c r="C663" s="50"/>
      <c r="D663" s="51"/>
    </row>
    <row r="664" spans="2:4" ht="14.25" customHeight="1" x14ac:dyDescent="0.2">
      <c r="B664" s="50"/>
      <c r="C664" s="50"/>
      <c r="D664" s="51"/>
    </row>
    <row r="665" spans="2:4" ht="14.25" customHeight="1" x14ac:dyDescent="0.2">
      <c r="B665" s="50"/>
      <c r="C665" s="50"/>
      <c r="D665" s="51"/>
    </row>
    <row r="666" spans="2:4" ht="14.25" customHeight="1" x14ac:dyDescent="0.2">
      <c r="B666" s="50"/>
      <c r="C666" s="50"/>
      <c r="D666" s="51"/>
    </row>
    <row r="667" spans="2:4" ht="14.25" customHeight="1" x14ac:dyDescent="0.2">
      <c r="B667" s="50"/>
      <c r="C667" s="50"/>
      <c r="D667" s="51"/>
    </row>
    <row r="668" spans="2:4" ht="14.25" customHeight="1" x14ac:dyDescent="0.2">
      <c r="B668" s="50"/>
      <c r="C668" s="50"/>
      <c r="D668" s="51"/>
    </row>
    <row r="669" spans="2:4" ht="14.25" customHeight="1" x14ac:dyDescent="0.2">
      <c r="B669" s="50"/>
      <c r="C669" s="50"/>
      <c r="D669" s="51"/>
    </row>
    <row r="670" spans="2:4" ht="14.25" customHeight="1" x14ac:dyDescent="0.2">
      <c r="B670" s="50"/>
      <c r="C670" s="50"/>
      <c r="D670" s="51"/>
    </row>
    <row r="671" spans="2:4" ht="14.25" customHeight="1" x14ac:dyDescent="0.2">
      <c r="B671" s="50"/>
      <c r="C671" s="50"/>
      <c r="D671" s="51"/>
    </row>
    <row r="672" spans="2:4" ht="14.25" customHeight="1" x14ac:dyDescent="0.2">
      <c r="B672" s="50"/>
      <c r="C672" s="50"/>
      <c r="D672" s="51"/>
    </row>
    <row r="673" spans="2:4" ht="14.25" customHeight="1" x14ac:dyDescent="0.2">
      <c r="B673" s="50"/>
      <c r="C673" s="50"/>
      <c r="D673" s="51"/>
    </row>
    <row r="674" spans="2:4" ht="14.25" customHeight="1" x14ac:dyDescent="0.2">
      <c r="B674" s="50"/>
      <c r="C674" s="50"/>
      <c r="D674" s="51"/>
    </row>
    <row r="675" spans="2:4" ht="14.25" customHeight="1" x14ac:dyDescent="0.2">
      <c r="B675" s="50"/>
      <c r="C675" s="50"/>
      <c r="D675" s="51"/>
    </row>
    <row r="676" spans="2:4" ht="14.25" customHeight="1" x14ac:dyDescent="0.2">
      <c r="B676" s="50"/>
      <c r="C676" s="50"/>
      <c r="D676" s="51"/>
    </row>
    <row r="677" spans="2:4" ht="14.25" customHeight="1" x14ac:dyDescent="0.2">
      <c r="B677" s="50"/>
      <c r="C677" s="50"/>
      <c r="D677" s="51"/>
    </row>
    <row r="678" spans="2:4" ht="14.25" customHeight="1" x14ac:dyDescent="0.2">
      <c r="B678" s="50"/>
      <c r="C678" s="50"/>
      <c r="D678" s="51"/>
    </row>
    <row r="679" spans="2:4" ht="14.25" customHeight="1" x14ac:dyDescent="0.2">
      <c r="B679" s="50"/>
      <c r="C679" s="50"/>
      <c r="D679" s="51"/>
    </row>
    <row r="680" spans="2:4" ht="14.25" customHeight="1" x14ac:dyDescent="0.2">
      <c r="B680" s="50"/>
      <c r="C680" s="50"/>
      <c r="D680" s="51"/>
    </row>
    <row r="681" spans="2:4" ht="14.25" customHeight="1" x14ac:dyDescent="0.2">
      <c r="B681" s="50"/>
      <c r="C681" s="50"/>
      <c r="D681" s="51"/>
    </row>
    <row r="682" spans="2:4" ht="14.25" customHeight="1" x14ac:dyDescent="0.2">
      <c r="B682" s="50"/>
      <c r="C682" s="50"/>
      <c r="D682" s="51"/>
    </row>
    <row r="683" spans="2:4" ht="14.25" customHeight="1" x14ac:dyDescent="0.2">
      <c r="B683" s="50"/>
      <c r="C683" s="50"/>
      <c r="D683" s="51"/>
    </row>
    <row r="684" spans="2:4" ht="14.25" customHeight="1" x14ac:dyDescent="0.2">
      <c r="B684" s="50"/>
      <c r="C684" s="50"/>
      <c r="D684" s="51"/>
    </row>
    <row r="685" spans="2:4" ht="14.25" customHeight="1" x14ac:dyDescent="0.2">
      <c r="B685" s="50"/>
      <c r="C685" s="50"/>
      <c r="D685" s="51"/>
    </row>
    <row r="686" spans="2:4" ht="14.25" customHeight="1" x14ac:dyDescent="0.2">
      <c r="B686" s="50"/>
      <c r="C686" s="50"/>
      <c r="D686" s="51"/>
    </row>
    <row r="687" spans="2:4" ht="14.25" customHeight="1" x14ac:dyDescent="0.2">
      <c r="B687" s="50"/>
      <c r="C687" s="50"/>
      <c r="D687" s="51"/>
    </row>
    <row r="688" spans="2:4" ht="14.25" customHeight="1" x14ac:dyDescent="0.2">
      <c r="B688" s="50"/>
      <c r="C688" s="50"/>
      <c r="D688" s="51"/>
    </row>
    <row r="689" spans="2:4" ht="14.25" customHeight="1" x14ac:dyDescent="0.2">
      <c r="B689" s="50"/>
      <c r="C689" s="50"/>
      <c r="D689" s="51"/>
    </row>
    <row r="690" spans="2:4" ht="14.25" customHeight="1" x14ac:dyDescent="0.2">
      <c r="B690" s="50"/>
      <c r="C690" s="50"/>
      <c r="D690" s="51"/>
    </row>
    <row r="691" spans="2:4" ht="14.25" customHeight="1" x14ac:dyDescent="0.2">
      <c r="B691" s="50"/>
      <c r="C691" s="50"/>
      <c r="D691" s="51"/>
    </row>
    <row r="692" spans="2:4" ht="14.25" customHeight="1" x14ac:dyDescent="0.2">
      <c r="B692" s="50"/>
      <c r="C692" s="50"/>
      <c r="D692" s="51"/>
    </row>
    <row r="693" spans="2:4" ht="14.25" customHeight="1" x14ac:dyDescent="0.2">
      <c r="B693" s="50"/>
      <c r="C693" s="50"/>
      <c r="D693" s="51"/>
    </row>
    <row r="694" spans="2:4" ht="14.25" customHeight="1" x14ac:dyDescent="0.2">
      <c r="B694" s="50"/>
      <c r="C694" s="50"/>
      <c r="D694" s="51"/>
    </row>
    <row r="695" spans="2:4" ht="14.25" customHeight="1" x14ac:dyDescent="0.2">
      <c r="B695" s="50"/>
      <c r="C695" s="50"/>
      <c r="D695" s="51"/>
    </row>
    <row r="696" spans="2:4" ht="14.25" customHeight="1" x14ac:dyDescent="0.2">
      <c r="B696" s="50"/>
      <c r="C696" s="50"/>
      <c r="D696" s="51"/>
    </row>
    <row r="697" spans="2:4" ht="14.25" customHeight="1" x14ac:dyDescent="0.2">
      <c r="B697" s="50"/>
      <c r="C697" s="50"/>
      <c r="D697" s="51"/>
    </row>
    <row r="698" spans="2:4" ht="14.25" customHeight="1" x14ac:dyDescent="0.2">
      <c r="B698" s="50"/>
      <c r="C698" s="50"/>
      <c r="D698" s="51"/>
    </row>
    <row r="699" spans="2:4" ht="14.25" customHeight="1" x14ac:dyDescent="0.2">
      <c r="B699" s="50"/>
      <c r="C699" s="50"/>
      <c r="D699" s="51"/>
    </row>
    <row r="700" spans="2:4" ht="14.25" customHeight="1" x14ac:dyDescent="0.2">
      <c r="B700" s="50"/>
      <c r="C700" s="50"/>
      <c r="D700" s="51"/>
    </row>
    <row r="701" spans="2:4" ht="14.25" customHeight="1" x14ac:dyDescent="0.2">
      <c r="B701" s="50"/>
      <c r="C701" s="50"/>
      <c r="D701" s="51"/>
    </row>
    <row r="702" spans="2:4" ht="14.25" customHeight="1" x14ac:dyDescent="0.2">
      <c r="B702" s="50"/>
      <c r="C702" s="50"/>
      <c r="D702" s="51"/>
    </row>
    <row r="703" spans="2:4" ht="14.25" customHeight="1" x14ac:dyDescent="0.2">
      <c r="B703" s="50"/>
      <c r="C703" s="50"/>
      <c r="D703" s="51"/>
    </row>
    <row r="704" spans="2:4" ht="14.25" customHeight="1" x14ac:dyDescent="0.2">
      <c r="B704" s="50"/>
      <c r="C704" s="50"/>
      <c r="D704" s="51"/>
    </row>
    <row r="705" spans="2:4" ht="14.25" customHeight="1" x14ac:dyDescent="0.2">
      <c r="B705" s="50"/>
      <c r="C705" s="50"/>
      <c r="D705" s="51"/>
    </row>
    <row r="706" spans="2:4" ht="14.25" customHeight="1" x14ac:dyDescent="0.2">
      <c r="B706" s="50"/>
      <c r="C706" s="50"/>
      <c r="D706" s="51"/>
    </row>
    <row r="707" spans="2:4" ht="14.25" customHeight="1" x14ac:dyDescent="0.2">
      <c r="B707" s="50"/>
      <c r="C707" s="50"/>
      <c r="D707" s="51"/>
    </row>
    <row r="708" spans="2:4" ht="14.25" customHeight="1" x14ac:dyDescent="0.2">
      <c r="B708" s="50"/>
      <c r="C708" s="50"/>
      <c r="D708" s="51"/>
    </row>
    <row r="709" spans="2:4" ht="14.25" customHeight="1" x14ac:dyDescent="0.2">
      <c r="B709" s="50"/>
      <c r="C709" s="50"/>
      <c r="D709" s="51"/>
    </row>
    <row r="710" spans="2:4" ht="14.25" customHeight="1" x14ac:dyDescent="0.2">
      <c r="B710" s="50"/>
      <c r="C710" s="50"/>
      <c r="D710" s="51"/>
    </row>
    <row r="711" spans="2:4" ht="14.25" customHeight="1" x14ac:dyDescent="0.2">
      <c r="B711" s="50"/>
      <c r="C711" s="50"/>
      <c r="D711" s="51"/>
    </row>
    <row r="712" spans="2:4" ht="14.25" customHeight="1" x14ac:dyDescent="0.2">
      <c r="B712" s="50"/>
      <c r="C712" s="50"/>
      <c r="D712" s="51"/>
    </row>
    <row r="713" spans="2:4" ht="14.25" customHeight="1" x14ac:dyDescent="0.2">
      <c r="B713" s="50"/>
      <c r="C713" s="50"/>
      <c r="D713" s="51"/>
    </row>
    <row r="714" spans="2:4" ht="14.25" customHeight="1" x14ac:dyDescent="0.2">
      <c r="B714" s="50"/>
      <c r="C714" s="50"/>
      <c r="D714" s="51"/>
    </row>
    <row r="715" spans="2:4" ht="14.25" customHeight="1" x14ac:dyDescent="0.2">
      <c r="B715" s="50"/>
      <c r="C715" s="50"/>
      <c r="D715" s="51"/>
    </row>
    <row r="716" spans="2:4" ht="14.25" customHeight="1" x14ac:dyDescent="0.2">
      <c r="B716" s="50"/>
      <c r="C716" s="50"/>
      <c r="D716" s="51"/>
    </row>
    <row r="717" spans="2:4" ht="14.25" customHeight="1" x14ac:dyDescent="0.2">
      <c r="B717" s="50"/>
      <c r="C717" s="50"/>
      <c r="D717" s="51"/>
    </row>
    <row r="718" spans="2:4" ht="14.25" customHeight="1" x14ac:dyDescent="0.2">
      <c r="B718" s="50"/>
      <c r="C718" s="50"/>
      <c r="D718" s="51"/>
    </row>
    <row r="719" spans="2:4" ht="14.25" customHeight="1" x14ac:dyDescent="0.2">
      <c r="B719" s="50"/>
      <c r="C719" s="50"/>
      <c r="D719" s="51"/>
    </row>
    <row r="720" spans="2:4" ht="14.25" customHeight="1" x14ac:dyDescent="0.2">
      <c r="B720" s="50"/>
      <c r="C720" s="50"/>
      <c r="D720" s="51"/>
    </row>
    <row r="721" spans="2:4" ht="14.25" customHeight="1" x14ac:dyDescent="0.2">
      <c r="B721" s="50"/>
      <c r="C721" s="50"/>
      <c r="D721" s="51"/>
    </row>
    <row r="722" spans="2:4" ht="14.25" customHeight="1" x14ac:dyDescent="0.2">
      <c r="B722" s="50"/>
      <c r="C722" s="50"/>
      <c r="D722" s="51"/>
    </row>
    <row r="723" spans="2:4" ht="14.25" customHeight="1" x14ac:dyDescent="0.2">
      <c r="B723" s="50"/>
      <c r="C723" s="50"/>
      <c r="D723" s="51"/>
    </row>
    <row r="724" spans="2:4" ht="14.25" customHeight="1" x14ac:dyDescent="0.2">
      <c r="B724" s="50"/>
      <c r="C724" s="50"/>
      <c r="D724" s="51"/>
    </row>
    <row r="725" spans="2:4" ht="14.25" customHeight="1" x14ac:dyDescent="0.2">
      <c r="B725" s="50"/>
      <c r="C725" s="50"/>
      <c r="D725" s="51"/>
    </row>
    <row r="726" spans="2:4" ht="14.25" customHeight="1" x14ac:dyDescent="0.2">
      <c r="B726" s="50"/>
      <c r="C726" s="50"/>
      <c r="D726" s="51"/>
    </row>
    <row r="727" spans="2:4" ht="14.25" customHeight="1" x14ac:dyDescent="0.2">
      <c r="B727" s="50"/>
      <c r="C727" s="50"/>
      <c r="D727" s="51"/>
    </row>
    <row r="728" spans="2:4" ht="14.25" customHeight="1" x14ac:dyDescent="0.2">
      <c r="B728" s="50"/>
      <c r="C728" s="50"/>
      <c r="D728" s="51"/>
    </row>
    <row r="729" spans="2:4" ht="14.25" customHeight="1" x14ac:dyDescent="0.2">
      <c r="B729" s="50"/>
      <c r="C729" s="50"/>
      <c r="D729" s="51"/>
    </row>
    <row r="730" spans="2:4" ht="14.25" customHeight="1" x14ac:dyDescent="0.2">
      <c r="B730" s="50"/>
      <c r="C730" s="50"/>
      <c r="D730" s="51"/>
    </row>
    <row r="731" spans="2:4" ht="14.25" customHeight="1" x14ac:dyDescent="0.2">
      <c r="B731" s="50"/>
      <c r="C731" s="50"/>
      <c r="D731" s="51"/>
    </row>
    <row r="732" spans="2:4" ht="14.25" customHeight="1" x14ac:dyDescent="0.2">
      <c r="B732" s="50"/>
      <c r="C732" s="50"/>
      <c r="D732" s="51"/>
    </row>
    <row r="733" spans="2:4" ht="14.25" customHeight="1" x14ac:dyDescent="0.2">
      <c r="B733" s="50"/>
      <c r="C733" s="50"/>
      <c r="D733" s="51"/>
    </row>
    <row r="734" spans="2:4" ht="14.25" customHeight="1" x14ac:dyDescent="0.2">
      <c r="B734" s="50"/>
      <c r="C734" s="50"/>
      <c r="D734" s="51"/>
    </row>
    <row r="735" spans="2:4" ht="14.25" customHeight="1" x14ac:dyDescent="0.2">
      <c r="B735" s="50"/>
      <c r="C735" s="50"/>
      <c r="D735" s="51"/>
    </row>
    <row r="736" spans="2:4" ht="14.25" customHeight="1" x14ac:dyDescent="0.2">
      <c r="B736" s="50"/>
      <c r="C736" s="50"/>
      <c r="D736" s="51"/>
    </row>
    <row r="737" spans="2:4" ht="14.25" customHeight="1" x14ac:dyDescent="0.2">
      <c r="B737" s="50"/>
      <c r="C737" s="50"/>
      <c r="D737" s="51"/>
    </row>
    <row r="738" spans="2:4" ht="14.25" customHeight="1" x14ac:dyDescent="0.2">
      <c r="B738" s="50"/>
      <c r="C738" s="50"/>
      <c r="D738" s="51"/>
    </row>
    <row r="739" spans="2:4" ht="14.25" customHeight="1" x14ac:dyDescent="0.2">
      <c r="B739" s="50"/>
      <c r="C739" s="50"/>
      <c r="D739" s="51"/>
    </row>
    <row r="740" spans="2:4" ht="14.25" customHeight="1" x14ac:dyDescent="0.2">
      <c r="B740" s="50"/>
      <c r="C740" s="50"/>
      <c r="D740" s="51"/>
    </row>
    <row r="741" spans="2:4" ht="14.25" customHeight="1" x14ac:dyDescent="0.2">
      <c r="B741" s="50"/>
      <c r="C741" s="50"/>
      <c r="D741" s="51"/>
    </row>
    <row r="742" spans="2:4" ht="14.25" customHeight="1" x14ac:dyDescent="0.2">
      <c r="B742" s="50"/>
      <c r="C742" s="50"/>
      <c r="D742" s="51"/>
    </row>
    <row r="743" spans="2:4" ht="14.25" customHeight="1" x14ac:dyDescent="0.2">
      <c r="B743" s="50"/>
      <c r="C743" s="50"/>
      <c r="D743" s="51"/>
    </row>
    <row r="744" spans="2:4" ht="14.25" customHeight="1" x14ac:dyDescent="0.2">
      <c r="B744" s="50"/>
      <c r="C744" s="50"/>
      <c r="D744" s="51"/>
    </row>
    <row r="745" spans="2:4" ht="14.25" customHeight="1" x14ac:dyDescent="0.2">
      <c r="B745" s="50"/>
      <c r="C745" s="50"/>
      <c r="D745" s="51"/>
    </row>
    <row r="746" spans="2:4" ht="14.25" customHeight="1" x14ac:dyDescent="0.2">
      <c r="B746" s="50"/>
      <c r="C746" s="50"/>
      <c r="D746" s="51"/>
    </row>
    <row r="747" spans="2:4" ht="14.25" customHeight="1" x14ac:dyDescent="0.2">
      <c r="B747" s="50"/>
      <c r="C747" s="50"/>
      <c r="D747" s="51"/>
    </row>
    <row r="748" spans="2:4" ht="14.25" customHeight="1" x14ac:dyDescent="0.2">
      <c r="B748" s="50"/>
      <c r="C748" s="50"/>
      <c r="D748" s="51"/>
    </row>
    <row r="749" spans="2:4" ht="14.25" customHeight="1" x14ac:dyDescent="0.2">
      <c r="B749" s="50"/>
      <c r="C749" s="50"/>
      <c r="D749" s="51"/>
    </row>
    <row r="750" spans="2:4" ht="14.25" customHeight="1" x14ac:dyDescent="0.2">
      <c r="B750" s="50"/>
      <c r="C750" s="50"/>
      <c r="D750" s="51"/>
    </row>
    <row r="751" spans="2:4" ht="14.25" customHeight="1" x14ac:dyDescent="0.2">
      <c r="B751" s="50"/>
      <c r="C751" s="50"/>
      <c r="D751" s="51"/>
    </row>
    <row r="752" spans="2:4" ht="14.25" customHeight="1" x14ac:dyDescent="0.2">
      <c r="B752" s="50"/>
      <c r="C752" s="50"/>
      <c r="D752" s="51"/>
    </row>
    <row r="753" spans="2:4" ht="14.25" customHeight="1" x14ac:dyDescent="0.2">
      <c r="B753" s="50"/>
      <c r="C753" s="50"/>
      <c r="D753" s="51"/>
    </row>
    <row r="754" spans="2:4" ht="14.25" customHeight="1" x14ac:dyDescent="0.2">
      <c r="B754" s="50"/>
      <c r="C754" s="50"/>
      <c r="D754" s="51"/>
    </row>
    <row r="755" spans="2:4" ht="14.25" customHeight="1" x14ac:dyDescent="0.2">
      <c r="B755" s="50"/>
      <c r="C755" s="50"/>
      <c r="D755" s="51"/>
    </row>
    <row r="756" spans="2:4" ht="14.25" customHeight="1" x14ac:dyDescent="0.2">
      <c r="B756" s="50"/>
      <c r="C756" s="50"/>
      <c r="D756" s="51"/>
    </row>
    <row r="757" spans="2:4" ht="14.25" customHeight="1" x14ac:dyDescent="0.2">
      <c r="B757" s="50"/>
      <c r="C757" s="50"/>
      <c r="D757" s="51"/>
    </row>
    <row r="758" spans="2:4" ht="14.25" customHeight="1" x14ac:dyDescent="0.2">
      <c r="B758" s="50"/>
      <c r="C758" s="50"/>
      <c r="D758" s="51"/>
    </row>
    <row r="759" spans="2:4" ht="14.25" customHeight="1" x14ac:dyDescent="0.2">
      <c r="B759" s="50"/>
      <c r="C759" s="50"/>
      <c r="D759" s="51"/>
    </row>
    <row r="760" spans="2:4" ht="14.25" customHeight="1" x14ac:dyDescent="0.2">
      <c r="B760" s="50"/>
      <c r="C760" s="50"/>
      <c r="D760" s="51"/>
    </row>
    <row r="761" spans="2:4" ht="14.25" customHeight="1" x14ac:dyDescent="0.2">
      <c r="B761" s="50"/>
      <c r="C761" s="50"/>
      <c r="D761" s="51"/>
    </row>
    <row r="762" spans="2:4" ht="14.25" customHeight="1" x14ac:dyDescent="0.2">
      <c r="B762" s="50"/>
      <c r="C762" s="50"/>
      <c r="D762" s="51"/>
    </row>
    <row r="763" spans="2:4" ht="14.25" customHeight="1" x14ac:dyDescent="0.2">
      <c r="B763" s="50"/>
      <c r="C763" s="50"/>
      <c r="D763" s="51"/>
    </row>
    <row r="764" spans="2:4" ht="14.25" customHeight="1" x14ac:dyDescent="0.2">
      <c r="B764" s="50"/>
      <c r="C764" s="50"/>
      <c r="D764" s="51"/>
    </row>
    <row r="765" spans="2:4" ht="14.25" customHeight="1" x14ac:dyDescent="0.2">
      <c r="B765" s="50"/>
      <c r="C765" s="50"/>
      <c r="D765" s="51"/>
    </row>
    <row r="766" spans="2:4" ht="14.25" customHeight="1" x14ac:dyDescent="0.2">
      <c r="B766" s="50"/>
      <c r="C766" s="50"/>
      <c r="D766" s="51"/>
    </row>
    <row r="767" spans="2:4" ht="14.25" customHeight="1" x14ac:dyDescent="0.2">
      <c r="B767" s="50"/>
      <c r="C767" s="50"/>
      <c r="D767" s="51"/>
    </row>
    <row r="768" spans="2:4" ht="14.25" customHeight="1" x14ac:dyDescent="0.2">
      <c r="B768" s="50"/>
      <c r="C768" s="50"/>
      <c r="D768" s="51"/>
    </row>
    <row r="769" spans="2:4" ht="14.25" customHeight="1" x14ac:dyDescent="0.2">
      <c r="B769" s="50"/>
      <c r="C769" s="50"/>
      <c r="D769" s="51"/>
    </row>
    <row r="770" spans="2:4" ht="14.25" customHeight="1" x14ac:dyDescent="0.2">
      <c r="B770" s="50"/>
      <c r="C770" s="50"/>
      <c r="D770" s="51"/>
    </row>
    <row r="771" spans="2:4" ht="14.25" customHeight="1" x14ac:dyDescent="0.2">
      <c r="B771" s="50"/>
      <c r="C771" s="50"/>
      <c r="D771" s="51"/>
    </row>
    <row r="772" spans="2:4" ht="14.25" customHeight="1" x14ac:dyDescent="0.2">
      <c r="B772" s="50"/>
      <c r="C772" s="50"/>
      <c r="D772" s="51"/>
    </row>
    <row r="773" spans="2:4" ht="14.25" customHeight="1" x14ac:dyDescent="0.2">
      <c r="B773" s="50"/>
      <c r="C773" s="50"/>
      <c r="D773" s="51"/>
    </row>
    <row r="774" spans="2:4" ht="14.25" customHeight="1" x14ac:dyDescent="0.2">
      <c r="B774" s="50"/>
      <c r="C774" s="50"/>
      <c r="D774" s="51"/>
    </row>
    <row r="775" spans="2:4" ht="14.25" customHeight="1" x14ac:dyDescent="0.2">
      <c r="B775" s="50"/>
      <c r="C775" s="50"/>
      <c r="D775" s="51"/>
    </row>
    <row r="776" spans="2:4" ht="14.25" customHeight="1" x14ac:dyDescent="0.2">
      <c r="B776" s="50"/>
      <c r="C776" s="50"/>
      <c r="D776" s="51"/>
    </row>
    <row r="777" spans="2:4" ht="14.25" customHeight="1" x14ac:dyDescent="0.2">
      <c r="B777" s="50"/>
      <c r="C777" s="50"/>
      <c r="D777" s="51"/>
    </row>
    <row r="778" spans="2:4" ht="14.25" customHeight="1" x14ac:dyDescent="0.2">
      <c r="B778" s="50"/>
      <c r="C778" s="50"/>
      <c r="D778" s="51"/>
    </row>
    <row r="779" spans="2:4" ht="14.25" customHeight="1" x14ac:dyDescent="0.2">
      <c r="B779" s="50"/>
      <c r="C779" s="50"/>
      <c r="D779" s="51"/>
    </row>
    <row r="780" spans="2:4" ht="14.25" customHeight="1" x14ac:dyDescent="0.2">
      <c r="B780" s="50"/>
      <c r="C780" s="50"/>
      <c r="D780" s="51"/>
    </row>
    <row r="781" spans="2:4" ht="14.25" customHeight="1" x14ac:dyDescent="0.2">
      <c r="B781" s="50"/>
      <c r="C781" s="50"/>
      <c r="D781" s="51"/>
    </row>
    <row r="782" spans="2:4" ht="14.25" customHeight="1" x14ac:dyDescent="0.2">
      <c r="B782" s="50"/>
      <c r="C782" s="50"/>
      <c r="D782" s="51"/>
    </row>
    <row r="783" spans="2:4" ht="14.25" customHeight="1" x14ac:dyDescent="0.2">
      <c r="B783" s="50"/>
      <c r="C783" s="50"/>
      <c r="D783" s="51"/>
    </row>
    <row r="784" spans="2:4" ht="14.25" customHeight="1" x14ac:dyDescent="0.2">
      <c r="B784" s="50"/>
      <c r="C784" s="50"/>
      <c r="D784" s="51"/>
    </row>
    <row r="785" spans="2:4" ht="14.25" customHeight="1" x14ac:dyDescent="0.2">
      <c r="B785" s="50"/>
      <c r="C785" s="50"/>
      <c r="D785" s="51"/>
    </row>
    <row r="786" spans="2:4" ht="14.25" customHeight="1" x14ac:dyDescent="0.2">
      <c r="B786" s="50"/>
      <c r="C786" s="50"/>
      <c r="D786" s="51"/>
    </row>
    <row r="787" spans="2:4" ht="14.25" customHeight="1" x14ac:dyDescent="0.2">
      <c r="B787" s="50"/>
      <c r="C787" s="50"/>
      <c r="D787" s="51"/>
    </row>
    <row r="788" spans="2:4" ht="14.25" customHeight="1" x14ac:dyDescent="0.2">
      <c r="B788" s="50"/>
      <c r="C788" s="50"/>
      <c r="D788" s="51"/>
    </row>
    <row r="789" spans="2:4" ht="14.25" customHeight="1" x14ac:dyDescent="0.2">
      <c r="B789" s="50"/>
      <c r="C789" s="50"/>
      <c r="D789" s="51"/>
    </row>
    <row r="790" spans="2:4" ht="14.25" customHeight="1" x14ac:dyDescent="0.2">
      <c r="B790" s="50"/>
      <c r="C790" s="50"/>
      <c r="D790" s="51"/>
    </row>
    <row r="791" spans="2:4" ht="14.25" customHeight="1" x14ac:dyDescent="0.2">
      <c r="B791" s="50"/>
      <c r="C791" s="50"/>
      <c r="D791" s="51"/>
    </row>
    <row r="792" spans="2:4" ht="14.25" customHeight="1" x14ac:dyDescent="0.2">
      <c r="B792" s="50"/>
      <c r="C792" s="50"/>
      <c r="D792" s="51"/>
    </row>
    <row r="793" spans="2:4" ht="14.25" customHeight="1" x14ac:dyDescent="0.2">
      <c r="B793" s="50"/>
      <c r="C793" s="50"/>
      <c r="D793" s="51"/>
    </row>
    <row r="794" spans="2:4" ht="14.25" customHeight="1" x14ac:dyDescent="0.2">
      <c r="B794" s="50"/>
      <c r="C794" s="50"/>
      <c r="D794" s="51"/>
    </row>
    <row r="795" spans="2:4" ht="14.25" customHeight="1" x14ac:dyDescent="0.2">
      <c r="B795" s="50"/>
      <c r="C795" s="50"/>
      <c r="D795" s="51"/>
    </row>
    <row r="796" spans="2:4" ht="14.25" customHeight="1" x14ac:dyDescent="0.2">
      <c r="B796" s="50"/>
      <c r="C796" s="50"/>
      <c r="D796" s="51"/>
    </row>
    <row r="797" spans="2:4" ht="14.25" customHeight="1" x14ac:dyDescent="0.2">
      <c r="B797" s="50"/>
      <c r="C797" s="50"/>
      <c r="D797" s="51"/>
    </row>
    <row r="798" spans="2:4" ht="14.25" customHeight="1" x14ac:dyDescent="0.2">
      <c r="B798" s="50"/>
      <c r="C798" s="50"/>
      <c r="D798" s="51"/>
    </row>
    <row r="799" spans="2:4" ht="14.25" customHeight="1" x14ac:dyDescent="0.2">
      <c r="B799" s="50"/>
      <c r="C799" s="50"/>
      <c r="D799" s="51"/>
    </row>
    <row r="800" spans="2:4" ht="14.25" customHeight="1" x14ac:dyDescent="0.2">
      <c r="B800" s="50"/>
      <c r="C800" s="50"/>
      <c r="D800" s="51"/>
    </row>
    <row r="801" spans="2:4" ht="14.25" customHeight="1" x14ac:dyDescent="0.2">
      <c r="B801" s="50"/>
      <c r="C801" s="50"/>
      <c r="D801" s="51"/>
    </row>
    <row r="802" spans="2:4" ht="14.25" customHeight="1" x14ac:dyDescent="0.2">
      <c r="B802" s="50"/>
      <c r="C802" s="50"/>
      <c r="D802" s="51"/>
    </row>
    <row r="803" spans="2:4" ht="14.25" customHeight="1" x14ac:dyDescent="0.2">
      <c r="B803" s="50"/>
      <c r="C803" s="50"/>
      <c r="D803" s="51"/>
    </row>
    <row r="804" spans="2:4" ht="14.25" customHeight="1" x14ac:dyDescent="0.2">
      <c r="B804" s="50"/>
      <c r="C804" s="50"/>
      <c r="D804" s="51"/>
    </row>
    <row r="805" spans="2:4" ht="14.25" customHeight="1" x14ac:dyDescent="0.2">
      <c r="B805" s="50"/>
      <c r="C805" s="50"/>
      <c r="D805" s="51"/>
    </row>
    <row r="806" spans="2:4" ht="14.25" customHeight="1" x14ac:dyDescent="0.2">
      <c r="B806" s="50"/>
      <c r="C806" s="50"/>
      <c r="D806" s="51"/>
    </row>
    <row r="807" spans="2:4" ht="14.25" customHeight="1" x14ac:dyDescent="0.2">
      <c r="B807" s="50"/>
      <c r="C807" s="50"/>
      <c r="D807" s="51"/>
    </row>
    <row r="808" spans="2:4" ht="14.25" customHeight="1" x14ac:dyDescent="0.2">
      <c r="B808" s="50"/>
      <c r="C808" s="50"/>
      <c r="D808" s="51"/>
    </row>
    <row r="809" spans="2:4" ht="14.25" customHeight="1" x14ac:dyDescent="0.2">
      <c r="B809" s="50"/>
      <c r="C809" s="50"/>
      <c r="D809" s="51"/>
    </row>
    <row r="810" spans="2:4" ht="14.25" customHeight="1" x14ac:dyDescent="0.2">
      <c r="B810" s="50"/>
      <c r="C810" s="50"/>
      <c r="D810" s="51"/>
    </row>
    <row r="811" spans="2:4" ht="14.25" customHeight="1" x14ac:dyDescent="0.2">
      <c r="B811" s="50"/>
      <c r="C811" s="50"/>
      <c r="D811" s="51"/>
    </row>
    <row r="812" spans="2:4" ht="14.25" customHeight="1" x14ac:dyDescent="0.2">
      <c r="B812" s="50"/>
      <c r="C812" s="50"/>
      <c r="D812" s="51"/>
    </row>
    <row r="813" spans="2:4" ht="14.25" customHeight="1" x14ac:dyDescent="0.2">
      <c r="B813" s="50"/>
      <c r="C813" s="50"/>
      <c r="D813" s="51"/>
    </row>
    <row r="814" spans="2:4" ht="14.25" customHeight="1" x14ac:dyDescent="0.2">
      <c r="B814" s="50"/>
      <c r="C814" s="50"/>
      <c r="D814" s="51"/>
    </row>
    <row r="815" spans="2:4" ht="14.25" customHeight="1" x14ac:dyDescent="0.2">
      <c r="B815" s="50"/>
      <c r="C815" s="50"/>
      <c r="D815" s="51"/>
    </row>
    <row r="816" spans="2:4" ht="14.25" customHeight="1" x14ac:dyDescent="0.2">
      <c r="B816" s="50"/>
      <c r="C816" s="50"/>
      <c r="D816" s="51"/>
    </row>
    <row r="817" spans="2:4" ht="14.25" customHeight="1" x14ac:dyDescent="0.2">
      <c r="B817" s="50"/>
      <c r="C817" s="50"/>
      <c r="D817" s="51"/>
    </row>
    <row r="818" spans="2:4" ht="14.25" customHeight="1" x14ac:dyDescent="0.2">
      <c r="B818" s="50"/>
      <c r="C818" s="50"/>
      <c r="D818" s="51"/>
    </row>
    <row r="819" spans="2:4" ht="14.25" customHeight="1" x14ac:dyDescent="0.2">
      <c r="B819" s="50"/>
      <c r="C819" s="50"/>
      <c r="D819" s="51"/>
    </row>
    <row r="820" spans="2:4" ht="14.25" customHeight="1" x14ac:dyDescent="0.2">
      <c r="B820" s="50"/>
      <c r="C820" s="50"/>
      <c r="D820" s="51"/>
    </row>
    <row r="821" spans="2:4" ht="14.25" customHeight="1" x14ac:dyDescent="0.2">
      <c r="B821" s="50"/>
      <c r="C821" s="50"/>
      <c r="D821" s="51"/>
    </row>
    <row r="822" spans="2:4" ht="14.25" customHeight="1" x14ac:dyDescent="0.2">
      <c r="B822" s="50"/>
      <c r="C822" s="50"/>
      <c r="D822" s="51"/>
    </row>
    <row r="823" spans="2:4" ht="14.25" customHeight="1" x14ac:dyDescent="0.2">
      <c r="B823" s="50"/>
      <c r="C823" s="50"/>
      <c r="D823" s="51"/>
    </row>
    <row r="824" spans="2:4" ht="14.25" customHeight="1" x14ac:dyDescent="0.2">
      <c r="B824" s="50"/>
      <c r="C824" s="50"/>
      <c r="D824" s="51"/>
    </row>
    <row r="825" spans="2:4" ht="14.25" customHeight="1" x14ac:dyDescent="0.2">
      <c r="B825" s="50"/>
      <c r="C825" s="50"/>
      <c r="D825" s="51"/>
    </row>
    <row r="826" spans="2:4" ht="14.25" customHeight="1" x14ac:dyDescent="0.2">
      <c r="B826" s="50"/>
      <c r="C826" s="50"/>
      <c r="D826" s="51"/>
    </row>
    <row r="827" spans="2:4" ht="14.25" customHeight="1" x14ac:dyDescent="0.2">
      <c r="B827" s="50"/>
      <c r="C827" s="50"/>
      <c r="D827" s="51"/>
    </row>
    <row r="828" spans="2:4" ht="14.25" customHeight="1" x14ac:dyDescent="0.2">
      <c r="B828" s="50"/>
      <c r="C828" s="50"/>
      <c r="D828" s="51"/>
    </row>
    <row r="829" spans="2:4" ht="14.25" customHeight="1" x14ac:dyDescent="0.2">
      <c r="B829" s="50"/>
      <c r="C829" s="50"/>
      <c r="D829" s="51"/>
    </row>
    <row r="830" spans="2:4" ht="14.25" customHeight="1" x14ac:dyDescent="0.2">
      <c r="B830" s="50"/>
      <c r="C830" s="50"/>
      <c r="D830" s="51"/>
    </row>
    <row r="831" spans="2:4" ht="14.25" customHeight="1" x14ac:dyDescent="0.2">
      <c r="B831" s="50"/>
      <c r="C831" s="50"/>
      <c r="D831" s="51"/>
    </row>
    <row r="832" spans="2:4" ht="14.25" customHeight="1" x14ac:dyDescent="0.2">
      <c r="B832" s="50"/>
      <c r="C832" s="50"/>
      <c r="D832" s="51"/>
    </row>
    <row r="833" spans="2:4" ht="14.25" customHeight="1" x14ac:dyDescent="0.2">
      <c r="B833" s="50"/>
      <c r="C833" s="50"/>
      <c r="D833" s="51"/>
    </row>
    <row r="834" spans="2:4" ht="14.25" customHeight="1" x14ac:dyDescent="0.2">
      <c r="B834" s="50"/>
      <c r="C834" s="50"/>
      <c r="D834" s="51"/>
    </row>
    <row r="835" spans="2:4" ht="14.25" customHeight="1" x14ac:dyDescent="0.2">
      <c r="B835" s="50"/>
      <c r="C835" s="50"/>
      <c r="D835" s="51"/>
    </row>
    <row r="836" spans="2:4" ht="14.25" customHeight="1" x14ac:dyDescent="0.2">
      <c r="B836" s="50"/>
      <c r="C836" s="50"/>
      <c r="D836" s="51"/>
    </row>
    <row r="837" spans="2:4" ht="14.25" customHeight="1" x14ac:dyDescent="0.2">
      <c r="B837" s="50"/>
      <c r="C837" s="50"/>
      <c r="D837" s="51"/>
    </row>
    <row r="838" spans="2:4" ht="14.25" customHeight="1" x14ac:dyDescent="0.2">
      <c r="B838" s="50"/>
      <c r="C838" s="50"/>
      <c r="D838" s="51"/>
    </row>
    <row r="839" spans="2:4" ht="14.25" customHeight="1" x14ac:dyDescent="0.2">
      <c r="B839" s="50"/>
      <c r="C839" s="50"/>
      <c r="D839" s="51"/>
    </row>
    <row r="840" spans="2:4" ht="14.25" customHeight="1" x14ac:dyDescent="0.2">
      <c r="B840" s="50"/>
      <c r="C840" s="50"/>
      <c r="D840" s="51"/>
    </row>
    <row r="841" spans="2:4" ht="14.25" customHeight="1" x14ac:dyDescent="0.2">
      <c r="B841" s="50"/>
      <c r="C841" s="50"/>
      <c r="D841" s="51"/>
    </row>
    <row r="842" spans="2:4" ht="14.25" customHeight="1" x14ac:dyDescent="0.2">
      <c r="B842" s="50"/>
      <c r="C842" s="50"/>
      <c r="D842" s="51"/>
    </row>
    <row r="843" spans="2:4" ht="14.25" customHeight="1" x14ac:dyDescent="0.2">
      <c r="B843" s="50"/>
      <c r="C843" s="50"/>
      <c r="D843" s="51"/>
    </row>
    <row r="844" spans="2:4" ht="14.25" customHeight="1" x14ac:dyDescent="0.2">
      <c r="B844" s="50"/>
      <c r="C844" s="50"/>
      <c r="D844" s="51"/>
    </row>
    <row r="845" spans="2:4" ht="14.25" customHeight="1" x14ac:dyDescent="0.2">
      <c r="B845" s="50"/>
      <c r="C845" s="50"/>
      <c r="D845" s="51"/>
    </row>
    <row r="846" spans="2:4" ht="14.25" customHeight="1" x14ac:dyDescent="0.2">
      <c r="B846" s="50"/>
      <c r="C846" s="50"/>
      <c r="D846" s="51"/>
    </row>
    <row r="847" spans="2:4" ht="14.25" customHeight="1" x14ac:dyDescent="0.2">
      <c r="B847" s="50"/>
      <c r="C847" s="50"/>
      <c r="D847" s="51"/>
    </row>
    <row r="848" spans="2:4" ht="14.25" customHeight="1" x14ac:dyDescent="0.2">
      <c r="B848" s="50"/>
      <c r="C848" s="50"/>
      <c r="D848" s="51"/>
    </row>
    <row r="849" spans="2:4" ht="14.25" customHeight="1" x14ac:dyDescent="0.2">
      <c r="B849" s="50"/>
      <c r="C849" s="50"/>
      <c r="D849" s="51"/>
    </row>
    <row r="850" spans="2:4" ht="14.25" customHeight="1" x14ac:dyDescent="0.2">
      <c r="B850" s="50"/>
      <c r="C850" s="50"/>
      <c r="D850" s="51"/>
    </row>
    <row r="851" spans="2:4" ht="14.25" customHeight="1" x14ac:dyDescent="0.2">
      <c r="B851" s="50"/>
      <c r="C851" s="50"/>
      <c r="D851" s="51"/>
    </row>
    <row r="852" spans="2:4" ht="14.25" customHeight="1" x14ac:dyDescent="0.2">
      <c r="B852" s="50"/>
      <c r="C852" s="50"/>
      <c r="D852" s="51"/>
    </row>
    <row r="853" spans="2:4" ht="14.25" customHeight="1" x14ac:dyDescent="0.2">
      <c r="B853" s="50"/>
      <c r="C853" s="50"/>
      <c r="D853" s="51"/>
    </row>
    <row r="854" spans="2:4" ht="14.25" customHeight="1" x14ac:dyDescent="0.2">
      <c r="B854" s="50"/>
      <c r="C854" s="50"/>
      <c r="D854" s="51"/>
    </row>
    <row r="855" spans="2:4" ht="14.25" customHeight="1" x14ac:dyDescent="0.2">
      <c r="B855" s="50"/>
      <c r="C855" s="50"/>
      <c r="D855" s="51"/>
    </row>
    <row r="856" spans="2:4" ht="14.25" customHeight="1" x14ac:dyDescent="0.2">
      <c r="B856" s="50"/>
      <c r="C856" s="50"/>
      <c r="D856" s="51"/>
    </row>
    <row r="857" spans="2:4" ht="14.25" customHeight="1" x14ac:dyDescent="0.2">
      <c r="B857" s="50"/>
      <c r="C857" s="50"/>
      <c r="D857" s="51"/>
    </row>
    <row r="858" spans="2:4" ht="14.25" customHeight="1" x14ac:dyDescent="0.2">
      <c r="B858" s="50"/>
      <c r="C858" s="50"/>
      <c r="D858" s="51"/>
    </row>
    <row r="859" spans="2:4" ht="14.25" customHeight="1" x14ac:dyDescent="0.2">
      <c r="B859" s="50"/>
      <c r="C859" s="50"/>
      <c r="D859" s="51"/>
    </row>
    <row r="860" spans="2:4" ht="14.25" customHeight="1" x14ac:dyDescent="0.2">
      <c r="B860" s="50"/>
      <c r="C860" s="50"/>
      <c r="D860" s="51"/>
    </row>
    <row r="861" spans="2:4" ht="14.25" customHeight="1" x14ac:dyDescent="0.2">
      <c r="B861" s="50"/>
      <c r="C861" s="50"/>
      <c r="D861" s="51"/>
    </row>
    <row r="862" spans="2:4" ht="14.25" customHeight="1" x14ac:dyDescent="0.2">
      <c r="B862" s="50"/>
      <c r="C862" s="50"/>
      <c r="D862" s="51"/>
    </row>
    <row r="863" spans="2:4" ht="14.25" customHeight="1" x14ac:dyDescent="0.2">
      <c r="B863" s="50"/>
      <c r="C863" s="50"/>
      <c r="D863" s="51"/>
    </row>
    <row r="864" spans="2:4" ht="14.25" customHeight="1" x14ac:dyDescent="0.2">
      <c r="B864" s="50"/>
      <c r="C864" s="50"/>
      <c r="D864" s="51"/>
    </row>
    <row r="865" spans="2:4" ht="14.25" customHeight="1" x14ac:dyDescent="0.2">
      <c r="B865" s="50"/>
      <c r="C865" s="50"/>
      <c r="D865" s="51"/>
    </row>
    <row r="866" spans="2:4" ht="14.25" customHeight="1" x14ac:dyDescent="0.2">
      <c r="B866" s="50"/>
      <c r="C866" s="50"/>
      <c r="D866" s="51"/>
    </row>
    <row r="867" spans="2:4" ht="14.25" customHeight="1" x14ac:dyDescent="0.2">
      <c r="B867" s="50"/>
      <c r="C867" s="50"/>
      <c r="D867" s="51"/>
    </row>
    <row r="868" spans="2:4" ht="14.25" customHeight="1" x14ac:dyDescent="0.2">
      <c r="B868" s="50"/>
      <c r="C868" s="50"/>
      <c r="D868" s="51"/>
    </row>
    <row r="869" spans="2:4" ht="14.25" customHeight="1" x14ac:dyDescent="0.2">
      <c r="B869" s="50"/>
      <c r="C869" s="50"/>
      <c r="D869" s="51"/>
    </row>
    <row r="870" spans="2:4" ht="14.25" customHeight="1" x14ac:dyDescent="0.2">
      <c r="B870" s="50"/>
      <c r="C870" s="50"/>
      <c r="D870" s="51"/>
    </row>
    <row r="871" spans="2:4" ht="14.25" customHeight="1" x14ac:dyDescent="0.2">
      <c r="B871" s="50"/>
      <c r="C871" s="50"/>
      <c r="D871" s="51"/>
    </row>
    <row r="872" spans="2:4" ht="14.25" customHeight="1" x14ac:dyDescent="0.2">
      <c r="B872" s="50"/>
      <c r="C872" s="50"/>
      <c r="D872" s="51"/>
    </row>
    <row r="873" spans="2:4" ht="14.25" customHeight="1" x14ac:dyDescent="0.2">
      <c r="B873" s="50"/>
      <c r="C873" s="50"/>
      <c r="D873" s="51"/>
    </row>
    <row r="874" spans="2:4" ht="14.25" customHeight="1" x14ac:dyDescent="0.2">
      <c r="B874" s="50"/>
      <c r="C874" s="50"/>
      <c r="D874" s="51"/>
    </row>
    <row r="875" spans="2:4" ht="14.25" customHeight="1" x14ac:dyDescent="0.2">
      <c r="B875" s="50"/>
      <c r="C875" s="50"/>
      <c r="D875" s="51"/>
    </row>
    <row r="876" spans="2:4" ht="14.25" customHeight="1" x14ac:dyDescent="0.2">
      <c r="B876" s="50"/>
      <c r="C876" s="50"/>
      <c r="D876" s="51"/>
    </row>
    <row r="877" spans="2:4" ht="14.25" customHeight="1" x14ac:dyDescent="0.2">
      <c r="B877" s="50"/>
      <c r="C877" s="50"/>
      <c r="D877" s="51"/>
    </row>
    <row r="878" spans="2:4" ht="14.25" customHeight="1" x14ac:dyDescent="0.2">
      <c r="B878" s="50"/>
      <c r="C878" s="50"/>
      <c r="D878" s="51"/>
    </row>
    <row r="879" spans="2:4" ht="14.25" customHeight="1" x14ac:dyDescent="0.2">
      <c r="B879" s="50"/>
      <c r="C879" s="50"/>
      <c r="D879" s="51"/>
    </row>
    <row r="880" spans="2:4" ht="14.25" customHeight="1" x14ac:dyDescent="0.2">
      <c r="B880" s="50"/>
      <c r="C880" s="50"/>
      <c r="D880" s="51"/>
    </row>
    <row r="881" spans="2:4" ht="14.25" customHeight="1" x14ac:dyDescent="0.2">
      <c r="B881" s="50"/>
      <c r="C881" s="50"/>
      <c r="D881" s="51"/>
    </row>
    <row r="882" spans="2:4" ht="14.25" customHeight="1" x14ac:dyDescent="0.2">
      <c r="B882" s="50"/>
      <c r="C882" s="50"/>
      <c r="D882" s="51"/>
    </row>
    <row r="883" spans="2:4" ht="14.25" customHeight="1" x14ac:dyDescent="0.2">
      <c r="B883" s="50"/>
      <c r="C883" s="50"/>
      <c r="D883" s="51"/>
    </row>
    <row r="884" spans="2:4" ht="14.25" customHeight="1" x14ac:dyDescent="0.2">
      <c r="B884" s="50"/>
      <c r="C884" s="50"/>
      <c r="D884" s="51"/>
    </row>
    <row r="885" spans="2:4" ht="14.25" customHeight="1" x14ac:dyDescent="0.2">
      <c r="B885" s="50"/>
      <c r="C885" s="50"/>
      <c r="D885" s="51"/>
    </row>
    <row r="886" spans="2:4" ht="14.25" customHeight="1" x14ac:dyDescent="0.2">
      <c r="B886" s="50"/>
      <c r="C886" s="50"/>
      <c r="D886" s="51"/>
    </row>
    <row r="887" spans="2:4" ht="14.25" customHeight="1" x14ac:dyDescent="0.2">
      <c r="B887" s="50"/>
      <c r="C887" s="50"/>
      <c r="D887" s="51"/>
    </row>
    <row r="888" spans="2:4" ht="14.25" customHeight="1" x14ac:dyDescent="0.2">
      <c r="B888" s="50"/>
      <c r="C888" s="50"/>
      <c r="D888" s="51"/>
    </row>
    <row r="889" spans="2:4" ht="14.25" customHeight="1" x14ac:dyDescent="0.2">
      <c r="B889" s="50"/>
      <c r="C889" s="50"/>
      <c r="D889" s="51"/>
    </row>
    <row r="890" spans="2:4" ht="14.25" customHeight="1" x14ac:dyDescent="0.2">
      <c r="B890" s="50"/>
      <c r="C890" s="50"/>
      <c r="D890" s="51"/>
    </row>
    <row r="891" spans="2:4" ht="14.25" customHeight="1" x14ac:dyDescent="0.2">
      <c r="B891" s="50"/>
      <c r="C891" s="50"/>
      <c r="D891" s="51"/>
    </row>
    <row r="892" spans="2:4" ht="14.25" customHeight="1" x14ac:dyDescent="0.2">
      <c r="B892" s="50"/>
      <c r="C892" s="50"/>
      <c r="D892" s="51"/>
    </row>
    <row r="893" spans="2:4" ht="14.25" customHeight="1" x14ac:dyDescent="0.2">
      <c r="B893" s="50"/>
      <c r="C893" s="50"/>
      <c r="D893" s="51"/>
    </row>
    <row r="894" spans="2:4" ht="14.25" customHeight="1" x14ac:dyDescent="0.2">
      <c r="B894" s="50"/>
      <c r="C894" s="50"/>
      <c r="D894" s="51"/>
    </row>
    <row r="895" spans="2:4" ht="14.25" customHeight="1" x14ac:dyDescent="0.2">
      <c r="B895" s="50"/>
      <c r="C895" s="50"/>
      <c r="D895" s="51"/>
    </row>
    <row r="896" spans="2:4" ht="14.25" customHeight="1" x14ac:dyDescent="0.2">
      <c r="B896" s="50"/>
      <c r="C896" s="50"/>
      <c r="D896" s="51"/>
    </row>
    <row r="897" spans="2:4" ht="14.25" customHeight="1" x14ac:dyDescent="0.2">
      <c r="B897" s="50"/>
      <c r="C897" s="50"/>
      <c r="D897" s="51"/>
    </row>
    <row r="898" spans="2:4" ht="14.25" customHeight="1" x14ac:dyDescent="0.2">
      <c r="B898" s="50"/>
      <c r="C898" s="50"/>
      <c r="D898" s="51"/>
    </row>
    <row r="899" spans="2:4" ht="14.25" customHeight="1" x14ac:dyDescent="0.2">
      <c r="B899" s="50"/>
      <c r="C899" s="50"/>
      <c r="D899" s="51"/>
    </row>
    <row r="900" spans="2:4" ht="14.25" customHeight="1" x14ac:dyDescent="0.2">
      <c r="B900" s="50"/>
      <c r="C900" s="50"/>
      <c r="D900" s="51"/>
    </row>
    <row r="901" spans="2:4" ht="14.25" customHeight="1" x14ac:dyDescent="0.2">
      <c r="B901" s="50"/>
      <c r="C901" s="50"/>
      <c r="D901" s="51"/>
    </row>
    <row r="902" spans="2:4" ht="14.25" customHeight="1" x14ac:dyDescent="0.2">
      <c r="B902" s="50"/>
      <c r="C902" s="50"/>
      <c r="D902" s="51"/>
    </row>
    <row r="903" spans="2:4" ht="14.25" customHeight="1" x14ac:dyDescent="0.2">
      <c r="B903" s="50"/>
      <c r="C903" s="50"/>
      <c r="D903" s="51"/>
    </row>
    <row r="904" spans="2:4" ht="14.25" customHeight="1" x14ac:dyDescent="0.2">
      <c r="B904" s="50"/>
      <c r="C904" s="50"/>
      <c r="D904" s="51"/>
    </row>
    <row r="905" spans="2:4" ht="14.25" customHeight="1" x14ac:dyDescent="0.2">
      <c r="B905" s="50"/>
      <c r="C905" s="50"/>
      <c r="D905" s="51"/>
    </row>
    <row r="906" spans="2:4" ht="14.25" customHeight="1" x14ac:dyDescent="0.2">
      <c r="B906" s="50"/>
      <c r="C906" s="50"/>
      <c r="D906" s="51"/>
    </row>
    <row r="907" spans="2:4" ht="14.25" customHeight="1" x14ac:dyDescent="0.2">
      <c r="B907" s="50"/>
      <c r="C907" s="50"/>
      <c r="D907" s="51"/>
    </row>
    <row r="908" spans="2:4" ht="14.25" customHeight="1" x14ac:dyDescent="0.2">
      <c r="B908" s="50"/>
      <c r="C908" s="50"/>
      <c r="D908" s="51"/>
    </row>
    <row r="909" spans="2:4" ht="14.25" customHeight="1" x14ac:dyDescent="0.2">
      <c r="B909" s="50"/>
      <c r="C909" s="50"/>
      <c r="D909" s="51"/>
    </row>
    <row r="910" spans="2:4" ht="14.25" customHeight="1" x14ac:dyDescent="0.2">
      <c r="B910" s="50"/>
      <c r="C910" s="50"/>
      <c r="D910" s="51"/>
    </row>
    <row r="911" spans="2:4" ht="14.25" customHeight="1" x14ac:dyDescent="0.2">
      <c r="B911" s="50"/>
      <c r="C911" s="50"/>
      <c r="D911" s="51"/>
    </row>
    <row r="912" spans="2:4" ht="14.25" customHeight="1" x14ac:dyDescent="0.2">
      <c r="B912" s="50"/>
      <c r="C912" s="50"/>
      <c r="D912" s="51"/>
    </row>
    <row r="913" spans="2:4" ht="14.25" customHeight="1" x14ac:dyDescent="0.2">
      <c r="B913" s="50"/>
      <c r="C913" s="50"/>
      <c r="D913" s="51"/>
    </row>
    <row r="914" spans="2:4" ht="14.25" customHeight="1" x14ac:dyDescent="0.2">
      <c r="B914" s="50"/>
      <c r="C914" s="50"/>
      <c r="D914" s="51"/>
    </row>
    <row r="915" spans="2:4" ht="14.25" customHeight="1" x14ac:dyDescent="0.2">
      <c r="B915" s="50"/>
      <c r="C915" s="50"/>
      <c r="D915" s="51"/>
    </row>
    <row r="916" spans="2:4" ht="14.25" customHeight="1" x14ac:dyDescent="0.2">
      <c r="B916" s="50"/>
      <c r="C916" s="50"/>
      <c r="D916" s="51"/>
    </row>
    <row r="917" spans="2:4" ht="14.25" customHeight="1" x14ac:dyDescent="0.2">
      <c r="B917" s="50"/>
      <c r="C917" s="50"/>
      <c r="D917" s="51"/>
    </row>
    <row r="918" spans="2:4" ht="14.25" customHeight="1" x14ac:dyDescent="0.2">
      <c r="B918" s="50"/>
      <c r="C918" s="50"/>
      <c r="D918" s="51"/>
    </row>
    <row r="919" spans="2:4" ht="14.25" customHeight="1" x14ac:dyDescent="0.2">
      <c r="B919" s="50"/>
      <c r="C919" s="50"/>
      <c r="D919" s="51"/>
    </row>
    <row r="920" spans="2:4" ht="14.25" customHeight="1" x14ac:dyDescent="0.2">
      <c r="B920" s="50"/>
      <c r="C920" s="50"/>
      <c r="D920" s="51"/>
    </row>
    <row r="921" spans="2:4" ht="14.25" customHeight="1" x14ac:dyDescent="0.2">
      <c r="B921" s="50"/>
      <c r="C921" s="50"/>
      <c r="D921" s="51"/>
    </row>
    <row r="922" spans="2:4" ht="14.25" customHeight="1" x14ac:dyDescent="0.2">
      <c r="B922" s="50"/>
      <c r="C922" s="50"/>
      <c r="D922" s="51"/>
    </row>
    <row r="923" spans="2:4" ht="14.25" customHeight="1" x14ac:dyDescent="0.2">
      <c r="B923" s="50"/>
      <c r="C923" s="50"/>
      <c r="D923" s="51"/>
    </row>
    <row r="924" spans="2:4" ht="14.25" customHeight="1" x14ac:dyDescent="0.2">
      <c r="B924" s="50"/>
      <c r="C924" s="50"/>
      <c r="D924" s="51"/>
    </row>
    <row r="925" spans="2:4" ht="14.25" customHeight="1" x14ac:dyDescent="0.2">
      <c r="B925" s="50"/>
      <c r="C925" s="50"/>
      <c r="D925" s="51"/>
    </row>
    <row r="926" spans="2:4" ht="14.25" customHeight="1" x14ac:dyDescent="0.2">
      <c r="B926" s="50"/>
      <c r="C926" s="50"/>
      <c r="D926" s="51"/>
    </row>
    <row r="927" spans="2:4" ht="14.25" customHeight="1" x14ac:dyDescent="0.2">
      <c r="B927" s="50"/>
      <c r="C927" s="50"/>
      <c r="D927" s="51"/>
    </row>
    <row r="928" spans="2:4" ht="14.25" customHeight="1" x14ac:dyDescent="0.2">
      <c r="B928" s="50"/>
      <c r="C928" s="50"/>
      <c r="D928" s="51"/>
    </row>
    <row r="929" spans="2:4" ht="14.25" customHeight="1" x14ac:dyDescent="0.2">
      <c r="B929" s="50"/>
      <c r="C929" s="50"/>
      <c r="D929" s="51"/>
    </row>
    <row r="930" spans="2:4" ht="14.25" customHeight="1" x14ac:dyDescent="0.2">
      <c r="B930" s="50"/>
      <c r="C930" s="50"/>
      <c r="D930" s="51"/>
    </row>
    <row r="931" spans="2:4" ht="14.25" customHeight="1" x14ac:dyDescent="0.2">
      <c r="B931" s="50"/>
      <c r="C931" s="50"/>
      <c r="D931" s="51"/>
    </row>
    <row r="932" spans="2:4" ht="14.25" customHeight="1" x14ac:dyDescent="0.2">
      <c r="B932" s="50"/>
      <c r="C932" s="50"/>
      <c r="D932" s="51"/>
    </row>
    <row r="933" spans="2:4" ht="14.25" customHeight="1" x14ac:dyDescent="0.2">
      <c r="B933" s="50"/>
      <c r="C933" s="50"/>
      <c r="D933" s="51"/>
    </row>
    <row r="934" spans="2:4" ht="14.25" customHeight="1" x14ac:dyDescent="0.2">
      <c r="B934" s="50"/>
      <c r="C934" s="50"/>
      <c r="D934" s="51"/>
    </row>
    <row r="935" spans="2:4" ht="14.25" customHeight="1" x14ac:dyDescent="0.2">
      <c r="B935" s="50"/>
      <c r="C935" s="50"/>
      <c r="D935" s="51"/>
    </row>
    <row r="936" spans="2:4" ht="14.25" customHeight="1" x14ac:dyDescent="0.2">
      <c r="B936" s="50"/>
      <c r="C936" s="50"/>
      <c r="D936" s="51"/>
    </row>
    <row r="937" spans="2:4" ht="14.25" customHeight="1" x14ac:dyDescent="0.2">
      <c r="B937" s="50"/>
      <c r="C937" s="50"/>
      <c r="D937" s="51"/>
    </row>
    <row r="938" spans="2:4" ht="14.25" customHeight="1" x14ac:dyDescent="0.2">
      <c r="B938" s="50"/>
      <c r="C938" s="50"/>
      <c r="D938" s="51"/>
    </row>
    <row r="939" spans="2:4" ht="14.25" customHeight="1" x14ac:dyDescent="0.2">
      <c r="B939" s="50"/>
      <c r="C939" s="50"/>
      <c r="D939" s="51"/>
    </row>
    <row r="940" spans="2:4" ht="14.25" customHeight="1" x14ac:dyDescent="0.2">
      <c r="B940" s="50"/>
      <c r="C940" s="50"/>
      <c r="D940" s="51"/>
    </row>
    <row r="941" spans="2:4" ht="14.25" customHeight="1" x14ac:dyDescent="0.2">
      <c r="B941" s="50"/>
      <c r="C941" s="50"/>
      <c r="D941" s="51"/>
    </row>
    <row r="942" spans="2:4" ht="14.25" customHeight="1" x14ac:dyDescent="0.2">
      <c r="B942" s="50"/>
      <c r="C942" s="50"/>
      <c r="D942" s="51"/>
    </row>
    <row r="943" spans="2:4" ht="14.25" customHeight="1" x14ac:dyDescent="0.2">
      <c r="B943" s="50"/>
      <c r="C943" s="50"/>
      <c r="D943" s="51"/>
    </row>
    <row r="944" spans="2:4" ht="14.25" customHeight="1" x14ac:dyDescent="0.2">
      <c r="B944" s="50"/>
      <c r="C944" s="50"/>
      <c r="D944" s="51"/>
    </row>
    <row r="945" spans="2:4" ht="14.25" customHeight="1" x14ac:dyDescent="0.2">
      <c r="B945" s="50"/>
      <c r="C945" s="50"/>
      <c r="D945" s="51"/>
    </row>
    <row r="946" spans="2:4" ht="14.25" customHeight="1" x14ac:dyDescent="0.2">
      <c r="B946" s="50"/>
      <c r="C946" s="50"/>
      <c r="D946" s="51"/>
    </row>
    <row r="947" spans="2:4" ht="14.25" customHeight="1" x14ac:dyDescent="0.2">
      <c r="B947" s="50"/>
      <c r="C947" s="50"/>
      <c r="D947" s="51"/>
    </row>
    <row r="948" spans="2:4" ht="14.25" customHeight="1" x14ac:dyDescent="0.2">
      <c r="B948" s="50"/>
      <c r="C948" s="50"/>
      <c r="D948" s="51"/>
    </row>
    <row r="949" spans="2:4" ht="14.25" customHeight="1" x14ac:dyDescent="0.2">
      <c r="B949" s="50"/>
      <c r="C949" s="50"/>
      <c r="D949" s="51"/>
    </row>
    <row r="950" spans="2:4" ht="14.25" customHeight="1" x14ac:dyDescent="0.2">
      <c r="B950" s="50"/>
      <c r="C950" s="50"/>
      <c r="D950" s="51"/>
    </row>
    <row r="951" spans="2:4" ht="14.25" customHeight="1" x14ac:dyDescent="0.2">
      <c r="B951" s="50"/>
      <c r="C951" s="50"/>
      <c r="D951" s="51"/>
    </row>
    <row r="952" spans="2:4" ht="14.25" customHeight="1" x14ac:dyDescent="0.2">
      <c r="B952" s="50"/>
      <c r="C952" s="50"/>
      <c r="D952" s="51"/>
    </row>
    <row r="953" spans="2:4" ht="14.25" customHeight="1" x14ac:dyDescent="0.2">
      <c r="B953" s="50"/>
      <c r="C953" s="50"/>
      <c r="D953" s="51"/>
    </row>
    <row r="954" spans="2:4" ht="14.25" customHeight="1" x14ac:dyDescent="0.2">
      <c r="B954" s="50"/>
      <c r="C954" s="50"/>
      <c r="D954" s="51"/>
    </row>
    <row r="955" spans="2:4" ht="14.25" customHeight="1" x14ac:dyDescent="0.2">
      <c r="B955" s="50"/>
      <c r="C955" s="50"/>
      <c r="D955" s="51"/>
    </row>
    <row r="956" spans="2:4" ht="14.25" customHeight="1" x14ac:dyDescent="0.2">
      <c r="B956" s="50"/>
      <c r="C956" s="50"/>
      <c r="D956" s="51"/>
    </row>
    <row r="957" spans="2:4" ht="14.25" customHeight="1" x14ac:dyDescent="0.2">
      <c r="B957" s="50"/>
      <c r="C957" s="50"/>
      <c r="D957" s="51"/>
    </row>
    <row r="958" spans="2:4" ht="14.25" customHeight="1" x14ac:dyDescent="0.2">
      <c r="B958" s="50"/>
      <c r="C958" s="50"/>
      <c r="D958" s="51"/>
    </row>
    <row r="959" spans="2:4" ht="14.25" customHeight="1" x14ac:dyDescent="0.2">
      <c r="B959" s="50"/>
      <c r="C959" s="50"/>
      <c r="D959" s="51"/>
    </row>
    <row r="960" spans="2:4" ht="14.25" customHeight="1" x14ac:dyDescent="0.2">
      <c r="B960" s="50"/>
      <c r="C960" s="50"/>
      <c r="D960" s="51"/>
    </row>
    <row r="961" spans="2:4" ht="14.25" customHeight="1" x14ac:dyDescent="0.2">
      <c r="B961" s="50"/>
      <c r="C961" s="50"/>
      <c r="D961" s="51"/>
    </row>
    <row r="962" spans="2:4" ht="14.25" customHeight="1" x14ac:dyDescent="0.2">
      <c r="B962" s="50"/>
      <c r="C962" s="50"/>
      <c r="D962" s="51"/>
    </row>
    <row r="963" spans="2:4" ht="14.25" customHeight="1" x14ac:dyDescent="0.2">
      <c r="B963" s="50"/>
      <c r="C963" s="50"/>
      <c r="D963" s="51"/>
    </row>
    <row r="964" spans="2:4" ht="14.25" customHeight="1" x14ac:dyDescent="0.2">
      <c r="B964" s="50"/>
      <c r="C964" s="50"/>
      <c r="D964" s="51"/>
    </row>
    <row r="965" spans="2:4" ht="14.25" customHeight="1" x14ac:dyDescent="0.2">
      <c r="B965" s="50"/>
      <c r="C965" s="50"/>
      <c r="D965" s="51"/>
    </row>
    <row r="966" spans="2:4" ht="14.25" customHeight="1" x14ac:dyDescent="0.2">
      <c r="B966" s="50"/>
      <c r="C966" s="50"/>
      <c r="D966" s="51"/>
    </row>
    <row r="967" spans="2:4" ht="14.25" customHeight="1" x14ac:dyDescent="0.2">
      <c r="B967" s="50"/>
      <c r="C967" s="50"/>
      <c r="D967" s="51"/>
    </row>
    <row r="968" spans="2:4" ht="14.25" customHeight="1" x14ac:dyDescent="0.2">
      <c r="B968" s="50"/>
      <c r="C968" s="50"/>
      <c r="D968" s="51"/>
    </row>
    <row r="969" spans="2:4" ht="14.25" customHeight="1" x14ac:dyDescent="0.2">
      <c r="B969" s="50"/>
      <c r="C969" s="50"/>
      <c r="D969" s="51"/>
    </row>
    <row r="970" spans="2:4" ht="14.25" customHeight="1" x14ac:dyDescent="0.2">
      <c r="B970" s="50"/>
      <c r="C970" s="50"/>
      <c r="D970" s="51"/>
    </row>
    <row r="971" spans="2:4" ht="14.25" customHeight="1" x14ac:dyDescent="0.2">
      <c r="B971" s="50"/>
      <c r="C971" s="50"/>
      <c r="D971" s="51"/>
    </row>
    <row r="972" spans="2:4" ht="14.25" customHeight="1" x14ac:dyDescent="0.2">
      <c r="B972" s="50"/>
      <c r="C972" s="50"/>
      <c r="D972" s="51"/>
    </row>
    <row r="973" spans="2:4" ht="14.25" customHeight="1" x14ac:dyDescent="0.2">
      <c r="B973" s="50"/>
      <c r="C973" s="50"/>
      <c r="D973" s="51"/>
    </row>
    <row r="974" spans="2:4" ht="14.25" customHeight="1" x14ac:dyDescent="0.2">
      <c r="B974" s="50"/>
      <c r="C974" s="50"/>
      <c r="D974" s="51"/>
    </row>
    <row r="975" spans="2:4" ht="14.25" customHeight="1" x14ac:dyDescent="0.2">
      <c r="B975" s="50"/>
      <c r="C975" s="50"/>
      <c r="D975" s="51"/>
    </row>
    <row r="976" spans="2:4" ht="14.25" customHeight="1" x14ac:dyDescent="0.2">
      <c r="B976" s="50"/>
      <c r="C976" s="50"/>
      <c r="D976" s="51"/>
    </row>
    <row r="977" spans="2:4" ht="14.25" customHeight="1" x14ac:dyDescent="0.2">
      <c r="B977" s="50"/>
      <c r="C977" s="50"/>
      <c r="D977" s="51"/>
    </row>
    <row r="978" spans="2:4" ht="14.25" customHeight="1" x14ac:dyDescent="0.2">
      <c r="B978" s="50"/>
      <c r="C978" s="50"/>
      <c r="D978" s="51"/>
    </row>
    <row r="979" spans="2:4" ht="14.25" customHeight="1" x14ac:dyDescent="0.2">
      <c r="B979" s="50"/>
      <c r="C979" s="50"/>
      <c r="D979" s="51"/>
    </row>
    <row r="980" spans="2:4" ht="14.25" customHeight="1" x14ac:dyDescent="0.2">
      <c r="B980" s="50"/>
      <c r="C980" s="50"/>
      <c r="D980" s="51"/>
    </row>
    <row r="981" spans="2:4" ht="14.25" customHeight="1" x14ac:dyDescent="0.2">
      <c r="B981" s="50"/>
      <c r="C981" s="50"/>
      <c r="D981" s="51"/>
    </row>
    <row r="982" spans="2:4" ht="14.25" customHeight="1" x14ac:dyDescent="0.2">
      <c r="B982" s="50"/>
      <c r="C982" s="50"/>
      <c r="D982" s="51"/>
    </row>
    <row r="983" spans="2:4" ht="14.25" customHeight="1" x14ac:dyDescent="0.2">
      <c r="B983" s="50"/>
      <c r="C983" s="50"/>
      <c r="D983" s="51"/>
    </row>
    <row r="984" spans="2:4" ht="14.25" customHeight="1" x14ac:dyDescent="0.2">
      <c r="B984" s="50"/>
      <c r="C984" s="50"/>
      <c r="D984" s="51"/>
    </row>
    <row r="985" spans="2:4" ht="14.25" customHeight="1" x14ac:dyDescent="0.2">
      <c r="B985" s="50"/>
      <c r="C985" s="50"/>
      <c r="D985" s="51"/>
    </row>
    <row r="986" spans="2:4" ht="14.25" customHeight="1" x14ac:dyDescent="0.2">
      <c r="B986" s="50"/>
      <c r="C986" s="50"/>
      <c r="D986" s="51"/>
    </row>
    <row r="987" spans="2:4" ht="14.25" customHeight="1" x14ac:dyDescent="0.2">
      <c r="B987" s="50"/>
      <c r="C987" s="50"/>
      <c r="D987" s="51"/>
    </row>
    <row r="988" spans="2:4" ht="14.25" customHeight="1" x14ac:dyDescent="0.2">
      <c r="B988" s="50"/>
      <c r="C988" s="50"/>
      <c r="D988" s="51"/>
    </row>
    <row r="989" spans="2:4" ht="14.25" customHeight="1" x14ac:dyDescent="0.2">
      <c r="B989" s="50"/>
      <c r="C989" s="50"/>
      <c r="D989" s="51"/>
    </row>
    <row r="990" spans="2:4" ht="14.25" customHeight="1" x14ac:dyDescent="0.2">
      <c r="B990" s="50"/>
      <c r="C990" s="50"/>
      <c r="D990" s="51"/>
    </row>
    <row r="991" spans="2:4" ht="14.25" customHeight="1" x14ac:dyDescent="0.2">
      <c r="B991" s="50"/>
      <c r="C991" s="50"/>
      <c r="D991" s="51"/>
    </row>
    <row r="992" spans="2:4" ht="14.25" customHeight="1" x14ac:dyDescent="0.2">
      <c r="B992" s="50"/>
      <c r="C992" s="50"/>
      <c r="D992" s="51"/>
    </row>
    <row r="993" spans="2:4" ht="14.25" customHeight="1" x14ac:dyDescent="0.2">
      <c r="B993" s="50"/>
      <c r="C993" s="50"/>
      <c r="D993" s="51"/>
    </row>
    <row r="994" spans="2:4" ht="14.25" customHeight="1" x14ac:dyDescent="0.2">
      <c r="B994" s="50"/>
      <c r="C994" s="50"/>
      <c r="D994" s="51"/>
    </row>
    <row r="995" spans="2:4" ht="14.25" customHeight="1" x14ac:dyDescent="0.2">
      <c r="B995" s="50"/>
      <c r="C995" s="50"/>
      <c r="D995" s="51"/>
    </row>
    <row r="996" spans="2:4" ht="14.25" customHeight="1" x14ac:dyDescent="0.2">
      <c r="B996" s="50"/>
      <c r="C996" s="50"/>
      <c r="D996" s="51"/>
    </row>
    <row r="997" spans="2:4" ht="14.25" customHeight="1" x14ac:dyDescent="0.2">
      <c r="B997" s="50"/>
      <c r="C997" s="50"/>
      <c r="D997" s="51"/>
    </row>
    <row r="998" spans="2:4" ht="14.25" customHeight="1" x14ac:dyDescent="0.2">
      <c r="B998" s="50"/>
      <c r="C998" s="50"/>
      <c r="D998" s="51"/>
    </row>
    <row r="999" spans="2:4" ht="14.25" customHeight="1" x14ac:dyDescent="0.2">
      <c r="B999" s="50"/>
      <c r="C999" s="50"/>
      <c r="D999" s="51"/>
    </row>
    <row r="1000" spans="2:4" ht="14.25" customHeight="1" x14ac:dyDescent="0.2">
      <c r="B1000" s="50"/>
      <c r="C1000" s="50"/>
      <c r="D1000" s="51"/>
    </row>
  </sheetData>
  <mergeCells count="58">
    <mergeCell ref="B32:F32"/>
    <mergeCell ref="B33:C33"/>
    <mergeCell ref="B35:C35"/>
    <mergeCell ref="R14:R15"/>
    <mergeCell ref="T14:T15"/>
    <mergeCell ref="R17:R18"/>
    <mergeCell ref="T17:T18"/>
    <mergeCell ref="B14:B15"/>
    <mergeCell ref="B17:B18"/>
    <mergeCell ref="C17:C18"/>
    <mergeCell ref="F17:F18"/>
    <mergeCell ref="I17:I18"/>
    <mergeCell ref="L17:L18"/>
    <mergeCell ref="O17:O18"/>
    <mergeCell ref="C14:C15"/>
    <mergeCell ref="F14:F15"/>
    <mergeCell ref="I14:I15"/>
    <mergeCell ref="L14:L15"/>
    <mergeCell ref="O14:O15"/>
    <mergeCell ref="B2:T2"/>
    <mergeCell ref="B3:T3"/>
    <mergeCell ref="D6:T7"/>
    <mergeCell ref="B11:B12"/>
    <mergeCell ref="C11:C12"/>
    <mergeCell ref="F11:F12"/>
    <mergeCell ref="I11:I12"/>
    <mergeCell ref="L11:L12"/>
    <mergeCell ref="O11:O12"/>
    <mergeCell ref="R11:R12"/>
    <mergeCell ref="T11:T12"/>
    <mergeCell ref="U11:U12"/>
    <mergeCell ref="T26:T27"/>
    <mergeCell ref="U26:U27"/>
    <mergeCell ref="B26:B27"/>
    <mergeCell ref="C26:C27"/>
    <mergeCell ref="F26:F27"/>
    <mergeCell ref="I26:I27"/>
    <mergeCell ref="L26:L27"/>
    <mergeCell ref="O26:O27"/>
    <mergeCell ref="R26:R27"/>
    <mergeCell ref="T23:T24"/>
    <mergeCell ref="U23:U24"/>
    <mergeCell ref="B23:B24"/>
    <mergeCell ref="C23:C24"/>
    <mergeCell ref="F23:F24"/>
    <mergeCell ref="I23:I24"/>
    <mergeCell ref="L23:L24"/>
    <mergeCell ref="O23:O24"/>
    <mergeCell ref="R23:R24"/>
    <mergeCell ref="T20:T21"/>
    <mergeCell ref="U20:U21"/>
    <mergeCell ref="B20:B21"/>
    <mergeCell ref="C20:C21"/>
    <mergeCell ref="F20:F21"/>
    <mergeCell ref="I20:I21"/>
    <mergeCell ref="L20:L21"/>
    <mergeCell ref="O20:O21"/>
    <mergeCell ref="R20:R2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10"/>
  <sheetViews>
    <sheetView topLeftCell="B93" workbookViewId="0">
      <selection activeCell="H116" sqref="H116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0" width="6.5703125" customWidth="1"/>
    <col min="11" max="11" width="5.5703125" customWidth="1"/>
    <col min="12" max="13" width="9.140625" customWidth="1"/>
    <col min="14" max="24" width="8" customWidth="1"/>
  </cols>
  <sheetData>
    <row r="1" spans="1:24" ht="12.75" customHeight="1" x14ac:dyDescent="0.2">
      <c r="A1" s="95"/>
      <c r="B1" s="95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2.75" customHeight="1" x14ac:dyDescent="0.2">
      <c r="A2" s="95"/>
      <c r="B2" s="95"/>
      <c r="C2" s="131"/>
      <c r="D2" s="131"/>
      <c r="E2" s="131"/>
      <c r="F2" s="131"/>
      <c r="G2" s="131"/>
      <c r="H2" s="131"/>
      <c r="I2" s="131"/>
      <c r="J2" s="131"/>
      <c r="K2" s="131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12.75" customHeight="1" x14ac:dyDescent="0.2">
      <c r="A3" s="95"/>
      <c r="B3" s="95"/>
      <c r="C3" s="131"/>
      <c r="D3" s="131"/>
      <c r="E3" s="131"/>
      <c r="F3" s="131"/>
      <c r="G3" s="131"/>
      <c r="H3" s="131"/>
      <c r="I3" s="131"/>
      <c r="J3" s="131"/>
      <c r="K3" s="131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 spans="1:24" ht="12.75" customHeigh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</row>
    <row r="5" spans="1:24" ht="12.75" customHeight="1" x14ac:dyDescent="0.2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</row>
    <row r="6" spans="1:24" ht="19.5" customHeight="1" x14ac:dyDescent="0.2">
      <c r="A6" s="95"/>
      <c r="B6" s="95"/>
      <c r="C6" s="173" t="s">
        <v>189</v>
      </c>
      <c r="D6" s="163"/>
      <c r="E6" s="163"/>
      <c r="F6" s="163"/>
      <c r="G6" s="163"/>
      <c r="H6" s="163"/>
      <c r="I6" s="163"/>
      <c r="J6" s="163"/>
      <c r="K6" s="164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4" ht="4.5" customHeight="1" x14ac:dyDescent="0.2">
      <c r="A7" s="95"/>
      <c r="B7" s="95"/>
      <c r="C7" s="174"/>
      <c r="D7" s="175"/>
      <c r="E7" s="175"/>
      <c r="F7" s="175"/>
      <c r="G7" s="175"/>
      <c r="H7" s="175"/>
      <c r="I7" s="175"/>
      <c r="J7" s="175"/>
      <c r="K7" s="176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4" ht="4.5" customHeight="1" x14ac:dyDescent="0.2">
      <c r="A8" s="95"/>
      <c r="B8" s="95"/>
      <c r="C8" s="177"/>
      <c r="D8" s="153"/>
      <c r="E8" s="153"/>
      <c r="F8" s="153"/>
      <c r="G8" s="153"/>
      <c r="H8" s="153"/>
      <c r="I8" s="153"/>
      <c r="J8" s="153"/>
      <c r="K8" s="178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4" ht="12.75" customHeight="1" x14ac:dyDescent="0.2">
      <c r="A9" s="95"/>
      <c r="B9" s="95"/>
      <c r="C9" s="162" t="s">
        <v>190</v>
      </c>
      <c r="D9" s="163"/>
      <c r="E9" s="163"/>
      <c r="F9" s="163"/>
      <c r="G9" s="163"/>
      <c r="H9" s="163"/>
      <c r="I9" s="163"/>
      <c r="J9" s="163"/>
      <c r="K9" s="16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</row>
    <row r="10" spans="1:24" ht="12.75" customHeight="1" x14ac:dyDescent="0.2">
      <c r="A10" s="95"/>
      <c r="B10" s="95"/>
      <c r="C10" s="165"/>
      <c r="D10" s="166"/>
      <c r="E10" s="166"/>
      <c r="F10" s="166"/>
      <c r="G10" s="166"/>
      <c r="H10" s="166"/>
      <c r="I10" s="166"/>
      <c r="J10" s="166"/>
      <c r="K10" s="167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25.5" customHeight="1" x14ac:dyDescent="0.2">
      <c r="A11" s="95"/>
      <c r="B11" s="95"/>
      <c r="C11" s="96" t="s">
        <v>191</v>
      </c>
      <c r="D11" s="96" t="s">
        <v>192</v>
      </c>
      <c r="E11" s="168" t="s">
        <v>193</v>
      </c>
      <c r="F11" s="126"/>
      <c r="G11" s="96" t="s">
        <v>194</v>
      </c>
      <c r="H11" s="168" t="s">
        <v>195</v>
      </c>
      <c r="I11" s="126"/>
      <c r="J11" s="169" t="s">
        <v>196</v>
      </c>
      <c r="K11" s="126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2.75" customHeight="1" x14ac:dyDescent="0.2">
      <c r="A12" s="95"/>
      <c r="B12" s="95"/>
      <c r="C12" s="97"/>
      <c r="D12" s="98"/>
      <c r="E12" s="98"/>
      <c r="F12" s="48"/>
      <c r="G12" s="98"/>
      <c r="H12" s="98"/>
      <c r="I12" s="48"/>
      <c r="J12" s="98"/>
      <c r="K12" s="48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13.5" customHeight="1" x14ac:dyDescent="0.2">
      <c r="A13" s="95"/>
      <c r="B13" s="95"/>
      <c r="C13" s="170" t="s">
        <v>197</v>
      </c>
      <c r="D13" s="158" t="s">
        <v>198</v>
      </c>
      <c r="E13" s="157" t="s">
        <v>91</v>
      </c>
      <c r="F13" s="157" t="s">
        <v>98</v>
      </c>
      <c r="G13" s="160"/>
      <c r="H13" s="157" t="s">
        <v>86</v>
      </c>
      <c r="I13" s="157" t="s">
        <v>93</v>
      </c>
      <c r="J13" s="157">
        <v>9</v>
      </c>
      <c r="K13" s="157">
        <v>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12.75" customHeight="1" x14ac:dyDescent="0.2">
      <c r="A14" s="95"/>
      <c r="B14" s="95"/>
      <c r="C14" s="141"/>
      <c r="D14" s="141"/>
      <c r="E14" s="141"/>
      <c r="F14" s="141"/>
      <c r="G14" s="141"/>
      <c r="H14" s="141"/>
      <c r="I14" s="141"/>
      <c r="J14" s="141"/>
      <c r="K14" s="141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4.5" customHeight="1" x14ac:dyDescent="0.2">
      <c r="A15" s="95"/>
      <c r="B15" s="95"/>
      <c r="C15" s="161"/>
      <c r="D15" s="125"/>
      <c r="E15" s="125"/>
      <c r="F15" s="125"/>
      <c r="G15" s="125"/>
      <c r="H15" s="125"/>
      <c r="I15" s="125"/>
      <c r="J15" s="125"/>
      <c r="K15" s="126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12.75" customHeight="1" x14ac:dyDescent="0.2">
      <c r="A16" s="95"/>
      <c r="B16" s="95"/>
      <c r="C16" s="170" t="s">
        <v>199</v>
      </c>
      <c r="D16" s="158" t="s">
        <v>200</v>
      </c>
      <c r="E16" s="157" t="s">
        <v>146</v>
      </c>
      <c r="F16" s="157" t="s">
        <v>152</v>
      </c>
      <c r="G16" s="160" t="s">
        <v>194</v>
      </c>
      <c r="H16" s="157" t="s">
        <v>148</v>
      </c>
      <c r="I16" s="157" t="s">
        <v>154</v>
      </c>
      <c r="J16" s="157">
        <v>9</v>
      </c>
      <c r="K16" s="157">
        <v>9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12.75" customHeight="1" x14ac:dyDescent="0.2">
      <c r="A17" s="95"/>
      <c r="B17" s="95"/>
      <c r="C17" s="141"/>
      <c r="D17" s="141"/>
      <c r="E17" s="141"/>
      <c r="F17" s="141"/>
      <c r="G17" s="141"/>
      <c r="H17" s="141"/>
      <c r="I17" s="141"/>
      <c r="J17" s="141"/>
      <c r="K17" s="141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4.5" customHeight="1" x14ac:dyDescent="0.2">
      <c r="A18" s="95"/>
      <c r="B18" s="95"/>
      <c r="C18" s="161"/>
      <c r="D18" s="125"/>
      <c r="E18" s="125"/>
      <c r="F18" s="125"/>
      <c r="G18" s="125"/>
      <c r="H18" s="125"/>
      <c r="I18" s="125"/>
      <c r="J18" s="125"/>
      <c r="K18" s="126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12.75" customHeight="1" x14ac:dyDescent="0.2">
      <c r="A19" s="95"/>
      <c r="B19" s="95"/>
      <c r="C19" s="170" t="s">
        <v>201</v>
      </c>
      <c r="D19" s="158" t="s">
        <v>202</v>
      </c>
      <c r="E19" s="157" t="s">
        <v>17</v>
      </c>
      <c r="F19" s="157" t="s">
        <v>24</v>
      </c>
      <c r="G19" s="160" t="s">
        <v>194</v>
      </c>
      <c r="H19" s="157" t="s">
        <v>26</v>
      </c>
      <c r="I19" s="157" t="s">
        <v>19</v>
      </c>
      <c r="J19" s="157">
        <v>6</v>
      </c>
      <c r="K19" s="157">
        <v>12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12.75" customHeight="1" x14ac:dyDescent="0.2">
      <c r="A20" s="95"/>
      <c r="B20" s="95"/>
      <c r="C20" s="141"/>
      <c r="D20" s="141"/>
      <c r="E20" s="141"/>
      <c r="F20" s="141"/>
      <c r="G20" s="141"/>
      <c r="H20" s="141"/>
      <c r="I20" s="141"/>
      <c r="J20" s="141"/>
      <c r="K20" s="14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4.5" customHeight="1" x14ac:dyDescent="0.2">
      <c r="A21" s="95"/>
      <c r="B21" s="95"/>
      <c r="C21" s="161"/>
      <c r="D21" s="125"/>
      <c r="E21" s="125"/>
      <c r="F21" s="125"/>
      <c r="G21" s="125"/>
      <c r="H21" s="125"/>
      <c r="I21" s="125"/>
      <c r="J21" s="125"/>
      <c r="K21" s="126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12.75" x14ac:dyDescent="0.2">
      <c r="A22" s="95"/>
      <c r="B22" s="95"/>
      <c r="C22" s="170" t="s">
        <v>197</v>
      </c>
      <c r="D22" s="171" t="s">
        <v>203</v>
      </c>
      <c r="E22" s="157" t="s">
        <v>38</v>
      </c>
      <c r="F22" s="157" t="s">
        <v>52</v>
      </c>
      <c r="G22" s="160" t="s">
        <v>194</v>
      </c>
      <c r="H22" s="157" t="s">
        <v>40</v>
      </c>
      <c r="I22" s="157" t="s">
        <v>204</v>
      </c>
      <c r="J22" s="157">
        <v>10</v>
      </c>
      <c r="K22" s="157">
        <v>8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ht="12.75" x14ac:dyDescent="0.2">
      <c r="A23" s="95"/>
      <c r="B23" s="95"/>
      <c r="C23" s="141"/>
      <c r="D23" s="141"/>
      <c r="E23" s="141"/>
      <c r="F23" s="141"/>
      <c r="G23" s="141"/>
      <c r="H23" s="141"/>
      <c r="I23" s="141"/>
      <c r="J23" s="141"/>
      <c r="K23" s="141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ht="4.5" customHeight="1" x14ac:dyDescent="0.2">
      <c r="A24" s="95"/>
      <c r="B24" s="95"/>
      <c r="C24" s="161">
        <v>19</v>
      </c>
      <c r="D24" s="125"/>
      <c r="E24" s="125"/>
      <c r="F24" s="125"/>
      <c r="G24" s="125"/>
      <c r="H24" s="125"/>
      <c r="I24" s="125"/>
      <c r="J24" s="125"/>
      <c r="K24" s="126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</row>
    <row r="25" spans="1:24" ht="12.75" customHeight="1" x14ac:dyDescent="0.2">
      <c r="A25" s="95"/>
      <c r="B25" s="95"/>
      <c r="C25" s="172" t="s">
        <v>205</v>
      </c>
      <c r="D25" s="125"/>
      <c r="E25" s="125"/>
      <c r="F25" s="125"/>
      <c r="G25" s="125"/>
      <c r="H25" s="125"/>
      <c r="I25" s="126"/>
      <c r="J25" s="99">
        <f t="shared" ref="J25:K25" si="0">SUM(J13:J23)</f>
        <v>34</v>
      </c>
      <c r="K25" s="99">
        <f t="shared" si="0"/>
        <v>38</v>
      </c>
      <c r="L25" s="95"/>
      <c r="M25" s="95"/>
      <c r="N25" s="95"/>
    </row>
    <row r="26" spans="1:24" ht="4.5" customHeight="1" x14ac:dyDescent="0.2">
      <c r="A26" s="95"/>
      <c r="B26" s="95"/>
      <c r="C26" s="161"/>
      <c r="D26" s="125"/>
      <c r="E26" s="125"/>
      <c r="F26" s="125"/>
      <c r="G26" s="125"/>
      <c r="H26" s="125"/>
      <c r="I26" s="125"/>
      <c r="J26" s="125"/>
      <c r="K26" s="126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</row>
    <row r="27" spans="1:24" ht="12.75" customHeight="1" x14ac:dyDescent="0.2">
      <c r="A27" s="95"/>
      <c r="B27" s="95"/>
      <c r="C27" s="100"/>
      <c r="D27" s="101"/>
      <c r="E27" s="101"/>
      <c r="F27" s="101"/>
      <c r="G27" s="101"/>
      <c r="H27" s="101"/>
      <c r="I27" s="101"/>
      <c r="J27" s="101"/>
      <c r="K27" s="101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</row>
    <row r="28" spans="1:24" ht="12.75" customHeight="1" x14ac:dyDescent="0.2">
      <c r="A28" s="95"/>
      <c r="B28" s="95"/>
      <c r="C28" s="170" t="s">
        <v>197</v>
      </c>
      <c r="D28" s="158" t="s">
        <v>206</v>
      </c>
      <c r="E28" s="159" t="s">
        <v>123</v>
      </c>
      <c r="F28" s="159" t="s">
        <v>134</v>
      </c>
      <c r="G28" s="160" t="s">
        <v>194</v>
      </c>
      <c r="H28" s="159" t="s">
        <v>135</v>
      </c>
      <c r="I28" s="159" t="s">
        <v>142</v>
      </c>
      <c r="J28" s="157">
        <v>4</v>
      </c>
      <c r="K28" s="157">
        <v>14</v>
      </c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</row>
    <row r="29" spans="1:24" ht="12.75" customHeight="1" x14ac:dyDescent="0.2">
      <c r="A29" s="95"/>
      <c r="B29" s="95"/>
      <c r="C29" s="141"/>
      <c r="D29" s="141"/>
      <c r="E29" s="141"/>
      <c r="F29" s="141"/>
      <c r="G29" s="141"/>
      <c r="H29" s="141"/>
      <c r="I29" s="141"/>
      <c r="J29" s="141"/>
      <c r="K29" s="14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</row>
    <row r="30" spans="1:24" ht="4.5" customHeight="1" x14ac:dyDescent="0.2">
      <c r="A30" s="95"/>
      <c r="B30" s="95"/>
      <c r="C30" s="161"/>
      <c r="D30" s="125"/>
      <c r="E30" s="125"/>
      <c r="F30" s="125"/>
      <c r="G30" s="125"/>
      <c r="H30" s="125"/>
      <c r="I30" s="125"/>
      <c r="J30" s="125"/>
      <c r="K30" s="126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</row>
    <row r="31" spans="1:24" ht="12.75" customHeight="1" x14ac:dyDescent="0.2">
      <c r="A31" s="102"/>
      <c r="B31" s="95"/>
      <c r="C31" s="170" t="s">
        <v>199</v>
      </c>
      <c r="D31" s="158" t="s">
        <v>207</v>
      </c>
      <c r="E31" s="159" t="s">
        <v>59</v>
      </c>
      <c r="F31" s="159" t="s">
        <v>72</v>
      </c>
      <c r="G31" s="160" t="s">
        <v>194</v>
      </c>
      <c r="H31" s="159" t="s">
        <v>61</v>
      </c>
      <c r="I31" s="159" t="s">
        <v>74</v>
      </c>
      <c r="J31" s="157">
        <v>7</v>
      </c>
      <c r="K31" s="157">
        <v>12</v>
      </c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ht="12.75" customHeight="1" x14ac:dyDescent="0.2">
      <c r="A32" s="102"/>
      <c r="B32" s="95"/>
      <c r="C32" s="141"/>
      <c r="D32" s="141"/>
      <c r="E32" s="141"/>
      <c r="F32" s="141"/>
      <c r="G32" s="141"/>
      <c r="H32" s="141"/>
      <c r="I32" s="141"/>
      <c r="J32" s="141"/>
      <c r="K32" s="141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</row>
    <row r="33" spans="1:24" ht="4.5" customHeight="1" x14ac:dyDescent="0.2">
      <c r="A33" s="95"/>
      <c r="B33" s="95"/>
      <c r="C33" s="161"/>
      <c r="D33" s="125"/>
      <c r="E33" s="125"/>
      <c r="F33" s="125"/>
      <c r="G33" s="125"/>
      <c r="H33" s="125"/>
      <c r="I33" s="125"/>
      <c r="J33" s="125"/>
      <c r="K33" s="126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</row>
    <row r="34" spans="1:24" ht="12.75" customHeight="1" x14ac:dyDescent="0.2">
      <c r="A34" s="95"/>
      <c r="B34" s="95"/>
      <c r="C34" s="170" t="s">
        <v>201</v>
      </c>
      <c r="D34" s="158" t="s">
        <v>208</v>
      </c>
      <c r="E34" s="159" t="s">
        <v>105</v>
      </c>
      <c r="F34" s="159" t="s">
        <v>111</v>
      </c>
      <c r="G34" s="160" t="s">
        <v>194</v>
      </c>
      <c r="H34" s="159" t="s">
        <v>107</v>
      </c>
      <c r="I34" s="159" t="s">
        <v>113</v>
      </c>
      <c r="J34" s="157">
        <v>10</v>
      </c>
      <c r="K34" s="157">
        <v>8</v>
      </c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</row>
    <row r="35" spans="1:24" ht="12.75" customHeight="1" x14ac:dyDescent="0.2">
      <c r="A35" s="95"/>
      <c r="B35" s="95"/>
      <c r="C35" s="141"/>
      <c r="D35" s="141"/>
      <c r="E35" s="141"/>
      <c r="F35" s="141"/>
      <c r="G35" s="141"/>
      <c r="H35" s="141"/>
      <c r="I35" s="141"/>
      <c r="J35" s="141"/>
      <c r="K35" s="141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</row>
    <row r="36" spans="1:24" ht="4.5" customHeight="1" x14ac:dyDescent="0.2">
      <c r="A36" s="95"/>
      <c r="B36" s="95"/>
      <c r="C36" s="161"/>
      <c r="D36" s="125"/>
      <c r="E36" s="125"/>
      <c r="F36" s="125"/>
      <c r="G36" s="125"/>
      <c r="H36" s="125"/>
      <c r="I36" s="125"/>
      <c r="J36" s="125"/>
      <c r="K36" s="126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</row>
    <row r="37" spans="1:24" ht="12.75" customHeight="1" x14ac:dyDescent="0.2">
      <c r="A37" s="95"/>
      <c r="B37" s="95"/>
      <c r="C37" s="170" t="s">
        <v>197</v>
      </c>
      <c r="D37" s="171" t="s">
        <v>209</v>
      </c>
      <c r="E37" s="157" t="s">
        <v>65</v>
      </c>
      <c r="F37" s="157" t="s">
        <v>128</v>
      </c>
      <c r="G37" s="160" t="s">
        <v>194</v>
      </c>
      <c r="H37" s="157" t="s">
        <v>11</v>
      </c>
      <c r="I37" s="157" t="s">
        <v>130</v>
      </c>
      <c r="J37" s="157">
        <v>11</v>
      </c>
      <c r="K37" s="157">
        <v>7</v>
      </c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1:24" ht="12.75" customHeight="1" x14ac:dyDescent="0.2">
      <c r="A38" s="95"/>
      <c r="B38" s="95"/>
      <c r="C38" s="141"/>
      <c r="D38" s="141"/>
      <c r="E38" s="141"/>
      <c r="F38" s="141"/>
      <c r="G38" s="141"/>
      <c r="H38" s="141"/>
      <c r="I38" s="141"/>
      <c r="J38" s="141"/>
      <c r="K38" s="14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</row>
    <row r="39" spans="1:24" ht="4.5" customHeight="1" x14ac:dyDescent="0.2">
      <c r="A39" s="95"/>
      <c r="B39" s="95"/>
      <c r="C39" s="161"/>
      <c r="D39" s="125"/>
      <c r="E39" s="125"/>
      <c r="F39" s="125"/>
      <c r="G39" s="125"/>
      <c r="H39" s="125"/>
      <c r="I39" s="125"/>
      <c r="J39" s="125"/>
      <c r="K39" s="126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:24" ht="12.75" customHeight="1" x14ac:dyDescent="0.2">
      <c r="A40" s="95"/>
      <c r="B40" s="95"/>
      <c r="C40" s="172" t="s">
        <v>210</v>
      </c>
      <c r="D40" s="125"/>
      <c r="E40" s="125"/>
      <c r="F40" s="125"/>
      <c r="G40" s="125"/>
      <c r="H40" s="125"/>
      <c r="I40" s="126"/>
      <c r="J40" s="103">
        <f t="shared" ref="J40:K40" si="1">SUM(J28:J38)</f>
        <v>32</v>
      </c>
      <c r="K40" s="103">
        <f t="shared" si="1"/>
        <v>41</v>
      </c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:24" ht="4.5" customHeight="1" x14ac:dyDescent="0.2">
      <c r="A41" s="95"/>
      <c r="B41" s="95"/>
      <c r="C41" s="161"/>
      <c r="D41" s="125"/>
      <c r="E41" s="125"/>
      <c r="F41" s="125"/>
      <c r="G41" s="125"/>
      <c r="H41" s="125"/>
      <c r="I41" s="125"/>
      <c r="J41" s="125"/>
      <c r="K41" s="126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:24" ht="12.75" customHeight="1" x14ac:dyDescent="0.2">
      <c r="A42" s="95"/>
      <c r="B42" s="95"/>
      <c r="C42" s="179" t="s">
        <v>211</v>
      </c>
      <c r="D42" s="125"/>
      <c r="E42" s="125"/>
      <c r="F42" s="125"/>
      <c r="G42" s="125"/>
      <c r="H42" s="125"/>
      <c r="I42" s="126"/>
      <c r="J42" s="104">
        <f t="shared" ref="J42:K42" si="2">J40+J25</f>
        <v>66</v>
      </c>
      <c r="K42" s="104">
        <f t="shared" si="2"/>
        <v>79</v>
      </c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:24" ht="6.75" customHeight="1" x14ac:dyDescent="0.2">
      <c r="A43" s="95"/>
      <c r="B43" s="95"/>
      <c r="C43" s="161"/>
      <c r="D43" s="125"/>
      <c r="E43" s="125"/>
      <c r="F43" s="125"/>
      <c r="G43" s="125"/>
      <c r="H43" s="125"/>
      <c r="I43" s="125"/>
      <c r="J43" s="125"/>
      <c r="K43" s="126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</row>
    <row r="44" spans="1:24" ht="7.5" customHeight="1" x14ac:dyDescent="0.2">
      <c r="A44" s="95"/>
      <c r="B44" s="95"/>
      <c r="C44" s="162" t="s">
        <v>212</v>
      </c>
      <c r="D44" s="163"/>
      <c r="E44" s="163"/>
      <c r="F44" s="163"/>
      <c r="G44" s="163"/>
      <c r="H44" s="163"/>
      <c r="I44" s="163"/>
      <c r="J44" s="163"/>
      <c r="K44" s="164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</row>
    <row r="45" spans="1:24" ht="12.75" customHeight="1" x14ac:dyDescent="0.2">
      <c r="A45" s="95"/>
      <c r="B45" s="95"/>
      <c r="C45" s="165"/>
      <c r="D45" s="166"/>
      <c r="E45" s="166"/>
      <c r="F45" s="166"/>
      <c r="G45" s="166"/>
      <c r="H45" s="166"/>
      <c r="I45" s="166"/>
      <c r="J45" s="166"/>
      <c r="K45" s="167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</row>
    <row r="46" spans="1:24" ht="25.5" customHeight="1" x14ac:dyDescent="0.2">
      <c r="A46" s="95"/>
      <c r="B46" s="95"/>
      <c r="C46" s="96" t="s">
        <v>191</v>
      </c>
      <c r="D46" s="96" t="s">
        <v>192</v>
      </c>
      <c r="E46" s="168" t="s">
        <v>213</v>
      </c>
      <c r="F46" s="126"/>
      <c r="G46" s="96" t="s">
        <v>194</v>
      </c>
      <c r="H46" s="168" t="s">
        <v>214</v>
      </c>
      <c r="I46" s="126"/>
      <c r="J46" s="169" t="s">
        <v>196</v>
      </c>
      <c r="K46" s="126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</row>
    <row r="47" spans="1:24" ht="12.75" customHeight="1" x14ac:dyDescent="0.2">
      <c r="A47" s="95"/>
      <c r="B47" s="95"/>
      <c r="C47" s="97"/>
      <c r="D47" s="98"/>
      <c r="E47" s="98"/>
      <c r="F47" s="48"/>
      <c r="G47" s="98"/>
      <c r="H47" s="98"/>
      <c r="I47" s="48"/>
      <c r="J47" s="98"/>
      <c r="K47" s="48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</row>
    <row r="48" spans="1:24" ht="12.75" customHeight="1" x14ac:dyDescent="0.2">
      <c r="A48" s="95"/>
      <c r="B48" s="95"/>
      <c r="C48" s="170" t="s">
        <v>197</v>
      </c>
      <c r="D48" s="158" t="s">
        <v>198</v>
      </c>
      <c r="E48" s="159" t="s">
        <v>87</v>
      </c>
      <c r="F48" s="159" t="s">
        <v>94</v>
      </c>
      <c r="G48" s="160" t="s">
        <v>194</v>
      </c>
      <c r="H48" s="159" t="s">
        <v>88</v>
      </c>
      <c r="I48" s="159" t="s">
        <v>95</v>
      </c>
      <c r="J48" s="157">
        <v>10</v>
      </c>
      <c r="K48" s="157">
        <v>8</v>
      </c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</row>
    <row r="49" spans="1:24" ht="12.75" customHeight="1" x14ac:dyDescent="0.2">
      <c r="A49" s="95"/>
      <c r="B49" s="95"/>
      <c r="C49" s="141"/>
      <c r="D49" s="141"/>
      <c r="E49" s="141"/>
      <c r="F49" s="141"/>
      <c r="G49" s="141"/>
      <c r="H49" s="141"/>
      <c r="I49" s="141"/>
      <c r="J49" s="141"/>
      <c r="K49" s="141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50" spans="1:24" ht="4.5" customHeight="1" x14ac:dyDescent="0.2">
      <c r="A50" s="95"/>
      <c r="B50" s="95"/>
      <c r="C50" s="161"/>
      <c r="D50" s="125"/>
      <c r="E50" s="125"/>
      <c r="F50" s="125"/>
      <c r="G50" s="125"/>
      <c r="H50" s="125"/>
      <c r="I50" s="125"/>
      <c r="J50" s="125"/>
      <c r="K50" s="126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</row>
    <row r="51" spans="1:24" ht="12.75" customHeight="1" x14ac:dyDescent="0.2">
      <c r="A51" s="95"/>
      <c r="B51" s="95"/>
      <c r="C51" s="170" t="s">
        <v>199</v>
      </c>
      <c r="D51" s="158" t="s">
        <v>215</v>
      </c>
      <c r="E51" s="159" t="s">
        <v>149</v>
      </c>
      <c r="F51" s="159" t="s">
        <v>155</v>
      </c>
      <c r="G51" s="160" t="s">
        <v>194</v>
      </c>
      <c r="H51" s="159" t="s">
        <v>150</v>
      </c>
      <c r="I51" s="159" t="s">
        <v>156</v>
      </c>
      <c r="J51" s="157">
        <v>7</v>
      </c>
      <c r="K51" s="157">
        <v>11</v>
      </c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</row>
    <row r="52" spans="1:24" ht="12.75" customHeight="1" x14ac:dyDescent="0.2">
      <c r="A52" s="95"/>
      <c r="B52" s="95"/>
      <c r="C52" s="141"/>
      <c r="D52" s="141"/>
      <c r="E52" s="141"/>
      <c r="F52" s="141"/>
      <c r="G52" s="141"/>
      <c r="H52" s="141"/>
      <c r="I52" s="141"/>
      <c r="J52" s="141"/>
      <c r="K52" s="141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</row>
    <row r="53" spans="1:24" ht="4.5" customHeight="1" x14ac:dyDescent="0.2">
      <c r="A53" s="95"/>
      <c r="B53" s="95"/>
      <c r="C53" s="161"/>
      <c r="D53" s="125"/>
      <c r="E53" s="125"/>
      <c r="F53" s="125"/>
      <c r="G53" s="125"/>
      <c r="H53" s="125"/>
      <c r="I53" s="125"/>
      <c r="J53" s="125"/>
      <c r="K53" s="126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</row>
    <row r="54" spans="1:24" ht="12.75" customHeight="1" x14ac:dyDescent="0.2">
      <c r="A54" s="95"/>
      <c r="B54" s="95"/>
      <c r="C54" s="170" t="s">
        <v>201</v>
      </c>
      <c r="D54" s="158" t="s">
        <v>203</v>
      </c>
      <c r="E54" s="159" t="s">
        <v>41</v>
      </c>
      <c r="F54" s="159" t="s">
        <v>48</v>
      </c>
      <c r="G54" s="160" t="s">
        <v>194</v>
      </c>
      <c r="H54" s="159" t="s">
        <v>42</v>
      </c>
      <c r="I54" s="159" t="s">
        <v>49</v>
      </c>
      <c r="J54" s="157">
        <v>5</v>
      </c>
      <c r="K54" s="157">
        <v>13</v>
      </c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</row>
    <row r="55" spans="1:24" ht="12.75" customHeight="1" x14ac:dyDescent="0.2">
      <c r="A55" s="95"/>
      <c r="B55" s="95"/>
      <c r="C55" s="141"/>
      <c r="D55" s="141"/>
      <c r="E55" s="141"/>
      <c r="F55" s="141"/>
      <c r="G55" s="141"/>
      <c r="H55" s="141"/>
      <c r="I55" s="141"/>
      <c r="J55" s="141"/>
      <c r="K55" s="141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</row>
    <row r="56" spans="1:24" ht="4.5" customHeight="1" x14ac:dyDescent="0.2">
      <c r="A56" s="95"/>
      <c r="B56" s="95"/>
      <c r="C56" s="161"/>
      <c r="D56" s="125"/>
      <c r="E56" s="125"/>
      <c r="F56" s="125"/>
      <c r="G56" s="125"/>
      <c r="H56" s="125"/>
      <c r="I56" s="125"/>
      <c r="J56" s="125"/>
      <c r="K56" s="126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</row>
    <row r="57" spans="1:24" ht="12.75" customHeight="1" x14ac:dyDescent="0.2">
      <c r="A57" s="95"/>
      <c r="B57" s="95"/>
      <c r="C57" s="170" t="s">
        <v>199</v>
      </c>
      <c r="D57" s="171" t="s">
        <v>209</v>
      </c>
      <c r="E57" s="159" t="s">
        <v>75</v>
      </c>
      <c r="F57" s="159" t="s">
        <v>136</v>
      </c>
      <c r="G57" s="160" t="s">
        <v>194</v>
      </c>
      <c r="H57" s="159" t="s">
        <v>69</v>
      </c>
      <c r="I57" s="159" t="s">
        <v>132</v>
      </c>
      <c r="J57" s="157">
        <v>11</v>
      </c>
      <c r="K57" s="157">
        <v>7</v>
      </c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</row>
    <row r="58" spans="1:24" ht="12.75" customHeight="1" x14ac:dyDescent="0.2">
      <c r="A58" s="95"/>
      <c r="B58" s="95"/>
      <c r="C58" s="141"/>
      <c r="D58" s="141"/>
      <c r="E58" s="141"/>
      <c r="F58" s="141"/>
      <c r="G58" s="141"/>
      <c r="H58" s="141"/>
      <c r="I58" s="141"/>
      <c r="J58" s="141"/>
      <c r="K58" s="141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</row>
    <row r="59" spans="1:24" ht="4.5" customHeight="1" x14ac:dyDescent="0.2">
      <c r="A59" s="95"/>
      <c r="B59" s="95"/>
      <c r="C59" s="161"/>
      <c r="D59" s="125"/>
      <c r="E59" s="125"/>
      <c r="F59" s="125"/>
      <c r="G59" s="125"/>
      <c r="H59" s="125"/>
      <c r="I59" s="125"/>
      <c r="J59" s="125"/>
      <c r="K59" s="12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</row>
    <row r="60" spans="1:24" ht="12.75" customHeight="1" x14ac:dyDescent="0.2">
      <c r="A60" s="95"/>
      <c r="B60" s="95"/>
      <c r="C60" s="179" t="s">
        <v>205</v>
      </c>
      <c r="D60" s="125"/>
      <c r="E60" s="125"/>
      <c r="F60" s="125"/>
      <c r="G60" s="125"/>
      <c r="H60" s="125"/>
      <c r="I60" s="126"/>
      <c r="J60" s="103">
        <f t="shared" ref="J60:K60" si="3">SUM(J48:J58)</f>
        <v>33</v>
      </c>
      <c r="K60" s="103">
        <f t="shared" si="3"/>
        <v>39</v>
      </c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</row>
    <row r="61" spans="1:24" ht="4.5" customHeight="1" x14ac:dyDescent="0.2">
      <c r="A61" s="95"/>
      <c r="B61" s="95"/>
      <c r="C61" s="161"/>
      <c r="D61" s="125"/>
      <c r="E61" s="125"/>
      <c r="F61" s="125"/>
      <c r="G61" s="125"/>
      <c r="H61" s="125"/>
      <c r="I61" s="125"/>
      <c r="J61" s="125"/>
      <c r="K61" s="126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</row>
    <row r="62" spans="1:24" ht="12.75" x14ac:dyDescent="0.2">
      <c r="A62" s="95"/>
      <c r="B62" s="95"/>
      <c r="C62" s="100"/>
      <c r="D62" s="101"/>
      <c r="E62" s="101"/>
      <c r="F62" s="101"/>
      <c r="G62" s="101"/>
      <c r="H62" s="101"/>
      <c r="I62" s="101"/>
      <c r="J62" s="101"/>
      <c r="K62" s="101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</row>
    <row r="63" spans="1:24" ht="12.75" customHeight="1" x14ac:dyDescent="0.2">
      <c r="A63" s="95"/>
      <c r="B63" s="95"/>
      <c r="C63" s="170" t="s">
        <v>197</v>
      </c>
      <c r="D63" s="158" t="s">
        <v>207</v>
      </c>
      <c r="E63" s="159" t="s">
        <v>12</v>
      </c>
      <c r="F63" s="159" t="s">
        <v>68</v>
      </c>
      <c r="G63" s="160" t="s">
        <v>194</v>
      </c>
      <c r="H63" s="159" t="s">
        <v>62</v>
      </c>
      <c r="I63" s="159" t="s">
        <v>13</v>
      </c>
      <c r="J63" s="157">
        <v>13</v>
      </c>
      <c r="K63" s="157">
        <v>6</v>
      </c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</row>
    <row r="64" spans="1:24" ht="12.75" customHeight="1" x14ac:dyDescent="0.2">
      <c r="A64" s="95"/>
      <c r="B64" s="95"/>
      <c r="C64" s="141"/>
      <c r="D64" s="141"/>
      <c r="E64" s="141"/>
      <c r="F64" s="141"/>
      <c r="G64" s="141"/>
      <c r="H64" s="141"/>
      <c r="I64" s="141"/>
      <c r="J64" s="141"/>
      <c r="K64" s="141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</row>
    <row r="65" spans="1:24" ht="4.5" customHeight="1" x14ac:dyDescent="0.2">
      <c r="A65" s="95"/>
      <c r="B65" s="95"/>
      <c r="C65" s="161"/>
      <c r="D65" s="125"/>
      <c r="E65" s="125"/>
      <c r="F65" s="125"/>
      <c r="G65" s="125"/>
      <c r="H65" s="125"/>
      <c r="I65" s="125"/>
      <c r="J65" s="125"/>
      <c r="K65" s="126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</row>
    <row r="66" spans="1:24" ht="12.75" customHeight="1" x14ac:dyDescent="0.2">
      <c r="A66" s="95"/>
      <c r="B66" s="95"/>
      <c r="C66" s="170" t="s">
        <v>199</v>
      </c>
      <c r="D66" s="158" t="s">
        <v>202</v>
      </c>
      <c r="E66" s="159" t="s">
        <v>20</v>
      </c>
      <c r="F66" s="159" t="s">
        <v>27</v>
      </c>
      <c r="G66" s="160" t="s">
        <v>194</v>
      </c>
      <c r="H66" s="159" t="s">
        <v>21</v>
      </c>
      <c r="I66" s="159" t="s">
        <v>216</v>
      </c>
      <c r="J66" s="157">
        <v>7</v>
      </c>
      <c r="K66" s="157">
        <v>11</v>
      </c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</row>
    <row r="67" spans="1:24" ht="12.75" customHeight="1" x14ac:dyDescent="0.2">
      <c r="A67" s="95"/>
      <c r="B67" s="95"/>
      <c r="C67" s="141"/>
      <c r="D67" s="141"/>
      <c r="E67" s="141"/>
      <c r="F67" s="141"/>
      <c r="G67" s="141"/>
      <c r="H67" s="141"/>
      <c r="I67" s="141"/>
      <c r="J67" s="141"/>
      <c r="K67" s="141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</row>
    <row r="68" spans="1:24" ht="4.5" customHeight="1" x14ac:dyDescent="0.2">
      <c r="A68" s="95"/>
      <c r="B68" s="95"/>
      <c r="C68" s="161"/>
      <c r="D68" s="125"/>
      <c r="E68" s="125"/>
      <c r="F68" s="125"/>
      <c r="G68" s="125"/>
      <c r="H68" s="125"/>
      <c r="I68" s="125"/>
      <c r="J68" s="125"/>
      <c r="K68" s="126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</row>
    <row r="69" spans="1:24" ht="12.75" customHeight="1" x14ac:dyDescent="0.2">
      <c r="A69" s="95"/>
      <c r="B69" s="95"/>
      <c r="C69" s="170" t="s">
        <v>201</v>
      </c>
      <c r="D69" s="158" t="s">
        <v>208</v>
      </c>
      <c r="E69" s="159" t="s">
        <v>108</v>
      </c>
      <c r="F69" s="159" t="s">
        <v>120</v>
      </c>
      <c r="G69" s="160" t="s">
        <v>194</v>
      </c>
      <c r="H69" s="159" t="s">
        <v>109</v>
      </c>
      <c r="I69" s="159" t="s">
        <v>115</v>
      </c>
      <c r="J69" s="157">
        <v>8</v>
      </c>
      <c r="K69" s="157">
        <v>10</v>
      </c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</row>
    <row r="70" spans="1:24" ht="12.75" customHeight="1" x14ac:dyDescent="0.2">
      <c r="A70" s="95"/>
      <c r="B70" s="95"/>
      <c r="C70" s="141"/>
      <c r="D70" s="141"/>
      <c r="E70" s="141"/>
      <c r="F70" s="141"/>
      <c r="G70" s="141"/>
      <c r="H70" s="141"/>
      <c r="I70" s="141"/>
      <c r="J70" s="141"/>
      <c r="K70" s="141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</row>
    <row r="71" spans="1:24" ht="4.5" customHeight="1" x14ac:dyDescent="0.2">
      <c r="A71" s="95"/>
      <c r="B71" s="95"/>
      <c r="C71" s="161"/>
      <c r="D71" s="125"/>
      <c r="E71" s="125"/>
      <c r="F71" s="125"/>
      <c r="G71" s="125"/>
      <c r="H71" s="125"/>
      <c r="I71" s="125"/>
      <c r="J71" s="125"/>
      <c r="K71" s="126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</row>
    <row r="72" spans="1:24" ht="12.75" customHeight="1" x14ac:dyDescent="0.2">
      <c r="A72" s="95"/>
      <c r="B72" s="95"/>
      <c r="C72" s="170" t="s">
        <v>199</v>
      </c>
      <c r="D72" s="171" t="s">
        <v>206</v>
      </c>
      <c r="E72" s="159" t="s">
        <v>126</v>
      </c>
      <c r="F72" s="159" t="s">
        <v>131</v>
      </c>
      <c r="G72" s="160" t="s">
        <v>194</v>
      </c>
      <c r="H72" s="159" t="s">
        <v>127</v>
      </c>
      <c r="I72" s="159" t="s">
        <v>137</v>
      </c>
      <c r="J72" s="157">
        <v>7</v>
      </c>
      <c r="K72" s="157">
        <v>11</v>
      </c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</row>
    <row r="73" spans="1:24" ht="12.75" customHeight="1" x14ac:dyDescent="0.2">
      <c r="A73" s="95"/>
      <c r="B73" s="95"/>
      <c r="C73" s="141"/>
      <c r="D73" s="141"/>
      <c r="E73" s="141"/>
      <c r="F73" s="141"/>
      <c r="G73" s="141"/>
      <c r="H73" s="141"/>
      <c r="I73" s="141"/>
      <c r="J73" s="141"/>
      <c r="K73" s="141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</row>
    <row r="74" spans="1:24" ht="4.5" customHeight="1" x14ac:dyDescent="0.2">
      <c r="A74" s="95"/>
      <c r="B74" s="95"/>
      <c r="C74" s="161"/>
      <c r="D74" s="125"/>
      <c r="E74" s="125"/>
      <c r="F74" s="125"/>
      <c r="G74" s="125"/>
      <c r="H74" s="125"/>
      <c r="I74" s="125"/>
      <c r="J74" s="125"/>
      <c r="K74" s="126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</row>
    <row r="75" spans="1:24" ht="12.75" customHeight="1" x14ac:dyDescent="0.2">
      <c r="A75" s="95"/>
      <c r="B75" s="95"/>
      <c r="C75" s="172" t="s">
        <v>217</v>
      </c>
      <c r="D75" s="125"/>
      <c r="E75" s="125"/>
      <c r="F75" s="125"/>
      <c r="G75" s="125"/>
      <c r="H75" s="125"/>
      <c r="I75" s="126"/>
      <c r="J75" s="103">
        <f t="shared" ref="J75:K75" si="4">SUM(J63:J73)</f>
        <v>35</v>
      </c>
      <c r="K75" s="103">
        <f t="shared" si="4"/>
        <v>38</v>
      </c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</row>
    <row r="76" spans="1:24" ht="4.5" customHeight="1" x14ac:dyDescent="0.2">
      <c r="A76" s="95"/>
      <c r="B76" s="95"/>
      <c r="C76" s="161"/>
      <c r="D76" s="125"/>
      <c r="E76" s="125"/>
      <c r="F76" s="125"/>
      <c r="G76" s="125"/>
      <c r="H76" s="125"/>
      <c r="I76" s="125"/>
      <c r="J76" s="125"/>
      <c r="K76" s="126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</row>
    <row r="77" spans="1:24" ht="12.75" customHeight="1" x14ac:dyDescent="0.2">
      <c r="A77" s="95"/>
      <c r="B77" s="95"/>
      <c r="C77" s="179" t="s">
        <v>211</v>
      </c>
      <c r="D77" s="125"/>
      <c r="E77" s="125"/>
      <c r="F77" s="125"/>
      <c r="G77" s="125"/>
      <c r="H77" s="125"/>
      <c r="I77" s="126"/>
      <c r="J77" s="104">
        <f>SUM(J60+J75)</f>
        <v>68</v>
      </c>
      <c r="K77" s="104">
        <f>K75+K60</f>
        <v>77</v>
      </c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</row>
    <row r="78" spans="1:24" ht="6.75" customHeight="1" x14ac:dyDescent="0.2">
      <c r="A78" s="95"/>
      <c r="B78" s="95"/>
      <c r="C78" s="161"/>
      <c r="D78" s="125"/>
      <c r="E78" s="125"/>
      <c r="F78" s="125"/>
      <c r="G78" s="125"/>
      <c r="H78" s="125"/>
      <c r="I78" s="125"/>
      <c r="J78" s="125"/>
      <c r="K78" s="126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  <row r="79" spans="1:24" ht="12.75" customHeight="1" x14ac:dyDescent="0.2">
      <c r="A79" s="95"/>
      <c r="B79" s="95"/>
      <c r="C79" s="162" t="s">
        <v>218</v>
      </c>
      <c r="D79" s="163"/>
      <c r="E79" s="163"/>
      <c r="F79" s="163"/>
      <c r="G79" s="163"/>
      <c r="H79" s="163"/>
      <c r="I79" s="163"/>
      <c r="J79" s="163"/>
      <c r="K79" s="164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</row>
    <row r="80" spans="1:24" ht="12.75" customHeight="1" x14ac:dyDescent="0.2">
      <c r="A80" s="95"/>
      <c r="B80" s="95"/>
      <c r="C80" s="165"/>
      <c r="D80" s="166"/>
      <c r="E80" s="166"/>
      <c r="F80" s="166"/>
      <c r="G80" s="166"/>
      <c r="H80" s="166"/>
      <c r="I80" s="166"/>
      <c r="J80" s="166"/>
      <c r="K80" s="167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</row>
    <row r="81" spans="1:24" ht="25.5" customHeight="1" x14ac:dyDescent="0.2">
      <c r="A81" s="95"/>
      <c r="B81" s="95"/>
      <c r="C81" s="105" t="s">
        <v>191</v>
      </c>
      <c r="D81" s="96" t="s">
        <v>192</v>
      </c>
      <c r="E81" s="168" t="s">
        <v>219</v>
      </c>
      <c r="F81" s="126"/>
      <c r="G81" s="96" t="s">
        <v>194</v>
      </c>
      <c r="H81" s="168" t="s">
        <v>220</v>
      </c>
      <c r="I81" s="126"/>
      <c r="J81" s="169" t="s">
        <v>196</v>
      </c>
      <c r="K81" s="126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</row>
    <row r="82" spans="1:24" ht="12.75" customHeight="1" x14ac:dyDescent="0.2">
      <c r="A82" s="95"/>
      <c r="B82" s="95"/>
      <c r="C82" s="106"/>
      <c r="D82" s="107"/>
      <c r="E82" s="107"/>
      <c r="F82" s="101"/>
      <c r="G82" s="107"/>
      <c r="H82" s="107"/>
      <c r="I82" s="101"/>
      <c r="J82" s="107"/>
      <c r="K82" s="101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</row>
    <row r="83" spans="1:24" ht="12.75" customHeight="1" x14ac:dyDescent="0.2">
      <c r="A83" s="95"/>
      <c r="B83" s="95"/>
      <c r="C83" s="170" t="s">
        <v>197</v>
      </c>
      <c r="D83" s="158" t="s">
        <v>209</v>
      </c>
      <c r="E83" s="159" t="s">
        <v>80</v>
      </c>
      <c r="F83" s="159" t="s">
        <v>141</v>
      </c>
      <c r="G83" s="160" t="s">
        <v>194</v>
      </c>
      <c r="H83" s="159" t="s">
        <v>77</v>
      </c>
      <c r="I83" s="159" t="s">
        <v>133</v>
      </c>
      <c r="J83" s="157">
        <v>6</v>
      </c>
      <c r="K83" s="157">
        <v>12</v>
      </c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</row>
    <row r="84" spans="1:24" ht="12.75" customHeight="1" x14ac:dyDescent="0.2">
      <c r="A84" s="95"/>
      <c r="B84" s="95"/>
      <c r="C84" s="141"/>
      <c r="D84" s="141"/>
      <c r="E84" s="141"/>
      <c r="F84" s="141"/>
      <c r="G84" s="141"/>
      <c r="H84" s="141"/>
      <c r="I84" s="141"/>
      <c r="J84" s="141"/>
      <c r="K84" s="141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</row>
    <row r="85" spans="1:24" ht="4.5" customHeight="1" x14ac:dyDescent="0.2">
      <c r="A85" s="95"/>
      <c r="B85" s="95"/>
      <c r="C85" s="161"/>
      <c r="D85" s="125"/>
      <c r="E85" s="125"/>
      <c r="F85" s="125"/>
      <c r="G85" s="125"/>
      <c r="H85" s="125"/>
      <c r="I85" s="125"/>
      <c r="J85" s="125"/>
      <c r="K85" s="126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</row>
    <row r="86" spans="1:24" ht="12.75" customHeight="1" x14ac:dyDescent="0.2">
      <c r="A86" s="95"/>
      <c r="B86" s="95"/>
      <c r="C86" s="170" t="s">
        <v>199</v>
      </c>
      <c r="D86" s="158" t="s">
        <v>207</v>
      </c>
      <c r="E86" s="159" t="s">
        <v>60</v>
      </c>
      <c r="F86" s="159" t="s">
        <v>66</v>
      </c>
      <c r="G86" s="160" t="s">
        <v>194</v>
      </c>
      <c r="H86" s="159" t="s">
        <v>63</v>
      </c>
      <c r="I86" s="159" t="s">
        <v>70</v>
      </c>
      <c r="J86" s="157">
        <v>12</v>
      </c>
      <c r="K86" s="157">
        <v>7</v>
      </c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</row>
    <row r="87" spans="1:24" ht="12.75" customHeight="1" x14ac:dyDescent="0.2">
      <c r="A87" s="95"/>
      <c r="B87" s="95"/>
      <c r="C87" s="141"/>
      <c r="D87" s="141"/>
      <c r="E87" s="141"/>
      <c r="F87" s="141"/>
      <c r="G87" s="141"/>
      <c r="H87" s="141"/>
      <c r="I87" s="141"/>
      <c r="J87" s="141"/>
      <c r="K87" s="141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</row>
    <row r="88" spans="1:24" ht="4.5" customHeight="1" x14ac:dyDescent="0.2">
      <c r="A88" s="95"/>
      <c r="B88" s="95"/>
      <c r="C88" s="161"/>
      <c r="D88" s="125"/>
      <c r="E88" s="125"/>
      <c r="F88" s="125"/>
      <c r="G88" s="125"/>
      <c r="H88" s="125"/>
      <c r="I88" s="125"/>
      <c r="J88" s="125"/>
      <c r="K88" s="126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</row>
    <row r="89" spans="1:24" ht="12.75" customHeight="1" x14ac:dyDescent="0.2">
      <c r="A89" s="95"/>
      <c r="B89" s="95"/>
      <c r="C89" s="170" t="s">
        <v>201</v>
      </c>
      <c r="D89" s="158" t="s">
        <v>208</v>
      </c>
      <c r="E89" s="159" t="s">
        <v>106</v>
      </c>
      <c r="F89" s="159" t="s">
        <v>112</v>
      </c>
      <c r="G89" s="160" t="s">
        <v>194</v>
      </c>
      <c r="H89" s="159" t="s">
        <v>110</v>
      </c>
      <c r="I89" s="159" t="s">
        <v>221</v>
      </c>
      <c r="J89" s="157">
        <v>9</v>
      </c>
      <c r="K89" s="157">
        <v>9</v>
      </c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</row>
    <row r="90" spans="1:24" ht="12.75" customHeight="1" x14ac:dyDescent="0.2">
      <c r="A90" s="95"/>
      <c r="B90" s="95"/>
      <c r="C90" s="141"/>
      <c r="D90" s="141"/>
      <c r="E90" s="141"/>
      <c r="F90" s="141"/>
      <c r="G90" s="141"/>
      <c r="H90" s="141"/>
      <c r="I90" s="141"/>
      <c r="J90" s="141"/>
      <c r="K90" s="141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</row>
    <row r="91" spans="1:24" ht="4.5" customHeight="1" x14ac:dyDescent="0.2">
      <c r="A91" s="95"/>
      <c r="B91" s="95"/>
      <c r="C91" s="161"/>
      <c r="D91" s="125"/>
      <c r="E91" s="125"/>
      <c r="F91" s="125"/>
      <c r="G91" s="125"/>
      <c r="H91" s="125"/>
      <c r="I91" s="125"/>
      <c r="J91" s="125"/>
      <c r="K91" s="126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</row>
    <row r="92" spans="1:24" ht="12.75" x14ac:dyDescent="0.2">
      <c r="A92" s="95"/>
      <c r="B92" s="95"/>
      <c r="C92" s="170" t="s">
        <v>201</v>
      </c>
      <c r="D92" s="171" t="s">
        <v>198</v>
      </c>
      <c r="E92" s="157" t="s">
        <v>92</v>
      </c>
      <c r="F92" s="157" t="s">
        <v>99</v>
      </c>
      <c r="G92" s="160" t="s">
        <v>194</v>
      </c>
      <c r="H92" s="159" t="s">
        <v>222</v>
      </c>
      <c r="I92" s="159" t="s">
        <v>103</v>
      </c>
      <c r="J92" s="157">
        <v>7</v>
      </c>
      <c r="K92" s="157">
        <v>11</v>
      </c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</row>
    <row r="93" spans="1:24" ht="12.75" x14ac:dyDescent="0.2">
      <c r="A93" s="95"/>
      <c r="B93" s="95"/>
      <c r="C93" s="141"/>
      <c r="D93" s="141"/>
      <c r="E93" s="141"/>
      <c r="F93" s="141"/>
      <c r="G93" s="141"/>
      <c r="H93" s="141"/>
      <c r="I93" s="141"/>
      <c r="J93" s="141"/>
      <c r="K93" s="141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</row>
    <row r="94" spans="1:24" ht="4.5" customHeight="1" x14ac:dyDescent="0.2">
      <c r="A94" s="95"/>
      <c r="B94" s="95"/>
      <c r="C94" s="161"/>
      <c r="D94" s="125"/>
      <c r="E94" s="125"/>
      <c r="F94" s="125"/>
      <c r="G94" s="125"/>
      <c r="H94" s="125"/>
      <c r="I94" s="125"/>
      <c r="J94" s="125"/>
      <c r="K94" s="126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</row>
    <row r="95" spans="1:24" ht="12.75" customHeight="1" x14ac:dyDescent="0.2">
      <c r="A95" s="95"/>
      <c r="B95" s="95"/>
      <c r="C95" s="172" t="s">
        <v>205</v>
      </c>
      <c r="D95" s="125"/>
      <c r="E95" s="125"/>
      <c r="F95" s="125"/>
      <c r="G95" s="125"/>
      <c r="H95" s="125"/>
      <c r="I95" s="126"/>
      <c r="J95" s="104">
        <f t="shared" ref="J95:K95" si="5">SUM(J83:J93)</f>
        <v>34</v>
      </c>
      <c r="K95" s="104">
        <f t="shared" si="5"/>
        <v>39</v>
      </c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</row>
    <row r="96" spans="1:24" ht="4.5" customHeight="1" x14ac:dyDescent="0.2">
      <c r="A96" s="95"/>
      <c r="B96" s="95"/>
      <c r="C96" s="161"/>
      <c r="D96" s="125"/>
      <c r="E96" s="125"/>
      <c r="F96" s="125"/>
      <c r="G96" s="125"/>
      <c r="H96" s="125"/>
      <c r="I96" s="125"/>
      <c r="J96" s="125"/>
      <c r="K96" s="126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</row>
    <row r="97" spans="1:24" ht="12.75" x14ac:dyDescent="0.2">
      <c r="A97" s="95"/>
      <c r="B97" s="95"/>
      <c r="C97" s="100"/>
      <c r="D97" s="101"/>
      <c r="E97" s="101"/>
      <c r="F97" s="101"/>
      <c r="G97" s="101"/>
      <c r="H97" s="101"/>
      <c r="I97" s="101"/>
      <c r="J97" s="101"/>
      <c r="K97" s="101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</row>
    <row r="98" spans="1:24" ht="12.75" customHeight="1" x14ac:dyDescent="0.2">
      <c r="A98" s="95"/>
      <c r="B98" s="95"/>
      <c r="C98" s="170" t="s">
        <v>197</v>
      </c>
      <c r="D98" s="158" t="s">
        <v>200</v>
      </c>
      <c r="E98" s="159" t="s">
        <v>147</v>
      </c>
      <c r="F98" s="159" t="s">
        <v>153</v>
      </c>
      <c r="G98" s="160" t="s">
        <v>194</v>
      </c>
      <c r="H98" s="159" t="s">
        <v>151</v>
      </c>
      <c r="I98" s="159" t="s">
        <v>157</v>
      </c>
      <c r="J98" s="157">
        <v>4</v>
      </c>
      <c r="K98" s="157">
        <v>14</v>
      </c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</row>
    <row r="99" spans="1:24" ht="12.75" customHeight="1" x14ac:dyDescent="0.2">
      <c r="A99" s="95"/>
      <c r="B99" s="95"/>
      <c r="C99" s="141"/>
      <c r="D99" s="141"/>
      <c r="E99" s="141"/>
      <c r="F99" s="141"/>
      <c r="G99" s="141"/>
      <c r="H99" s="141"/>
      <c r="I99" s="141"/>
      <c r="J99" s="141"/>
      <c r="K99" s="141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</row>
    <row r="100" spans="1:24" ht="4.5" customHeight="1" x14ac:dyDescent="0.2">
      <c r="A100" s="95"/>
      <c r="B100" s="95"/>
      <c r="C100" s="161"/>
      <c r="D100" s="125"/>
      <c r="E100" s="125"/>
      <c r="F100" s="125"/>
      <c r="G100" s="125"/>
      <c r="H100" s="125"/>
      <c r="I100" s="125"/>
      <c r="J100" s="125"/>
      <c r="K100" s="126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</row>
    <row r="101" spans="1:24" ht="12.75" customHeight="1" x14ac:dyDescent="0.2">
      <c r="A101" s="95"/>
      <c r="B101" s="95"/>
      <c r="C101" s="170" t="s">
        <v>199</v>
      </c>
      <c r="D101" s="158" t="s">
        <v>202</v>
      </c>
      <c r="E101" s="159" t="s">
        <v>18</v>
      </c>
      <c r="F101" s="159" t="s">
        <v>25</v>
      </c>
      <c r="G101" s="160" t="s">
        <v>194</v>
      </c>
      <c r="H101" s="159" t="s">
        <v>22</v>
      </c>
      <c r="I101" s="159" t="s">
        <v>223</v>
      </c>
      <c r="J101" s="157">
        <v>12</v>
      </c>
      <c r="K101" s="157">
        <v>6</v>
      </c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</row>
    <row r="102" spans="1:24" ht="12.75" customHeight="1" x14ac:dyDescent="0.2">
      <c r="A102" s="95"/>
      <c r="B102" s="95"/>
      <c r="C102" s="141"/>
      <c r="D102" s="141"/>
      <c r="E102" s="141"/>
      <c r="F102" s="141"/>
      <c r="G102" s="141"/>
      <c r="H102" s="141"/>
      <c r="I102" s="141"/>
      <c r="J102" s="141"/>
      <c r="K102" s="141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</row>
    <row r="103" spans="1:24" ht="4.5" customHeight="1" x14ac:dyDescent="0.2">
      <c r="A103" s="95"/>
      <c r="B103" s="95"/>
      <c r="C103" s="161"/>
      <c r="D103" s="125"/>
      <c r="E103" s="125"/>
      <c r="F103" s="125"/>
      <c r="G103" s="125"/>
      <c r="H103" s="125"/>
      <c r="I103" s="125"/>
      <c r="J103" s="125"/>
      <c r="K103" s="126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</row>
    <row r="104" spans="1:24" ht="12.75" customHeight="1" x14ac:dyDescent="0.2">
      <c r="A104" s="95"/>
      <c r="B104" s="95"/>
      <c r="C104" s="170" t="s">
        <v>201</v>
      </c>
      <c r="D104" s="158" t="s">
        <v>203</v>
      </c>
      <c r="E104" s="159" t="s">
        <v>39</v>
      </c>
      <c r="F104" s="159" t="s">
        <v>53</v>
      </c>
      <c r="G104" s="160" t="s">
        <v>194</v>
      </c>
      <c r="H104" s="159" t="s">
        <v>43</v>
      </c>
      <c r="I104" s="159" t="s">
        <v>57</v>
      </c>
      <c r="J104" s="157">
        <v>7</v>
      </c>
      <c r="K104" s="157">
        <v>11</v>
      </c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</row>
    <row r="105" spans="1:24" ht="12.75" customHeight="1" x14ac:dyDescent="0.2">
      <c r="A105" s="95"/>
      <c r="B105" s="95"/>
      <c r="C105" s="141"/>
      <c r="D105" s="141"/>
      <c r="E105" s="141"/>
      <c r="F105" s="141"/>
      <c r="G105" s="141"/>
      <c r="H105" s="141"/>
      <c r="I105" s="141"/>
      <c r="J105" s="141"/>
      <c r="K105" s="141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</row>
    <row r="106" spans="1:24" ht="4.5" customHeight="1" x14ac:dyDescent="0.2">
      <c r="A106" s="95"/>
      <c r="B106" s="95"/>
      <c r="C106" s="161"/>
      <c r="D106" s="125"/>
      <c r="E106" s="125"/>
      <c r="F106" s="125"/>
      <c r="G106" s="125"/>
      <c r="H106" s="125"/>
      <c r="I106" s="125"/>
      <c r="J106" s="125"/>
      <c r="K106" s="126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</row>
    <row r="107" spans="1:24" ht="12.75" customHeight="1" x14ac:dyDescent="0.2">
      <c r="A107" s="95"/>
      <c r="B107" s="95"/>
      <c r="C107" s="170" t="s">
        <v>201</v>
      </c>
      <c r="D107" s="171" t="s">
        <v>206</v>
      </c>
      <c r="E107" s="159" t="s">
        <v>129</v>
      </c>
      <c r="F107" s="159" t="s">
        <v>10</v>
      </c>
      <c r="G107" s="160" t="s">
        <v>194</v>
      </c>
      <c r="H107" s="159" t="s">
        <v>14</v>
      </c>
      <c r="I107" s="159" t="s">
        <v>138</v>
      </c>
      <c r="J107" s="157">
        <v>6</v>
      </c>
      <c r="K107" s="157">
        <v>12</v>
      </c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</row>
    <row r="108" spans="1:24" ht="12.75" customHeight="1" x14ac:dyDescent="0.2">
      <c r="A108" s="95"/>
      <c r="B108" s="95"/>
      <c r="C108" s="141"/>
      <c r="D108" s="141"/>
      <c r="E108" s="141"/>
      <c r="F108" s="141"/>
      <c r="G108" s="141"/>
      <c r="H108" s="141"/>
      <c r="I108" s="141"/>
      <c r="J108" s="141"/>
      <c r="K108" s="141"/>
      <c r="L108" s="95"/>
      <c r="M108" s="95" t="s">
        <v>224</v>
      </c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</row>
    <row r="109" spans="1:24" ht="4.5" customHeight="1" x14ac:dyDescent="0.2">
      <c r="A109" s="95"/>
      <c r="B109" s="95"/>
      <c r="C109" s="161"/>
      <c r="D109" s="125"/>
      <c r="E109" s="125"/>
      <c r="F109" s="125"/>
      <c r="G109" s="125"/>
      <c r="H109" s="125"/>
      <c r="I109" s="125"/>
      <c r="J109" s="125"/>
      <c r="K109" s="126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</row>
    <row r="110" spans="1:24" ht="12.75" customHeight="1" x14ac:dyDescent="0.2">
      <c r="A110" s="95"/>
      <c r="B110" s="95"/>
      <c r="C110" s="172" t="s">
        <v>217</v>
      </c>
      <c r="D110" s="125"/>
      <c r="E110" s="125"/>
      <c r="F110" s="125"/>
      <c r="G110" s="125"/>
      <c r="H110" s="125"/>
      <c r="I110" s="126"/>
      <c r="J110" s="103">
        <f t="shared" ref="J110:K110" si="6">SUM(J98:J108)</f>
        <v>29</v>
      </c>
      <c r="K110" s="103">
        <f t="shared" si="6"/>
        <v>43</v>
      </c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</row>
    <row r="111" spans="1:24" ht="4.5" customHeight="1" x14ac:dyDescent="0.2">
      <c r="A111" s="95"/>
      <c r="B111" s="95"/>
      <c r="C111" s="161"/>
      <c r="D111" s="125"/>
      <c r="E111" s="125"/>
      <c r="F111" s="125"/>
      <c r="G111" s="125"/>
      <c r="H111" s="125"/>
      <c r="I111" s="125"/>
      <c r="J111" s="125"/>
      <c r="K111" s="126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</row>
    <row r="112" spans="1:24" ht="12.75" customHeight="1" x14ac:dyDescent="0.2">
      <c r="A112" s="95"/>
      <c r="B112" s="95"/>
      <c r="C112" s="179" t="s">
        <v>211</v>
      </c>
      <c r="D112" s="125"/>
      <c r="E112" s="125"/>
      <c r="F112" s="125"/>
      <c r="G112" s="125"/>
      <c r="H112" s="125"/>
      <c r="I112" s="126"/>
      <c r="J112" s="104">
        <f t="shared" ref="J112:K112" si="7">J110+J95</f>
        <v>63</v>
      </c>
      <c r="K112" s="104">
        <f t="shared" si="7"/>
        <v>82</v>
      </c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</row>
    <row r="113" spans="1:24" ht="6.75" customHeight="1" x14ac:dyDescent="0.2">
      <c r="A113" s="95"/>
      <c r="B113" s="95"/>
      <c r="C113" s="161"/>
      <c r="D113" s="125"/>
      <c r="E113" s="125"/>
      <c r="F113" s="125"/>
      <c r="G113" s="125"/>
      <c r="H113" s="125"/>
      <c r="I113" s="125"/>
      <c r="J113" s="125"/>
      <c r="K113" s="126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</row>
    <row r="114" spans="1:24" ht="12.75" customHeight="1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</row>
    <row r="115" spans="1:24" ht="12.75" customHeight="1" x14ac:dyDescent="0.2">
      <c r="A115" s="95"/>
      <c r="B115" s="95"/>
      <c r="C115" s="95" t="s">
        <v>224</v>
      </c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</row>
    <row r="116" spans="1:24" ht="12.75" customHeight="1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</row>
    <row r="117" spans="1:24" ht="12.75" customHeight="1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</row>
    <row r="118" spans="1:24" ht="12.75" customHeight="1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</row>
    <row r="119" spans="1:24" ht="12.75" customHeight="1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</row>
    <row r="120" spans="1:24" ht="12.75" customHeight="1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</row>
    <row r="121" spans="1:24" ht="12.75" customHeight="1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</row>
    <row r="122" spans="1:24" ht="12.75" customHeight="1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</row>
    <row r="123" spans="1:24" ht="12.75" customHeight="1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</row>
    <row r="124" spans="1:24" ht="12.75" customHeight="1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</row>
    <row r="125" spans="1:24" ht="12.75" customHeight="1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</row>
    <row r="126" spans="1:24" ht="12.75" customHeight="1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</row>
    <row r="127" spans="1:24" ht="12.75" customHeight="1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</row>
    <row r="128" spans="1:24" ht="12.75" customHeight="1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</row>
    <row r="129" spans="1:24" ht="12.75" customHeight="1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</row>
    <row r="130" spans="1:24" ht="12.75" customHeight="1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</row>
    <row r="131" spans="1:24" ht="12.75" customHeight="1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</row>
    <row r="132" spans="1:24" ht="12.75" customHeight="1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</row>
    <row r="133" spans="1:24" ht="12.75" customHeight="1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</row>
    <row r="134" spans="1:24" ht="12.75" customHeight="1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</row>
    <row r="135" spans="1:24" ht="12.75" customHeight="1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</row>
    <row r="136" spans="1:24" ht="12.75" customHeight="1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</row>
    <row r="137" spans="1:24" ht="12.75" customHeight="1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</row>
    <row r="138" spans="1:24" ht="12.75" customHeight="1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</row>
    <row r="139" spans="1:24" ht="12.75" customHeight="1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</row>
    <row r="140" spans="1:24" ht="12.75" customHeight="1" x14ac:dyDescent="0.2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</row>
    <row r="141" spans="1:24" ht="12.75" customHeight="1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</row>
    <row r="142" spans="1:24" ht="12.75" customHeight="1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</row>
    <row r="143" spans="1:24" ht="12.75" customHeight="1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</row>
    <row r="144" spans="1:24" ht="12.75" customHeight="1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</row>
    <row r="145" spans="1:24" ht="12.75" customHeight="1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</row>
    <row r="146" spans="1:24" ht="12.75" customHeight="1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</row>
    <row r="147" spans="1:24" ht="12.75" customHeight="1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</row>
    <row r="148" spans="1:24" ht="12.75" customHeight="1" x14ac:dyDescent="0.2">
      <c r="A148" s="95"/>
      <c r="B148" s="95"/>
      <c r="C148" s="95"/>
      <c r="D148" s="95"/>
      <c r="E148" s="95"/>
      <c r="F148" s="95" t="s">
        <v>224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</row>
    <row r="149" spans="1:24" ht="12.75" customHeight="1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</row>
    <row r="150" spans="1:24" ht="12.75" customHeight="1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</row>
    <row r="151" spans="1:24" ht="12.75" customHeight="1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</row>
    <row r="152" spans="1:24" ht="12.75" customHeight="1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</row>
    <row r="153" spans="1:24" ht="12.75" customHeight="1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</row>
    <row r="154" spans="1:24" ht="12.75" customHeight="1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</row>
    <row r="155" spans="1:24" ht="12.75" customHeight="1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</row>
    <row r="156" spans="1:24" ht="12.75" customHeight="1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</row>
    <row r="157" spans="1:24" ht="12.75" customHeight="1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</row>
    <row r="158" spans="1:24" ht="12.75" customHeight="1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</row>
    <row r="159" spans="1:24" ht="12.75" customHeight="1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</row>
    <row r="160" spans="1:24" ht="12.75" customHeight="1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</row>
    <row r="161" spans="1:24" ht="12.75" customHeight="1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</row>
    <row r="162" spans="1:24" ht="12.75" customHeight="1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</row>
    <row r="163" spans="1:24" ht="12.75" customHeight="1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</row>
    <row r="164" spans="1:24" ht="12.75" customHeight="1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</row>
    <row r="165" spans="1:24" ht="12.75" customHeight="1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</row>
    <row r="166" spans="1:24" ht="12.75" customHeight="1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</row>
    <row r="167" spans="1:24" ht="12.75" customHeight="1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</row>
    <row r="168" spans="1:24" ht="12.75" customHeight="1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</row>
    <row r="169" spans="1:24" ht="12.75" customHeight="1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</row>
    <row r="170" spans="1:24" ht="12.75" customHeight="1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</row>
    <row r="171" spans="1:24" ht="12.75" customHeight="1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</row>
    <row r="172" spans="1:24" ht="12.75" customHeight="1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</row>
    <row r="173" spans="1:24" ht="12.75" customHeight="1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</row>
    <row r="174" spans="1:24" ht="12.75" customHeight="1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</row>
    <row r="175" spans="1:24" ht="12.75" customHeight="1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</row>
    <row r="176" spans="1:24" ht="12.75" customHeight="1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</row>
    <row r="177" spans="1:24" ht="12.75" customHeight="1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</row>
    <row r="178" spans="1:24" ht="12.75" customHeight="1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</row>
    <row r="179" spans="1:24" ht="12.75" customHeight="1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</row>
    <row r="180" spans="1:24" ht="12.75" customHeight="1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</row>
    <row r="181" spans="1:24" ht="12.75" customHeight="1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</row>
    <row r="182" spans="1:24" ht="12.75" customHeight="1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</row>
    <row r="183" spans="1:24" ht="12.75" customHeight="1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</row>
    <row r="184" spans="1:24" ht="12.75" customHeight="1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</row>
    <row r="185" spans="1:24" ht="12.75" customHeight="1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</row>
    <row r="186" spans="1:24" ht="12.75" customHeight="1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</row>
    <row r="187" spans="1:24" ht="12.75" customHeight="1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</row>
    <row r="188" spans="1:24" ht="12.75" customHeight="1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</row>
    <row r="189" spans="1:24" ht="12.75" customHeight="1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</row>
    <row r="190" spans="1:24" ht="12.75" customHeight="1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</row>
    <row r="191" spans="1:24" ht="12.75" customHeight="1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</row>
    <row r="192" spans="1:24" ht="12.75" customHeight="1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</row>
    <row r="193" spans="1:24" ht="12.75" customHeight="1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</row>
    <row r="194" spans="1:24" ht="12.75" customHeight="1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</row>
    <row r="195" spans="1:24" ht="12.75" customHeight="1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</row>
    <row r="196" spans="1:24" ht="12.75" customHeight="1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</row>
    <row r="197" spans="1:24" ht="12.75" customHeight="1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</row>
    <row r="198" spans="1:24" ht="12.75" customHeight="1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</row>
    <row r="199" spans="1:24" ht="12.75" customHeight="1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</row>
    <row r="200" spans="1:24" ht="12.75" customHeight="1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</row>
    <row r="201" spans="1:24" ht="12.75" customHeight="1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</row>
    <row r="202" spans="1:24" ht="12.75" customHeight="1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</row>
    <row r="203" spans="1:24" ht="12.75" customHeight="1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</row>
    <row r="204" spans="1:24" ht="12.75" customHeight="1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</row>
    <row r="205" spans="1:24" ht="12.75" customHeight="1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</row>
    <row r="206" spans="1:24" ht="12.75" customHeight="1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</row>
    <row r="207" spans="1:24" ht="12.75" customHeight="1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</row>
    <row r="208" spans="1:24" ht="12.75" customHeight="1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</row>
    <row r="209" spans="1:24" ht="12.75" customHeight="1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</row>
    <row r="210" spans="1:24" ht="12.75" customHeight="1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</row>
    <row r="211" spans="1:24" ht="12.75" customHeight="1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</row>
    <row r="212" spans="1:24" ht="12.75" customHeight="1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</row>
    <row r="213" spans="1:24" ht="12.75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</row>
    <row r="214" spans="1:24" ht="12.75" customHeight="1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</row>
    <row r="215" spans="1:24" ht="12.75" customHeight="1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</row>
    <row r="216" spans="1:24" ht="12.75" customHeight="1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</row>
    <row r="217" spans="1:24" ht="12.75" customHeight="1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</row>
    <row r="218" spans="1:24" ht="12.75" customHeight="1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</row>
    <row r="219" spans="1:24" ht="12.75" customHeight="1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</row>
    <row r="220" spans="1:24" ht="12.75" customHeight="1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</row>
    <row r="221" spans="1:24" ht="12.75" customHeight="1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</row>
    <row r="222" spans="1:24" ht="12.75" customHeight="1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</row>
    <row r="223" spans="1:24" ht="12.75" customHeight="1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</row>
    <row r="224" spans="1:24" ht="12.75" customHeight="1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</row>
    <row r="225" spans="1:24" ht="12.75" customHeight="1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</row>
    <row r="226" spans="1:24" ht="12.75" customHeight="1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</row>
    <row r="227" spans="1:24" ht="12.75" customHeight="1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</row>
    <row r="228" spans="1:24" ht="12.75" customHeight="1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</row>
    <row r="229" spans="1:24" ht="12.75" customHeight="1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</row>
    <row r="230" spans="1:24" ht="12.75" customHeight="1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</row>
    <row r="231" spans="1:24" ht="12.75" customHeight="1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</row>
    <row r="232" spans="1:24" ht="12.75" customHeight="1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</row>
    <row r="233" spans="1:24" ht="12.75" customHeight="1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</row>
    <row r="234" spans="1:24" ht="12.75" customHeight="1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</row>
    <row r="235" spans="1:24" ht="12.75" customHeight="1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</row>
    <row r="236" spans="1:24" ht="12.75" customHeight="1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</row>
    <row r="237" spans="1:24" ht="12.75" customHeight="1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</row>
    <row r="238" spans="1:24" ht="12.75" customHeight="1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</row>
    <row r="239" spans="1:24" ht="12.75" customHeight="1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</row>
    <row r="240" spans="1:24" ht="12.75" customHeight="1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</row>
    <row r="241" spans="1:24" ht="12.75" customHeight="1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</row>
    <row r="242" spans="1:24" ht="12.75" customHeigh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</row>
    <row r="243" spans="1:24" ht="12.75" customHeight="1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</row>
    <row r="244" spans="1:24" ht="12.75" customHeight="1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</row>
    <row r="245" spans="1:24" ht="12.75" customHeight="1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</row>
    <row r="246" spans="1:24" ht="12.75" customHeight="1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</row>
    <row r="247" spans="1:24" ht="12.75" customHeight="1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</row>
    <row r="248" spans="1:24" ht="12.75" customHeight="1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</row>
    <row r="249" spans="1:24" ht="12.75" customHeight="1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</row>
    <row r="250" spans="1:24" ht="12.75" customHeight="1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</row>
    <row r="251" spans="1:24" ht="12.75" customHeight="1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</row>
    <row r="252" spans="1:24" ht="12.75" customHeight="1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</row>
    <row r="253" spans="1:24" ht="12.75" customHeight="1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</row>
    <row r="254" spans="1:24" ht="12.75" customHeight="1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</row>
    <row r="255" spans="1:24" ht="12.75" customHeight="1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</row>
    <row r="256" spans="1:24" ht="12.7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</row>
    <row r="257" spans="1:24" ht="12.75" customHeight="1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</row>
    <row r="258" spans="1:24" ht="12.75" customHeight="1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</row>
    <row r="259" spans="1:24" ht="12.75" customHeight="1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</row>
    <row r="260" spans="1:24" ht="12.75" customHeight="1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</row>
    <row r="261" spans="1:24" ht="12.75" customHeight="1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</row>
    <row r="262" spans="1:24" ht="12.75" customHeight="1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</row>
    <row r="263" spans="1:24" ht="12.75" customHeight="1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</row>
    <row r="264" spans="1:24" ht="12.75" customHeight="1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</row>
    <row r="265" spans="1:24" ht="12.75" customHeight="1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</row>
    <row r="266" spans="1:24" ht="12.75" customHeight="1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</row>
    <row r="267" spans="1:24" ht="12.75" customHeight="1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</row>
    <row r="268" spans="1:24" ht="12.75" customHeight="1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</row>
    <row r="269" spans="1:24" ht="12.75" customHeight="1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</row>
    <row r="270" spans="1:24" ht="12.75" customHeight="1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</row>
    <row r="271" spans="1:24" ht="12.75" customHeight="1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</row>
    <row r="272" spans="1:24" ht="12.75" customHeight="1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</row>
    <row r="273" spans="1:24" ht="12.75" customHeight="1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</row>
    <row r="274" spans="1:24" ht="12.75" customHeight="1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</row>
    <row r="275" spans="1:24" ht="12.75" customHeight="1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</row>
    <row r="276" spans="1:24" ht="12.75" customHeight="1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</row>
    <row r="277" spans="1:24" ht="12.75" customHeight="1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</row>
    <row r="278" spans="1:24" ht="12.75" customHeight="1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</row>
    <row r="279" spans="1:24" ht="12.75" customHeight="1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</row>
    <row r="280" spans="1:24" ht="12.75" customHeight="1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</row>
    <row r="281" spans="1:24" ht="12.75" customHeight="1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</row>
    <row r="282" spans="1:24" ht="12.75" customHeight="1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</row>
    <row r="283" spans="1:24" ht="12.75" customHeight="1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pans="1:24" ht="12.75" customHeight="1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pans="1:24" ht="12.75" customHeight="1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pans="1:24" ht="12.75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pans="1:24" ht="12.75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pans="1:24" ht="12.75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pans="1:24" ht="12.75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pans="1:24" ht="12.75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pans="1:24" ht="12.75" customHeight="1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pans="1:24" ht="12.75" customHeight="1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pans="1:24" ht="12.75" customHeight="1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pans="1:24" ht="12.75" customHeight="1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pans="1:24" ht="12.75" customHeight="1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pans="1:24" ht="12.75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pans="1:24" ht="12.75" customHeight="1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pans="1:24" ht="12.75" customHeight="1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pans="1:24" ht="12.75" customHeight="1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pans="1:24" ht="12.75" customHeight="1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pans="1:24" ht="12.75" customHeight="1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pans="1:24" ht="12.75" customHeight="1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pans="1:24" ht="12.75" customHeight="1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pans="1:24" ht="12.75" customHeight="1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pans="1:24" ht="12.75" customHeight="1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pans="1:24" ht="12.75" customHeight="1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pans="1:24" ht="12.75" customHeight="1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pans="1:24" ht="12.75" customHeight="1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pans="1:24" ht="12.75" customHeight="1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pans="1:24" ht="12.75" customHeight="1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pans="1:24" ht="12.75" customHeight="1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pans="1:24" ht="12.75" customHeight="1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pans="1:24" ht="12.75" customHeight="1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pans="1:24" ht="12.75" customHeight="1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pans="1:24" ht="12.75" customHeight="1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pans="1:24" ht="12.75" customHeight="1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pans="1:24" ht="12.75" customHeight="1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pans="1:24" ht="12.75" customHeight="1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pans="1:24" ht="12.75" customHeight="1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pans="1:24" ht="12.75" customHeight="1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pans="1:24" ht="12.75" customHeight="1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pans="1:24" ht="12.75" customHeight="1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pans="1:24" ht="12.75" customHeight="1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pans="1:24" ht="12.75" customHeight="1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pans="1:24" ht="12.75" customHeight="1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pans="1:24" ht="12.75" customHeight="1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pans="1:24" ht="12.75" customHeight="1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pans="1:24" ht="12.75" customHeight="1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pans="1:24" ht="12.75" customHeight="1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pans="1:24" ht="12.75" customHeight="1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pans="1:24" ht="12.75" customHeight="1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pans="1:24" ht="12.75" customHeight="1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pans="1:24" ht="12.75" customHeight="1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pans="1:24" ht="12.75" customHeight="1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pans="1:24" ht="12.75" customHeight="1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pans="1:24" ht="12.75" customHeight="1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pans="1:24" ht="12.75" customHeight="1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pans="1:24" ht="12.75" customHeight="1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pans="1:24" ht="12.75" customHeight="1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pans="1:24" ht="12.75" customHeight="1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pans="1:24" ht="12.75" customHeight="1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pans="1:24" ht="12.75" customHeight="1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pans="1:24" ht="12.75" customHeight="1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pans="1:24" ht="12.75" customHeight="1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pans="1:24" ht="12.75" customHeight="1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pans="1:24" ht="12.75" customHeight="1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pans="1:24" ht="12.75" customHeight="1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</row>
    <row r="348" spans="1:24" ht="12.75" customHeight="1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</row>
    <row r="349" spans="1:24" ht="12.75" customHeight="1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</row>
    <row r="350" spans="1:24" ht="12.75" customHeight="1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</row>
    <row r="351" spans="1:24" ht="12.75" customHeight="1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pans="1:24" ht="12.75" customHeight="1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pans="1:24" ht="12.75" customHeight="1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pans="1:24" ht="12.75" customHeight="1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pans="1:24" ht="12.75" customHeight="1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</row>
    <row r="356" spans="1:24" ht="12.75" customHeight="1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</row>
    <row r="357" spans="1:24" ht="12.75" customHeight="1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</row>
    <row r="358" spans="1:24" ht="12.75" customHeight="1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</row>
    <row r="359" spans="1:24" ht="12.75" customHeight="1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</row>
    <row r="360" spans="1:24" ht="12.75" customHeight="1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</row>
    <row r="361" spans="1:24" ht="12.75" customHeight="1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</row>
    <row r="362" spans="1:24" ht="12.75" customHeight="1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</row>
    <row r="363" spans="1:24" ht="12.75" customHeight="1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</row>
    <row r="364" spans="1:24" ht="12.75" customHeight="1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</row>
    <row r="365" spans="1:24" ht="12.75" customHeight="1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</row>
    <row r="366" spans="1:24" ht="12.75" customHeight="1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</row>
    <row r="367" spans="1:24" ht="12.75" customHeight="1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</row>
    <row r="368" spans="1:24" ht="12.75" customHeight="1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</row>
    <row r="369" spans="1:24" ht="12.75" customHeight="1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</row>
    <row r="370" spans="1:24" ht="12.75" customHeight="1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</row>
    <row r="371" spans="1:24" ht="12.75" customHeight="1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</row>
    <row r="372" spans="1:24" ht="12.75" customHeight="1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</row>
    <row r="373" spans="1:24" ht="12.75" customHeight="1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</row>
    <row r="374" spans="1:24" ht="12.75" customHeight="1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</row>
    <row r="375" spans="1:24" ht="12.75" customHeight="1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</row>
    <row r="376" spans="1:24" ht="12.75" customHeight="1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</row>
    <row r="377" spans="1:24" ht="12.75" customHeight="1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</row>
    <row r="378" spans="1:24" ht="12.75" customHeight="1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</row>
    <row r="379" spans="1:24" ht="12.75" customHeight="1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</row>
    <row r="380" spans="1:24" ht="12.75" customHeight="1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</row>
    <row r="381" spans="1:24" ht="12.75" customHeight="1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</row>
    <row r="382" spans="1:24" ht="12.75" customHeight="1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</row>
    <row r="383" spans="1:24" ht="12.75" customHeight="1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</row>
    <row r="384" spans="1:24" ht="12.75" customHeight="1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</row>
    <row r="385" spans="1:24" ht="12.75" customHeight="1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</row>
    <row r="386" spans="1:24" ht="12.75" customHeight="1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</row>
    <row r="387" spans="1:24" ht="12.75" customHeight="1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</row>
    <row r="388" spans="1:24" ht="12.75" customHeight="1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</row>
    <row r="389" spans="1:24" ht="12.75" customHeight="1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</row>
    <row r="390" spans="1:24" ht="12.75" customHeight="1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</row>
    <row r="391" spans="1:24" ht="12.75" customHeight="1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</row>
    <row r="392" spans="1:24" ht="12.75" customHeight="1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</row>
    <row r="393" spans="1:24" ht="12.75" customHeight="1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</row>
    <row r="394" spans="1:24" ht="12.75" customHeight="1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</row>
    <row r="395" spans="1:24" ht="12.75" customHeight="1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</row>
    <row r="396" spans="1:24" ht="12.75" customHeight="1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</row>
    <row r="397" spans="1:24" ht="12.75" customHeight="1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</row>
    <row r="398" spans="1:24" ht="12.75" customHeight="1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</row>
    <row r="399" spans="1:24" ht="12.75" customHeight="1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</row>
    <row r="400" spans="1:24" ht="12.75" customHeight="1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</row>
    <row r="401" spans="1:24" ht="12.75" customHeight="1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</row>
    <row r="402" spans="1:24" ht="12.75" customHeight="1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</row>
    <row r="403" spans="1:24" ht="12.75" customHeight="1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</row>
    <row r="404" spans="1:24" ht="12.75" customHeight="1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</row>
    <row r="405" spans="1:24" ht="12.75" customHeight="1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</row>
    <row r="406" spans="1:24" ht="12.75" customHeight="1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</row>
    <row r="407" spans="1:24" ht="12.75" customHeight="1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</row>
    <row r="408" spans="1:24" ht="12.75" customHeight="1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</row>
    <row r="409" spans="1:24" ht="12.75" customHeight="1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</row>
    <row r="410" spans="1:24" ht="12.75" customHeight="1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</row>
    <row r="411" spans="1:24" ht="12.75" customHeight="1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</row>
    <row r="412" spans="1:24" ht="12.75" customHeight="1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</row>
    <row r="413" spans="1:24" ht="12.75" customHeight="1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</row>
    <row r="414" spans="1:24" ht="12.75" customHeight="1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</row>
    <row r="415" spans="1:24" ht="12.75" customHeight="1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</row>
    <row r="416" spans="1:24" ht="12.75" customHeight="1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</row>
    <row r="417" spans="1:24" ht="12.75" customHeight="1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</row>
    <row r="418" spans="1:24" ht="12.75" customHeight="1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</row>
    <row r="419" spans="1:24" ht="12.75" customHeight="1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</row>
    <row r="420" spans="1:24" ht="12.75" customHeight="1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</row>
    <row r="421" spans="1:24" ht="12.75" customHeight="1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</row>
    <row r="422" spans="1:24" ht="12.75" customHeight="1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</row>
    <row r="423" spans="1:24" ht="12.75" customHeight="1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</row>
    <row r="424" spans="1:24" ht="12.75" customHeight="1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</row>
    <row r="425" spans="1:24" ht="12.75" customHeight="1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</row>
    <row r="426" spans="1:24" ht="12.75" customHeight="1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</row>
    <row r="427" spans="1:24" ht="12.75" customHeight="1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</row>
    <row r="428" spans="1:24" ht="12.75" customHeight="1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</row>
    <row r="429" spans="1:24" ht="12.75" customHeight="1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</row>
    <row r="430" spans="1:24" ht="12.75" customHeight="1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</row>
    <row r="431" spans="1:24" ht="12.75" customHeight="1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</row>
    <row r="432" spans="1:24" ht="12.75" customHeight="1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</row>
    <row r="433" spans="1:24" ht="12.75" customHeight="1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</row>
    <row r="434" spans="1:24" ht="12.75" customHeight="1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</row>
    <row r="435" spans="1:24" ht="12.75" customHeight="1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</row>
    <row r="436" spans="1:24" ht="12.75" customHeight="1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</row>
    <row r="437" spans="1:24" ht="12.75" customHeight="1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</row>
    <row r="438" spans="1:24" ht="12.75" customHeight="1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</row>
    <row r="439" spans="1:24" ht="12.75" customHeight="1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</row>
    <row r="440" spans="1:24" ht="12.75" customHeight="1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</row>
    <row r="441" spans="1:24" ht="12.75" customHeight="1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</row>
    <row r="442" spans="1:24" ht="12.75" customHeight="1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</row>
    <row r="443" spans="1:24" ht="12.75" customHeight="1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</row>
    <row r="444" spans="1:24" ht="12.75" customHeight="1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</row>
    <row r="445" spans="1:24" ht="12.75" customHeight="1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</row>
    <row r="446" spans="1:24" ht="12.75" customHeight="1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</row>
    <row r="447" spans="1:24" ht="12.75" customHeight="1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</row>
    <row r="448" spans="1:24" ht="12.75" customHeight="1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</row>
    <row r="449" spans="1:24" ht="12.75" customHeight="1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</row>
    <row r="450" spans="1:24" ht="12.75" customHeight="1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</row>
    <row r="451" spans="1:24" ht="12.75" customHeight="1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</row>
    <row r="452" spans="1:24" ht="12.75" customHeight="1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</row>
    <row r="453" spans="1:24" ht="12.75" customHeight="1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</row>
    <row r="454" spans="1:24" ht="12.75" customHeight="1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</row>
    <row r="455" spans="1:24" ht="12.75" customHeight="1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</row>
    <row r="456" spans="1:24" ht="12.75" customHeight="1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</row>
    <row r="457" spans="1:24" ht="12.75" customHeight="1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</row>
    <row r="458" spans="1:24" ht="12.75" customHeight="1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</row>
    <row r="459" spans="1:24" ht="12.75" customHeight="1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</row>
    <row r="460" spans="1:24" ht="12.75" customHeight="1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</row>
    <row r="461" spans="1:24" ht="12.75" customHeight="1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</row>
    <row r="462" spans="1:24" ht="12.75" customHeight="1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</row>
    <row r="463" spans="1:24" ht="12.75" customHeight="1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</row>
    <row r="464" spans="1:24" ht="12.75" customHeight="1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</row>
    <row r="465" spans="1:24" ht="12.75" customHeight="1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</row>
    <row r="466" spans="1:24" ht="12.75" customHeight="1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</row>
    <row r="467" spans="1:24" ht="12.75" customHeight="1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</row>
    <row r="468" spans="1:24" ht="12.75" customHeight="1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</row>
    <row r="469" spans="1:24" ht="12.75" customHeight="1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</row>
    <row r="470" spans="1:24" ht="12.75" customHeight="1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</row>
    <row r="471" spans="1:24" ht="12.75" customHeight="1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</row>
    <row r="472" spans="1:24" ht="12.75" customHeight="1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</row>
    <row r="473" spans="1:24" ht="12.75" customHeight="1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</row>
    <row r="474" spans="1:24" ht="12.75" customHeight="1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</row>
    <row r="475" spans="1:24" ht="12.75" customHeight="1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</row>
    <row r="476" spans="1:24" ht="12.75" customHeight="1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</row>
    <row r="477" spans="1:24" ht="12.75" customHeight="1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</row>
    <row r="478" spans="1:24" ht="12.75" customHeight="1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</row>
    <row r="479" spans="1:24" ht="12.75" customHeight="1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</row>
    <row r="480" spans="1:24" ht="12.75" customHeight="1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</row>
    <row r="481" spans="1:24" ht="12.75" customHeight="1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</row>
    <row r="482" spans="1:24" ht="12.75" customHeight="1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</row>
    <row r="483" spans="1:24" ht="12.75" customHeight="1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</row>
    <row r="484" spans="1:24" ht="12.75" customHeight="1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</row>
    <row r="485" spans="1:24" ht="12.75" customHeight="1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</row>
    <row r="486" spans="1:24" ht="12.75" customHeight="1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</row>
    <row r="487" spans="1:24" ht="12.75" customHeight="1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</row>
    <row r="488" spans="1:24" ht="12.75" customHeight="1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</row>
    <row r="489" spans="1:24" ht="12.75" customHeight="1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</row>
    <row r="490" spans="1:24" ht="12.75" customHeight="1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</row>
    <row r="491" spans="1:24" ht="12.75" customHeight="1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</row>
    <row r="492" spans="1:24" ht="12.75" customHeight="1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</row>
    <row r="493" spans="1:24" ht="12.75" customHeight="1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</row>
    <row r="494" spans="1:24" ht="12.75" customHeight="1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</row>
    <row r="495" spans="1:24" ht="12.75" customHeight="1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</row>
    <row r="496" spans="1:24" ht="12.75" customHeight="1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</row>
    <row r="497" spans="1:24" ht="12.75" customHeight="1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</row>
    <row r="498" spans="1:24" ht="12.75" customHeight="1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</row>
    <row r="499" spans="1:24" ht="12.75" customHeight="1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</row>
    <row r="500" spans="1:24" ht="12.75" customHeight="1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</row>
    <row r="501" spans="1:24" ht="12.75" customHeight="1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</row>
    <row r="502" spans="1:24" ht="12.75" customHeight="1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</row>
    <row r="503" spans="1:24" ht="12.75" customHeight="1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</row>
    <row r="504" spans="1:24" ht="12.75" customHeight="1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</row>
    <row r="505" spans="1:24" ht="12.75" customHeight="1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pans="1:24" ht="12.75" customHeight="1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pans="1:24" ht="12.75" customHeight="1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pans="1:24" ht="12.75" customHeight="1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pans="1:24" ht="12.75" customHeight="1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pans="1:24" ht="12.75" customHeight="1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pans="1:24" ht="12.75" customHeight="1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pans="1:24" ht="12.75" customHeight="1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pans="1:24" ht="12.75" customHeight="1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pans="1:24" ht="12.75" customHeight="1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pans="1:24" ht="12.75" customHeight="1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pans="1:24" ht="12.75" customHeight="1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pans="1:24" ht="12.75" customHeight="1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pans="1:24" ht="12.75" customHeight="1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pans="1:24" ht="12.75" customHeight="1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pans="1:24" ht="12.75" customHeight="1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</row>
    <row r="521" spans="1:24" ht="12.75" customHeight="1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</row>
    <row r="522" spans="1:24" ht="12.75" customHeight="1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</row>
    <row r="523" spans="1:24" ht="12.75" customHeight="1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</row>
    <row r="524" spans="1:24" ht="12.75" customHeight="1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</row>
    <row r="525" spans="1:24" ht="12.75" customHeight="1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</row>
    <row r="526" spans="1:24" ht="12.75" customHeight="1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</row>
    <row r="527" spans="1:24" ht="12.75" customHeight="1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</row>
    <row r="528" spans="1:24" ht="12.75" customHeight="1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</row>
    <row r="529" spans="1:24" ht="12.75" customHeight="1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</row>
    <row r="530" spans="1:24" ht="12.75" customHeight="1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pans="1:24" ht="12.75" customHeight="1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pans="1:24" ht="12.75" customHeight="1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pans="1:24" ht="12.75" customHeight="1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pans="1:24" ht="12.75" customHeight="1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pans="1:24" ht="12.75" customHeight="1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pans="1:24" ht="12.75" customHeight="1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pans="1:24" ht="12.75" customHeight="1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pans="1:24" ht="12.75" customHeight="1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pans="1:24" ht="12.75" customHeight="1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pans="1:24" ht="12.75" customHeight="1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pans="1:24" ht="12.75" customHeight="1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pans="1:24" ht="12.75" customHeight="1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pans="1:24" ht="12.75" customHeight="1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pans="1:24" ht="12.75" customHeight="1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pans="1:24" ht="12.75" customHeight="1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</row>
    <row r="546" spans="1:24" ht="12.75" customHeight="1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</row>
    <row r="547" spans="1:24" ht="12.75" customHeight="1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</row>
    <row r="548" spans="1:24" ht="12.75" customHeight="1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</row>
    <row r="549" spans="1:24" ht="12.75" customHeight="1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</row>
    <row r="550" spans="1:24" ht="12.75" customHeight="1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</row>
    <row r="551" spans="1:24" ht="12.75" customHeight="1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</row>
    <row r="552" spans="1:24" ht="12.75" customHeight="1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</row>
    <row r="553" spans="1:24" ht="12.75" customHeight="1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</row>
    <row r="554" spans="1:24" ht="12.75" customHeight="1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</row>
    <row r="555" spans="1:24" ht="12.75" customHeight="1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</row>
    <row r="556" spans="1:24" ht="12.75" customHeight="1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</row>
    <row r="557" spans="1:24" ht="12.75" customHeight="1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</row>
    <row r="558" spans="1:24" ht="12.75" customHeight="1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</row>
    <row r="559" spans="1:24" ht="12.75" customHeight="1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</row>
    <row r="560" spans="1:24" ht="12.75" customHeight="1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</row>
    <row r="561" spans="1:24" ht="12.75" customHeight="1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</row>
    <row r="562" spans="1:24" ht="12.75" customHeight="1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</row>
    <row r="563" spans="1:24" ht="12.75" customHeight="1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</row>
    <row r="564" spans="1:24" ht="12.75" customHeight="1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</row>
    <row r="565" spans="1:24" ht="12.75" customHeight="1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</row>
    <row r="566" spans="1:24" ht="12.75" customHeight="1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</row>
    <row r="567" spans="1:24" ht="12.75" customHeight="1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</row>
    <row r="568" spans="1:24" ht="12.75" customHeight="1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</row>
    <row r="569" spans="1:24" ht="12.75" customHeight="1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</row>
    <row r="570" spans="1:24" ht="12.75" customHeight="1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</row>
    <row r="571" spans="1:24" ht="12.75" customHeight="1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</row>
    <row r="572" spans="1:24" ht="12.75" customHeight="1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</row>
    <row r="573" spans="1:24" ht="12.75" customHeight="1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</row>
    <row r="574" spans="1:24" ht="12.75" customHeight="1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</row>
    <row r="575" spans="1:24" ht="12.75" customHeight="1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</row>
    <row r="576" spans="1:24" ht="12.75" customHeight="1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</row>
    <row r="577" spans="1:24" ht="12.75" customHeight="1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</row>
    <row r="578" spans="1:24" ht="12.75" customHeight="1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</row>
    <row r="579" spans="1:24" ht="12.75" customHeight="1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</row>
    <row r="580" spans="1:24" ht="12.75" customHeight="1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</row>
    <row r="581" spans="1:24" ht="12.75" customHeight="1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</row>
    <row r="582" spans="1:24" ht="12.75" customHeight="1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</row>
    <row r="583" spans="1:24" ht="12.75" customHeight="1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</row>
    <row r="584" spans="1:24" ht="12.75" customHeight="1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</row>
    <row r="585" spans="1:24" ht="12.75" customHeight="1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</row>
    <row r="586" spans="1:24" ht="12.75" customHeight="1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</row>
    <row r="587" spans="1:24" ht="12.75" customHeight="1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</row>
    <row r="588" spans="1:24" ht="12.75" customHeight="1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</row>
    <row r="589" spans="1:24" ht="12.75" customHeight="1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</row>
    <row r="590" spans="1:24" ht="12.75" customHeight="1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</row>
    <row r="591" spans="1:24" ht="12.75" customHeight="1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</row>
    <row r="592" spans="1:24" ht="12.75" customHeight="1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</row>
    <row r="593" spans="1:24" ht="12.75" customHeight="1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</row>
    <row r="594" spans="1:24" ht="12.75" customHeight="1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</row>
    <row r="595" spans="1:24" ht="12.75" customHeight="1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</row>
    <row r="596" spans="1:24" ht="12.75" customHeight="1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</row>
    <row r="597" spans="1:24" ht="12.75" customHeight="1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</row>
    <row r="598" spans="1:24" ht="12.75" customHeight="1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</row>
    <row r="599" spans="1:24" ht="12.75" customHeight="1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</row>
    <row r="600" spans="1:24" ht="12.75" customHeight="1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</row>
    <row r="601" spans="1:24" ht="12.75" customHeight="1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</row>
    <row r="602" spans="1:24" ht="12.75" customHeight="1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</row>
    <row r="603" spans="1:24" ht="12.75" customHeight="1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</row>
    <row r="604" spans="1:24" ht="12.75" customHeight="1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</row>
    <row r="605" spans="1:24" ht="12.75" customHeight="1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</row>
    <row r="606" spans="1:24" ht="12.75" customHeight="1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</row>
    <row r="607" spans="1:24" ht="12.75" customHeight="1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</row>
    <row r="608" spans="1:24" ht="12.75" customHeight="1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</row>
    <row r="609" spans="1:24" ht="12.75" customHeight="1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</row>
    <row r="610" spans="1:24" ht="12.75" customHeight="1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</row>
    <row r="611" spans="1:24" ht="12.75" customHeight="1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</row>
    <row r="612" spans="1:24" ht="12.75" customHeight="1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</row>
    <row r="613" spans="1:24" ht="12.75" customHeight="1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</row>
    <row r="614" spans="1:24" ht="12.75" customHeight="1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</row>
    <row r="615" spans="1:24" ht="12.75" customHeight="1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</row>
    <row r="616" spans="1:24" ht="12.75" customHeight="1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</row>
    <row r="617" spans="1:24" ht="12.75" customHeight="1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</row>
    <row r="618" spans="1:24" ht="12.75" customHeight="1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</row>
    <row r="619" spans="1:24" ht="12.75" customHeight="1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</row>
    <row r="620" spans="1:24" ht="12.75" customHeight="1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</row>
    <row r="621" spans="1:24" ht="12.75" customHeight="1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</row>
    <row r="622" spans="1:24" ht="12.75" customHeight="1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</row>
    <row r="623" spans="1:24" ht="12.75" customHeight="1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</row>
    <row r="624" spans="1:24" ht="12.75" customHeight="1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</row>
    <row r="625" spans="1:24" ht="12.75" customHeight="1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</row>
    <row r="626" spans="1:24" ht="12.75" customHeight="1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</row>
    <row r="627" spans="1:24" ht="12.75" customHeight="1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</row>
    <row r="628" spans="1:24" ht="12.75" customHeight="1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</row>
    <row r="629" spans="1:24" ht="12.75" customHeight="1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</row>
    <row r="630" spans="1:24" ht="12.75" customHeight="1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</row>
    <row r="631" spans="1:24" ht="12.75" customHeight="1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</row>
    <row r="632" spans="1:24" ht="12.75" customHeight="1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</row>
    <row r="633" spans="1:24" ht="12.75" customHeight="1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</row>
    <row r="634" spans="1:24" ht="12.75" customHeight="1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</row>
    <row r="635" spans="1:24" ht="12.75" customHeight="1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</row>
    <row r="636" spans="1:24" ht="12.75" customHeight="1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</row>
    <row r="637" spans="1:24" ht="12.75" customHeight="1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</row>
    <row r="638" spans="1:24" ht="12.75" customHeight="1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</row>
    <row r="639" spans="1:24" ht="12.75" customHeight="1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</row>
    <row r="640" spans="1:24" ht="12.75" customHeight="1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</row>
    <row r="641" spans="1:24" ht="12.75" customHeight="1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</row>
    <row r="642" spans="1:24" ht="12.75" customHeight="1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</row>
    <row r="643" spans="1:24" ht="12.75" customHeight="1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</row>
    <row r="644" spans="1:24" ht="12.75" customHeight="1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</row>
    <row r="645" spans="1:24" ht="12.75" customHeight="1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</row>
    <row r="646" spans="1:24" ht="12.75" customHeight="1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</row>
    <row r="647" spans="1:24" ht="12.75" customHeight="1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</row>
    <row r="648" spans="1:24" ht="12.75" customHeight="1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</row>
    <row r="649" spans="1:24" ht="12.75" customHeight="1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</row>
    <row r="650" spans="1:24" ht="12.75" customHeight="1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</row>
    <row r="651" spans="1:24" ht="12.75" customHeight="1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</row>
    <row r="652" spans="1:24" ht="12.75" customHeight="1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</row>
    <row r="653" spans="1:24" ht="12.75" customHeight="1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</row>
    <row r="654" spans="1:24" ht="12.75" customHeight="1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</row>
    <row r="655" spans="1:24" ht="12.75" customHeight="1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</row>
    <row r="656" spans="1:24" ht="12.75" customHeight="1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</row>
    <row r="657" spans="1:24" ht="12.75" customHeight="1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</row>
    <row r="658" spans="1:24" ht="12.75" customHeight="1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</row>
    <row r="659" spans="1:24" ht="12.75" customHeight="1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</row>
    <row r="660" spans="1:24" ht="12.75" customHeight="1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</row>
    <row r="661" spans="1:24" ht="12.75" customHeight="1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</row>
    <row r="662" spans="1:24" ht="12.75" customHeight="1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</row>
    <row r="663" spans="1:24" ht="12.75" customHeight="1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</row>
    <row r="664" spans="1:24" ht="12.75" customHeight="1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</row>
    <row r="665" spans="1:24" ht="12.75" customHeight="1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</row>
    <row r="666" spans="1:24" ht="12.75" customHeight="1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</row>
    <row r="667" spans="1:24" ht="12.75" customHeight="1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</row>
    <row r="668" spans="1:24" ht="12.75" customHeight="1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</row>
    <row r="669" spans="1:24" ht="12.75" customHeight="1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</row>
    <row r="670" spans="1:24" ht="12.75" customHeight="1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</row>
    <row r="671" spans="1:24" ht="12.75" customHeight="1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</row>
    <row r="672" spans="1:24" ht="12.75" customHeight="1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</row>
    <row r="673" spans="1:24" ht="12.75" customHeight="1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</row>
    <row r="674" spans="1:24" ht="12.75" customHeight="1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</row>
    <row r="675" spans="1:24" ht="12.75" customHeight="1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</row>
    <row r="676" spans="1:24" ht="12.75" customHeight="1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</row>
    <row r="677" spans="1:24" ht="12.75" customHeight="1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</row>
    <row r="678" spans="1:24" ht="12.75" customHeight="1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</row>
    <row r="679" spans="1:24" ht="12.75" customHeight="1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</row>
    <row r="680" spans="1:24" ht="12.75" customHeight="1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</row>
    <row r="681" spans="1:24" ht="12.75" customHeight="1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</row>
    <row r="682" spans="1:24" ht="12.75" customHeight="1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</row>
    <row r="683" spans="1:24" ht="12.75" customHeight="1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</row>
    <row r="684" spans="1:24" ht="12.75" customHeight="1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</row>
    <row r="685" spans="1:24" ht="12.75" customHeight="1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</row>
    <row r="686" spans="1:24" ht="12.75" customHeight="1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</row>
    <row r="687" spans="1:24" ht="12.75" customHeight="1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</row>
    <row r="688" spans="1:24" ht="12.75" customHeight="1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</row>
    <row r="689" spans="1:24" ht="12.75" customHeight="1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</row>
    <row r="690" spans="1:24" ht="12.75" customHeight="1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</row>
    <row r="691" spans="1:24" ht="12.75" customHeight="1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</row>
    <row r="692" spans="1:24" ht="12.75" customHeight="1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</row>
    <row r="693" spans="1:24" ht="12.75" customHeight="1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</row>
    <row r="694" spans="1:24" ht="12.75" customHeight="1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</row>
    <row r="695" spans="1:24" ht="12.75" customHeight="1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</row>
    <row r="696" spans="1:24" ht="12.75" customHeight="1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</row>
    <row r="697" spans="1:24" ht="12.75" customHeight="1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</row>
    <row r="698" spans="1:24" ht="12.75" customHeight="1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</row>
    <row r="699" spans="1:24" ht="12.75" customHeight="1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</row>
    <row r="700" spans="1:24" ht="12.75" customHeight="1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</row>
    <row r="701" spans="1:24" ht="12.75" customHeight="1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</row>
    <row r="702" spans="1:24" ht="12.75" customHeight="1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</row>
    <row r="703" spans="1:24" ht="12.75" customHeight="1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</row>
    <row r="704" spans="1:24" ht="12.75" customHeight="1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</row>
    <row r="705" spans="1:24" ht="12.75" customHeight="1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</row>
    <row r="706" spans="1:24" ht="12.75" customHeight="1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</row>
    <row r="707" spans="1:24" ht="12.75" customHeight="1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</row>
    <row r="708" spans="1:24" ht="12.75" customHeight="1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</row>
    <row r="709" spans="1:24" ht="12.75" customHeight="1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</row>
    <row r="710" spans="1:24" ht="12.75" customHeight="1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</row>
    <row r="711" spans="1:24" ht="12.75" customHeight="1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</row>
    <row r="712" spans="1:24" ht="12.75" customHeight="1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</row>
    <row r="713" spans="1:24" ht="12.75" customHeight="1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</row>
    <row r="714" spans="1:24" ht="12.75" customHeight="1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</row>
    <row r="715" spans="1:24" ht="12.75" customHeight="1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</row>
    <row r="716" spans="1:24" ht="12.75" customHeight="1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</row>
    <row r="717" spans="1:24" ht="12.75" customHeight="1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</row>
    <row r="718" spans="1:24" ht="12.75" customHeight="1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</row>
    <row r="719" spans="1:24" ht="12.75" customHeight="1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</row>
    <row r="720" spans="1:24" ht="12.75" customHeight="1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</row>
    <row r="721" spans="1:24" ht="12.75" customHeight="1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</row>
    <row r="722" spans="1:24" ht="12.75" customHeight="1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</row>
    <row r="723" spans="1:24" ht="12.75" customHeight="1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</row>
    <row r="724" spans="1:24" ht="12.75" customHeight="1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</row>
    <row r="725" spans="1:24" ht="12.75" customHeight="1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</row>
    <row r="726" spans="1:24" ht="12.75" customHeight="1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</row>
    <row r="727" spans="1:24" ht="12.75" customHeight="1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</row>
    <row r="728" spans="1:24" ht="12.75" customHeight="1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</row>
    <row r="729" spans="1:24" ht="12.75" customHeight="1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</row>
    <row r="730" spans="1:24" ht="12.75" customHeight="1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</row>
    <row r="731" spans="1:24" ht="12.75" customHeight="1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</row>
    <row r="732" spans="1:24" ht="12.75" customHeight="1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</row>
    <row r="733" spans="1:24" ht="12.75" customHeight="1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</row>
    <row r="734" spans="1:24" ht="12.75" customHeight="1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</row>
    <row r="735" spans="1:24" ht="12.75" customHeight="1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</row>
    <row r="736" spans="1:24" ht="12.75" customHeight="1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</row>
    <row r="737" spans="1:24" ht="12.75" customHeight="1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</row>
    <row r="738" spans="1:24" ht="12.75" customHeight="1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</row>
    <row r="739" spans="1:24" ht="12.75" customHeight="1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</row>
    <row r="740" spans="1:24" ht="12.75" customHeight="1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</row>
    <row r="741" spans="1:24" ht="12.75" customHeight="1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</row>
    <row r="742" spans="1:24" ht="12.75" customHeight="1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</row>
    <row r="743" spans="1:24" ht="12.75" customHeight="1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</row>
    <row r="744" spans="1:24" ht="12.75" customHeight="1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</row>
    <row r="745" spans="1:24" ht="12.75" customHeight="1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</row>
    <row r="746" spans="1:24" ht="12.75" customHeight="1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</row>
    <row r="747" spans="1:24" ht="12.75" customHeight="1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</row>
    <row r="748" spans="1:24" ht="12.75" customHeight="1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</row>
    <row r="749" spans="1:24" ht="12.75" customHeight="1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</row>
    <row r="750" spans="1:24" ht="12.75" customHeight="1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</row>
    <row r="751" spans="1:24" ht="12.75" customHeight="1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</row>
    <row r="752" spans="1:24" ht="12.75" customHeight="1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</row>
    <row r="753" spans="1:24" ht="12.75" customHeight="1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</row>
    <row r="754" spans="1:24" ht="12.75" customHeight="1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</row>
    <row r="755" spans="1:24" ht="12.75" customHeight="1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</row>
    <row r="756" spans="1:24" ht="12.75" customHeight="1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</row>
    <row r="757" spans="1:24" ht="12.75" customHeight="1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</row>
    <row r="758" spans="1:24" ht="12.75" customHeight="1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</row>
    <row r="759" spans="1:24" ht="12.75" customHeight="1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</row>
    <row r="760" spans="1:24" ht="12.75" customHeight="1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</row>
    <row r="761" spans="1:24" ht="12.75" customHeight="1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</row>
    <row r="762" spans="1:24" ht="12.75" customHeight="1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</row>
    <row r="763" spans="1:24" ht="12.75" customHeight="1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</row>
    <row r="764" spans="1:24" ht="12.75" customHeight="1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</row>
    <row r="765" spans="1:24" ht="12.75" customHeight="1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</row>
    <row r="766" spans="1:24" ht="12.75" customHeight="1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</row>
    <row r="767" spans="1:24" ht="12.75" customHeight="1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</row>
    <row r="768" spans="1:24" ht="12.75" customHeight="1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</row>
    <row r="769" spans="1:24" ht="12.75" customHeight="1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</row>
    <row r="770" spans="1:24" ht="12.75" customHeight="1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</row>
    <row r="771" spans="1:24" ht="12.75" customHeight="1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</row>
    <row r="772" spans="1:24" ht="12.75" customHeight="1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</row>
    <row r="773" spans="1:24" ht="12.75" customHeight="1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</row>
    <row r="774" spans="1:24" ht="12.75" customHeight="1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</row>
    <row r="775" spans="1:24" ht="12.75" customHeight="1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</row>
    <row r="776" spans="1:24" ht="12.75" customHeight="1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</row>
    <row r="777" spans="1:24" ht="12.75" customHeight="1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</row>
    <row r="778" spans="1:24" ht="12.75" customHeight="1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</row>
    <row r="779" spans="1:24" ht="12.75" customHeight="1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</row>
    <row r="780" spans="1:24" ht="12.75" customHeight="1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</row>
    <row r="781" spans="1:24" ht="12.75" customHeight="1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</row>
    <row r="782" spans="1:24" ht="12.75" customHeight="1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</row>
    <row r="783" spans="1:24" ht="12.75" customHeight="1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</row>
    <row r="784" spans="1:24" ht="12.75" customHeight="1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</row>
    <row r="785" spans="1:24" ht="12.75" customHeight="1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</row>
    <row r="786" spans="1:24" ht="12.75" customHeight="1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</row>
    <row r="787" spans="1:24" ht="12.75" customHeight="1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</row>
    <row r="788" spans="1:24" ht="12.75" customHeight="1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</row>
    <row r="789" spans="1:24" ht="12.75" customHeight="1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</row>
    <row r="790" spans="1:24" ht="12.75" customHeight="1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</row>
    <row r="791" spans="1:24" ht="12.75" customHeight="1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</row>
    <row r="792" spans="1:24" ht="12.75" customHeight="1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</row>
    <row r="793" spans="1:24" ht="12.75" customHeight="1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</row>
    <row r="794" spans="1:24" ht="12.75" customHeight="1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</row>
    <row r="795" spans="1:24" ht="12.75" customHeight="1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</row>
    <row r="796" spans="1:24" ht="12.75" customHeight="1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</row>
    <row r="797" spans="1:24" ht="12.75" customHeight="1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</row>
    <row r="798" spans="1:24" ht="12.75" customHeight="1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</row>
    <row r="799" spans="1:24" ht="12.75" customHeight="1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</row>
    <row r="800" spans="1:24" ht="12.75" customHeight="1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</row>
    <row r="801" spans="1:24" ht="12.75" customHeight="1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</row>
    <row r="802" spans="1:24" ht="12.75" customHeight="1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</row>
    <row r="803" spans="1:24" ht="12.75" customHeight="1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</row>
    <row r="804" spans="1:24" ht="12.75" customHeight="1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</row>
    <row r="805" spans="1:24" ht="12.75" customHeight="1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</row>
    <row r="806" spans="1:24" ht="12.75" customHeight="1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</row>
    <row r="807" spans="1:24" ht="12.75" customHeight="1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</row>
    <row r="808" spans="1:24" ht="12.75" customHeight="1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</row>
    <row r="809" spans="1:24" ht="12.75" customHeight="1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</row>
    <row r="810" spans="1:24" ht="12.75" customHeight="1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</row>
    <row r="811" spans="1:24" ht="12.75" customHeight="1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</row>
    <row r="812" spans="1:24" ht="12.75" customHeight="1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</row>
    <row r="813" spans="1:24" ht="12.75" customHeight="1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</row>
    <row r="814" spans="1:24" ht="12.75" customHeight="1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</row>
    <row r="815" spans="1:24" ht="12.75" customHeight="1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</row>
    <row r="816" spans="1:24" ht="12.75" customHeight="1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</row>
    <row r="817" spans="1:24" ht="12.75" customHeight="1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</row>
    <row r="818" spans="1:24" ht="12.75" customHeight="1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</row>
    <row r="819" spans="1:24" ht="12.75" customHeight="1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</row>
    <row r="820" spans="1:24" ht="12.75" customHeight="1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</row>
    <row r="821" spans="1:24" ht="12.75" customHeight="1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</row>
    <row r="822" spans="1:24" ht="12.75" customHeight="1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</row>
    <row r="823" spans="1:24" ht="12.75" customHeight="1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</row>
    <row r="824" spans="1:24" ht="12.75" customHeight="1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</row>
    <row r="825" spans="1:24" ht="12.75" customHeight="1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</row>
    <row r="826" spans="1:24" ht="12.75" customHeight="1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</row>
    <row r="827" spans="1:24" ht="12.75" customHeight="1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</row>
    <row r="828" spans="1:24" ht="12.75" customHeight="1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</row>
    <row r="829" spans="1:24" ht="12.75" customHeight="1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</row>
    <row r="830" spans="1:24" ht="12.75" customHeight="1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</row>
    <row r="831" spans="1:24" ht="12.75" customHeight="1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</row>
    <row r="832" spans="1:24" ht="12.75" customHeight="1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</row>
    <row r="833" spans="1:24" ht="12.75" customHeight="1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</row>
    <row r="834" spans="1:24" ht="12.75" customHeight="1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</row>
    <row r="835" spans="1:24" ht="12.75" customHeight="1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</row>
    <row r="836" spans="1:24" ht="12.75" customHeight="1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</row>
    <row r="837" spans="1:24" ht="12.75" customHeight="1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</row>
    <row r="838" spans="1:24" ht="12.75" customHeight="1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</row>
    <row r="839" spans="1:24" ht="12.75" customHeight="1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</row>
    <row r="840" spans="1:24" ht="12.75" customHeight="1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</row>
    <row r="841" spans="1:24" ht="12.75" customHeight="1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</row>
    <row r="842" spans="1:24" ht="12.75" customHeight="1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</row>
    <row r="843" spans="1:24" ht="12.75" customHeight="1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</row>
    <row r="844" spans="1:24" ht="12.75" customHeight="1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</row>
    <row r="845" spans="1:24" ht="12.75" customHeight="1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</row>
    <row r="846" spans="1:24" ht="12.75" customHeight="1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</row>
    <row r="847" spans="1:24" ht="12.75" customHeight="1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</row>
    <row r="848" spans="1:24" ht="12.75" customHeight="1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</row>
    <row r="849" spans="1:24" ht="12.75" customHeight="1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</row>
    <row r="850" spans="1:24" ht="12.75" customHeight="1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</row>
    <row r="851" spans="1:24" ht="12.75" customHeight="1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</row>
    <row r="852" spans="1:24" ht="12.75" customHeight="1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</row>
    <row r="853" spans="1:24" ht="12.75" customHeight="1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</row>
    <row r="854" spans="1:24" ht="12.75" customHeight="1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</row>
    <row r="855" spans="1:24" ht="12.75" customHeight="1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</row>
    <row r="856" spans="1:24" ht="12.75" customHeight="1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</row>
    <row r="857" spans="1:24" ht="12.75" customHeight="1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</row>
    <row r="858" spans="1:24" ht="12.75" customHeight="1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</row>
    <row r="859" spans="1:24" ht="12.75" customHeight="1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</row>
    <row r="860" spans="1:24" ht="12.75" customHeight="1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</row>
    <row r="861" spans="1:24" ht="12.75" customHeight="1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</row>
    <row r="862" spans="1:24" ht="12.75" customHeight="1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</row>
    <row r="863" spans="1:24" ht="12.75" customHeight="1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</row>
    <row r="864" spans="1:24" ht="12.75" customHeight="1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</row>
    <row r="865" spans="1:24" ht="12.75" customHeight="1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</row>
    <row r="866" spans="1:24" ht="12.75" customHeight="1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</row>
    <row r="867" spans="1:24" ht="12.75" customHeight="1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</row>
    <row r="868" spans="1:24" ht="12.75" customHeight="1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</row>
    <row r="869" spans="1:24" ht="12.75" customHeight="1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</row>
    <row r="870" spans="1:24" ht="12.75" customHeight="1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</row>
    <row r="871" spans="1:24" ht="12.75" customHeight="1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</row>
    <row r="872" spans="1:24" ht="12.75" customHeight="1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</row>
    <row r="873" spans="1:24" ht="12.75" customHeight="1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</row>
    <row r="874" spans="1:24" ht="12.75" customHeight="1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</row>
    <row r="875" spans="1:24" ht="12.75" customHeight="1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</row>
    <row r="876" spans="1:24" ht="12.75" customHeight="1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</row>
    <row r="877" spans="1:24" ht="12.75" customHeight="1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</row>
    <row r="878" spans="1:24" ht="12.75" customHeight="1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</row>
    <row r="879" spans="1:24" ht="12.75" customHeight="1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</row>
    <row r="880" spans="1:24" ht="12.75" customHeight="1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</row>
    <row r="881" spans="1:24" ht="12.75" customHeight="1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</row>
    <row r="882" spans="1:24" ht="12.75" customHeight="1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</row>
    <row r="883" spans="1:24" ht="12.75" customHeight="1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</row>
    <row r="884" spans="1:24" ht="12.75" customHeight="1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</row>
    <row r="885" spans="1:24" ht="12.75" customHeight="1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</row>
    <row r="886" spans="1:24" ht="12.75" customHeight="1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</row>
    <row r="887" spans="1:24" ht="12.75" customHeight="1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</row>
    <row r="888" spans="1:24" ht="12.75" customHeight="1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</row>
    <row r="889" spans="1:24" ht="12.75" customHeight="1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</row>
    <row r="890" spans="1:24" ht="12.75" customHeight="1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</row>
    <row r="891" spans="1:24" ht="12.75" customHeight="1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</row>
    <row r="892" spans="1:24" ht="12.75" customHeight="1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</row>
    <row r="893" spans="1:24" ht="12.75" customHeight="1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</row>
    <row r="894" spans="1:24" ht="12.75" customHeight="1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</row>
    <row r="895" spans="1:24" ht="12.75" customHeight="1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</row>
    <row r="896" spans="1:24" ht="12.75" customHeight="1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</row>
    <row r="897" spans="1:24" ht="12.75" customHeight="1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</row>
    <row r="898" spans="1:24" ht="12.75" customHeight="1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</row>
    <row r="899" spans="1:24" ht="12.75" customHeight="1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</row>
    <row r="900" spans="1:24" ht="12.75" customHeight="1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</row>
    <row r="901" spans="1:24" ht="12.75" customHeight="1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</row>
    <row r="902" spans="1:24" ht="12.75" customHeight="1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</row>
    <row r="903" spans="1:24" ht="12.75" customHeight="1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</row>
    <row r="904" spans="1:24" ht="12.75" customHeight="1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</row>
    <row r="905" spans="1:24" ht="12.75" customHeight="1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</row>
    <row r="906" spans="1:24" ht="12.75" customHeight="1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</row>
    <row r="907" spans="1:24" ht="12.75" customHeight="1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</row>
    <row r="908" spans="1:24" ht="12.75" customHeight="1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</row>
    <row r="909" spans="1:24" ht="12.75" customHeight="1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</row>
    <row r="910" spans="1:24" ht="12.75" customHeight="1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</row>
    <row r="911" spans="1:24" ht="12.75" customHeight="1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</row>
    <row r="912" spans="1:24" ht="12.75" customHeight="1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</row>
    <row r="913" spans="1:24" ht="12.75" customHeight="1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</row>
    <row r="914" spans="1:24" ht="12.75" customHeight="1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</row>
    <row r="915" spans="1:24" ht="12.75" customHeight="1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</row>
    <row r="916" spans="1:24" ht="12.75" customHeight="1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</row>
    <row r="917" spans="1:24" ht="12.75" customHeight="1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</row>
    <row r="918" spans="1:24" ht="12.75" customHeight="1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</row>
    <row r="919" spans="1:24" ht="12.75" customHeight="1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</row>
    <row r="920" spans="1:24" ht="12.75" customHeight="1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</row>
    <row r="921" spans="1:24" ht="12.75" customHeight="1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</row>
    <row r="922" spans="1:24" ht="12.75" customHeight="1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</row>
    <row r="923" spans="1:24" ht="12.75" customHeight="1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</row>
    <row r="924" spans="1:24" ht="12.75" customHeight="1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</row>
    <row r="925" spans="1:24" ht="12.75" customHeight="1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</row>
    <row r="926" spans="1:24" ht="12.75" customHeight="1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</row>
    <row r="927" spans="1:24" ht="12.75" customHeight="1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</row>
    <row r="928" spans="1:24" ht="12.75" customHeight="1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</row>
    <row r="929" spans="1:24" ht="12.75" customHeight="1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</row>
    <row r="930" spans="1:24" ht="12.75" customHeight="1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</row>
    <row r="931" spans="1:24" ht="12.75" customHeight="1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</row>
    <row r="932" spans="1:24" ht="12.75" customHeight="1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</row>
    <row r="933" spans="1:24" ht="12.75" customHeight="1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</row>
    <row r="934" spans="1:24" ht="12.75" customHeight="1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</row>
    <row r="935" spans="1:24" ht="12.75" customHeight="1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</row>
    <row r="936" spans="1:24" ht="12.75" customHeight="1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</row>
    <row r="937" spans="1:24" ht="12.75" customHeight="1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</row>
    <row r="938" spans="1:24" ht="12.75" customHeight="1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</row>
    <row r="939" spans="1:24" ht="12.75" customHeight="1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</row>
    <row r="940" spans="1:24" ht="12.75" customHeight="1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</row>
    <row r="941" spans="1:24" ht="12.75" customHeight="1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</row>
    <row r="942" spans="1:24" ht="12.75" customHeight="1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</row>
    <row r="943" spans="1:24" ht="12.75" customHeight="1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</row>
    <row r="944" spans="1:24" ht="12.75" customHeight="1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</row>
    <row r="945" spans="1:24" ht="12.75" customHeight="1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</row>
    <row r="946" spans="1:24" ht="12.75" customHeight="1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</row>
    <row r="947" spans="1:24" ht="12.75" customHeight="1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</row>
    <row r="948" spans="1:24" ht="12.75" customHeight="1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</row>
    <row r="949" spans="1:24" ht="12.75" customHeight="1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</row>
    <row r="950" spans="1:24" ht="12.75" customHeight="1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</row>
    <row r="951" spans="1:24" ht="12.75" customHeight="1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</row>
    <row r="952" spans="1:24" ht="12.75" customHeight="1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</row>
    <row r="953" spans="1:24" ht="12.75" customHeight="1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</row>
    <row r="954" spans="1:24" ht="12.75" customHeight="1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</row>
    <row r="955" spans="1:24" ht="12.75" customHeight="1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</row>
    <row r="956" spans="1:24" ht="12.75" customHeight="1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</row>
    <row r="957" spans="1:24" ht="12.75" customHeight="1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</row>
    <row r="958" spans="1:24" ht="12.75" customHeight="1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</row>
    <row r="959" spans="1:24" ht="12.75" customHeight="1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</row>
    <row r="960" spans="1:24" ht="12.75" customHeight="1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</row>
    <row r="961" spans="1:24" ht="12.75" customHeight="1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</row>
    <row r="962" spans="1:24" ht="12.75" customHeight="1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</row>
    <row r="963" spans="1:24" ht="12.75" customHeight="1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</row>
    <row r="964" spans="1:24" ht="12.75" customHeight="1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</row>
    <row r="965" spans="1:24" ht="12.75" customHeight="1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</row>
    <row r="966" spans="1:24" ht="12.75" customHeight="1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</row>
    <row r="967" spans="1:24" ht="12.75" customHeight="1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</row>
    <row r="968" spans="1:24" ht="12.75" customHeight="1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</row>
    <row r="969" spans="1:24" ht="12.75" customHeight="1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</row>
    <row r="970" spans="1:24" ht="12.75" customHeight="1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</row>
    <row r="971" spans="1:24" ht="12.75" customHeight="1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</row>
    <row r="972" spans="1:24" ht="12.75" customHeight="1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</row>
    <row r="973" spans="1:24" ht="12.75" customHeight="1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</row>
    <row r="974" spans="1:24" ht="12.75" customHeight="1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</row>
    <row r="975" spans="1:24" ht="12.75" customHeight="1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</row>
    <row r="976" spans="1:24" ht="12.75" customHeight="1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</row>
    <row r="977" spans="1:24" ht="12.75" customHeight="1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</row>
    <row r="978" spans="1:24" ht="12.75" customHeight="1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</row>
    <row r="979" spans="1:24" ht="12.75" customHeight="1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</row>
    <row r="980" spans="1:24" ht="12.75" customHeight="1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</row>
    <row r="981" spans="1:24" ht="12.75" customHeight="1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</row>
    <row r="982" spans="1:24" ht="12.75" customHeight="1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</row>
    <row r="983" spans="1:24" ht="12.75" customHeight="1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</row>
    <row r="984" spans="1:24" ht="12.75" customHeight="1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</row>
    <row r="985" spans="1:24" ht="12.75" customHeight="1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</row>
    <row r="986" spans="1:24" ht="12.75" customHeight="1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</row>
    <row r="987" spans="1:24" ht="12.75" customHeight="1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</row>
    <row r="988" spans="1:24" ht="12.75" customHeight="1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</row>
    <row r="989" spans="1:24" ht="12.75" customHeight="1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</row>
    <row r="990" spans="1:24" ht="12.75" customHeight="1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</row>
    <row r="991" spans="1:24" ht="12.75" customHeight="1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</row>
    <row r="992" spans="1:24" ht="12.75" customHeight="1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</row>
    <row r="993" spans="1:24" ht="12.75" customHeight="1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</row>
    <row r="994" spans="1:24" ht="12.75" customHeight="1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</row>
    <row r="995" spans="1:24" ht="12.75" customHeight="1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</row>
    <row r="996" spans="1:24" ht="12.75" customHeight="1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</row>
    <row r="997" spans="1:24" ht="12.75" customHeight="1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</row>
    <row r="998" spans="1:24" ht="12.75" customHeight="1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</row>
    <row r="999" spans="1:24" ht="12.75" customHeight="1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</row>
    <row r="1000" spans="1:24" ht="12.75" customHeight="1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</row>
    <row r="1001" spans="1:24" ht="12.75" customHeight="1" x14ac:dyDescent="0.2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</row>
    <row r="1002" spans="1:24" ht="12.75" customHeight="1" x14ac:dyDescent="0.2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</row>
    <row r="1003" spans="1:24" ht="12.75" customHeight="1" x14ac:dyDescent="0.2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</row>
    <row r="1004" spans="1:24" ht="12.75" customHeight="1" x14ac:dyDescent="0.2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</row>
    <row r="1005" spans="1:24" ht="12.75" customHeight="1" x14ac:dyDescent="0.2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</row>
    <row r="1006" spans="1:24" ht="12.75" customHeight="1" x14ac:dyDescent="0.2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</row>
    <row r="1007" spans="1:24" ht="12.75" customHeight="1" x14ac:dyDescent="0.2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</row>
    <row r="1008" spans="1:24" ht="12.75" customHeight="1" x14ac:dyDescent="0.2">
      <c r="A1008" s="95"/>
      <c r="B1008" s="9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</row>
    <row r="1009" spans="1:24" ht="12.75" customHeight="1" x14ac:dyDescent="0.2">
      <c r="A1009" s="95"/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</row>
    <row r="1010" spans="1:24" ht="12.75" customHeight="1" x14ac:dyDescent="0.2">
      <c r="A1010" s="95"/>
      <c r="B1010" s="9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</row>
  </sheetData>
  <mergeCells count="273"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I104:I105"/>
    <mergeCell ref="J104:J105"/>
    <mergeCell ref="G101:G102"/>
    <mergeCell ref="H101:H102"/>
    <mergeCell ref="C103:K103"/>
    <mergeCell ref="D104:D105"/>
    <mergeCell ref="E104:E105"/>
    <mergeCell ref="F104:F105"/>
    <mergeCell ref="C106:K106"/>
    <mergeCell ref="I101:I102"/>
    <mergeCell ref="J101:J102"/>
    <mergeCell ref="E98:E99"/>
    <mergeCell ref="F98:F99"/>
    <mergeCell ref="C100:K100"/>
    <mergeCell ref="C101:C102"/>
    <mergeCell ref="D101:D102"/>
    <mergeCell ref="E101:E102"/>
    <mergeCell ref="F101:F102"/>
    <mergeCell ref="K101:K102"/>
    <mergeCell ref="G98:G99"/>
    <mergeCell ref="H98:H99"/>
    <mergeCell ref="I98:I99"/>
    <mergeCell ref="J98:J99"/>
    <mergeCell ref="G92:G93"/>
    <mergeCell ref="H92:H93"/>
    <mergeCell ref="C94:K94"/>
    <mergeCell ref="C95:I95"/>
    <mergeCell ref="C96:K96"/>
    <mergeCell ref="C98:C99"/>
    <mergeCell ref="D98:D99"/>
    <mergeCell ref="K98:K99"/>
    <mergeCell ref="I92:I93"/>
    <mergeCell ref="J92:J93"/>
    <mergeCell ref="G89:G90"/>
    <mergeCell ref="H89:H90"/>
    <mergeCell ref="C91:K91"/>
    <mergeCell ref="C92:C93"/>
    <mergeCell ref="D92:D93"/>
    <mergeCell ref="E92:E93"/>
    <mergeCell ref="F92:F93"/>
    <mergeCell ref="K92:K93"/>
    <mergeCell ref="K86:K87"/>
    <mergeCell ref="I89:I90"/>
    <mergeCell ref="J89:J90"/>
    <mergeCell ref="G86:G87"/>
    <mergeCell ref="H86:H87"/>
    <mergeCell ref="C88:K88"/>
    <mergeCell ref="C89:C90"/>
    <mergeCell ref="D89:D90"/>
    <mergeCell ref="E89:E90"/>
    <mergeCell ref="F89:F90"/>
    <mergeCell ref="K89:K90"/>
    <mergeCell ref="G104:G105"/>
    <mergeCell ref="H104:H105"/>
    <mergeCell ref="K104:K105"/>
    <mergeCell ref="G83:G84"/>
    <mergeCell ref="H83:H84"/>
    <mergeCell ref="I83:I84"/>
    <mergeCell ref="J83:J84"/>
    <mergeCell ref="C78:K78"/>
    <mergeCell ref="C79:K80"/>
    <mergeCell ref="E81:F81"/>
    <mergeCell ref="H81:I81"/>
    <mergeCell ref="J81:K81"/>
    <mergeCell ref="C83:C84"/>
    <mergeCell ref="D83:D84"/>
    <mergeCell ref="K83:K84"/>
    <mergeCell ref="I86:I87"/>
    <mergeCell ref="J86:J87"/>
    <mergeCell ref="E83:E84"/>
    <mergeCell ref="F83:F84"/>
    <mergeCell ref="C85:K85"/>
    <mergeCell ref="C86:C87"/>
    <mergeCell ref="D86:D87"/>
    <mergeCell ref="E86:E87"/>
    <mergeCell ref="F86:F87"/>
    <mergeCell ref="C59:K59"/>
    <mergeCell ref="C60:I60"/>
    <mergeCell ref="C61:K61"/>
    <mergeCell ref="C63:C64"/>
    <mergeCell ref="C65:K65"/>
    <mergeCell ref="H66:H67"/>
    <mergeCell ref="I66:I67"/>
    <mergeCell ref="J66:J67"/>
    <mergeCell ref="K66:K67"/>
    <mergeCell ref="D63:D64"/>
    <mergeCell ref="E63:E64"/>
    <mergeCell ref="C66:C67"/>
    <mergeCell ref="D66:D67"/>
    <mergeCell ref="E66:E67"/>
    <mergeCell ref="F66:F67"/>
    <mergeCell ref="G66:G67"/>
    <mergeCell ref="C74:K74"/>
    <mergeCell ref="C75:I75"/>
    <mergeCell ref="C76:K76"/>
    <mergeCell ref="C77:I77"/>
    <mergeCell ref="F63:F64"/>
    <mergeCell ref="G63:G64"/>
    <mergeCell ref="H63:H64"/>
    <mergeCell ref="I63:I64"/>
    <mergeCell ref="J63:J64"/>
    <mergeCell ref="K63:K64"/>
    <mergeCell ref="C68:K68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C69:C70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:K3"/>
    <mergeCell ref="C6:K6"/>
    <mergeCell ref="C7:K8"/>
    <mergeCell ref="C9:K10"/>
    <mergeCell ref="E11:F11"/>
    <mergeCell ref="H11:I11"/>
    <mergeCell ref="J11:K11"/>
    <mergeCell ref="J13:J14"/>
    <mergeCell ref="K13:K14"/>
    <mergeCell ref="D13:D14"/>
    <mergeCell ref="E13:E14"/>
    <mergeCell ref="F13:F14"/>
    <mergeCell ref="G13:G14"/>
    <mergeCell ref="H13:H14"/>
    <mergeCell ref="I13:I14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G37:G38"/>
    <mergeCell ref="H37:H38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1:I32"/>
    <mergeCell ref="J31:J32"/>
    <mergeCell ref="E28:E29"/>
    <mergeCell ref="F28:F29"/>
    <mergeCell ref="C30:K30"/>
    <mergeCell ref="C31:C32"/>
    <mergeCell ref="D31:D32"/>
    <mergeCell ref="E31:E32"/>
    <mergeCell ref="F31:F32"/>
    <mergeCell ref="K31:K32"/>
    <mergeCell ref="I28:I29"/>
    <mergeCell ref="J28:J29"/>
    <mergeCell ref="I22:I23"/>
    <mergeCell ref="J22:J23"/>
    <mergeCell ref="C24:K24"/>
    <mergeCell ref="C25:I25"/>
    <mergeCell ref="C26:K26"/>
    <mergeCell ref="C28:C29"/>
    <mergeCell ref="D28:D29"/>
    <mergeCell ref="K28:K29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J19:J20"/>
    <mergeCell ref="K19:K20"/>
    <mergeCell ref="C57:C58"/>
    <mergeCell ref="D57:D58"/>
    <mergeCell ref="E57:E58"/>
    <mergeCell ref="F57:F58"/>
    <mergeCell ref="G57:G58"/>
    <mergeCell ref="H57:H58"/>
    <mergeCell ref="D19:D20"/>
    <mergeCell ref="E19:E20"/>
    <mergeCell ref="F19:F20"/>
    <mergeCell ref="G19:G20"/>
    <mergeCell ref="H19:H20"/>
    <mergeCell ref="G28:G29"/>
    <mergeCell ref="H28:H29"/>
    <mergeCell ref="C39:K39"/>
    <mergeCell ref="C40:I40"/>
    <mergeCell ref="C41:K41"/>
    <mergeCell ref="C42:I42"/>
    <mergeCell ref="C43:K43"/>
    <mergeCell ref="I57:I58"/>
    <mergeCell ref="J57:J58"/>
    <mergeCell ref="K57:K58"/>
    <mergeCell ref="C50:K50"/>
    <mergeCell ref="I51:I52"/>
    <mergeCell ref="J51:J52"/>
    <mergeCell ref="K51:K52"/>
    <mergeCell ref="C53:K53"/>
    <mergeCell ref="C48:C49"/>
    <mergeCell ref="C51:C52"/>
    <mergeCell ref="D51:D52"/>
    <mergeCell ref="E51:E52"/>
    <mergeCell ref="F51:F52"/>
    <mergeCell ref="G51:G52"/>
    <mergeCell ref="H51:H52"/>
    <mergeCell ref="F48:F49"/>
    <mergeCell ref="G48:G49"/>
    <mergeCell ref="H48:H49"/>
    <mergeCell ref="I48:I49"/>
    <mergeCell ref="J48:J49"/>
    <mergeCell ref="K48:K49"/>
    <mergeCell ref="C44:K45"/>
    <mergeCell ref="E46:F46"/>
    <mergeCell ref="H46:I46"/>
    <mergeCell ref="J46:K46"/>
    <mergeCell ref="D48:D49"/>
    <mergeCell ref="E48:E49"/>
    <mergeCell ref="J54:J55"/>
    <mergeCell ref="K54:K55"/>
    <mergeCell ref="D54:D55"/>
    <mergeCell ref="E54:E55"/>
    <mergeCell ref="F54:F55"/>
    <mergeCell ref="G54:G55"/>
    <mergeCell ref="H54:H55"/>
    <mergeCell ref="I54:I55"/>
    <mergeCell ref="C56:K56"/>
    <mergeCell ref="C54:C55"/>
  </mergeCells>
  <pageMargins left="0.7" right="0.7" top="0.75" bottom="0.75" header="0.3" footer="0.3"/>
  <pageSetup paperSize="9" scale="4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topLeftCell="B88" workbookViewId="0">
      <selection activeCell="H117" sqref="H117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1" width="5.5703125" customWidth="1"/>
    <col min="12" max="16" width="9.140625" customWidth="1"/>
    <col min="17" max="24" width="8" customWidth="1"/>
  </cols>
  <sheetData>
    <row r="1" spans="1:24" ht="12.75" customHeight="1" x14ac:dyDescent="0.2">
      <c r="A1" s="108"/>
      <c r="B1" s="108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</row>
    <row r="2" spans="1:24" ht="12.75" customHeight="1" x14ac:dyDescent="0.2">
      <c r="A2" s="108"/>
      <c r="B2" s="108"/>
      <c r="C2" s="131"/>
      <c r="D2" s="131"/>
      <c r="E2" s="131"/>
      <c r="F2" s="131"/>
      <c r="G2" s="131"/>
      <c r="H2" s="131"/>
      <c r="I2" s="131"/>
      <c r="J2" s="131"/>
      <c r="K2" s="131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 ht="12.75" customHeight="1" x14ac:dyDescent="0.2">
      <c r="A3" s="108"/>
      <c r="B3" s="108"/>
      <c r="C3" s="131"/>
      <c r="D3" s="131"/>
      <c r="E3" s="131"/>
      <c r="F3" s="131"/>
      <c r="G3" s="131"/>
      <c r="H3" s="131"/>
      <c r="I3" s="131"/>
      <c r="J3" s="131"/>
      <c r="K3" s="131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</row>
    <row r="4" spans="1:24" ht="12.75" customHeight="1" x14ac:dyDescent="0.2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</row>
    <row r="5" spans="1:24" ht="12.75" customHeight="1" x14ac:dyDescent="0.2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</row>
    <row r="6" spans="1:24" ht="19.5" customHeight="1" x14ac:dyDescent="0.2">
      <c r="A6" s="108"/>
      <c r="B6" s="108"/>
      <c r="C6" s="180" t="s">
        <v>225</v>
      </c>
      <c r="D6" s="125"/>
      <c r="E6" s="125"/>
      <c r="F6" s="125"/>
      <c r="G6" s="125"/>
      <c r="H6" s="125"/>
      <c r="I6" s="125"/>
      <c r="J6" s="125"/>
      <c r="K6" s="126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</row>
    <row r="7" spans="1:24" ht="4.5" customHeight="1" x14ac:dyDescent="0.2">
      <c r="A7" s="108"/>
      <c r="B7" s="108"/>
      <c r="C7" s="181"/>
      <c r="D7" s="163"/>
      <c r="E7" s="163"/>
      <c r="F7" s="163"/>
      <c r="G7" s="163"/>
      <c r="H7" s="163"/>
      <c r="I7" s="163"/>
      <c r="J7" s="163"/>
      <c r="K7" s="164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</row>
    <row r="8" spans="1:24" ht="4.5" customHeight="1" x14ac:dyDescent="0.2">
      <c r="A8" s="108"/>
      <c r="B8" s="108"/>
      <c r="C8" s="165"/>
      <c r="D8" s="166"/>
      <c r="E8" s="166"/>
      <c r="F8" s="166"/>
      <c r="G8" s="166"/>
      <c r="H8" s="166"/>
      <c r="I8" s="166"/>
      <c r="J8" s="166"/>
      <c r="K8" s="167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</row>
    <row r="9" spans="1:24" ht="12.75" customHeight="1" x14ac:dyDescent="0.2">
      <c r="A9" s="108"/>
      <c r="B9" s="108"/>
      <c r="C9" s="162" t="s">
        <v>190</v>
      </c>
      <c r="D9" s="163"/>
      <c r="E9" s="163"/>
      <c r="F9" s="163"/>
      <c r="G9" s="163"/>
      <c r="H9" s="163"/>
      <c r="I9" s="163"/>
      <c r="J9" s="163"/>
      <c r="K9" s="164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</row>
    <row r="10" spans="1:24" ht="12.75" customHeight="1" x14ac:dyDescent="0.2">
      <c r="A10" s="108"/>
      <c r="B10" s="108"/>
      <c r="C10" s="165"/>
      <c r="D10" s="166"/>
      <c r="E10" s="166"/>
      <c r="F10" s="166"/>
      <c r="G10" s="166"/>
      <c r="H10" s="166"/>
      <c r="I10" s="166"/>
      <c r="J10" s="166"/>
      <c r="K10" s="167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</row>
    <row r="11" spans="1:24" ht="25.5" customHeight="1" x14ac:dyDescent="0.2">
      <c r="A11" s="108"/>
      <c r="B11" s="108"/>
      <c r="C11" s="96" t="s">
        <v>191</v>
      </c>
      <c r="D11" s="96" t="s">
        <v>192</v>
      </c>
      <c r="E11" s="169" t="s">
        <v>219</v>
      </c>
      <c r="F11" s="126"/>
      <c r="G11" s="96" t="s">
        <v>194</v>
      </c>
      <c r="H11" s="169" t="s">
        <v>214</v>
      </c>
      <c r="I11" s="126"/>
      <c r="J11" s="169" t="s">
        <v>196</v>
      </c>
      <c r="K11" s="126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</row>
    <row r="12" spans="1:24" ht="12.75" customHeight="1" x14ac:dyDescent="0.2">
      <c r="A12" s="108"/>
      <c r="B12" s="108"/>
      <c r="C12" s="182"/>
      <c r="D12" s="125"/>
      <c r="E12" s="125"/>
      <c r="F12" s="125"/>
      <c r="G12" s="125"/>
      <c r="H12" s="125"/>
      <c r="I12" s="125"/>
      <c r="J12" s="125"/>
      <c r="K12" s="126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ht="13.5" customHeight="1" x14ac:dyDescent="0.2">
      <c r="A13" s="108"/>
      <c r="B13" s="108"/>
      <c r="C13" s="170" t="s">
        <v>197</v>
      </c>
      <c r="D13" s="158" t="s">
        <v>203</v>
      </c>
      <c r="E13" s="157" t="s">
        <v>39</v>
      </c>
      <c r="F13" s="157" t="s">
        <v>226</v>
      </c>
      <c r="G13" s="160" t="s">
        <v>194</v>
      </c>
      <c r="H13" s="157" t="s">
        <v>56</v>
      </c>
      <c r="I13" s="157" t="s">
        <v>49</v>
      </c>
      <c r="J13" s="157">
        <v>13</v>
      </c>
      <c r="K13" s="157">
        <v>6</v>
      </c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</row>
    <row r="14" spans="1:24" ht="12.75" x14ac:dyDescent="0.2">
      <c r="A14" s="108"/>
      <c r="B14" s="108"/>
      <c r="C14" s="141"/>
      <c r="D14" s="141"/>
      <c r="E14" s="141"/>
      <c r="F14" s="141"/>
      <c r="G14" s="141"/>
      <c r="H14" s="141"/>
      <c r="I14" s="141"/>
      <c r="J14" s="141"/>
      <c r="K14" s="141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ht="4.5" customHeight="1" x14ac:dyDescent="0.2">
      <c r="A15" s="108"/>
      <c r="B15" s="108"/>
      <c r="C15" s="161"/>
      <c r="D15" s="125"/>
      <c r="E15" s="125"/>
      <c r="F15" s="125"/>
      <c r="G15" s="125"/>
      <c r="H15" s="125"/>
      <c r="I15" s="125"/>
      <c r="J15" s="125"/>
      <c r="K15" s="126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</row>
    <row r="16" spans="1:24" ht="12.75" x14ac:dyDescent="0.2">
      <c r="A16" s="108"/>
      <c r="B16" s="108"/>
      <c r="C16" s="170" t="s">
        <v>199</v>
      </c>
      <c r="D16" s="158" t="s">
        <v>202</v>
      </c>
      <c r="E16" s="157" t="s">
        <v>18</v>
      </c>
      <c r="F16" s="157" t="s">
        <v>32</v>
      </c>
      <c r="G16" s="160" t="s">
        <v>194</v>
      </c>
      <c r="H16" s="157" t="s">
        <v>21</v>
      </c>
      <c r="I16" s="157" t="s">
        <v>28</v>
      </c>
      <c r="J16" s="157">
        <v>11</v>
      </c>
      <c r="K16" s="157">
        <v>7</v>
      </c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24" ht="12.75" x14ac:dyDescent="0.2">
      <c r="A17" s="108"/>
      <c r="B17" s="108"/>
      <c r="C17" s="141"/>
      <c r="D17" s="141"/>
      <c r="E17" s="141"/>
      <c r="F17" s="141"/>
      <c r="G17" s="141"/>
      <c r="H17" s="141"/>
      <c r="I17" s="141"/>
      <c r="J17" s="141"/>
      <c r="K17" s="141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</row>
    <row r="18" spans="1:24" ht="4.5" customHeight="1" x14ac:dyDescent="0.2">
      <c r="A18" s="108"/>
      <c r="B18" s="108"/>
      <c r="C18" s="161"/>
      <c r="D18" s="125"/>
      <c r="E18" s="125"/>
      <c r="F18" s="125"/>
      <c r="G18" s="125"/>
      <c r="H18" s="125"/>
      <c r="I18" s="125"/>
      <c r="J18" s="125"/>
      <c r="K18" s="126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</row>
    <row r="19" spans="1:24" ht="12.75" x14ac:dyDescent="0.2">
      <c r="A19" s="108"/>
      <c r="B19" s="108"/>
      <c r="C19" s="170" t="s">
        <v>201</v>
      </c>
      <c r="D19" s="158" t="s">
        <v>206</v>
      </c>
      <c r="E19" s="157" t="s">
        <v>129</v>
      </c>
      <c r="F19" s="157" t="s">
        <v>227</v>
      </c>
      <c r="G19" s="160" t="s">
        <v>194</v>
      </c>
      <c r="H19" s="157" t="s">
        <v>127</v>
      </c>
      <c r="I19" s="157" t="s">
        <v>144</v>
      </c>
      <c r="J19" s="157">
        <v>7</v>
      </c>
      <c r="K19" s="157">
        <v>11</v>
      </c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</row>
    <row r="20" spans="1:24" ht="12.75" x14ac:dyDescent="0.2">
      <c r="A20" s="108"/>
      <c r="B20" s="108"/>
      <c r="C20" s="141"/>
      <c r="D20" s="141"/>
      <c r="E20" s="141"/>
      <c r="F20" s="141"/>
      <c r="G20" s="141"/>
      <c r="H20" s="141"/>
      <c r="I20" s="141"/>
      <c r="J20" s="141"/>
      <c r="K20" s="141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 ht="4.5" customHeight="1" x14ac:dyDescent="0.2">
      <c r="A21" s="108"/>
      <c r="B21" s="108"/>
      <c r="C21" s="161"/>
      <c r="D21" s="125"/>
      <c r="E21" s="125"/>
      <c r="F21" s="125"/>
      <c r="G21" s="125"/>
      <c r="H21" s="125"/>
      <c r="I21" s="125"/>
      <c r="J21" s="125"/>
      <c r="K21" s="126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</row>
    <row r="22" spans="1:24" ht="12.75" x14ac:dyDescent="0.2">
      <c r="A22" s="108"/>
      <c r="B22" s="108"/>
      <c r="C22" s="170" t="s">
        <v>197</v>
      </c>
      <c r="D22" s="171" t="s">
        <v>198</v>
      </c>
      <c r="E22" s="157" t="s">
        <v>85</v>
      </c>
      <c r="F22" s="157" t="s">
        <v>92</v>
      </c>
      <c r="G22" s="160" t="s">
        <v>194</v>
      </c>
      <c r="H22" s="157" t="s">
        <v>228</v>
      </c>
      <c r="I22" s="157" t="s">
        <v>102</v>
      </c>
      <c r="J22" s="157">
        <v>7</v>
      </c>
      <c r="K22" s="157">
        <v>11</v>
      </c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</row>
    <row r="23" spans="1:24" ht="12.75" x14ac:dyDescent="0.2">
      <c r="A23" s="108"/>
      <c r="B23" s="108"/>
      <c r="C23" s="141"/>
      <c r="D23" s="141"/>
      <c r="E23" s="141"/>
      <c r="F23" s="141"/>
      <c r="G23" s="141"/>
      <c r="H23" s="141"/>
      <c r="I23" s="141"/>
      <c r="J23" s="141"/>
      <c r="K23" s="141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</row>
    <row r="24" spans="1:24" ht="4.5" customHeight="1" x14ac:dyDescent="0.2">
      <c r="A24" s="108"/>
      <c r="B24" s="108"/>
      <c r="C24" s="161"/>
      <c r="D24" s="125"/>
      <c r="E24" s="125"/>
      <c r="F24" s="125"/>
      <c r="G24" s="125"/>
      <c r="H24" s="125"/>
      <c r="I24" s="125"/>
      <c r="J24" s="125"/>
      <c r="K24" s="126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</row>
    <row r="25" spans="1:24" ht="12.75" x14ac:dyDescent="0.2">
      <c r="A25" s="108"/>
      <c r="B25" s="108"/>
      <c r="C25" s="172" t="s">
        <v>229</v>
      </c>
      <c r="D25" s="125"/>
      <c r="E25" s="125"/>
      <c r="F25" s="125"/>
      <c r="G25" s="125"/>
      <c r="H25" s="125"/>
      <c r="I25" s="126"/>
      <c r="J25" s="103">
        <f t="shared" ref="J25:K25" si="0">SUM(J13:J23)</f>
        <v>38</v>
      </c>
      <c r="K25" s="103">
        <f t="shared" si="0"/>
        <v>35</v>
      </c>
      <c r="L25" s="103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</row>
    <row r="26" spans="1:24" ht="4.5" customHeight="1" x14ac:dyDescent="0.2">
      <c r="A26" s="108"/>
      <c r="B26" s="108"/>
      <c r="C26" s="161"/>
      <c r="D26" s="125"/>
      <c r="E26" s="125"/>
      <c r="F26" s="125"/>
      <c r="G26" s="125"/>
      <c r="H26" s="125"/>
      <c r="I26" s="125"/>
      <c r="J26" s="125"/>
      <c r="K26" s="126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</row>
    <row r="27" spans="1:24" ht="12.75" x14ac:dyDescent="0.2">
      <c r="A27" s="108"/>
      <c r="B27" s="108"/>
      <c r="C27" s="179"/>
      <c r="D27" s="125"/>
      <c r="E27" s="125"/>
      <c r="F27" s="125"/>
      <c r="G27" s="125"/>
      <c r="H27" s="125"/>
      <c r="I27" s="125"/>
      <c r="J27" s="125"/>
      <c r="K27" s="126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</row>
    <row r="28" spans="1:24" ht="12.75" x14ac:dyDescent="0.2">
      <c r="A28" s="108"/>
      <c r="B28" s="108"/>
      <c r="C28" s="170" t="s">
        <v>197</v>
      </c>
      <c r="D28" s="158" t="s">
        <v>207</v>
      </c>
      <c r="E28" s="157" t="s">
        <v>60</v>
      </c>
      <c r="F28" s="157" t="s">
        <v>66</v>
      </c>
      <c r="G28" s="160" t="s">
        <v>194</v>
      </c>
      <c r="H28" s="157" t="s">
        <v>62</v>
      </c>
      <c r="I28" s="157" t="s">
        <v>76</v>
      </c>
      <c r="J28" s="157">
        <v>13</v>
      </c>
      <c r="K28" s="157">
        <v>5</v>
      </c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</row>
    <row r="29" spans="1:24" ht="12.75" x14ac:dyDescent="0.2">
      <c r="A29" s="108"/>
      <c r="B29" s="108"/>
      <c r="C29" s="141"/>
      <c r="D29" s="141"/>
      <c r="E29" s="141"/>
      <c r="F29" s="141"/>
      <c r="G29" s="141"/>
      <c r="H29" s="141"/>
      <c r="I29" s="141"/>
      <c r="J29" s="141"/>
      <c r="K29" s="141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</row>
    <row r="30" spans="1:24" ht="4.5" customHeight="1" x14ac:dyDescent="0.2">
      <c r="A30" s="108"/>
      <c r="B30" s="108"/>
      <c r="C30" s="161"/>
      <c r="D30" s="125"/>
      <c r="E30" s="125"/>
      <c r="F30" s="125"/>
      <c r="G30" s="125"/>
      <c r="H30" s="125"/>
      <c r="I30" s="125"/>
      <c r="J30" s="125"/>
      <c r="K30" s="126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</row>
    <row r="31" spans="1:24" ht="12.75" x14ac:dyDescent="0.2">
      <c r="A31" s="109"/>
      <c r="B31" s="108"/>
      <c r="C31" s="170" t="s">
        <v>199</v>
      </c>
      <c r="D31" s="158" t="s">
        <v>209</v>
      </c>
      <c r="E31" s="157" t="s">
        <v>73</v>
      </c>
      <c r="F31" s="157" t="s">
        <v>124</v>
      </c>
      <c r="G31" s="160" t="s">
        <v>194</v>
      </c>
      <c r="H31" s="157" t="s">
        <v>13</v>
      </c>
      <c r="I31" s="157" t="s">
        <v>137</v>
      </c>
      <c r="J31" s="157">
        <v>10</v>
      </c>
      <c r="K31" s="157">
        <v>8</v>
      </c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</row>
    <row r="32" spans="1:24" ht="12.75" x14ac:dyDescent="0.2">
      <c r="A32" s="109"/>
      <c r="B32" s="108"/>
      <c r="C32" s="141"/>
      <c r="D32" s="141"/>
      <c r="E32" s="141"/>
      <c r="F32" s="141"/>
      <c r="G32" s="141"/>
      <c r="H32" s="141"/>
      <c r="I32" s="141"/>
      <c r="J32" s="141"/>
      <c r="K32" s="141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</row>
    <row r="33" spans="1:24" ht="4.5" customHeight="1" x14ac:dyDescent="0.2">
      <c r="A33" s="108"/>
      <c r="B33" s="108"/>
      <c r="C33" s="161"/>
      <c r="D33" s="125"/>
      <c r="E33" s="125"/>
      <c r="F33" s="125"/>
      <c r="G33" s="125"/>
      <c r="H33" s="125"/>
      <c r="I33" s="125"/>
      <c r="J33" s="125"/>
      <c r="K33" s="126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</row>
    <row r="34" spans="1:24" ht="12.75" x14ac:dyDescent="0.2">
      <c r="A34" s="108"/>
      <c r="B34" s="108"/>
      <c r="C34" s="170" t="s">
        <v>201</v>
      </c>
      <c r="D34" s="158" t="s">
        <v>208</v>
      </c>
      <c r="E34" s="157" t="s">
        <v>106</v>
      </c>
      <c r="F34" s="157" t="s">
        <v>118</v>
      </c>
      <c r="G34" s="160" t="s">
        <v>194</v>
      </c>
      <c r="H34" s="157" t="s">
        <v>109</v>
      </c>
      <c r="I34" s="157" t="s">
        <v>121</v>
      </c>
      <c r="J34" s="157">
        <v>11</v>
      </c>
      <c r="K34" s="157">
        <v>7</v>
      </c>
      <c r="L34" s="108"/>
      <c r="M34" s="108" t="s">
        <v>224</v>
      </c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</row>
    <row r="35" spans="1:24" ht="12.75" x14ac:dyDescent="0.2">
      <c r="A35" s="108"/>
      <c r="B35" s="108"/>
      <c r="C35" s="141"/>
      <c r="D35" s="141"/>
      <c r="E35" s="141"/>
      <c r="F35" s="141"/>
      <c r="G35" s="141"/>
      <c r="H35" s="141"/>
      <c r="I35" s="141"/>
      <c r="J35" s="141"/>
      <c r="K35" s="141"/>
      <c r="L35" s="108"/>
      <c r="M35" s="108" t="s">
        <v>224</v>
      </c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</row>
    <row r="36" spans="1:24" ht="4.5" customHeight="1" x14ac:dyDescent="0.2">
      <c r="A36" s="108"/>
      <c r="B36" s="108"/>
      <c r="C36" s="161"/>
      <c r="D36" s="125"/>
      <c r="E36" s="125"/>
      <c r="F36" s="125"/>
      <c r="G36" s="125"/>
      <c r="H36" s="125"/>
      <c r="I36" s="125"/>
      <c r="J36" s="125"/>
      <c r="K36" s="126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</row>
    <row r="37" spans="1:24" ht="12.75" x14ac:dyDescent="0.2">
      <c r="A37" s="108"/>
      <c r="B37" s="108"/>
      <c r="C37" s="170" t="s">
        <v>197</v>
      </c>
      <c r="D37" s="171" t="s">
        <v>200</v>
      </c>
      <c r="E37" s="157" t="s">
        <v>147</v>
      </c>
      <c r="F37" s="157" t="s">
        <v>159</v>
      </c>
      <c r="G37" s="160" t="s">
        <v>194</v>
      </c>
      <c r="H37" s="157" t="s">
        <v>150</v>
      </c>
      <c r="I37" s="157" t="s">
        <v>162</v>
      </c>
      <c r="J37" s="157">
        <v>8</v>
      </c>
      <c r="K37" s="157">
        <v>10</v>
      </c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</row>
    <row r="38" spans="1:24" ht="12.75" x14ac:dyDescent="0.2">
      <c r="A38" s="108"/>
      <c r="B38" s="108"/>
      <c r="C38" s="141"/>
      <c r="D38" s="141"/>
      <c r="E38" s="141"/>
      <c r="F38" s="141"/>
      <c r="G38" s="141"/>
      <c r="H38" s="141"/>
      <c r="I38" s="141"/>
      <c r="J38" s="141"/>
      <c r="K38" s="141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</row>
    <row r="39" spans="1:24" ht="4.5" customHeight="1" x14ac:dyDescent="0.2">
      <c r="A39" s="108"/>
      <c r="B39" s="108"/>
      <c r="C39" s="161"/>
      <c r="D39" s="125"/>
      <c r="E39" s="125"/>
      <c r="F39" s="125"/>
      <c r="G39" s="125"/>
      <c r="H39" s="125"/>
      <c r="I39" s="125"/>
      <c r="J39" s="125"/>
      <c r="K39" s="126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</row>
    <row r="40" spans="1:24" ht="12.75" x14ac:dyDescent="0.2">
      <c r="A40" s="108"/>
      <c r="B40" s="108"/>
      <c r="C40" s="172" t="s">
        <v>230</v>
      </c>
      <c r="D40" s="125"/>
      <c r="E40" s="125"/>
      <c r="F40" s="125"/>
      <c r="G40" s="125"/>
      <c r="H40" s="125"/>
      <c r="I40" s="126"/>
      <c r="J40" s="103">
        <f t="shared" ref="J40:K40" si="1">SUM(J28:J38)</f>
        <v>42</v>
      </c>
      <c r="K40" s="103">
        <f t="shared" si="1"/>
        <v>30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</row>
    <row r="41" spans="1:24" ht="4.5" customHeight="1" x14ac:dyDescent="0.2">
      <c r="A41" s="108"/>
      <c r="B41" s="108"/>
      <c r="C41" s="161"/>
      <c r="D41" s="125"/>
      <c r="E41" s="125"/>
      <c r="F41" s="125"/>
      <c r="G41" s="125"/>
      <c r="H41" s="125"/>
      <c r="I41" s="125"/>
      <c r="J41" s="125"/>
      <c r="K41" s="126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</row>
    <row r="42" spans="1:24" ht="12.75" x14ac:dyDescent="0.2">
      <c r="A42" s="108"/>
      <c r="B42" s="108"/>
      <c r="C42" s="179" t="s">
        <v>231</v>
      </c>
      <c r="D42" s="125"/>
      <c r="E42" s="125"/>
      <c r="F42" s="125"/>
      <c r="G42" s="125"/>
      <c r="H42" s="125"/>
      <c r="I42" s="126"/>
      <c r="J42" s="104">
        <f t="shared" ref="J42:K42" si="2">J40+J25</f>
        <v>80</v>
      </c>
      <c r="K42" s="104">
        <f t="shared" si="2"/>
        <v>65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</row>
    <row r="43" spans="1:24" ht="6.75" customHeight="1" x14ac:dyDescent="0.2">
      <c r="A43" s="108"/>
      <c r="B43" s="108"/>
      <c r="C43" s="161"/>
      <c r="D43" s="125"/>
      <c r="E43" s="125"/>
      <c r="F43" s="125"/>
      <c r="G43" s="125"/>
      <c r="H43" s="125"/>
      <c r="I43" s="125"/>
      <c r="J43" s="125"/>
      <c r="K43" s="126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</row>
    <row r="44" spans="1:24" ht="7.5" customHeight="1" x14ac:dyDescent="0.2">
      <c r="A44" s="108"/>
      <c r="B44" s="108"/>
      <c r="C44" s="162" t="s">
        <v>212</v>
      </c>
      <c r="D44" s="163"/>
      <c r="E44" s="163"/>
      <c r="F44" s="163"/>
      <c r="G44" s="163"/>
      <c r="H44" s="163"/>
      <c r="I44" s="163"/>
      <c r="J44" s="163"/>
      <c r="K44" s="164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</row>
    <row r="45" spans="1:24" ht="12.75" x14ac:dyDescent="0.2">
      <c r="A45" s="108"/>
      <c r="B45" s="108"/>
      <c r="C45" s="165"/>
      <c r="D45" s="166"/>
      <c r="E45" s="166"/>
      <c r="F45" s="166"/>
      <c r="G45" s="166"/>
      <c r="H45" s="166"/>
      <c r="I45" s="166"/>
      <c r="J45" s="166"/>
      <c r="K45" s="167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</row>
    <row r="46" spans="1:24" ht="25.5" x14ac:dyDescent="0.2">
      <c r="A46" s="108"/>
      <c r="B46" s="108"/>
      <c r="C46" s="96" t="s">
        <v>191</v>
      </c>
      <c r="D46" s="96" t="s">
        <v>192</v>
      </c>
      <c r="E46" s="169" t="s">
        <v>232</v>
      </c>
      <c r="F46" s="126"/>
      <c r="G46" s="96" t="s">
        <v>194</v>
      </c>
      <c r="H46" s="169" t="s">
        <v>220</v>
      </c>
      <c r="I46" s="126"/>
      <c r="J46" s="169" t="s">
        <v>196</v>
      </c>
      <c r="K46" s="126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</row>
    <row r="47" spans="1:24" ht="12.75" x14ac:dyDescent="0.2">
      <c r="A47" s="108"/>
      <c r="B47" s="108"/>
      <c r="C47" s="182"/>
      <c r="D47" s="125"/>
      <c r="E47" s="125"/>
      <c r="F47" s="125"/>
      <c r="G47" s="125"/>
      <c r="H47" s="125"/>
      <c r="I47" s="125"/>
      <c r="J47" s="125"/>
      <c r="K47" s="126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</row>
    <row r="48" spans="1:24" ht="12.75" x14ac:dyDescent="0.2">
      <c r="A48" s="108"/>
      <c r="B48" s="108"/>
      <c r="C48" s="170" t="s">
        <v>197</v>
      </c>
      <c r="D48" s="158" t="s">
        <v>209</v>
      </c>
      <c r="E48" s="159" t="s">
        <v>79</v>
      </c>
      <c r="F48" s="159" t="s">
        <v>128</v>
      </c>
      <c r="G48" s="160" t="s">
        <v>194</v>
      </c>
      <c r="H48" s="159" t="s">
        <v>70</v>
      </c>
      <c r="I48" s="159" t="s">
        <v>133</v>
      </c>
      <c r="J48" s="157">
        <v>8</v>
      </c>
      <c r="K48" s="157">
        <v>10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</row>
    <row r="49" spans="1:24" ht="12.75" x14ac:dyDescent="0.2">
      <c r="A49" s="108"/>
      <c r="B49" s="108"/>
      <c r="C49" s="141"/>
      <c r="D49" s="141"/>
      <c r="E49" s="141"/>
      <c r="F49" s="141"/>
      <c r="G49" s="141"/>
      <c r="H49" s="141"/>
      <c r="I49" s="141"/>
      <c r="J49" s="141"/>
      <c r="K49" s="141"/>
      <c r="L49" s="108"/>
      <c r="M49" s="110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</row>
    <row r="50" spans="1:24" ht="4.5" customHeight="1" x14ac:dyDescent="0.2">
      <c r="A50" s="108"/>
      <c r="B50" s="108"/>
      <c r="C50" s="161"/>
      <c r="D50" s="125"/>
      <c r="E50" s="125"/>
      <c r="F50" s="125"/>
      <c r="G50" s="125"/>
      <c r="H50" s="125"/>
      <c r="I50" s="125"/>
      <c r="J50" s="125"/>
      <c r="K50" s="126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</row>
    <row r="51" spans="1:24" ht="12.75" x14ac:dyDescent="0.2">
      <c r="A51" s="108"/>
      <c r="B51" s="108"/>
      <c r="C51" s="170" t="s">
        <v>199</v>
      </c>
      <c r="D51" s="158" t="s">
        <v>202</v>
      </c>
      <c r="E51" s="159" t="s">
        <v>17</v>
      </c>
      <c r="F51" s="159" t="s">
        <v>31</v>
      </c>
      <c r="G51" s="160" t="s">
        <v>194</v>
      </c>
      <c r="H51" s="159" t="s">
        <v>22</v>
      </c>
      <c r="I51" s="159" t="s">
        <v>36</v>
      </c>
      <c r="J51" s="157">
        <v>15</v>
      </c>
      <c r="K51" s="157">
        <v>3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</row>
    <row r="52" spans="1:24" ht="12.75" x14ac:dyDescent="0.2">
      <c r="A52" s="108"/>
      <c r="B52" s="108"/>
      <c r="C52" s="141"/>
      <c r="D52" s="141"/>
      <c r="E52" s="141"/>
      <c r="F52" s="141"/>
      <c r="G52" s="141"/>
      <c r="H52" s="141"/>
      <c r="I52" s="141"/>
      <c r="J52" s="141"/>
      <c r="K52" s="141"/>
      <c r="L52" s="111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</row>
    <row r="53" spans="1:24" ht="4.5" customHeight="1" x14ac:dyDescent="0.2">
      <c r="A53" s="108"/>
      <c r="B53" s="108"/>
      <c r="C53" s="161"/>
      <c r="D53" s="125"/>
      <c r="E53" s="125"/>
      <c r="F53" s="125"/>
      <c r="G53" s="125"/>
      <c r="H53" s="125"/>
      <c r="I53" s="125"/>
      <c r="J53" s="125"/>
      <c r="K53" s="126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</row>
    <row r="54" spans="1:24" ht="12.75" x14ac:dyDescent="0.2">
      <c r="A54" s="108"/>
      <c r="B54" s="108"/>
      <c r="C54" s="170" t="s">
        <v>201</v>
      </c>
      <c r="D54" s="158" t="s">
        <v>200</v>
      </c>
      <c r="E54" s="159" t="s">
        <v>152</v>
      </c>
      <c r="F54" s="159" t="s">
        <v>158</v>
      </c>
      <c r="G54" s="160" t="s">
        <v>194</v>
      </c>
      <c r="H54" s="159" t="s">
        <v>151</v>
      </c>
      <c r="I54" s="159" t="s">
        <v>163</v>
      </c>
      <c r="J54" s="157">
        <v>4</v>
      </c>
      <c r="K54" s="157">
        <v>14</v>
      </c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</row>
    <row r="55" spans="1:24" ht="12.75" x14ac:dyDescent="0.2">
      <c r="A55" s="108"/>
      <c r="B55" s="108"/>
      <c r="C55" s="141"/>
      <c r="D55" s="141"/>
      <c r="E55" s="141"/>
      <c r="F55" s="141"/>
      <c r="G55" s="141"/>
      <c r="H55" s="141"/>
      <c r="I55" s="141"/>
      <c r="J55" s="141"/>
      <c r="K55" s="141"/>
      <c r="L55" s="108"/>
      <c r="M55" s="108" t="s">
        <v>224</v>
      </c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</row>
    <row r="56" spans="1:24" ht="4.5" customHeight="1" x14ac:dyDescent="0.2">
      <c r="A56" s="108"/>
      <c r="B56" s="108"/>
      <c r="C56" s="161"/>
      <c r="D56" s="125"/>
      <c r="E56" s="125"/>
      <c r="F56" s="125"/>
      <c r="G56" s="125"/>
      <c r="H56" s="125"/>
      <c r="I56" s="125"/>
      <c r="J56" s="125"/>
      <c r="K56" s="126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</row>
    <row r="57" spans="1:24" ht="12.75" x14ac:dyDescent="0.2">
      <c r="A57" s="108"/>
      <c r="B57" s="108"/>
      <c r="C57" s="170" t="s">
        <v>199</v>
      </c>
      <c r="D57" s="171" t="s">
        <v>203</v>
      </c>
      <c r="E57" s="159" t="s">
        <v>38</v>
      </c>
      <c r="F57" s="159" t="s">
        <v>45</v>
      </c>
      <c r="G57" s="160" t="s">
        <v>194</v>
      </c>
      <c r="H57" s="159" t="s">
        <v>43</v>
      </c>
      <c r="I57" s="159" t="s">
        <v>50</v>
      </c>
      <c r="J57" s="157">
        <v>5</v>
      </c>
      <c r="K57" s="157">
        <v>14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</row>
    <row r="58" spans="1:24" ht="12.75" x14ac:dyDescent="0.2">
      <c r="A58" s="108"/>
      <c r="B58" s="108"/>
      <c r="C58" s="141"/>
      <c r="D58" s="141"/>
      <c r="E58" s="141"/>
      <c r="F58" s="141"/>
      <c r="G58" s="141"/>
      <c r="H58" s="141"/>
      <c r="I58" s="141"/>
      <c r="J58" s="141"/>
      <c r="K58" s="141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</row>
    <row r="59" spans="1:24" ht="4.5" customHeight="1" x14ac:dyDescent="0.2">
      <c r="A59" s="108"/>
      <c r="B59" s="108"/>
      <c r="C59" s="161"/>
      <c r="D59" s="125"/>
      <c r="E59" s="125"/>
      <c r="F59" s="125"/>
      <c r="G59" s="125"/>
      <c r="H59" s="125"/>
      <c r="I59" s="125"/>
      <c r="J59" s="125"/>
      <c r="K59" s="126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</row>
    <row r="60" spans="1:24" ht="12.75" x14ac:dyDescent="0.2">
      <c r="A60" s="108"/>
      <c r="B60" s="108"/>
      <c r="C60" s="172" t="s">
        <v>229</v>
      </c>
      <c r="D60" s="125"/>
      <c r="E60" s="125"/>
      <c r="F60" s="125"/>
      <c r="G60" s="125"/>
      <c r="H60" s="125"/>
      <c r="I60" s="126"/>
      <c r="J60" s="103">
        <f t="shared" ref="J60:K60" si="3">SUM(J48:J58)</f>
        <v>32</v>
      </c>
      <c r="K60" s="103">
        <f t="shared" si="3"/>
        <v>41</v>
      </c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</row>
    <row r="61" spans="1:24" ht="4.5" customHeight="1" x14ac:dyDescent="0.2">
      <c r="A61" s="108"/>
      <c r="B61" s="108"/>
      <c r="C61" s="161"/>
      <c r="D61" s="125"/>
      <c r="E61" s="125"/>
      <c r="F61" s="125"/>
      <c r="G61" s="125"/>
      <c r="H61" s="125"/>
      <c r="I61" s="125"/>
      <c r="J61" s="125"/>
      <c r="K61" s="126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</row>
    <row r="62" spans="1:24" ht="12.75" x14ac:dyDescent="0.2">
      <c r="A62" s="108"/>
      <c r="B62" s="108"/>
      <c r="C62" s="179"/>
      <c r="D62" s="125"/>
      <c r="E62" s="125"/>
      <c r="F62" s="125"/>
      <c r="G62" s="125"/>
      <c r="H62" s="125"/>
      <c r="I62" s="125"/>
      <c r="J62" s="125"/>
      <c r="K62" s="126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</row>
    <row r="63" spans="1:24" ht="12.75" x14ac:dyDescent="0.2">
      <c r="A63" s="108"/>
      <c r="B63" s="108"/>
      <c r="C63" s="170" t="s">
        <v>197</v>
      </c>
      <c r="D63" s="158" t="s">
        <v>207</v>
      </c>
      <c r="E63" s="159" t="s">
        <v>72</v>
      </c>
      <c r="F63" s="159" t="s">
        <v>65</v>
      </c>
      <c r="G63" s="160" t="s">
        <v>194</v>
      </c>
      <c r="H63" s="159" t="s">
        <v>63</v>
      </c>
      <c r="I63" s="159" t="s">
        <v>82</v>
      </c>
      <c r="J63" s="157">
        <v>7</v>
      </c>
      <c r="K63" s="157">
        <v>11</v>
      </c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</row>
    <row r="64" spans="1:24" ht="12.75" x14ac:dyDescent="0.2">
      <c r="A64" s="108"/>
      <c r="B64" s="108"/>
      <c r="C64" s="141"/>
      <c r="D64" s="141"/>
      <c r="E64" s="141"/>
      <c r="F64" s="141"/>
      <c r="G64" s="141"/>
      <c r="H64" s="141"/>
      <c r="I64" s="141"/>
      <c r="J64" s="141"/>
      <c r="K64" s="141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</row>
    <row r="65" spans="1:24" ht="4.5" customHeight="1" x14ac:dyDescent="0.2">
      <c r="A65" s="108"/>
      <c r="B65" s="108"/>
      <c r="C65" s="161"/>
      <c r="D65" s="125"/>
      <c r="E65" s="125"/>
      <c r="F65" s="125"/>
      <c r="G65" s="125"/>
      <c r="H65" s="125"/>
      <c r="I65" s="125"/>
      <c r="J65" s="125"/>
      <c r="K65" s="126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</row>
    <row r="66" spans="1:24" ht="12.75" x14ac:dyDescent="0.2">
      <c r="A66" s="108"/>
      <c r="B66" s="108"/>
      <c r="C66" s="170" t="s">
        <v>199</v>
      </c>
      <c r="D66" s="158" t="s">
        <v>206</v>
      </c>
      <c r="E66" s="159" t="s">
        <v>123</v>
      </c>
      <c r="F66" s="159" t="s">
        <v>140</v>
      </c>
      <c r="G66" s="160" t="s">
        <v>194</v>
      </c>
      <c r="H66" s="159" t="s">
        <v>14</v>
      </c>
      <c r="I66" s="159" t="s">
        <v>145</v>
      </c>
      <c r="J66" s="157">
        <v>5</v>
      </c>
      <c r="K66" s="157">
        <v>13</v>
      </c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</row>
    <row r="67" spans="1:24" ht="12.75" x14ac:dyDescent="0.2">
      <c r="A67" s="108"/>
      <c r="B67" s="108"/>
      <c r="C67" s="141"/>
      <c r="D67" s="141"/>
      <c r="E67" s="141"/>
      <c r="F67" s="141"/>
      <c r="G67" s="141"/>
      <c r="H67" s="141"/>
      <c r="I67" s="141"/>
      <c r="J67" s="141"/>
      <c r="K67" s="141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</row>
    <row r="68" spans="1:24" ht="4.5" customHeight="1" x14ac:dyDescent="0.2">
      <c r="A68" s="108"/>
      <c r="B68" s="108"/>
      <c r="C68" s="161"/>
      <c r="D68" s="125"/>
      <c r="E68" s="125"/>
      <c r="F68" s="125"/>
      <c r="G68" s="125"/>
      <c r="H68" s="125"/>
      <c r="I68" s="125"/>
      <c r="J68" s="125"/>
      <c r="K68" s="126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</row>
    <row r="69" spans="1:24" ht="12.75" x14ac:dyDescent="0.2">
      <c r="A69" s="108"/>
      <c r="B69" s="108"/>
      <c r="C69" s="170" t="s">
        <v>201</v>
      </c>
      <c r="D69" s="158" t="s">
        <v>198</v>
      </c>
      <c r="E69" s="159" t="s">
        <v>84</v>
      </c>
      <c r="F69" s="159" t="s">
        <v>91</v>
      </c>
      <c r="G69" s="160" t="s">
        <v>194</v>
      </c>
      <c r="H69" s="159" t="s">
        <v>89</v>
      </c>
      <c r="I69" s="159" t="s">
        <v>96</v>
      </c>
      <c r="J69" s="157">
        <v>12</v>
      </c>
      <c r="K69" s="157">
        <v>6</v>
      </c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</row>
    <row r="70" spans="1:24" ht="12.75" x14ac:dyDescent="0.2">
      <c r="A70" s="108"/>
      <c r="B70" s="108"/>
      <c r="C70" s="141"/>
      <c r="D70" s="141"/>
      <c r="E70" s="141"/>
      <c r="F70" s="141"/>
      <c r="G70" s="141"/>
      <c r="H70" s="141"/>
      <c r="I70" s="141"/>
      <c r="J70" s="141"/>
      <c r="K70" s="141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</row>
    <row r="71" spans="1:24" ht="4.5" customHeight="1" x14ac:dyDescent="0.2">
      <c r="A71" s="108"/>
      <c r="B71" s="108"/>
      <c r="C71" s="161"/>
      <c r="D71" s="125"/>
      <c r="E71" s="125"/>
      <c r="F71" s="125"/>
      <c r="G71" s="125"/>
      <c r="H71" s="125"/>
      <c r="I71" s="125"/>
      <c r="J71" s="125"/>
      <c r="K71" s="126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</row>
    <row r="72" spans="1:24" ht="12.75" x14ac:dyDescent="0.2">
      <c r="A72" s="108"/>
      <c r="B72" s="108"/>
      <c r="C72" s="170" t="s">
        <v>199</v>
      </c>
      <c r="D72" s="171" t="s">
        <v>208</v>
      </c>
      <c r="E72" s="159" t="s">
        <v>105</v>
      </c>
      <c r="F72" s="159" t="s">
        <v>111</v>
      </c>
      <c r="G72" s="160" t="s">
        <v>194</v>
      </c>
      <c r="H72" s="159" t="s">
        <v>110</v>
      </c>
      <c r="I72" s="159" t="s">
        <v>122</v>
      </c>
      <c r="J72" s="157">
        <v>8</v>
      </c>
      <c r="K72" s="157">
        <v>10</v>
      </c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</row>
    <row r="73" spans="1:24" ht="12.75" x14ac:dyDescent="0.2">
      <c r="A73" s="108"/>
      <c r="B73" s="108"/>
      <c r="C73" s="141"/>
      <c r="D73" s="141"/>
      <c r="E73" s="141"/>
      <c r="F73" s="141"/>
      <c r="G73" s="141"/>
      <c r="H73" s="141"/>
      <c r="I73" s="141"/>
      <c r="J73" s="141"/>
      <c r="K73" s="141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</row>
    <row r="74" spans="1:24" ht="4.5" customHeight="1" x14ac:dyDescent="0.2">
      <c r="A74" s="108"/>
      <c r="B74" s="108"/>
      <c r="C74" s="161"/>
      <c r="D74" s="125"/>
      <c r="E74" s="125"/>
      <c r="F74" s="125"/>
      <c r="G74" s="125"/>
      <c r="H74" s="125"/>
      <c r="I74" s="125"/>
      <c r="J74" s="125"/>
      <c r="K74" s="126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</row>
    <row r="75" spans="1:24" ht="12.75" x14ac:dyDescent="0.2">
      <c r="A75" s="108"/>
      <c r="B75" s="108"/>
      <c r="C75" s="172" t="s">
        <v>230</v>
      </c>
      <c r="D75" s="125"/>
      <c r="E75" s="125"/>
      <c r="F75" s="125"/>
      <c r="G75" s="125"/>
      <c r="H75" s="125"/>
      <c r="I75" s="126"/>
      <c r="J75" s="103">
        <f t="shared" ref="J75:K75" si="4">SUM(J63:J73)</f>
        <v>32</v>
      </c>
      <c r="K75" s="103">
        <f t="shared" si="4"/>
        <v>40</v>
      </c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</row>
    <row r="76" spans="1:24" ht="4.5" customHeight="1" x14ac:dyDescent="0.2">
      <c r="A76" s="108"/>
      <c r="B76" s="108"/>
      <c r="C76" s="161"/>
      <c r="D76" s="125"/>
      <c r="E76" s="125"/>
      <c r="F76" s="125"/>
      <c r="G76" s="125"/>
      <c r="H76" s="125"/>
      <c r="I76" s="125"/>
      <c r="J76" s="125"/>
      <c r="K76" s="126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</row>
    <row r="77" spans="1:24" ht="12.75" x14ac:dyDescent="0.2">
      <c r="A77" s="108"/>
      <c r="B77" s="108"/>
      <c r="C77" s="179" t="s">
        <v>231</v>
      </c>
      <c r="D77" s="125"/>
      <c r="E77" s="125"/>
      <c r="F77" s="125"/>
      <c r="G77" s="125"/>
      <c r="H77" s="125"/>
      <c r="I77" s="126"/>
      <c r="J77" s="104">
        <f t="shared" ref="J77:K77" si="5">J75+J60</f>
        <v>64</v>
      </c>
      <c r="K77" s="104">
        <f t="shared" si="5"/>
        <v>81</v>
      </c>
      <c r="L77" s="108"/>
      <c r="M77" s="108"/>
      <c r="N77" s="108"/>
      <c r="O77" s="108"/>
      <c r="P77" s="108" t="s">
        <v>224</v>
      </c>
      <c r="Q77" s="108"/>
      <c r="R77" s="108"/>
      <c r="S77" s="108"/>
      <c r="T77" s="108"/>
      <c r="U77" s="108"/>
      <c r="V77" s="108"/>
      <c r="W77" s="108"/>
      <c r="X77" s="108"/>
    </row>
    <row r="78" spans="1:24" ht="6.75" customHeight="1" x14ac:dyDescent="0.2">
      <c r="A78" s="108"/>
      <c r="B78" s="108"/>
      <c r="C78" s="161"/>
      <c r="D78" s="125"/>
      <c r="E78" s="125"/>
      <c r="F78" s="125"/>
      <c r="G78" s="125"/>
      <c r="H78" s="125"/>
      <c r="I78" s="125"/>
      <c r="J78" s="125"/>
      <c r="K78" s="126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</row>
    <row r="79" spans="1:24" ht="12.75" customHeight="1" x14ac:dyDescent="0.2">
      <c r="A79" s="108"/>
      <c r="B79" s="108"/>
      <c r="C79" s="162" t="s">
        <v>218</v>
      </c>
      <c r="D79" s="163"/>
      <c r="E79" s="163"/>
      <c r="F79" s="163"/>
      <c r="G79" s="163"/>
      <c r="H79" s="163"/>
      <c r="I79" s="163"/>
      <c r="J79" s="163"/>
      <c r="K79" s="164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</row>
    <row r="80" spans="1:24" ht="12.75" x14ac:dyDescent="0.2">
      <c r="A80" s="108"/>
      <c r="B80" s="108"/>
      <c r="C80" s="184"/>
      <c r="D80" s="131"/>
      <c r="E80" s="131"/>
      <c r="F80" s="131"/>
      <c r="G80" s="131"/>
      <c r="H80" s="131"/>
      <c r="I80" s="131"/>
      <c r="J80" s="131"/>
      <c r="K80" s="146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</row>
    <row r="81" spans="1:24" ht="25.5" x14ac:dyDescent="0.2">
      <c r="A81" s="108"/>
      <c r="B81" s="108"/>
      <c r="C81" s="105" t="s">
        <v>191</v>
      </c>
      <c r="D81" s="96" t="s">
        <v>192</v>
      </c>
      <c r="E81" s="169" t="s">
        <v>195</v>
      </c>
      <c r="F81" s="126"/>
      <c r="G81" s="96" t="s">
        <v>194</v>
      </c>
      <c r="H81" s="169" t="s">
        <v>213</v>
      </c>
      <c r="I81" s="126"/>
      <c r="J81" s="169" t="s">
        <v>196</v>
      </c>
      <c r="K81" s="126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</row>
    <row r="82" spans="1:24" ht="12.75" x14ac:dyDescent="0.2">
      <c r="A82" s="108"/>
      <c r="B82" s="108"/>
      <c r="C82" s="185"/>
      <c r="D82" s="166"/>
      <c r="E82" s="166"/>
      <c r="F82" s="166"/>
      <c r="G82" s="166"/>
      <c r="H82" s="166"/>
      <c r="I82" s="166"/>
      <c r="J82" s="166"/>
      <c r="K82" s="167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</row>
    <row r="83" spans="1:24" ht="12.75" x14ac:dyDescent="0.2">
      <c r="A83" s="108"/>
      <c r="B83" s="108"/>
      <c r="C83" s="170" t="s">
        <v>197</v>
      </c>
      <c r="D83" s="158" t="s">
        <v>208</v>
      </c>
      <c r="E83" s="159" t="s">
        <v>107</v>
      </c>
      <c r="F83" s="159" t="s">
        <v>119</v>
      </c>
      <c r="G83" s="160" t="s">
        <v>194</v>
      </c>
      <c r="H83" s="159" t="s">
        <v>108</v>
      </c>
      <c r="I83" s="159" t="s">
        <v>114</v>
      </c>
      <c r="J83" s="157">
        <v>9</v>
      </c>
      <c r="K83" s="157">
        <v>9</v>
      </c>
      <c r="L83" s="108"/>
      <c r="M83" s="108"/>
      <c r="N83" s="108"/>
      <c r="O83" s="108"/>
      <c r="P83" s="108" t="s">
        <v>224</v>
      </c>
      <c r="Q83" s="108"/>
      <c r="R83" s="108"/>
      <c r="S83" s="108"/>
      <c r="T83" s="108"/>
      <c r="U83" s="108"/>
      <c r="V83" s="108"/>
      <c r="W83" s="108"/>
      <c r="X83" s="108"/>
    </row>
    <row r="84" spans="1:24" ht="12.75" x14ac:dyDescent="0.2">
      <c r="A84" s="108"/>
      <c r="B84" s="108"/>
      <c r="C84" s="141"/>
      <c r="D84" s="141"/>
      <c r="E84" s="141"/>
      <c r="F84" s="141"/>
      <c r="G84" s="141"/>
      <c r="H84" s="141"/>
      <c r="I84" s="141"/>
      <c r="J84" s="141"/>
      <c r="K84" s="141"/>
      <c r="L84" s="108"/>
      <c r="M84" s="108"/>
      <c r="N84" s="183"/>
      <c r="O84" s="183"/>
      <c r="P84" s="108"/>
      <c r="Q84" s="108"/>
      <c r="R84" s="108"/>
      <c r="S84" s="108"/>
      <c r="T84" s="108"/>
      <c r="U84" s="108"/>
      <c r="V84" s="108"/>
      <c r="W84" s="108"/>
      <c r="X84" s="108"/>
    </row>
    <row r="85" spans="1:24" ht="4.5" customHeight="1" x14ac:dyDescent="0.2">
      <c r="A85" s="108"/>
      <c r="B85" s="108"/>
      <c r="C85" s="161"/>
      <c r="D85" s="125"/>
      <c r="E85" s="125"/>
      <c r="F85" s="125"/>
      <c r="G85" s="125"/>
      <c r="H85" s="125"/>
      <c r="I85" s="125"/>
      <c r="J85" s="125"/>
      <c r="K85" s="126"/>
      <c r="L85" s="108"/>
      <c r="M85" s="108"/>
      <c r="N85" s="131"/>
      <c r="O85" s="131"/>
      <c r="P85" s="108"/>
      <c r="Q85" s="108"/>
      <c r="R85" s="108"/>
      <c r="S85" s="108"/>
      <c r="T85" s="108"/>
      <c r="U85" s="108"/>
      <c r="V85" s="108"/>
      <c r="W85" s="108"/>
      <c r="X85" s="108"/>
    </row>
    <row r="86" spans="1:24" ht="12.75" x14ac:dyDescent="0.2">
      <c r="A86" s="108"/>
      <c r="B86" s="108"/>
      <c r="C86" s="170" t="s">
        <v>199</v>
      </c>
      <c r="D86" s="158" t="s">
        <v>209</v>
      </c>
      <c r="E86" s="159" t="s">
        <v>11</v>
      </c>
      <c r="F86" s="159" t="s">
        <v>142</v>
      </c>
      <c r="G86" s="160" t="s">
        <v>194</v>
      </c>
      <c r="H86" s="159" t="s">
        <v>12</v>
      </c>
      <c r="I86" s="159" t="s">
        <v>131</v>
      </c>
      <c r="J86" s="157">
        <v>9</v>
      </c>
      <c r="K86" s="157">
        <v>9</v>
      </c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</row>
    <row r="87" spans="1:24" ht="12.75" x14ac:dyDescent="0.2">
      <c r="A87" s="108"/>
      <c r="B87" s="108"/>
      <c r="C87" s="141"/>
      <c r="D87" s="141"/>
      <c r="E87" s="141"/>
      <c r="F87" s="141"/>
      <c r="G87" s="141"/>
      <c r="H87" s="141"/>
      <c r="I87" s="141"/>
      <c r="J87" s="141"/>
      <c r="K87" s="141"/>
      <c r="L87" s="108"/>
      <c r="M87" s="108" t="s">
        <v>224</v>
      </c>
      <c r="N87" s="183"/>
      <c r="O87" s="183"/>
      <c r="P87" s="108"/>
      <c r="Q87" s="108"/>
      <c r="R87" s="108"/>
      <c r="S87" s="108"/>
      <c r="T87" s="108"/>
      <c r="U87" s="108"/>
      <c r="V87" s="108"/>
      <c r="W87" s="108"/>
      <c r="X87" s="108"/>
    </row>
    <row r="88" spans="1:24" ht="4.5" customHeight="1" x14ac:dyDescent="0.2">
      <c r="A88" s="108"/>
      <c r="B88" s="108"/>
      <c r="C88" s="161"/>
      <c r="D88" s="125"/>
      <c r="E88" s="125"/>
      <c r="F88" s="125"/>
      <c r="G88" s="125"/>
      <c r="H88" s="125"/>
      <c r="I88" s="125"/>
      <c r="J88" s="125"/>
      <c r="K88" s="126"/>
      <c r="L88" s="108"/>
      <c r="M88" s="108"/>
      <c r="N88" s="131"/>
      <c r="O88" s="131"/>
      <c r="P88" s="108"/>
      <c r="Q88" s="108"/>
      <c r="R88" s="108"/>
      <c r="S88" s="108"/>
      <c r="T88" s="108"/>
      <c r="U88" s="108"/>
      <c r="V88" s="108"/>
      <c r="W88" s="108"/>
      <c r="X88" s="108"/>
    </row>
    <row r="89" spans="1:24" ht="12.75" x14ac:dyDescent="0.2">
      <c r="A89" s="108"/>
      <c r="B89" s="108"/>
      <c r="C89" s="170" t="s">
        <v>201</v>
      </c>
      <c r="D89" s="158" t="s">
        <v>203</v>
      </c>
      <c r="E89" s="159" t="s">
        <v>54</v>
      </c>
      <c r="F89" s="159" t="s">
        <v>47</v>
      </c>
      <c r="G89" s="160" t="s">
        <v>194</v>
      </c>
      <c r="H89" s="159" t="s">
        <v>48</v>
      </c>
      <c r="I89" s="159" t="s">
        <v>55</v>
      </c>
      <c r="J89" s="157">
        <v>9</v>
      </c>
      <c r="K89" s="157">
        <v>10</v>
      </c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</row>
    <row r="90" spans="1:24" ht="12.75" x14ac:dyDescent="0.2">
      <c r="A90" s="108"/>
      <c r="B90" s="108"/>
      <c r="C90" s="141"/>
      <c r="D90" s="141"/>
      <c r="E90" s="141"/>
      <c r="F90" s="141"/>
      <c r="G90" s="141"/>
      <c r="H90" s="141"/>
      <c r="I90" s="141"/>
      <c r="J90" s="141"/>
      <c r="K90" s="141"/>
      <c r="L90" s="108"/>
      <c r="M90" s="108"/>
      <c r="N90" s="183"/>
      <c r="O90" s="183"/>
      <c r="P90" s="108"/>
      <c r="Q90" s="108"/>
      <c r="R90" s="108"/>
      <c r="S90" s="108"/>
      <c r="T90" s="108"/>
      <c r="U90" s="108"/>
      <c r="V90" s="108"/>
      <c r="W90" s="108"/>
      <c r="X90" s="108"/>
    </row>
    <row r="91" spans="1:24" ht="4.5" customHeight="1" x14ac:dyDescent="0.2">
      <c r="A91" s="108"/>
      <c r="B91" s="108"/>
      <c r="C91" s="161"/>
      <c r="D91" s="125"/>
      <c r="E91" s="125"/>
      <c r="F91" s="125"/>
      <c r="G91" s="125"/>
      <c r="H91" s="125"/>
      <c r="I91" s="125"/>
      <c r="J91" s="125"/>
      <c r="K91" s="126"/>
      <c r="L91" s="108"/>
      <c r="M91" s="108"/>
      <c r="N91" s="131"/>
      <c r="O91" s="131"/>
      <c r="P91" s="108"/>
      <c r="Q91" s="108"/>
      <c r="R91" s="108"/>
      <c r="S91" s="108"/>
      <c r="T91" s="108"/>
      <c r="U91" s="108"/>
      <c r="V91" s="108"/>
      <c r="W91" s="108"/>
      <c r="X91" s="108"/>
    </row>
    <row r="92" spans="1:24" ht="12.75" x14ac:dyDescent="0.2">
      <c r="A92" s="108"/>
      <c r="B92" s="108"/>
      <c r="C92" s="170" t="s">
        <v>201</v>
      </c>
      <c r="D92" s="171" t="s">
        <v>200</v>
      </c>
      <c r="E92" s="157" t="s">
        <v>160</v>
      </c>
      <c r="F92" s="157" t="s">
        <v>148</v>
      </c>
      <c r="G92" s="160" t="s">
        <v>194</v>
      </c>
      <c r="H92" s="159" t="s">
        <v>155</v>
      </c>
      <c r="I92" s="159" t="s">
        <v>161</v>
      </c>
      <c r="J92" s="157">
        <v>10</v>
      </c>
      <c r="K92" s="157">
        <v>8</v>
      </c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</row>
    <row r="93" spans="1:24" ht="12.75" x14ac:dyDescent="0.2">
      <c r="A93" s="108"/>
      <c r="B93" s="108"/>
      <c r="C93" s="141"/>
      <c r="D93" s="141"/>
      <c r="E93" s="141"/>
      <c r="F93" s="141"/>
      <c r="G93" s="141"/>
      <c r="H93" s="141"/>
      <c r="I93" s="141"/>
      <c r="J93" s="141"/>
      <c r="K93" s="141"/>
      <c r="L93" s="108"/>
      <c r="M93" s="108"/>
      <c r="N93" s="186"/>
      <c r="O93" s="186"/>
      <c r="P93" s="108"/>
      <c r="Q93" s="108"/>
      <c r="R93" s="108"/>
      <c r="S93" s="108"/>
      <c r="T93" s="108"/>
      <c r="U93" s="108"/>
      <c r="V93" s="108"/>
      <c r="W93" s="108"/>
      <c r="X93" s="108"/>
    </row>
    <row r="94" spans="1:24" ht="4.5" customHeight="1" x14ac:dyDescent="0.2">
      <c r="A94" s="108"/>
      <c r="B94" s="108"/>
      <c r="C94" s="161"/>
      <c r="D94" s="125"/>
      <c r="E94" s="125"/>
      <c r="F94" s="125"/>
      <c r="G94" s="125"/>
      <c r="H94" s="125"/>
      <c r="I94" s="125"/>
      <c r="J94" s="125"/>
      <c r="K94" s="126"/>
      <c r="L94" s="108"/>
      <c r="M94" s="108"/>
      <c r="N94" s="131"/>
      <c r="O94" s="131"/>
      <c r="P94" s="108"/>
      <c r="Q94" s="108"/>
      <c r="R94" s="108"/>
      <c r="S94" s="108"/>
      <c r="T94" s="108"/>
      <c r="U94" s="108"/>
      <c r="V94" s="108"/>
      <c r="W94" s="108"/>
      <c r="X94" s="108"/>
    </row>
    <row r="95" spans="1:24" ht="12.75" x14ac:dyDescent="0.2">
      <c r="A95" s="108"/>
      <c r="B95" s="108"/>
      <c r="C95" s="172" t="s">
        <v>229</v>
      </c>
      <c r="D95" s="125"/>
      <c r="E95" s="125"/>
      <c r="F95" s="125"/>
      <c r="G95" s="125"/>
      <c r="H95" s="125"/>
      <c r="I95" s="126"/>
      <c r="J95" s="103">
        <f t="shared" ref="J95:K95" si="6">SUM(J83:J93)</f>
        <v>37</v>
      </c>
      <c r="K95" s="103">
        <f t="shared" si="6"/>
        <v>36</v>
      </c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</row>
    <row r="96" spans="1:24" ht="4.5" customHeight="1" x14ac:dyDescent="0.2">
      <c r="A96" s="108"/>
      <c r="B96" s="108"/>
      <c r="C96" s="161"/>
      <c r="D96" s="125"/>
      <c r="E96" s="125"/>
      <c r="F96" s="125"/>
      <c r="G96" s="125"/>
      <c r="H96" s="125"/>
      <c r="I96" s="125"/>
      <c r="J96" s="125"/>
      <c r="K96" s="126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</row>
    <row r="97" spans="1:24" ht="12.75" x14ac:dyDescent="0.2">
      <c r="A97" s="108"/>
      <c r="B97" s="108"/>
      <c r="C97" s="179"/>
      <c r="D97" s="125"/>
      <c r="E97" s="125"/>
      <c r="F97" s="125"/>
      <c r="G97" s="125"/>
      <c r="H97" s="125"/>
      <c r="I97" s="125"/>
      <c r="J97" s="125"/>
      <c r="K97" s="126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</row>
    <row r="98" spans="1:24" ht="12.75" x14ac:dyDescent="0.2">
      <c r="A98" s="108"/>
      <c r="B98" s="108"/>
      <c r="C98" s="170" t="s">
        <v>197</v>
      </c>
      <c r="D98" s="158" t="s">
        <v>198</v>
      </c>
      <c r="E98" s="159" t="s">
        <v>100</v>
      </c>
      <c r="F98" s="159" t="s">
        <v>86</v>
      </c>
      <c r="G98" s="160" t="s">
        <v>194</v>
      </c>
      <c r="H98" s="159" t="s">
        <v>87</v>
      </c>
      <c r="I98" s="159" t="s">
        <v>101</v>
      </c>
      <c r="J98" s="157">
        <v>7</v>
      </c>
      <c r="K98" s="157">
        <v>11</v>
      </c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</row>
    <row r="99" spans="1:24" ht="12.75" x14ac:dyDescent="0.2">
      <c r="A99" s="108"/>
      <c r="B99" s="108"/>
      <c r="C99" s="141"/>
      <c r="D99" s="141"/>
      <c r="E99" s="141"/>
      <c r="F99" s="141"/>
      <c r="G99" s="141"/>
      <c r="H99" s="141"/>
      <c r="I99" s="141"/>
      <c r="J99" s="141"/>
      <c r="K99" s="141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</row>
    <row r="100" spans="1:24" ht="4.5" customHeight="1" x14ac:dyDescent="0.2">
      <c r="A100" s="108"/>
      <c r="B100" s="108"/>
      <c r="C100" s="161"/>
      <c r="D100" s="125"/>
      <c r="E100" s="125"/>
      <c r="F100" s="125"/>
      <c r="G100" s="125"/>
      <c r="H100" s="125"/>
      <c r="I100" s="125"/>
      <c r="J100" s="125"/>
      <c r="K100" s="126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</row>
    <row r="101" spans="1:24" ht="12.75" x14ac:dyDescent="0.2">
      <c r="A101" s="108"/>
      <c r="B101" s="108"/>
      <c r="C101" s="170" t="s">
        <v>199</v>
      </c>
      <c r="D101" s="158" t="s">
        <v>206</v>
      </c>
      <c r="E101" s="159" t="s">
        <v>125</v>
      </c>
      <c r="F101" s="159" t="s">
        <v>135</v>
      </c>
      <c r="G101" s="160" t="s">
        <v>194</v>
      </c>
      <c r="H101" s="159" t="s">
        <v>126</v>
      </c>
      <c r="I101" s="159" t="s">
        <v>143</v>
      </c>
      <c r="J101" s="157">
        <v>13</v>
      </c>
      <c r="K101" s="157">
        <v>5</v>
      </c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</row>
    <row r="102" spans="1:24" ht="12.75" x14ac:dyDescent="0.2">
      <c r="A102" s="108"/>
      <c r="B102" s="108"/>
      <c r="C102" s="141"/>
      <c r="D102" s="141"/>
      <c r="E102" s="141"/>
      <c r="F102" s="141"/>
      <c r="G102" s="141"/>
      <c r="H102" s="141"/>
      <c r="I102" s="141"/>
      <c r="J102" s="141"/>
      <c r="K102" s="141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</row>
    <row r="103" spans="1:24" ht="4.5" customHeight="1" x14ac:dyDescent="0.2">
      <c r="A103" s="108"/>
      <c r="B103" s="108"/>
      <c r="C103" s="161"/>
      <c r="D103" s="125"/>
      <c r="E103" s="125"/>
      <c r="F103" s="125"/>
      <c r="G103" s="125"/>
      <c r="H103" s="125"/>
      <c r="I103" s="125"/>
      <c r="J103" s="125"/>
      <c r="K103" s="126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</row>
    <row r="104" spans="1:24" ht="12.75" x14ac:dyDescent="0.2">
      <c r="A104" s="108"/>
      <c r="B104" s="108"/>
      <c r="C104" s="170" t="s">
        <v>201</v>
      </c>
      <c r="D104" s="158" t="s">
        <v>202</v>
      </c>
      <c r="E104" s="159" t="s">
        <v>19</v>
      </c>
      <c r="F104" s="159" t="s">
        <v>33</v>
      </c>
      <c r="G104" s="160" t="s">
        <v>194</v>
      </c>
      <c r="H104" s="159" t="s">
        <v>20</v>
      </c>
      <c r="I104" s="159" t="s">
        <v>34</v>
      </c>
      <c r="J104" s="157">
        <v>10</v>
      </c>
      <c r="K104" s="157">
        <v>8</v>
      </c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</row>
    <row r="105" spans="1:24" ht="12.75" x14ac:dyDescent="0.2">
      <c r="A105" s="108"/>
      <c r="B105" s="108"/>
      <c r="C105" s="141"/>
      <c r="D105" s="141"/>
      <c r="E105" s="141"/>
      <c r="F105" s="141"/>
      <c r="G105" s="141"/>
      <c r="H105" s="141"/>
      <c r="I105" s="141"/>
      <c r="J105" s="141"/>
      <c r="K105" s="141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</row>
    <row r="106" spans="1:24" ht="4.5" customHeight="1" x14ac:dyDescent="0.2">
      <c r="A106" s="108"/>
      <c r="B106" s="108"/>
      <c r="C106" s="161"/>
      <c r="D106" s="125"/>
      <c r="E106" s="125"/>
      <c r="F106" s="125"/>
      <c r="G106" s="125"/>
      <c r="H106" s="125"/>
      <c r="I106" s="125"/>
      <c r="J106" s="125"/>
      <c r="K106" s="126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</row>
    <row r="107" spans="1:24" ht="12.75" x14ac:dyDescent="0.2">
      <c r="A107" s="108"/>
      <c r="B107" s="108"/>
      <c r="C107" s="170" t="s">
        <v>201</v>
      </c>
      <c r="D107" s="170" t="s">
        <v>201</v>
      </c>
      <c r="E107" s="159" t="s">
        <v>67</v>
      </c>
      <c r="F107" s="159" t="s">
        <v>61</v>
      </c>
      <c r="G107" s="160" t="s">
        <v>194</v>
      </c>
      <c r="H107" s="159" t="s">
        <v>75</v>
      </c>
      <c r="I107" s="159" t="s">
        <v>81</v>
      </c>
      <c r="J107" s="157">
        <v>6</v>
      </c>
      <c r="K107" s="157">
        <v>12</v>
      </c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</row>
    <row r="108" spans="1:24" ht="12.75" x14ac:dyDescent="0.2">
      <c r="A108" s="108"/>
      <c r="B108" s="108"/>
      <c r="C108" s="141"/>
      <c r="D108" s="141"/>
      <c r="E108" s="141"/>
      <c r="F108" s="141"/>
      <c r="G108" s="141"/>
      <c r="H108" s="141"/>
      <c r="I108" s="141"/>
      <c r="J108" s="141"/>
      <c r="K108" s="141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</row>
    <row r="109" spans="1:24" ht="4.5" customHeight="1" x14ac:dyDescent="0.2">
      <c r="A109" s="108"/>
      <c r="B109" s="108"/>
      <c r="C109" s="161"/>
      <c r="D109" s="125"/>
      <c r="E109" s="125"/>
      <c r="F109" s="125"/>
      <c r="G109" s="125"/>
      <c r="H109" s="125"/>
      <c r="I109" s="125"/>
      <c r="J109" s="125"/>
      <c r="K109" s="126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</row>
    <row r="110" spans="1:24" ht="12.75" customHeight="1" x14ac:dyDescent="0.2">
      <c r="A110" s="108"/>
      <c r="B110" s="108"/>
      <c r="C110" s="172" t="s">
        <v>230</v>
      </c>
      <c r="D110" s="125"/>
      <c r="E110" s="125"/>
      <c r="F110" s="125"/>
      <c r="G110" s="125"/>
      <c r="H110" s="125"/>
      <c r="I110" s="126"/>
      <c r="J110" s="103">
        <f t="shared" ref="J110:K110" si="7">SUM(J98:J108)</f>
        <v>36</v>
      </c>
      <c r="K110" s="103">
        <f t="shared" si="7"/>
        <v>36</v>
      </c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</row>
    <row r="111" spans="1:24" ht="4.5" customHeight="1" x14ac:dyDescent="0.2">
      <c r="A111" s="108"/>
      <c r="B111" s="108"/>
      <c r="C111" s="161"/>
      <c r="D111" s="125"/>
      <c r="E111" s="125"/>
      <c r="F111" s="125"/>
      <c r="G111" s="125"/>
      <c r="H111" s="125"/>
      <c r="I111" s="125"/>
      <c r="J111" s="125"/>
      <c r="K111" s="126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</row>
    <row r="112" spans="1:24" ht="12.75" customHeight="1" x14ac:dyDescent="0.2">
      <c r="A112" s="108"/>
      <c r="B112" s="108"/>
      <c r="C112" s="179" t="s">
        <v>231</v>
      </c>
      <c r="D112" s="125"/>
      <c r="E112" s="125"/>
      <c r="F112" s="125"/>
      <c r="G112" s="125"/>
      <c r="H112" s="125"/>
      <c r="I112" s="126"/>
      <c r="J112" s="104">
        <f t="shared" ref="J112:K112" si="8">J110+J95</f>
        <v>73</v>
      </c>
      <c r="K112" s="104">
        <f t="shared" si="8"/>
        <v>72</v>
      </c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</row>
    <row r="113" spans="1:24" ht="6.75" customHeight="1" x14ac:dyDescent="0.2">
      <c r="A113" s="108"/>
      <c r="B113" s="108"/>
      <c r="C113" s="161"/>
      <c r="D113" s="125"/>
      <c r="E113" s="125"/>
      <c r="F113" s="125"/>
      <c r="G113" s="125"/>
      <c r="H113" s="125"/>
      <c r="I113" s="125"/>
      <c r="J113" s="125"/>
      <c r="K113" s="126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</row>
    <row r="114" spans="1:24" ht="12.75" customHeight="1" x14ac:dyDescent="0.2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</row>
    <row r="115" spans="1:24" ht="12.75" customHeight="1" x14ac:dyDescent="0.2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</row>
    <row r="116" spans="1:24" ht="12.75" customHeight="1" x14ac:dyDescent="0.2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</row>
    <row r="117" spans="1:24" ht="12.75" customHeight="1" x14ac:dyDescent="0.2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</row>
    <row r="118" spans="1:24" ht="12.75" customHeight="1" x14ac:dyDescent="0.2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</row>
    <row r="119" spans="1:24" ht="12.75" customHeight="1" x14ac:dyDescent="0.2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</row>
    <row r="120" spans="1:24" ht="12.75" customHeight="1" x14ac:dyDescent="0.2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</row>
    <row r="121" spans="1:24" ht="12.75" customHeight="1" x14ac:dyDescent="0.2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</row>
    <row r="122" spans="1:24" ht="12.75" customHeight="1" x14ac:dyDescent="0.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</row>
    <row r="123" spans="1:24" ht="12.75" customHeight="1" x14ac:dyDescent="0.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</row>
    <row r="124" spans="1:24" ht="12.75" customHeight="1" x14ac:dyDescent="0.2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</row>
    <row r="125" spans="1:24" ht="12.75" customHeight="1" x14ac:dyDescent="0.2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</row>
    <row r="126" spans="1:24" ht="12.75" customHeight="1" x14ac:dyDescent="0.2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</row>
    <row r="127" spans="1:24" ht="12.75" customHeight="1" x14ac:dyDescent="0.2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</row>
    <row r="128" spans="1:24" ht="12.75" customHeight="1" x14ac:dyDescent="0.2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</row>
    <row r="129" spans="1:24" ht="12.75" customHeight="1" x14ac:dyDescent="0.2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</row>
    <row r="130" spans="1:24" ht="12.75" customHeight="1" x14ac:dyDescent="0.2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</row>
    <row r="131" spans="1:24" ht="12.75" customHeight="1" x14ac:dyDescent="0.2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</row>
    <row r="132" spans="1:24" ht="12.75" customHeight="1" x14ac:dyDescent="0.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</row>
    <row r="133" spans="1:24" ht="12.75" customHeight="1" x14ac:dyDescent="0.2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</row>
    <row r="134" spans="1:24" ht="12.75" customHeight="1" x14ac:dyDescent="0.2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</row>
    <row r="135" spans="1:24" ht="12.75" customHeight="1" x14ac:dyDescent="0.2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</row>
    <row r="136" spans="1:24" ht="12.75" customHeight="1" x14ac:dyDescent="0.2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</row>
    <row r="137" spans="1:24" ht="12.75" customHeight="1" x14ac:dyDescent="0.2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</row>
    <row r="138" spans="1:24" ht="12.75" customHeight="1" x14ac:dyDescent="0.2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</row>
    <row r="139" spans="1:24" ht="12.75" customHeight="1" x14ac:dyDescent="0.2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</row>
    <row r="140" spans="1:24" ht="12.75" customHeight="1" x14ac:dyDescent="0.2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</row>
    <row r="141" spans="1:24" ht="12.75" customHeight="1" x14ac:dyDescent="0.2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</row>
    <row r="142" spans="1:24" ht="12.75" customHeight="1" x14ac:dyDescent="0.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</row>
    <row r="143" spans="1:24" ht="12.75" customHeight="1" x14ac:dyDescent="0.2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</row>
    <row r="144" spans="1:24" ht="12.75" customHeight="1" x14ac:dyDescent="0.2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</row>
    <row r="145" spans="1:24" ht="12.75" customHeight="1" x14ac:dyDescent="0.2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</row>
    <row r="146" spans="1:24" ht="12.75" customHeight="1" x14ac:dyDescent="0.2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</row>
    <row r="147" spans="1:24" ht="12.75" customHeight="1" x14ac:dyDescent="0.2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</row>
    <row r="148" spans="1:24" ht="12.75" customHeight="1" x14ac:dyDescent="0.2">
      <c r="A148" s="108"/>
      <c r="B148" s="108"/>
      <c r="C148" s="108"/>
      <c r="D148" s="108"/>
      <c r="E148" s="108"/>
      <c r="F148" s="108" t="s">
        <v>224</v>
      </c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</row>
    <row r="149" spans="1:24" ht="12.75" customHeight="1" x14ac:dyDescent="0.2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</row>
    <row r="150" spans="1:24" ht="12.75" customHeight="1" x14ac:dyDescent="0.2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</row>
    <row r="151" spans="1:24" ht="12.75" customHeight="1" x14ac:dyDescent="0.2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</row>
    <row r="152" spans="1:24" ht="12.75" customHeight="1" x14ac:dyDescent="0.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</row>
    <row r="153" spans="1:24" ht="12.75" customHeight="1" x14ac:dyDescent="0.2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</row>
    <row r="154" spans="1:24" ht="12.75" customHeight="1" x14ac:dyDescent="0.2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</row>
    <row r="155" spans="1:24" ht="12.75" customHeight="1" x14ac:dyDescent="0.2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</row>
    <row r="156" spans="1:24" ht="12.75" customHeight="1" x14ac:dyDescent="0.2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</row>
    <row r="157" spans="1:24" ht="12.75" customHeight="1" x14ac:dyDescent="0.2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</row>
    <row r="158" spans="1:24" ht="12.75" customHeight="1" x14ac:dyDescent="0.2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</row>
    <row r="159" spans="1:24" ht="12.75" customHeight="1" x14ac:dyDescent="0.2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</row>
    <row r="160" spans="1:24" ht="12.75" customHeight="1" x14ac:dyDescent="0.2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</row>
    <row r="161" spans="1:24" ht="12.75" customHeight="1" x14ac:dyDescent="0.2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</row>
    <row r="162" spans="1:24" ht="12.75" customHeight="1" x14ac:dyDescent="0.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</row>
    <row r="163" spans="1:24" ht="12.75" customHeight="1" x14ac:dyDescent="0.2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</row>
    <row r="164" spans="1:24" ht="12.75" customHeight="1" x14ac:dyDescent="0.2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</row>
    <row r="165" spans="1:24" ht="12.75" customHeight="1" x14ac:dyDescent="0.2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</row>
    <row r="166" spans="1:24" ht="12.75" customHeight="1" x14ac:dyDescent="0.2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</row>
    <row r="167" spans="1:24" ht="12.75" customHeight="1" x14ac:dyDescent="0.2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</row>
    <row r="168" spans="1:24" ht="12.75" customHeight="1" x14ac:dyDescent="0.2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</row>
    <row r="169" spans="1:24" ht="12.75" customHeight="1" x14ac:dyDescent="0.2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</row>
    <row r="170" spans="1:24" ht="12.75" customHeight="1" x14ac:dyDescent="0.2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</row>
    <row r="171" spans="1:24" ht="12.75" customHeight="1" x14ac:dyDescent="0.2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</row>
    <row r="172" spans="1:24" ht="12.75" customHeight="1" x14ac:dyDescent="0.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</row>
    <row r="173" spans="1:24" ht="12.75" customHeight="1" x14ac:dyDescent="0.2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</row>
    <row r="174" spans="1:24" ht="12.75" customHeight="1" x14ac:dyDescent="0.2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</row>
    <row r="175" spans="1:24" ht="12.75" customHeight="1" x14ac:dyDescent="0.2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</row>
    <row r="176" spans="1:24" ht="12.75" customHeight="1" x14ac:dyDescent="0.2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</row>
    <row r="177" spans="1:24" ht="12.75" customHeight="1" x14ac:dyDescent="0.2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</row>
    <row r="178" spans="1:24" ht="12.75" customHeight="1" x14ac:dyDescent="0.2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</row>
    <row r="179" spans="1:24" ht="12.75" customHeight="1" x14ac:dyDescent="0.2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</row>
    <row r="180" spans="1:24" ht="12.75" customHeight="1" x14ac:dyDescent="0.2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</row>
    <row r="181" spans="1:24" ht="12.75" customHeight="1" x14ac:dyDescent="0.2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</row>
    <row r="182" spans="1:24" ht="12.75" customHeight="1" x14ac:dyDescent="0.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</row>
    <row r="183" spans="1:24" ht="12.75" customHeight="1" x14ac:dyDescent="0.2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</row>
    <row r="184" spans="1:24" ht="12.75" customHeight="1" x14ac:dyDescent="0.2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</row>
    <row r="185" spans="1:24" ht="12.75" customHeight="1" x14ac:dyDescent="0.2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</row>
    <row r="186" spans="1:24" ht="12.75" customHeight="1" x14ac:dyDescent="0.2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</row>
    <row r="187" spans="1:24" ht="12.75" customHeight="1" x14ac:dyDescent="0.2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</row>
    <row r="188" spans="1:24" ht="12.75" customHeight="1" x14ac:dyDescent="0.2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</row>
    <row r="189" spans="1:24" ht="12.75" customHeight="1" x14ac:dyDescent="0.2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</row>
    <row r="190" spans="1:24" ht="12.75" customHeight="1" x14ac:dyDescent="0.2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</row>
    <row r="191" spans="1:24" ht="12.75" customHeight="1" x14ac:dyDescent="0.2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</row>
    <row r="192" spans="1:24" ht="12.75" customHeight="1" x14ac:dyDescent="0.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</row>
    <row r="193" spans="1:24" ht="12.75" customHeight="1" x14ac:dyDescent="0.2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</row>
    <row r="194" spans="1:24" ht="12.75" customHeight="1" x14ac:dyDescent="0.2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</row>
    <row r="195" spans="1:24" ht="12.75" customHeight="1" x14ac:dyDescent="0.2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</row>
    <row r="196" spans="1:24" ht="12.75" customHeight="1" x14ac:dyDescent="0.2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</row>
    <row r="197" spans="1:24" ht="12.75" customHeight="1" x14ac:dyDescent="0.2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</row>
    <row r="198" spans="1:24" ht="12.75" customHeight="1" x14ac:dyDescent="0.2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</row>
    <row r="199" spans="1:24" ht="12.75" customHeight="1" x14ac:dyDescent="0.2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</row>
    <row r="200" spans="1:24" ht="12.75" customHeight="1" x14ac:dyDescent="0.2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</row>
    <row r="201" spans="1:24" ht="12.75" customHeight="1" x14ac:dyDescent="0.2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</row>
    <row r="202" spans="1:24" ht="12.75" customHeight="1" x14ac:dyDescent="0.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</row>
    <row r="203" spans="1:24" ht="12.75" customHeight="1" x14ac:dyDescent="0.2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</row>
    <row r="204" spans="1:24" ht="12.75" customHeight="1" x14ac:dyDescent="0.2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</row>
    <row r="205" spans="1:24" ht="12.75" customHeight="1" x14ac:dyDescent="0.2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</row>
    <row r="206" spans="1:24" ht="12.75" customHeight="1" x14ac:dyDescent="0.2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</row>
    <row r="207" spans="1:24" ht="12.75" customHeight="1" x14ac:dyDescent="0.2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</row>
    <row r="208" spans="1:24" ht="12.75" customHeight="1" x14ac:dyDescent="0.2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</row>
    <row r="209" spans="1:24" ht="12.75" customHeight="1" x14ac:dyDescent="0.2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</row>
    <row r="210" spans="1:24" ht="12.75" customHeight="1" x14ac:dyDescent="0.2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</row>
    <row r="211" spans="1:24" ht="12.75" customHeight="1" x14ac:dyDescent="0.2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</row>
    <row r="212" spans="1:24" ht="12.75" customHeight="1" x14ac:dyDescent="0.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</row>
    <row r="213" spans="1:24" ht="12.75" customHeight="1" x14ac:dyDescent="0.2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</row>
    <row r="214" spans="1:24" ht="12.75" customHeight="1" x14ac:dyDescent="0.2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</row>
    <row r="215" spans="1:24" ht="12.75" customHeight="1" x14ac:dyDescent="0.2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</row>
    <row r="216" spans="1:24" ht="12.75" customHeight="1" x14ac:dyDescent="0.2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</row>
    <row r="217" spans="1:24" ht="12.75" customHeight="1" x14ac:dyDescent="0.2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</row>
    <row r="218" spans="1:24" ht="12.75" customHeight="1" x14ac:dyDescent="0.2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</row>
    <row r="219" spans="1:24" ht="12.75" customHeight="1" x14ac:dyDescent="0.2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</row>
    <row r="220" spans="1:24" ht="12.75" customHeight="1" x14ac:dyDescent="0.2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</row>
    <row r="221" spans="1:24" ht="12.75" customHeight="1" x14ac:dyDescent="0.2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</row>
    <row r="222" spans="1:24" ht="12.75" customHeight="1" x14ac:dyDescent="0.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</row>
    <row r="223" spans="1:24" ht="12.75" customHeight="1" x14ac:dyDescent="0.2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</row>
    <row r="224" spans="1:24" ht="12.75" customHeight="1" x14ac:dyDescent="0.2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</row>
    <row r="225" spans="1:24" ht="12.75" customHeight="1" x14ac:dyDescent="0.2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</row>
    <row r="226" spans="1:24" ht="12.75" customHeight="1" x14ac:dyDescent="0.2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</row>
    <row r="227" spans="1:24" ht="12.75" customHeight="1" x14ac:dyDescent="0.2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</row>
    <row r="228" spans="1:24" ht="12.75" customHeight="1" x14ac:dyDescent="0.2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</row>
    <row r="229" spans="1:24" ht="12.75" customHeight="1" x14ac:dyDescent="0.2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</row>
    <row r="230" spans="1:24" ht="12.75" customHeight="1" x14ac:dyDescent="0.2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</row>
    <row r="231" spans="1:24" ht="12.75" customHeight="1" x14ac:dyDescent="0.2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</row>
    <row r="232" spans="1:24" ht="12.75" customHeight="1" x14ac:dyDescent="0.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</row>
    <row r="233" spans="1:24" ht="12.75" customHeight="1" x14ac:dyDescent="0.2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</row>
    <row r="234" spans="1:24" ht="12.75" customHeight="1" x14ac:dyDescent="0.2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</row>
    <row r="235" spans="1:24" ht="12.75" customHeight="1" x14ac:dyDescent="0.2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</row>
    <row r="236" spans="1:24" ht="12.75" customHeight="1" x14ac:dyDescent="0.2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</row>
    <row r="237" spans="1:24" ht="12.75" customHeight="1" x14ac:dyDescent="0.2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</row>
    <row r="238" spans="1:24" ht="12.75" customHeight="1" x14ac:dyDescent="0.2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</row>
    <row r="239" spans="1:24" ht="12.75" customHeight="1" x14ac:dyDescent="0.2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</row>
    <row r="240" spans="1:24" ht="12.75" customHeight="1" x14ac:dyDescent="0.2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</row>
    <row r="241" spans="1:24" ht="12.75" customHeight="1" x14ac:dyDescent="0.2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</row>
    <row r="242" spans="1:24" ht="12.75" customHeight="1" x14ac:dyDescent="0.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</row>
    <row r="243" spans="1:24" ht="12.75" customHeight="1" x14ac:dyDescent="0.2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</row>
    <row r="244" spans="1:24" ht="12.75" customHeight="1" x14ac:dyDescent="0.2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</row>
    <row r="245" spans="1:24" ht="12.75" customHeight="1" x14ac:dyDescent="0.2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</row>
    <row r="246" spans="1:24" ht="12.75" customHeight="1" x14ac:dyDescent="0.2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</row>
    <row r="247" spans="1:24" ht="12.75" customHeight="1" x14ac:dyDescent="0.2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</row>
    <row r="248" spans="1:24" ht="12.75" customHeight="1" x14ac:dyDescent="0.2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</row>
    <row r="249" spans="1:24" ht="12.75" customHeight="1" x14ac:dyDescent="0.2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</row>
    <row r="250" spans="1:24" ht="12.75" customHeight="1" x14ac:dyDescent="0.2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</row>
    <row r="251" spans="1:24" ht="12.75" customHeight="1" x14ac:dyDescent="0.2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</row>
    <row r="252" spans="1:24" ht="12.75" customHeight="1" x14ac:dyDescent="0.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</row>
    <row r="253" spans="1:24" ht="12.75" customHeight="1" x14ac:dyDescent="0.2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</row>
    <row r="254" spans="1:24" ht="12.75" customHeight="1" x14ac:dyDescent="0.2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</row>
    <row r="255" spans="1:24" ht="12.75" customHeight="1" x14ac:dyDescent="0.2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</row>
    <row r="256" spans="1:24" ht="12.75" customHeight="1" x14ac:dyDescent="0.2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</row>
    <row r="257" spans="1:24" ht="12.75" customHeight="1" x14ac:dyDescent="0.2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</row>
    <row r="258" spans="1:24" ht="12.75" customHeight="1" x14ac:dyDescent="0.2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</row>
    <row r="259" spans="1:24" ht="12.75" customHeight="1" x14ac:dyDescent="0.2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</row>
    <row r="260" spans="1:24" ht="12.75" customHeight="1" x14ac:dyDescent="0.2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</row>
    <row r="261" spans="1:24" ht="12.75" customHeight="1" x14ac:dyDescent="0.2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</row>
    <row r="262" spans="1:24" ht="12.75" customHeight="1" x14ac:dyDescent="0.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</row>
    <row r="263" spans="1:24" ht="12.75" customHeight="1" x14ac:dyDescent="0.2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</row>
    <row r="264" spans="1:24" ht="12.75" customHeight="1" x14ac:dyDescent="0.2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</row>
    <row r="265" spans="1:24" ht="12.75" customHeight="1" x14ac:dyDescent="0.2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</row>
    <row r="266" spans="1:24" ht="12.75" customHeight="1" x14ac:dyDescent="0.2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</row>
    <row r="267" spans="1:24" ht="12.75" customHeight="1" x14ac:dyDescent="0.2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</row>
    <row r="268" spans="1:24" ht="12.75" customHeight="1" x14ac:dyDescent="0.2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</row>
    <row r="269" spans="1:24" ht="12.75" customHeight="1" x14ac:dyDescent="0.2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</row>
    <row r="270" spans="1:24" ht="12.75" customHeight="1" x14ac:dyDescent="0.2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</row>
    <row r="271" spans="1:24" ht="12.75" customHeight="1" x14ac:dyDescent="0.2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</row>
    <row r="272" spans="1:24" ht="12.75" customHeight="1" x14ac:dyDescent="0.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</row>
    <row r="273" spans="1:24" ht="12.75" customHeight="1" x14ac:dyDescent="0.2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</row>
    <row r="274" spans="1:24" ht="12.75" customHeight="1" x14ac:dyDescent="0.2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</row>
    <row r="275" spans="1:24" ht="12.75" customHeight="1" x14ac:dyDescent="0.2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</row>
    <row r="276" spans="1:24" ht="12.75" customHeight="1" x14ac:dyDescent="0.2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</row>
    <row r="277" spans="1:24" ht="12.75" customHeight="1" x14ac:dyDescent="0.2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</row>
    <row r="278" spans="1:24" ht="12.75" customHeight="1" x14ac:dyDescent="0.2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</row>
    <row r="279" spans="1:24" ht="12.75" customHeight="1" x14ac:dyDescent="0.2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</row>
    <row r="280" spans="1:24" ht="12.75" customHeight="1" x14ac:dyDescent="0.2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</row>
    <row r="281" spans="1:24" ht="12.75" customHeight="1" x14ac:dyDescent="0.2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</row>
    <row r="282" spans="1:24" ht="12.75" customHeight="1" x14ac:dyDescent="0.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</row>
    <row r="283" spans="1:24" ht="12.75" customHeight="1" x14ac:dyDescent="0.2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</row>
    <row r="284" spans="1:24" ht="12.75" customHeight="1" x14ac:dyDescent="0.2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</row>
    <row r="285" spans="1:24" ht="12.75" customHeight="1" x14ac:dyDescent="0.2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</row>
    <row r="286" spans="1:24" ht="12.75" customHeight="1" x14ac:dyDescent="0.2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</row>
    <row r="287" spans="1:24" ht="12.75" customHeight="1" x14ac:dyDescent="0.2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</row>
    <row r="288" spans="1:24" ht="12.75" customHeight="1" x14ac:dyDescent="0.2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</row>
    <row r="289" spans="1:24" ht="12.75" customHeight="1" x14ac:dyDescent="0.2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</row>
    <row r="290" spans="1:24" ht="12.75" customHeight="1" x14ac:dyDescent="0.2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</row>
    <row r="291" spans="1:24" ht="12.75" customHeight="1" x14ac:dyDescent="0.2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</row>
    <row r="292" spans="1:24" ht="12.75" customHeight="1" x14ac:dyDescent="0.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</row>
    <row r="293" spans="1:24" ht="12.75" customHeight="1" x14ac:dyDescent="0.2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</row>
    <row r="294" spans="1:24" ht="12.75" customHeight="1" x14ac:dyDescent="0.2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</row>
    <row r="295" spans="1:24" ht="12.75" customHeight="1" x14ac:dyDescent="0.2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</row>
    <row r="296" spans="1:24" ht="12.75" customHeight="1" x14ac:dyDescent="0.2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</row>
    <row r="297" spans="1:24" ht="12.75" customHeight="1" x14ac:dyDescent="0.2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</row>
    <row r="298" spans="1:24" ht="12.75" customHeight="1" x14ac:dyDescent="0.2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</row>
    <row r="299" spans="1:24" ht="12.75" customHeight="1" x14ac:dyDescent="0.2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</row>
    <row r="300" spans="1:24" ht="12.75" customHeight="1" x14ac:dyDescent="0.2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</row>
    <row r="301" spans="1:24" ht="12.75" customHeight="1" x14ac:dyDescent="0.2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</row>
    <row r="302" spans="1:24" ht="12.75" customHeight="1" x14ac:dyDescent="0.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</row>
    <row r="303" spans="1:24" ht="12.75" customHeight="1" x14ac:dyDescent="0.2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</row>
    <row r="304" spans="1:24" ht="12.75" customHeight="1" x14ac:dyDescent="0.2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</row>
    <row r="305" spans="1:24" ht="12.75" customHeight="1" x14ac:dyDescent="0.2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</row>
    <row r="306" spans="1:24" ht="12.75" customHeight="1" x14ac:dyDescent="0.2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</row>
    <row r="307" spans="1:24" ht="12.75" customHeight="1" x14ac:dyDescent="0.2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</row>
    <row r="308" spans="1:24" ht="12.75" customHeight="1" x14ac:dyDescent="0.2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</row>
    <row r="309" spans="1:24" ht="12.75" customHeight="1" x14ac:dyDescent="0.2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</row>
    <row r="310" spans="1:24" ht="12.75" customHeight="1" x14ac:dyDescent="0.2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</row>
    <row r="311" spans="1:24" ht="12.75" customHeight="1" x14ac:dyDescent="0.2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</row>
    <row r="312" spans="1:24" ht="12.75" customHeight="1" x14ac:dyDescent="0.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</row>
    <row r="313" spans="1:24" ht="12.75" customHeight="1" x14ac:dyDescent="0.2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</row>
    <row r="314" spans="1:24" ht="12.75" customHeight="1" x14ac:dyDescent="0.2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</row>
    <row r="315" spans="1:24" ht="12.75" customHeight="1" x14ac:dyDescent="0.2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</row>
    <row r="316" spans="1:24" ht="12.75" customHeight="1" x14ac:dyDescent="0.2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</row>
    <row r="317" spans="1:24" ht="12.75" customHeight="1" x14ac:dyDescent="0.2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</row>
    <row r="318" spans="1:24" ht="12.75" customHeight="1" x14ac:dyDescent="0.2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</row>
    <row r="319" spans="1:24" ht="12.75" customHeight="1" x14ac:dyDescent="0.2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</row>
    <row r="320" spans="1:24" ht="12.75" customHeight="1" x14ac:dyDescent="0.2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</row>
    <row r="321" spans="1:24" ht="12.75" customHeight="1" x14ac:dyDescent="0.2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</row>
    <row r="322" spans="1:24" ht="12.75" customHeight="1" x14ac:dyDescent="0.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</row>
    <row r="323" spans="1:24" ht="12.75" customHeight="1" x14ac:dyDescent="0.2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</row>
    <row r="324" spans="1:24" ht="12.75" customHeight="1" x14ac:dyDescent="0.2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</row>
    <row r="325" spans="1:24" ht="12.75" customHeight="1" x14ac:dyDescent="0.2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</row>
    <row r="326" spans="1:24" ht="12.75" customHeight="1" x14ac:dyDescent="0.2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</row>
    <row r="327" spans="1:24" ht="12.75" customHeight="1" x14ac:dyDescent="0.2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</row>
    <row r="328" spans="1:24" ht="12.75" customHeight="1" x14ac:dyDescent="0.2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</row>
    <row r="329" spans="1:24" ht="12.75" customHeight="1" x14ac:dyDescent="0.2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</row>
    <row r="330" spans="1:24" ht="12.75" customHeight="1" x14ac:dyDescent="0.2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</row>
    <row r="331" spans="1:24" ht="12.75" customHeight="1" x14ac:dyDescent="0.2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</row>
    <row r="332" spans="1:24" ht="12.75" customHeight="1" x14ac:dyDescent="0.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</row>
    <row r="333" spans="1:24" ht="12.75" customHeight="1" x14ac:dyDescent="0.2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</row>
    <row r="334" spans="1:24" ht="12.75" customHeight="1" x14ac:dyDescent="0.2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</row>
    <row r="335" spans="1:24" ht="12.75" customHeight="1" x14ac:dyDescent="0.2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</row>
    <row r="336" spans="1:24" ht="12.75" customHeight="1" x14ac:dyDescent="0.2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</row>
    <row r="337" spans="1:24" ht="12.75" customHeight="1" x14ac:dyDescent="0.2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</row>
    <row r="338" spans="1:24" ht="12.75" customHeight="1" x14ac:dyDescent="0.2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</row>
    <row r="339" spans="1:24" ht="12.75" customHeight="1" x14ac:dyDescent="0.2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</row>
    <row r="340" spans="1:24" ht="12.75" customHeight="1" x14ac:dyDescent="0.2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</row>
    <row r="341" spans="1:24" ht="12.75" customHeight="1" x14ac:dyDescent="0.2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</row>
    <row r="342" spans="1:24" ht="12.75" customHeight="1" x14ac:dyDescent="0.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</row>
    <row r="343" spans="1:24" ht="12.75" customHeight="1" x14ac:dyDescent="0.2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</row>
    <row r="344" spans="1:24" ht="12.75" customHeight="1" x14ac:dyDescent="0.2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</row>
    <row r="345" spans="1:24" ht="12.75" customHeight="1" x14ac:dyDescent="0.2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</row>
    <row r="346" spans="1:24" ht="12.75" customHeight="1" x14ac:dyDescent="0.2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</row>
    <row r="347" spans="1:24" ht="12.75" customHeight="1" x14ac:dyDescent="0.2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</row>
    <row r="348" spans="1:24" ht="12.75" customHeight="1" x14ac:dyDescent="0.2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</row>
    <row r="349" spans="1:24" ht="12.75" customHeight="1" x14ac:dyDescent="0.2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</row>
    <row r="350" spans="1:24" ht="12.75" customHeight="1" x14ac:dyDescent="0.2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</row>
    <row r="351" spans="1:24" ht="12.75" customHeight="1" x14ac:dyDescent="0.2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</row>
    <row r="352" spans="1:24" ht="12.75" customHeight="1" x14ac:dyDescent="0.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</row>
    <row r="353" spans="1:24" ht="12.75" customHeight="1" x14ac:dyDescent="0.2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</row>
    <row r="354" spans="1:24" ht="12.75" customHeight="1" x14ac:dyDescent="0.2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</row>
    <row r="355" spans="1:24" ht="12.75" customHeight="1" x14ac:dyDescent="0.2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</row>
    <row r="356" spans="1:24" ht="12.75" customHeight="1" x14ac:dyDescent="0.2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</row>
    <row r="357" spans="1:24" ht="12.75" customHeight="1" x14ac:dyDescent="0.2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</row>
    <row r="358" spans="1:24" ht="12.75" customHeight="1" x14ac:dyDescent="0.2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</row>
    <row r="359" spans="1:24" ht="12.75" customHeight="1" x14ac:dyDescent="0.2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</row>
    <row r="360" spans="1:24" ht="12.75" customHeight="1" x14ac:dyDescent="0.2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</row>
    <row r="361" spans="1:24" ht="12.75" customHeight="1" x14ac:dyDescent="0.2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</row>
    <row r="362" spans="1:24" ht="12.75" customHeight="1" x14ac:dyDescent="0.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</row>
    <row r="363" spans="1:24" ht="12.75" customHeight="1" x14ac:dyDescent="0.2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</row>
    <row r="364" spans="1:24" ht="12.75" customHeight="1" x14ac:dyDescent="0.2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</row>
    <row r="365" spans="1:24" ht="12.75" customHeight="1" x14ac:dyDescent="0.2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</row>
    <row r="366" spans="1:24" ht="12.75" customHeight="1" x14ac:dyDescent="0.2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</row>
    <row r="367" spans="1:24" ht="12.75" customHeight="1" x14ac:dyDescent="0.2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</row>
    <row r="368" spans="1:24" ht="12.75" customHeight="1" x14ac:dyDescent="0.2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</row>
    <row r="369" spans="1:24" ht="12.75" customHeight="1" x14ac:dyDescent="0.2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</row>
    <row r="370" spans="1:24" ht="12.75" customHeight="1" x14ac:dyDescent="0.2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</row>
    <row r="371" spans="1:24" ht="12.75" customHeight="1" x14ac:dyDescent="0.2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</row>
    <row r="372" spans="1:24" ht="12.75" customHeight="1" x14ac:dyDescent="0.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</row>
    <row r="373" spans="1:24" ht="12.75" customHeight="1" x14ac:dyDescent="0.2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</row>
    <row r="374" spans="1:24" ht="12.75" customHeight="1" x14ac:dyDescent="0.2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</row>
    <row r="375" spans="1:24" ht="12.75" customHeight="1" x14ac:dyDescent="0.2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</row>
    <row r="376" spans="1:24" ht="12.75" customHeight="1" x14ac:dyDescent="0.2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</row>
    <row r="377" spans="1:24" ht="12.75" customHeight="1" x14ac:dyDescent="0.2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</row>
    <row r="378" spans="1:24" ht="12.75" customHeight="1" x14ac:dyDescent="0.2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</row>
    <row r="379" spans="1:24" ht="12.75" customHeight="1" x14ac:dyDescent="0.2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</row>
    <row r="380" spans="1:24" ht="12.75" customHeight="1" x14ac:dyDescent="0.2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</row>
    <row r="381" spans="1:24" ht="12.75" customHeight="1" x14ac:dyDescent="0.2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</row>
    <row r="382" spans="1:24" ht="12.75" customHeight="1" x14ac:dyDescent="0.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</row>
    <row r="383" spans="1:24" ht="12.75" customHeight="1" x14ac:dyDescent="0.2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</row>
    <row r="384" spans="1:24" ht="12.75" customHeight="1" x14ac:dyDescent="0.2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</row>
    <row r="385" spans="1:24" ht="12.75" customHeight="1" x14ac:dyDescent="0.2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</row>
    <row r="386" spans="1:24" ht="12.75" customHeight="1" x14ac:dyDescent="0.2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</row>
    <row r="387" spans="1:24" ht="12.75" customHeight="1" x14ac:dyDescent="0.2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</row>
    <row r="388" spans="1:24" ht="12.75" customHeight="1" x14ac:dyDescent="0.2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</row>
    <row r="389" spans="1:24" ht="12.75" customHeight="1" x14ac:dyDescent="0.2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</row>
    <row r="390" spans="1:24" ht="12.75" customHeight="1" x14ac:dyDescent="0.2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</row>
    <row r="391" spans="1:24" ht="12.75" customHeight="1" x14ac:dyDescent="0.2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</row>
    <row r="392" spans="1:24" ht="12.75" customHeight="1" x14ac:dyDescent="0.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</row>
    <row r="393" spans="1:24" ht="12.75" customHeight="1" x14ac:dyDescent="0.2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</row>
    <row r="394" spans="1:24" ht="12.75" customHeight="1" x14ac:dyDescent="0.2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</row>
    <row r="395" spans="1:24" ht="12.75" customHeight="1" x14ac:dyDescent="0.2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</row>
    <row r="396" spans="1:24" ht="12.75" customHeight="1" x14ac:dyDescent="0.2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</row>
    <row r="397" spans="1:24" ht="12.75" customHeight="1" x14ac:dyDescent="0.2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</row>
    <row r="398" spans="1:24" ht="12.75" customHeight="1" x14ac:dyDescent="0.2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</row>
    <row r="399" spans="1:24" ht="12.75" customHeight="1" x14ac:dyDescent="0.2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</row>
    <row r="400" spans="1:24" ht="12.75" customHeight="1" x14ac:dyDescent="0.2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</row>
    <row r="401" spans="1:24" ht="12.75" customHeight="1" x14ac:dyDescent="0.2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</row>
    <row r="402" spans="1:24" ht="12.75" customHeight="1" x14ac:dyDescent="0.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</row>
    <row r="403" spans="1:24" ht="12.75" customHeight="1" x14ac:dyDescent="0.2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</row>
    <row r="404" spans="1:24" ht="12.75" customHeight="1" x14ac:dyDescent="0.2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</row>
    <row r="405" spans="1:24" ht="12.75" customHeight="1" x14ac:dyDescent="0.2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</row>
    <row r="406" spans="1:24" ht="12.75" customHeight="1" x14ac:dyDescent="0.2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</row>
    <row r="407" spans="1:24" ht="12.75" customHeight="1" x14ac:dyDescent="0.2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</row>
    <row r="408" spans="1:24" ht="12.75" customHeight="1" x14ac:dyDescent="0.2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</row>
    <row r="409" spans="1:24" ht="12.75" customHeight="1" x14ac:dyDescent="0.2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</row>
    <row r="410" spans="1:24" ht="12.75" customHeight="1" x14ac:dyDescent="0.2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</row>
    <row r="411" spans="1:24" ht="12.75" customHeight="1" x14ac:dyDescent="0.2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</row>
    <row r="412" spans="1:24" ht="12.75" customHeight="1" x14ac:dyDescent="0.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</row>
    <row r="413" spans="1:24" ht="12.75" customHeight="1" x14ac:dyDescent="0.2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</row>
    <row r="414" spans="1:24" ht="12.75" customHeight="1" x14ac:dyDescent="0.2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</row>
    <row r="415" spans="1:24" ht="12.75" customHeight="1" x14ac:dyDescent="0.2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</row>
    <row r="416" spans="1:24" ht="12.75" customHeight="1" x14ac:dyDescent="0.2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</row>
    <row r="417" spans="1:24" ht="12.75" customHeight="1" x14ac:dyDescent="0.2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</row>
    <row r="418" spans="1:24" ht="12.75" customHeight="1" x14ac:dyDescent="0.2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</row>
    <row r="419" spans="1:24" ht="12.75" customHeight="1" x14ac:dyDescent="0.2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</row>
    <row r="420" spans="1:24" ht="12.75" customHeight="1" x14ac:dyDescent="0.2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</row>
    <row r="421" spans="1:24" ht="12.75" customHeight="1" x14ac:dyDescent="0.2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</row>
    <row r="422" spans="1:24" ht="12.75" customHeight="1" x14ac:dyDescent="0.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</row>
    <row r="423" spans="1:24" ht="12.75" customHeight="1" x14ac:dyDescent="0.2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</row>
    <row r="424" spans="1:24" ht="12.75" customHeight="1" x14ac:dyDescent="0.2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</row>
    <row r="425" spans="1:24" ht="12.75" customHeight="1" x14ac:dyDescent="0.2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</row>
    <row r="426" spans="1:24" ht="12.75" customHeight="1" x14ac:dyDescent="0.2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</row>
    <row r="427" spans="1:24" ht="12.75" customHeight="1" x14ac:dyDescent="0.2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</row>
    <row r="428" spans="1:24" ht="12.75" customHeight="1" x14ac:dyDescent="0.2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</row>
    <row r="429" spans="1:24" ht="12.75" customHeight="1" x14ac:dyDescent="0.2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</row>
    <row r="430" spans="1:24" ht="12.75" customHeight="1" x14ac:dyDescent="0.2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</row>
    <row r="431" spans="1:24" ht="12.75" customHeight="1" x14ac:dyDescent="0.2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</row>
    <row r="432" spans="1:24" ht="12.75" customHeight="1" x14ac:dyDescent="0.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</row>
    <row r="433" spans="1:24" ht="12.75" customHeight="1" x14ac:dyDescent="0.2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</row>
    <row r="434" spans="1:24" ht="12.75" customHeight="1" x14ac:dyDescent="0.2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</row>
    <row r="435" spans="1:24" ht="12.75" customHeight="1" x14ac:dyDescent="0.2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</row>
    <row r="436" spans="1:24" ht="12.75" customHeight="1" x14ac:dyDescent="0.2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</row>
    <row r="437" spans="1:24" ht="12.75" customHeight="1" x14ac:dyDescent="0.2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</row>
    <row r="438" spans="1:24" ht="12.75" customHeight="1" x14ac:dyDescent="0.2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</row>
    <row r="439" spans="1:24" ht="12.75" customHeight="1" x14ac:dyDescent="0.2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</row>
    <row r="440" spans="1:24" ht="12.75" customHeight="1" x14ac:dyDescent="0.2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</row>
    <row r="441" spans="1:24" ht="12.75" customHeight="1" x14ac:dyDescent="0.2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</row>
    <row r="442" spans="1:24" ht="12.75" customHeight="1" x14ac:dyDescent="0.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</row>
    <row r="443" spans="1:24" ht="12.75" customHeight="1" x14ac:dyDescent="0.2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</row>
    <row r="444" spans="1:24" ht="12.75" customHeight="1" x14ac:dyDescent="0.2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</row>
    <row r="445" spans="1:24" ht="12.75" customHeight="1" x14ac:dyDescent="0.2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</row>
    <row r="446" spans="1:24" ht="12.75" customHeight="1" x14ac:dyDescent="0.2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</row>
    <row r="447" spans="1:24" ht="12.75" customHeight="1" x14ac:dyDescent="0.2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</row>
    <row r="448" spans="1:24" ht="12.75" customHeight="1" x14ac:dyDescent="0.2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</row>
    <row r="449" spans="1:24" ht="12.75" customHeight="1" x14ac:dyDescent="0.2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</row>
    <row r="450" spans="1:24" ht="12.75" customHeight="1" x14ac:dyDescent="0.2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</row>
    <row r="451" spans="1:24" ht="12.75" customHeight="1" x14ac:dyDescent="0.2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</row>
    <row r="452" spans="1:24" ht="12.75" customHeight="1" x14ac:dyDescent="0.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</row>
    <row r="453" spans="1:24" ht="12.75" customHeight="1" x14ac:dyDescent="0.2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</row>
    <row r="454" spans="1:24" ht="12.75" customHeight="1" x14ac:dyDescent="0.2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</row>
    <row r="455" spans="1:24" ht="12.75" customHeight="1" x14ac:dyDescent="0.2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</row>
    <row r="456" spans="1:24" ht="12.75" customHeight="1" x14ac:dyDescent="0.2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</row>
    <row r="457" spans="1:24" ht="12.75" customHeight="1" x14ac:dyDescent="0.2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</row>
    <row r="458" spans="1:24" ht="12.75" customHeight="1" x14ac:dyDescent="0.2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</row>
    <row r="459" spans="1:24" ht="12.75" customHeight="1" x14ac:dyDescent="0.2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</row>
    <row r="460" spans="1:24" ht="12.75" customHeight="1" x14ac:dyDescent="0.2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</row>
    <row r="461" spans="1:24" ht="12.75" customHeight="1" x14ac:dyDescent="0.2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</row>
    <row r="462" spans="1:24" ht="12.75" customHeight="1" x14ac:dyDescent="0.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</row>
    <row r="463" spans="1:24" ht="12.75" customHeight="1" x14ac:dyDescent="0.2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</row>
    <row r="464" spans="1:24" ht="12.75" customHeight="1" x14ac:dyDescent="0.2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</row>
    <row r="465" spans="1:24" ht="12.75" customHeight="1" x14ac:dyDescent="0.2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</row>
    <row r="466" spans="1:24" ht="12.75" customHeight="1" x14ac:dyDescent="0.2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</row>
    <row r="467" spans="1:24" ht="12.75" customHeight="1" x14ac:dyDescent="0.2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</row>
    <row r="468" spans="1:24" ht="12.75" customHeight="1" x14ac:dyDescent="0.2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</row>
    <row r="469" spans="1:24" ht="12.75" customHeight="1" x14ac:dyDescent="0.2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</row>
    <row r="470" spans="1:24" ht="12.75" customHeight="1" x14ac:dyDescent="0.2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</row>
    <row r="471" spans="1:24" ht="12.75" customHeight="1" x14ac:dyDescent="0.2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</row>
    <row r="472" spans="1:24" ht="12.75" customHeight="1" x14ac:dyDescent="0.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</row>
    <row r="473" spans="1:24" ht="12.75" customHeight="1" x14ac:dyDescent="0.2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</row>
    <row r="474" spans="1:24" ht="12.75" customHeight="1" x14ac:dyDescent="0.2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</row>
    <row r="475" spans="1:24" ht="12.75" customHeight="1" x14ac:dyDescent="0.2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</row>
    <row r="476" spans="1:24" ht="12.75" customHeight="1" x14ac:dyDescent="0.2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</row>
    <row r="477" spans="1:24" ht="12.75" customHeight="1" x14ac:dyDescent="0.2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</row>
    <row r="478" spans="1:24" ht="12.75" customHeight="1" x14ac:dyDescent="0.2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</row>
    <row r="479" spans="1:24" ht="12.75" customHeight="1" x14ac:dyDescent="0.2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</row>
    <row r="480" spans="1:24" ht="12.75" customHeight="1" x14ac:dyDescent="0.2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</row>
    <row r="481" spans="1:24" ht="12.75" customHeight="1" x14ac:dyDescent="0.2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</row>
    <row r="482" spans="1:24" ht="12.75" customHeight="1" x14ac:dyDescent="0.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</row>
    <row r="483" spans="1:24" ht="12.75" customHeight="1" x14ac:dyDescent="0.2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</row>
    <row r="484" spans="1:24" ht="12.75" customHeight="1" x14ac:dyDescent="0.2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</row>
    <row r="485" spans="1:24" ht="12.75" customHeight="1" x14ac:dyDescent="0.2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</row>
    <row r="486" spans="1:24" ht="12.75" customHeight="1" x14ac:dyDescent="0.2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</row>
    <row r="487" spans="1:24" ht="12.75" customHeight="1" x14ac:dyDescent="0.2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</row>
    <row r="488" spans="1:24" ht="12.75" customHeight="1" x14ac:dyDescent="0.2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</row>
    <row r="489" spans="1:24" ht="12.75" customHeight="1" x14ac:dyDescent="0.2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</row>
    <row r="490" spans="1:24" ht="12.75" customHeight="1" x14ac:dyDescent="0.2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</row>
    <row r="491" spans="1:24" ht="12.75" customHeight="1" x14ac:dyDescent="0.2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</row>
    <row r="492" spans="1:24" ht="12.75" customHeight="1" x14ac:dyDescent="0.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</row>
    <row r="493" spans="1:24" ht="12.75" customHeight="1" x14ac:dyDescent="0.2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</row>
    <row r="494" spans="1:24" ht="12.75" customHeight="1" x14ac:dyDescent="0.2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</row>
    <row r="495" spans="1:24" ht="12.75" customHeight="1" x14ac:dyDescent="0.2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</row>
    <row r="496" spans="1:24" ht="12.75" customHeight="1" x14ac:dyDescent="0.2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</row>
    <row r="497" spans="1:24" ht="12.75" customHeight="1" x14ac:dyDescent="0.2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</row>
    <row r="498" spans="1:24" ht="12.75" customHeight="1" x14ac:dyDescent="0.2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</row>
    <row r="499" spans="1:24" ht="12.75" customHeight="1" x14ac:dyDescent="0.2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</row>
    <row r="500" spans="1:24" ht="12.75" customHeight="1" x14ac:dyDescent="0.2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</row>
    <row r="501" spans="1:24" ht="12.75" customHeight="1" x14ac:dyDescent="0.2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</row>
    <row r="502" spans="1:24" ht="12.75" customHeight="1" x14ac:dyDescent="0.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</row>
    <row r="503" spans="1:24" ht="12.75" customHeight="1" x14ac:dyDescent="0.2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</row>
    <row r="504" spans="1:24" ht="12.75" customHeight="1" x14ac:dyDescent="0.2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</row>
    <row r="505" spans="1:24" ht="12.75" customHeight="1" x14ac:dyDescent="0.2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</row>
    <row r="506" spans="1:24" ht="12.75" customHeight="1" x14ac:dyDescent="0.2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</row>
    <row r="507" spans="1:24" ht="12.75" customHeight="1" x14ac:dyDescent="0.2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</row>
    <row r="508" spans="1:24" ht="12.75" customHeight="1" x14ac:dyDescent="0.2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</row>
    <row r="509" spans="1:24" ht="12.75" customHeight="1" x14ac:dyDescent="0.2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</row>
    <row r="510" spans="1:24" ht="12.75" customHeight="1" x14ac:dyDescent="0.2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</row>
    <row r="511" spans="1:24" ht="12.75" customHeight="1" x14ac:dyDescent="0.2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</row>
    <row r="512" spans="1:24" ht="12.75" customHeight="1" x14ac:dyDescent="0.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</row>
    <row r="513" spans="1:24" ht="12.75" customHeight="1" x14ac:dyDescent="0.2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</row>
    <row r="514" spans="1:24" ht="12.75" customHeight="1" x14ac:dyDescent="0.2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</row>
    <row r="515" spans="1:24" ht="12.75" customHeight="1" x14ac:dyDescent="0.2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</row>
    <row r="516" spans="1:24" ht="12.75" customHeight="1" x14ac:dyDescent="0.2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</row>
    <row r="517" spans="1:24" ht="12.75" customHeight="1" x14ac:dyDescent="0.2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</row>
    <row r="518" spans="1:24" ht="12.75" customHeight="1" x14ac:dyDescent="0.2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</row>
    <row r="519" spans="1:24" ht="12.75" customHeight="1" x14ac:dyDescent="0.2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</row>
    <row r="520" spans="1:24" ht="12.75" customHeight="1" x14ac:dyDescent="0.2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</row>
    <row r="521" spans="1:24" ht="12.75" customHeight="1" x14ac:dyDescent="0.2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</row>
    <row r="522" spans="1:24" ht="12.75" customHeight="1" x14ac:dyDescent="0.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</row>
    <row r="523" spans="1:24" ht="12.75" customHeight="1" x14ac:dyDescent="0.2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</row>
    <row r="524" spans="1:24" ht="12.75" customHeight="1" x14ac:dyDescent="0.2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</row>
    <row r="525" spans="1:24" ht="12.75" customHeight="1" x14ac:dyDescent="0.2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</row>
    <row r="526" spans="1:24" ht="12.75" customHeight="1" x14ac:dyDescent="0.2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</row>
    <row r="527" spans="1:24" ht="12.75" customHeight="1" x14ac:dyDescent="0.2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</row>
    <row r="528" spans="1:24" ht="12.75" customHeight="1" x14ac:dyDescent="0.2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</row>
    <row r="529" spans="1:24" ht="12.75" customHeight="1" x14ac:dyDescent="0.2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</row>
    <row r="530" spans="1:24" ht="12.75" customHeight="1" x14ac:dyDescent="0.2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</row>
    <row r="531" spans="1:24" ht="12.75" customHeight="1" x14ac:dyDescent="0.2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</row>
    <row r="532" spans="1:24" ht="12.75" customHeight="1" x14ac:dyDescent="0.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</row>
    <row r="533" spans="1:24" ht="12.75" customHeight="1" x14ac:dyDescent="0.2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</row>
    <row r="534" spans="1:24" ht="12.75" customHeight="1" x14ac:dyDescent="0.2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</row>
    <row r="535" spans="1:24" ht="12.75" customHeight="1" x14ac:dyDescent="0.2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</row>
    <row r="536" spans="1:24" ht="12.75" customHeight="1" x14ac:dyDescent="0.2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</row>
    <row r="537" spans="1:24" ht="12.75" customHeight="1" x14ac:dyDescent="0.2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</row>
    <row r="538" spans="1:24" ht="12.75" customHeight="1" x14ac:dyDescent="0.2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</row>
    <row r="539" spans="1:24" ht="12.75" customHeight="1" x14ac:dyDescent="0.2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</row>
    <row r="540" spans="1:24" ht="12.75" customHeight="1" x14ac:dyDescent="0.2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</row>
    <row r="541" spans="1:24" ht="12.75" customHeight="1" x14ac:dyDescent="0.2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</row>
    <row r="542" spans="1:24" ht="12.75" customHeight="1" x14ac:dyDescent="0.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</row>
    <row r="543" spans="1:24" ht="12.75" customHeight="1" x14ac:dyDescent="0.2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</row>
    <row r="544" spans="1:24" ht="12.75" customHeight="1" x14ac:dyDescent="0.2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</row>
    <row r="545" spans="1:24" ht="12.75" customHeight="1" x14ac:dyDescent="0.2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</row>
    <row r="546" spans="1:24" ht="12.75" customHeight="1" x14ac:dyDescent="0.2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</row>
    <row r="547" spans="1:24" ht="12.75" customHeight="1" x14ac:dyDescent="0.2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</row>
    <row r="548" spans="1:24" ht="12.75" customHeight="1" x14ac:dyDescent="0.2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</row>
    <row r="549" spans="1:24" ht="12.75" customHeight="1" x14ac:dyDescent="0.2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</row>
    <row r="550" spans="1:24" ht="12.75" customHeight="1" x14ac:dyDescent="0.2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</row>
    <row r="551" spans="1:24" ht="12.75" customHeight="1" x14ac:dyDescent="0.2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</row>
    <row r="552" spans="1:24" ht="12.75" customHeight="1" x14ac:dyDescent="0.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</row>
    <row r="553" spans="1:24" ht="12.75" customHeight="1" x14ac:dyDescent="0.2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</row>
    <row r="554" spans="1:24" ht="12.75" customHeight="1" x14ac:dyDescent="0.2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</row>
    <row r="555" spans="1:24" ht="12.75" customHeight="1" x14ac:dyDescent="0.2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</row>
    <row r="556" spans="1:24" ht="12.75" customHeight="1" x14ac:dyDescent="0.2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</row>
    <row r="557" spans="1:24" ht="12.75" customHeight="1" x14ac:dyDescent="0.2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</row>
    <row r="558" spans="1:24" ht="12.75" customHeight="1" x14ac:dyDescent="0.2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</row>
    <row r="559" spans="1:24" ht="12.75" customHeight="1" x14ac:dyDescent="0.2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</row>
    <row r="560" spans="1:24" ht="12.75" customHeight="1" x14ac:dyDescent="0.2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</row>
    <row r="561" spans="1:24" ht="12.75" customHeight="1" x14ac:dyDescent="0.2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</row>
    <row r="562" spans="1:24" ht="12.75" customHeight="1" x14ac:dyDescent="0.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</row>
    <row r="563" spans="1:24" ht="12.75" customHeight="1" x14ac:dyDescent="0.2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</row>
    <row r="564" spans="1:24" ht="12.75" customHeight="1" x14ac:dyDescent="0.2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</row>
    <row r="565" spans="1:24" ht="12.75" customHeight="1" x14ac:dyDescent="0.2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</row>
    <row r="566" spans="1:24" ht="12.75" customHeight="1" x14ac:dyDescent="0.2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</row>
    <row r="567" spans="1:24" ht="12.75" customHeight="1" x14ac:dyDescent="0.2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</row>
    <row r="568" spans="1:24" ht="12.75" customHeight="1" x14ac:dyDescent="0.2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</row>
    <row r="569" spans="1:24" ht="12.75" customHeight="1" x14ac:dyDescent="0.2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</row>
    <row r="570" spans="1:24" ht="12.75" customHeight="1" x14ac:dyDescent="0.2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</row>
    <row r="571" spans="1:24" ht="12.75" customHeight="1" x14ac:dyDescent="0.2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</row>
    <row r="572" spans="1:24" ht="12.75" customHeight="1" x14ac:dyDescent="0.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</row>
    <row r="573" spans="1:24" ht="12.75" customHeight="1" x14ac:dyDescent="0.2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</row>
    <row r="574" spans="1:24" ht="12.75" customHeight="1" x14ac:dyDescent="0.2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</row>
    <row r="575" spans="1:24" ht="12.75" customHeight="1" x14ac:dyDescent="0.2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</row>
    <row r="576" spans="1:24" ht="12.75" customHeight="1" x14ac:dyDescent="0.2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</row>
    <row r="577" spans="1:24" ht="12.75" customHeight="1" x14ac:dyDescent="0.2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</row>
    <row r="578" spans="1:24" ht="12.75" customHeight="1" x14ac:dyDescent="0.2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</row>
    <row r="579" spans="1:24" ht="12.75" customHeight="1" x14ac:dyDescent="0.2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</row>
    <row r="580" spans="1:24" ht="12.75" customHeight="1" x14ac:dyDescent="0.2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</row>
    <row r="581" spans="1:24" ht="12.75" customHeight="1" x14ac:dyDescent="0.2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</row>
    <row r="582" spans="1:24" ht="12.75" customHeight="1" x14ac:dyDescent="0.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</row>
    <row r="583" spans="1:24" ht="12.75" customHeight="1" x14ac:dyDescent="0.2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</row>
    <row r="584" spans="1:24" ht="12.75" customHeight="1" x14ac:dyDescent="0.2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</row>
    <row r="585" spans="1:24" ht="12.75" customHeight="1" x14ac:dyDescent="0.2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</row>
    <row r="586" spans="1:24" ht="12.75" customHeight="1" x14ac:dyDescent="0.2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</row>
    <row r="587" spans="1:24" ht="12.75" customHeight="1" x14ac:dyDescent="0.2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</row>
    <row r="588" spans="1:24" ht="12.75" customHeight="1" x14ac:dyDescent="0.2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</row>
    <row r="589" spans="1:24" ht="12.75" customHeight="1" x14ac:dyDescent="0.2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</row>
    <row r="590" spans="1:24" ht="12.75" customHeight="1" x14ac:dyDescent="0.2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</row>
    <row r="591" spans="1:24" ht="12.75" customHeight="1" x14ac:dyDescent="0.2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</row>
    <row r="592" spans="1:24" ht="12.75" customHeight="1" x14ac:dyDescent="0.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</row>
    <row r="593" spans="1:24" ht="12.75" customHeight="1" x14ac:dyDescent="0.2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</row>
    <row r="594" spans="1:24" ht="12.75" customHeight="1" x14ac:dyDescent="0.2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</row>
    <row r="595" spans="1:24" ht="12.75" customHeight="1" x14ac:dyDescent="0.2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</row>
    <row r="596" spans="1:24" ht="12.75" customHeight="1" x14ac:dyDescent="0.2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</row>
    <row r="597" spans="1:24" ht="12.75" customHeight="1" x14ac:dyDescent="0.2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</row>
    <row r="598" spans="1:24" ht="12.75" customHeight="1" x14ac:dyDescent="0.2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</row>
    <row r="599" spans="1:24" ht="12.75" customHeight="1" x14ac:dyDescent="0.2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</row>
    <row r="600" spans="1:24" ht="12.75" customHeight="1" x14ac:dyDescent="0.2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</row>
    <row r="601" spans="1:24" ht="12.75" customHeight="1" x14ac:dyDescent="0.2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</row>
    <row r="602" spans="1:24" ht="12.75" customHeight="1" x14ac:dyDescent="0.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</row>
    <row r="603" spans="1:24" ht="12.75" customHeight="1" x14ac:dyDescent="0.2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</row>
    <row r="604" spans="1:24" ht="12.75" customHeight="1" x14ac:dyDescent="0.2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</row>
    <row r="605" spans="1:24" ht="12.75" customHeight="1" x14ac:dyDescent="0.2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</row>
    <row r="606" spans="1:24" ht="12.75" customHeight="1" x14ac:dyDescent="0.2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</row>
    <row r="607" spans="1:24" ht="12.75" customHeight="1" x14ac:dyDescent="0.2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</row>
    <row r="608" spans="1:24" ht="12.75" customHeight="1" x14ac:dyDescent="0.2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</row>
    <row r="609" spans="1:24" ht="12.75" customHeight="1" x14ac:dyDescent="0.2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</row>
    <row r="610" spans="1:24" ht="12.75" customHeight="1" x14ac:dyDescent="0.2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</row>
    <row r="611" spans="1:24" ht="12.75" customHeight="1" x14ac:dyDescent="0.2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</row>
    <row r="612" spans="1:24" ht="12.75" customHeight="1" x14ac:dyDescent="0.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</row>
    <row r="613" spans="1:24" ht="12.75" customHeight="1" x14ac:dyDescent="0.2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</row>
    <row r="614" spans="1:24" ht="12.75" customHeight="1" x14ac:dyDescent="0.2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</row>
    <row r="615" spans="1:24" ht="12.75" customHeight="1" x14ac:dyDescent="0.2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</row>
    <row r="616" spans="1:24" ht="12.75" customHeight="1" x14ac:dyDescent="0.2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</row>
    <row r="617" spans="1:24" ht="12.75" customHeight="1" x14ac:dyDescent="0.2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</row>
    <row r="618" spans="1:24" ht="12.75" customHeight="1" x14ac:dyDescent="0.2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</row>
    <row r="619" spans="1:24" ht="12.75" customHeight="1" x14ac:dyDescent="0.2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</row>
    <row r="620" spans="1:24" ht="12.75" customHeight="1" x14ac:dyDescent="0.2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</row>
    <row r="621" spans="1:24" ht="12.75" customHeight="1" x14ac:dyDescent="0.2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</row>
    <row r="622" spans="1:24" ht="12.75" customHeight="1" x14ac:dyDescent="0.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</row>
    <row r="623" spans="1:24" ht="12.75" customHeight="1" x14ac:dyDescent="0.2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</row>
    <row r="624" spans="1:24" ht="12.75" customHeight="1" x14ac:dyDescent="0.2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</row>
    <row r="625" spans="1:24" ht="12.75" customHeight="1" x14ac:dyDescent="0.2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</row>
    <row r="626" spans="1:24" ht="12.75" customHeight="1" x14ac:dyDescent="0.2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</row>
    <row r="627" spans="1:24" ht="12.75" customHeight="1" x14ac:dyDescent="0.2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</row>
    <row r="628" spans="1:24" ht="12.75" customHeight="1" x14ac:dyDescent="0.2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</row>
    <row r="629" spans="1:24" ht="12.75" customHeight="1" x14ac:dyDescent="0.2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</row>
    <row r="630" spans="1:24" ht="12.75" customHeight="1" x14ac:dyDescent="0.2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</row>
    <row r="631" spans="1:24" ht="12.75" customHeight="1" x14ac:dyDescent="0.2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</row>
    <row r="632" spans="1:24" ht="12.75" customHeight="1" x14ac:dyDescent="0.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</row>
    <row r="633" spans="1:24" ht="12.75" customHeight="1" x14ac:dyDescent="0.2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</row>
    <row r="634" spans="1:24" ht="12.75" customHeight="1" x14ac:dyDescent="0.2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</row>
    <row r="635" spans="1:24" ht="12.75" customHeight="1" x14ac:dyDescent="0.2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</row>
    <row r="636" spans="1:24" ht="12.75" customHeight="1" x14ac:dyDescent="0.2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</row>
    <row r="637" spans="1:24" ht="12.75" customHeight="1" x14ac:dyDescent="0.2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</row>
    <row r="638" spans="1:24" ht="12.75" customHeight="1" x14ac:dyDescent="0.2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</row>
    <row r="639" spans="1:24" ht="12.75" customHeight="1" x14ac:dyDescent="0.2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</row>
    <row r="640" spans="1:24" ht="12.75" customHeight="1" x14ac:dyDescent="0.2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</row>
    <row r="641" spans="1:24" ht="12.75" customHeight="1" x14ac:dyDescent="0.2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</row>
    <row r="642" spans="1:24" ht="12.75" customHeight="1" x14ac:dyDescent="0.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</row>
    <row r="643" spans="1:24" ht="12.75" customHeight="1" x14ac:dyDescent="0.2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</row>
    <row r="644" spans="1:24" ht="12.75" customHeight="1" x14ac:dyDescent="0.2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</row>
    <row r="645" spans="1:24" ht="12.75" customHeight="1" x14ac:dyDescent="0.2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</row>
    <row r="646" spans="1:24" ht="12.75" customHeight="1" x14ac:dyDescent="0.2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</row>
    <row r="647" spans="1:24" ht="12.75" customHeight="1" x14ac:dyDescent="0.2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</row>
    <row r="648" spans="1:24" ht="12.75" customHeight="1" x14ac:dyDescent="0.2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</row>
    <row r="649" spans="1:24" ht="12.75" customHeight="1" x14ac:dyDescent="0.2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</row>
    <row r="650" spans="1:24" ht="12.75" customHeight="1" x14ac:dyDescent="0.2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</row>
    <row r="651" spans="1:24" ht="12.75" customHeight="1" x14ac:dyDescent="0.2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</row>
    <row r="652" spans="1:24" ht="12.75" customHeight="1" x14ac:dyDescent="0.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</row>
    <row r="653" spans="1:24" ht="12.75" customHeight="1" x14ac:dyDescent="0.2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</row>
    <row r="654" spans="1:24" ht="12.75" customHeight="1" x14ac:dyDescent="0.2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</row>
    <row r="655" spans="1:24" ht="12.75" customHeight="1" x14ac:dyDescent="0.2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</row>
    <row r="656" spans="1:24" ht="12.75" customHeight="1" x14ac:dyDescent="0.2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</row>
    <row r="657" spans="1:24" ht="12.75" customHeight="1" x14ac:dyDescent="0.2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</row>
    <row r="658" spans="1:24" ht="12.75" customHeight="1" x14ac:dyDescent="0.2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</row>
    <row r="659" spans="1:24" ht="12.75" customHeight="1" x14ac:dyDescent="0.2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</row>
    <row r="660" spans="1:24" ht="12.75" customHeight="1" x14ac:dyDescent="0.2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</row>
    <row r="661" spans="1:24" ht="12.75" customHeight="1" x14ac:dyDescent="0.2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</row>
    <row r="662" spans="1:24" ht="12.75" customHeight="1" x14ac:dyDescent="0.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</row>
    <row r="663" spans="1:24" ht="12.75" customHeight="1" x14ac:dyDescent="0.2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</row>
    <row r="664" spans="1:24" ht="12.75" customHeight="1" x14ac:dyDescent="0.2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</row>
    <row r="665" spans="1:24" ht="12.75" customHeight="1" x14ac:dyDescent="0.2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</row>
    <row r="666" spans="1:24" ht="12.75" customHeight="1" x14ac:dyDescent="0.2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</row>
    <row r="667" spans="1:24" ht="12.75" customHeight="1" x14ac:dyDescent="0.2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</row>
    <row r="668" spans="1:24" ht="12.75" customHeight="1" x14ac:dyDescent="0.2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</row>
    <row r="669" spans="1:24" ht="12.75" customHeight="1" x14ac:dyDescent="0.2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</row>
    <row r="670" spans="1:24" ht="12.75" customHeight="1" x14ac:dyDescent="0.2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</row>
    <row r="671" spans="1:24" ht="12.75" customHeight="1" x14ac:dyDescent="0.2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</row>
    <row r="672" spans="1:24" ht="12.75" customHeight="1" x14ac:dyDescent="0.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</row>
    <row r="673" spans="1:24" ht="12.75" customHeight="1" x14ac:dyDescent="0.2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</row>
    <row r="674" spans="1:24" ht="12.75" customHeight="1" x14ac:dyDescent="0.2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</row>
    <row r="675" spans="1:24" ht="12.75" customHeight="1" x14ac:dyDescent="0.2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</row>
    <row r="676" spans="1:24" ht="12.75" customHeight="1" x14ac:dyDescent="0.2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</row>
    <row r="677" spans="1:24" ht="12.75" customHeight="1" x14ac:dyDescent="0.2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</row>
    <row r="678" spans="1:24" ht="12.75" customHeight="1" x14ac:dyDescent="0.2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</row>
    <row r="679" spans="1:24" ht="12.75" customHeight="1" x14ac:dyDescent="0.2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</row>
    <row r="680" spans="1:24" ht="12.75" customHeight="1" x14ac:dyDescent="0.2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</row>
    <row r="681" spans="1:24" ht="12.75" customHeight="1" x14ac:dyDescent="0.2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</row>
    <row r="682" spans="1:24" ht="12.75" customHeight="1" x14ac:dyDescent="0.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</row>
    <row r="683" spans="1:24" ht="12.75" customHeight="1" x14ac:dyDescent="0.2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</row>
    <row r="684" spans="1:24" ht="12.75" customHeight="1" x14ac:dyDescent="0.2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</row>
    <row r="685" spans="1:24" ht="12.75" customHeight="1" x14ac:dyDescent="0.2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</row>
    <row r="686" spans="1:24" ht="12.75" customHeight="1" x14ac:dyDescent="0.2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</row>
    <row r="687" spans="1:24" ht="12.75" customHeight="1" x14ac:dyDescent="0.2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</row>
    <row r="688" spans="1:24" ht="12.75" customHeight="1" x14ac:dyDescent="0.2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</row>
    <row r="689" spans="1:24" ht="12.75" customHeight="1" x14ac:dyDescent="0.2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</row>
    <row r="690" spans="1:24" ht="12.75" customHeight="1" x14ac:dyDescent="0.2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</row>
    <row r="691" spans="1:24" ht="12.75" customHeight="1" x14ac:dyDescent="0.2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</row>
    <row r="692" spans="1:24" ht="12.75" customHeight="1" x14ac:dyDescent="0.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</row>
    <row r="693" spans="1:24" ht="12.75" customHeight="1" x14ac:dyDescent="0.2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</row>
    <row r="694" spans="1:24" ht="12.75" customHeight="1" x14ac:dyDescent="0.2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</row>
    <row r="695" spans="1:24" ht="12.75" customHeight="1" x14ac:dyDescent="0.2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</row>
    <row r="696" spans="1:24" ht="12.75" customHeight="1" x14ac:dyDescent="0.2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</row>
    <row r="697" spans="1:24" ht="12.75" customHeight="1" x14ac:dyDescent="0.2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</row>
    <row r="698" spans="1:24" ht="12.75" customHeight="1" x14ac:dyDescent="0.2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</row>
    <row r="699" spans="1:24" ht="12.75" customHeight="1" x14ac:dyDescent="0.2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</row>
    <row r="700" spans="1:24" ht="12.75" customHeight="1" x14ac:dyDescent="0.2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</row>
    <row r="701" spans="1:24" ht="12.75" customHeight="1" x14ac:dyDescent="0.2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</row>
    <row r="702" spans="1:24" ht="12.75" customHeight="1" x14ac:dyDescent="0.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</row>
    <row r="703" spans="1:24" ht="12.75" customHeight="1" x14ac:dyDescent="0.2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</row>
    <row r="704" spans="1:24" ht="12.75" customHeight="1" x14ac:dyDescent="0.2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</row>
    <row r="705" spans="1:24" ht="12.75" customHeight="1" x14ac:dyDescent="0.2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</row>
    <row r="706" spans="1:24" ht="12.75" customHeight="1" x14ac:dyDescent="0.2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</row>
    <row r="707" spans="1:24" ht="12.75" customHeight="1" x14ac:dyDescent="0.2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</row>
    <row r="708" spans="1:24" ht="12.75" customHeight="1" x14ac:dyDescent="0.2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</row>
    <row r="709" spans="1:24" ht="12.75" customHeight="1" x14ac:dyDescent="0.2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</row>
    <row r="710" spans="1:24" ht="12.75" customHeight="1" x14ac:dyDescent="0.2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</row>
    <row r="711" spans="1:24" ht="12.75" customHeight="1" x14ac:dyDescent="0.2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</row>
    <row r="712" spans="1:24" ht="12.75" customHeight="1" x14ac:dyDescent="0.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</row>
    <row r="713" spans="1:24" ht="12.75" customHeight="1" x14ac:dyDescent="0.2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</row>
    <row r="714" spans="1:24" ht="12.75" customHeight="1" x14ac:dyDescent="0.2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</row>
    <row r="715" spans="1:24" ht="12.75" customHeight="1" x14ac:dyDescent="0.2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</row>
    <row r="716" spans="1:24" ht="12.75" customHeight="1" x14ac:dyDescent="0.2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</row>
    <row r="717" spans="1:24" ht="12.75" customHeight="1" x14ac:dyDescent="0.2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</row>
    <row r="718" spans="1:24" ht="12.75" customHeight="1" x14ac:dyDescent="0.2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</row>
    <row r="719" spans="1:24" ht="12.75" customHeight="1" x14ac:dyDescent="0.2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</row>
    <row r="720" spans="1:24" ht="12.75" customHeight="1" x14ac:dyDescent="0.2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</row>
    <row r="721" spans="1:24" ht="12.75" customHeight="1" x14ac:dyDescent="0.2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</row>
    <row r="722" spans="1:24" ht="12.75" customHeight="1" x14ac:dyDescent="0.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</row>
    <row r="723" spans="1:24" ht="12.75" customHeight="1" x14ac:dyDescent="0.2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</row>
    <row r="724" spans="1:24" ht="12.75" customHeight="1" x14ac:dyDescent="0.2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</row>
    <row r="725" spans="1:24" ht="12.75" customHeight="1" x14ac:dyDescent="0.2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</row>
    <row r="726" spans="1:24" ht="12.75" customHeight="1" x14ac:dyDescent="0.2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</row>
    <row r="727" spans="1:24" ht="12.75" customHeight="1" x14ac:dyDescent="0.2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</row>
    <row r="728" spans="1:24" ht="12.75" customHeight="1" x14ac:dyDescent="0.2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</row>
    <row r="729" spans="1:24" ht="12.75" customHeight="1" x14ac:dyDescent="0.2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</row>
    <row r="730" spans="1:24" ht="12.75" customHeight="1" x14ac:dyDescent="0.2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</row>
    <row r="731" spans="1:24" ht="12.75" customHeight="1" x14ac:dyDescent="0.2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</row>
    <row r="732" spans="1:24" ht="12.75" customHeight="1" x14ac:dyDescent="0.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</row>
    <row r="733" spans="1:24" ht="12.75" customHeight="1" x14ac:dyDescent="0.2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</row>
    <row r="734" spans="1:24" ht="12.75" customHeight="1" x14ac:dyDescent="0.2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</row>
    <row r="735" spans="1:24" ht="12.75" customHeight="1" x14ac:dyDescent="0.2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</row>
    <row r="736" spans="1:24" ht="12.75" customHeight="1" x14ac:dyDescent="0.2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</row>
    <row r="737" spans="1:24" ht="12.75" customHeight="1" x14ac:dyDescent="0.2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</row>
    <row r="738" spans="1:24" ht="12.75" customHeight="1" x14ac:dyDescent="0.2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</row>
    <row r="739" spans="1:24" ht="12.75" customHeight="1" x14ac:dyDescent="0.2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</row>
    <row r="740" spans="1:24" ht="12.75" customHeight="1" x14ac:dyDescent="0.2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</row>
    <row r="741" spans="1:24" ht="12.75" customHeight="1" x14ac:dyDescent="0.2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</row>
    <row r="742" spans="1:24" ht="12.75" customHeight="1" x14ac:dyDescent="0.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</row>
    <row r="743" spans="1:24" ht="12.75" customHeight="1" x14ac:dyDescent="0.2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</row>
    <row r="744" spans="1:24" ht="12.75" customHeight="1" x14ac:dyDescent="0.2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</row>
    <row r="745" spans="1:24" ht="12.75" customHeight="1" x14ac:dyDescent="0.2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</row>
    <row r="746" spans="1:24" ht="12.75" customHeight="1" x14ac:dyDescent="0.2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</row>
    <row r="747" spans="1:24" ht="12.75" customHeight="1" x14ac:dyDescent="0.2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</row>
    <row r="748" spans="1:24" ht="12.75" customHeight="1" x14ac:dyDescent="0.2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</row>
    <row r="749" spans="1:24" ht="12.75" customHeight="1" x14ac:dyDescent="0.2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</row>
    <row r="750" spans="1:24" ht="12.75" customHeight="1" x14ac:dyDescent="0.2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</row>
    <row r="751" spans="1:24" ht="12.75" customHeight="1" x14ac:dyDescent="0.2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</row>
    <row r="752" spans="1:24" ht="12.75" customHeight="1" x14ac:dyDescent="0.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</row>
    <row r="753" spans="1:24" ht="12.75" customHeight="1" x14ac:dyDescent="0.2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</row>
    <row r="754" spans="1:24" ht="12.75" customHeight="1" x14ac:dyDescent="0.2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</row>
    <row r="755" spans="1:24" ht="12.75" customHeight="1" x14ac:dyDescent="0.2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</row>
    <row r="756" spans="1:24" ht="12.75" customHeight="1" x14ac:dyDescent="0.2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</row>
    <row r="757" spans="1:24" ht="12.75" customHeight="1" x14ac:dyDescent="0.2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</row>
    <row r="758" spans="1:24" ht="12.75" customHeight="1" x14ac:dyDescent="0.2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</row>
    <row r="759" spans="1:24" ht="12.75" customHeight="1" x14ac:dyDescent="0.2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</row>
    <row r="760" spans="1:24" ht="12.75" customHeight="1" x14ac:dyDescent="0.2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</row>
    <row r="761" spans="1:24" ht="12.75" customHeight="1" x14ac:dyDescent="0.2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</row>
    <row r="762" spans="1:24" ht="12.75" customHeight="1" x14ac:dyDescent="0.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</row>
    <row r="763" spans="1:24" ht="12.75" customHeight="1" x14ac:dyDescent="0.2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</row>
    <row r="764" spans="1:24" ht="12.75" customHeight="1" x14ac:dyDescent="0.2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</row>
    <row r="765" spans="1:24" ht="12.75" customHeight="1" x14ac:dyDescent="0.2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</row>
    <row r="766" spans="1:24" ht="12.75" customHeight="1" x14ac:dyDescent="0.2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</row>
    <row r="767" spans="1:24" ht="12.75" customHeight="1" x14ac:dyDescent="0.2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</row>
    <row r="768" spans="1:24" ht="12.75" customHeight="1" x14ac:dyDescent="0.2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</row>
    <row r="769" spans="1:24" ht="12.75" customHeight="1" x14ac:dyDescent="0.2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</row>
    <row r="770" spans="1:24" ht="12.75" customHeight="1" x14ac:dyDescent="0.2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</row>
    <row r="771" spans="1:24" ht="12.75" customHeight="1" x14ac:dyDescent="0.2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</row>
    <row r="772" spans="1:24" ht="12.75" customHeight="1" x14ac:dyDescent="0.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</row>
    <row r="773" spans="1:24" ht="12.75" customHeight="1" x14ac:dyDescent="0.2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</row>
    <row r="774" spans="1:24" ht="12.75" customHeight="1" x14ac:dyDescent="0.2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</row>
    <row r="775" spans="1:24" ht="12.75" customHeight="1" x14ac:dyDescent="0.2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</row>
    <row r="776" spans="1:24" ht="12.75" customHeight="1" x14ac:dyDescent="0.2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</row>
    <row r="777" spans="1:24" ht="12.75" customHeight="1" x14ac:dyDescent="0.2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</row>
    <row r="778" spans="1:24" ht="12.75" customHeight="1" x14ac:dyDescent="0.2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</row>
    <row r="779" spans="1:24" ht="12.75" customHeight="1" x14ac:dyDescent="0.2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</row>
    <row r="780" spans="1:24" ht="12.75" customHeight="1" x14ac:dyDescent="0.2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</row>
    <row r="781" spans="1:24" ht="12.75" customHeight="1" x14ac:dyDescent="0.2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</row>
    <row r="782" spans="1:24" ht="12.75" customHeight="1" x14ac:dyDescent="0.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</row>
    <row r="783" spans="1:24" ht="12.75" customHeight="1" x14ac:dyDescent="0.2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</row>
    <row r="784" spans="1:24" ht="12.75" customHeight="1" x14ac:dyDescent="0.2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</row>
    <row r="785" spans="1:24" ht="12.75" customHeight="1" x14ac:dyDescent="0.2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</row>
    <row r="786" spans="1:24" ht="12.75" customHeight="1" x14ac:dyDescent="0.2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</row>
    <row r="787" spans="1:24" ht="12.75" customHeight="1" x14ac:dyDescent="0.2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</row>
    <row r="788" spans="1:24" ht="12.75" customHeight="1" x14ac:dyDescent="0.2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</row>
    <row r="789" spans="1:24" ht="12.75" customHeight="1" x14ac:dyDescent="0.2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</row>
    <row r="790" spans="1:24" ht="12.75" customHeight="1" x14ac:dyDescent="0.2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</row>
    <row r="791" spans="1:24" ht="12.75" customHeight="1" x14ac:dyDescent="0.2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</row>
    <row r="792" spans="1:24" ht="12.75" customHeight="1" x14ac:dyDescent="0.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</row>
    <row r="793" spans="1:24" ht="12.75" customHeight="1" x14ac:dyDescent="0.2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</row>
    <row r="794" spans="1:24" ht="12.75" customHeight="1" x14ac:dyDescent="0.2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</row>
    <row r="795" spans="1:24" ht="12.75" customHeight="1" x14ac:dyDescent="0.2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</row>
    <row r="796" spans="1:24" ht="12.75" customHeight="1" x14ac:dyDescent="0.2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</row>
    <row r="797" spans="1:24" ht="12.75" customHeight="1" x14ac:dyDescent="0.2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</row>
    <row r="798" spans="1:24" ht="12.75" customHeight="1" x14ac:dyDescent="0.2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</row>
    <row r="799" spans="1:24" ht="12.75" customHeight="1" x14ac:dyDescent="0.2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</row>
    <row r="800" spans="1:24" ht="12.75" customHeight="1" x14ac:dyDescent="0.2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</row>
    <row r="801" spans="1:24" ht="12.75" customHeight="1" x14ac:dyDescent="0.2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</row>
    <row r="802" spans="1:24" ht="12.75" customHeight="1" x14ac:dyDescent="0.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</row>
    <row r="803" spans="1:24" ht="12.75" customHeight="1" x14ac:dyDescent="0.2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</row>
    <row r="804" spans="1:24" ht="12.75" customHeight="1" x14ac:dyDescent="0.2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</row>
    <row r="805" spans="1:24" ht="12.75" customHeight="1" x14ac:dyDescent="0.2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</row>
    <row r="806" spans="1:24" ht="12.75" customHeight="1" x14ac:dyDescent="0.2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</row>
    <row r="807" spans="1:24" ht="12.75" customHeight="1" x14ac:dyDescent="0.2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</row>
    <row r="808" spans="1:24" ht="12.75" customHeight="1" x14ac:dyDescent="0.2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</row>
    <row r="809" spans="1:24" ht="12.75" customHeight="1" x14ac:dyDescent="0.2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</row>
    <row r="810" spans="1:24" ht="12.75" customHeight="1" x14ac:dyDescent="0.2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</row>
    <row r="811" spans="1:24" ht="12.75" customHeight="1" x14ac:dyDescent="0.2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</row>
    <row r="812" spans="1:24" ht="12.75" customHeight="1" x14ac:dyDescent="0.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</row>
    <row r="813" spans="1:24" ht="12.75" customHeight="1" x14ac:dyDescent="0.2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</row>
    <row r="814" spans="1:24" ht="12.75" customHeight="1" x14ac:dyDescent="0.2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</row>
    <row r="815" spans="1:24" ht="12.75" customHeight="1" x14ac:dyDescent="0.2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</row>
    <row r="816" spans="1:24" ht="12.75" customHeight="1" x14ac:dyDescent="0.2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</row>
    <row r="817" spans="1:24" ht="12.75" customHeight="1" x14ac:dyDescent="0.2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</row>
    <row r="818" spans="1:24" ht="12.75" customHeight="1" x14ac:dyDescent="0.2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</row>
    <row r="819" spans="1:24" ht="12.75" customHeight="1" x14ac:dyDescent="0.2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</row>
    <row r="820" spans="1:24" ht="12.75" customHeight="1" x14ac:dyDescent="0.2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</row>
    <row r="821" spans="1:24" ht="12.75" customHeight="1" x14ac:dyDescent="0.2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</row>
    <row r="822" spans="1:24" ht="12.75" customHeight="1" x14ac:dyDescent="0.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</row>
    <row r="823" spans="1:24" ht="12.75" customHeight="1" x14ac:dyDescent="0.2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</row>
    <row r="824" spans="1:24" ht="12.75" customHeight="1" x14ac:dyDescent="0.2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</row>
    <row r="825" spans="1:24" ht="12.75" customHeight="1" x14ac:dyDescent="0.2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</row>
    <row r="826" spans="1:24" ht="12.75" customHeight="1" x14ac:dyDescent="0.2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</row>
    <row r="827" spans="1:24" ht="12.75" customHeight="1" x14ac:dyDescent="0.2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</row>
    <row r="828" spans="1:24" ht="12.75" customHeight="1" x14ac:dyDescent="0.2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</row>
    <row r="829" spans="1:24" ht="12.75" customHeight="1" x14ac:dyDescent="0.2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</row>
    <row r="830" spans="1:24" ht="12.75" customHeight="1" x14ac:dyDescent="0.2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</row>
    <row r="831" spans="1:24" ht="12.75" customHeight="1" x14ac:dyDescent="0.2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</row>
    <row r="832" spans="1:24" ht="12.75" customHeight="1" x14ac:dyDescent="0.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</row>
    <row r="833" spans="1:24" ht="12.75" customHeight="1" x14ac:dyDescent="0.2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</row>
    <row r="834" spans="1:24" ht="12.75" customHeight="1" x14ac:dyDescent="0.2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</row>
    <row r="835" spans="1:24" ht="12.75" customHeight="1" x14ac:dyDescent="0.2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</row>
    <row r="836" spans="1:24" ht="12.75" customHeight="1" x14ac:dyDescent="0.2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</row>
    <row r="837" spans="1:24" ht="12.75" customHeight="1" x14ac:dyDescent="0.2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</row>
    <row r="838" spans="1:24" ht="12.75" customHeight="1" x14ac:dyDescent="0.2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</row>
    <row r="839" spans="1:24" ht="12.75" customHeight="1" x14ac:dyDescent="0.2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</row>
    <row r="840" spans="1:24" ht="12.75" customHeight="1" x14ac:dyDescent="0.2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</row>
    <row r="841" spans="1:24" ht="12.75" customHeight="1" x14ac:dyDescent="0.2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</row>
    <row r="842" spans="1:24" ht="12.75" customHeight="1" x14ac:dyDescent="0.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</row>
    <row r="843" spans="1:24" ht="12.75" customHeight="1" x14ac:dyDescent="0.2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</row>
    <row r="844" spans="1:24" ht="12.75" customHeight="1" x14ac:dyDescent="0.2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</row>
    <row r="845" spans="1:24" ht="12.75" customHeight="1" x14ac:dyDescent="0.2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</row>
    <row r="846" spans="1:24" ht="12.75" customHeight="1" x14ac:dyDescent="0.2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</row>
    <row r="847" spans="1:24" ht="12.75" customHeight="1" x14ac:dyDescent="0.2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</row>
    <row r="848" spans="1:24" ht="12.75" customHeight="1" x14ac:dyDescent="0.2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</row>
    <row r="849" spans="1:24" ht="12.75" customHeight="1" x14ac:dyDescent="0.2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</row>
    <row r="850" spans="1:24" ht="12.75" customHeight="1" x14ac:dyDescent="0.2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</row>
    <row r="851" spans="1:24" ht="12.75" customHeight="1" x14ac:dyDescent="0.2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</row>
    <row r="852" spans="1:24" ht="12.75" customHeight="1" x14ac:dyDescent="0.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</row>
    <row r="853" spans="1:24" ht="12.75" customHeight="1" x14ac:dyDescent="0.2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</row>
    <row r="854" spans="1:24" ht="12.75" customHeight="1" x14ac:dyDescent="0.2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</row>
    <row r="855" spans="1:24" ht="12.75" customHeight="1" x14ac:dyDescent="0.2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</row>
    <row r="856" spans="1:24" ht="12.75" customHeight="1" x14ac:dyDescent="0.2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</row>
    <row r="857" spans="1:24" ht="12.75" customHeight="1" x14ac:dyDescent="0.2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</row>
    <row r="858" spans="1:24" ht="12.75" customHeight="1" x14ac:dyDescent="0.2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</row>
    <row r="859" spans="1:24" ht="12.75" customHeight="1" x14ac:dyDescent="0.2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</row>
    <row r="860" spans="1:24" ht="12.75" customHeight="1" x14ac:dyDescent="0.2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</row>
    <row r="861" spans="1:24" ht="12.75" customHeight="1" x14ac:dyDescent="0.2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</row>
    <row r="862" spans="1:24" ht="12.75" customHeight="1" x14ac:dyDescent="0.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</row>
    <row r="863" spans="1:24" ht="12.75" customHeight="1" x14ac:dyDescent="0.2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</row>
    <row r="864" spans="1:24" ht="12.75" customHeight="1" x14ac:dyDescent="0.2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</row>
    <row r="865" spans="1:24" ht="12.75" customHeight="1" x14ac:dyDescent="0.2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</row>
    <row r="866" spans="1:24" ht="12.75" customHeight="1" x14ac:dyDescent="0.2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</row>
    <row r="867" spans="1:24" ht="12.75" customHeight="1" x14ac:dyDescent="0.2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</row>
    <row r="868" spans="1:24" ht="12.75" customHeight="1" x14ac:dyDescent="0.2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</row>
    <row r="869" spans="1:24" ht="12.75" customHeight="1" x14ac:dyDescent="0.2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</row>
    <row r="870" spans="1:24" ht="12.75" customHeight="1" x14ac:dyDescent="0.2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</row>
    <row r="871" spans="1:24" ht="12.75" customHeight="1" x14ac:dyDescent="0.2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</row>
    <row r="872" spans="1:24" ht="12.75" customHeight="1" x14ac:dyDescent="0.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</row>
    <row r="873" spans="1:24" ht="12.75" customHeight="1" x14ac:dyDescent="0.2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</row>
    <row r="874" spans="1:24" ht="12.75" customHeight="1" x14ac:dyDescent="0.2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</row>
    <row r="875" spans="1:24" ht="12.75" customHeight="1" x14ac:dyDescent="0.2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</row>
    <row r="876" spans="1:24" ht="12.75" customHeight="1" x14ac:dyDescent="0.2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</row>
    <row r="877" spans="1:24" ht="12.75" customHeight="1" x14ac:dyDescent="0.2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</row>
    <row r="878" spans="1:24" ht="12.75" customHeight="1" x14ac:dyDescent="0.2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</row>
    <row r="879" spans="1:24" ht="12.75" customHeight="1" x14ac:dyDescent="0.2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</row>
    <row r="880" spans="1:24" ht="12.75" customHeight="1" x14ac:dyDescent="0.2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</row>
    <row r="881" spans="1:24" ht="12.75" customHeight="1" x14ac:dyDescent="0.2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</row>
    <row r="882" spans="1:24" ht="12.75" customHeight="1" x14ac:dyDescent="0.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</row>
    <row r="883" spans="1:24" ht="12.75" customHeight="1" x14ac:dyDescent="0.2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</row>
    <row r="884" spans="1:24" ht="12.75" customHeight="1" x14ac:dyDescent="0.2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</row>
    <row r="885" spans="1:24" ht="12.75" customHeight="1" x14ac:dyDescent="0.2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</row>
    <row r="886" spans="1:24" ht="12.75" customHeight="1" x14ac:dyDescent="0.2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</row>
    <row r="887" spans="1:24" ht="12.75" customHeight="1" x14ac:dyDescent="0.2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</row>
    <row r="888" spans="1:24" ht="12.75" customHeight="1" x14ac:dyDescent="0.2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</row>
    <row r="889" spans="1:24" ht="12.75" customHeight="1" x14ac:dyDescent="0.2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</row>
    <row r="890" spans="1:24" ht="12.75" customHeight="1" x14ac:dyDescent="0.2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</row>
    <row r="891" spans="1:24" ht="12.75" customHeight="1" x14ac:dyDescent="0.2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</row>
    <row r="892" spans="1:24" ht="12.75" customHeight="1" x14ac:dyDescent="0.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</row>
    <row r="893" spans="1:24" ht="12.75" customHeight="1" x14ac:dyDescent="0.2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</row>
    <row r="894" spans="1:24" ht="12.75" customHeight="1" x14ac:dyDescent="0.2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</row>
    <row r="895" spans="1:24" ht="12.75" customHeight="1" x14ac:dyDescent="0.2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</row>
    <row r="896" spans="1:24" ht="12.75" customHeight="1" x14ac:dyDescent="0.2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</row>
    <row r="897" spans="1:24" ht="12.75" customHeight="1" x14ac:dyDescent="0.2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</row>
    <row r="898" spans="1:24" ht="12.75" customHeight="1" x14ac:dyDescent="0.2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</row>
    <row r="899" spans="1:24" ht="12.75" customHeight="1" x14ac:dyDescent="0.2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</row>
    <row r="900" spans="1:24" ht="12.75" customHeight="1" x14ac:dyDescent="0.2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</row>
    <row r="901" spans="1:24" ht="12.75" customHeight="1" x14ac:dyDescent="0.2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</row>
    <row r="902" spans="1:24" ht="12.75" customHeight="1" x14ac:dyDescent="0.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</row>
    <row r="903" spans="1:24" ht="12.75" customHeight="1" x14ac:dyDescent="0.2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</row>
    <row r="904" spans="1:24" ht="12.75" customHeight="1" x14ac:dyDescent="0.2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</row>
    <row r="905" spans="1:24" ht="12.75" customHeight="1" x14ac:dyDescent="0.2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</row>
    <row r="906" spans="1:24" ht="12.75" customHeight="1" x14ac:dyDescent="0.2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</row>
    <row r="907" spans="1:24" ht="12.75" customHeight="1" x14ac:dyDescent="0.2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</row>
    <row r="908" spans="1:24" ht="12.75" customHeight="1" x14ac:dyDescent="0.2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</row>
    <row r="909" spans="1:24" ht="12.75" customHeight="1" x14ac:dyDescent="0.2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</row>
    <row r="910" spans="1:24" ht="12.75" customHeight="1" x14ac:dyDescent="0.2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</row>
    <row r="911" spans="1:24" ht="12.75" customHeight="1" x14ac:dyDescent="0.2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</row>
    <row r="912" spans="1:24" ht="12.75" customHeight="1" x14ac:dyDescent="0.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</row>
    <row r="913" spans="1:24" ht="12.75" customHeight="1" x14ac:dyDescent="0.2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</row>
    <row r="914" spans="1:24" ht="12.75" customHeight="1" x14ac:dyDescent="0.2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</row>
    <row r="915" spans="1:24" ht="12.75" customHeight="1" x14ac:dyDescent="0.2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</row>
    <row r="916" spans="1:24" ht="12.75" customHeight="1" x14ac:dyDescent="0.2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</row>
    <row r="917" spans="1:24" ht="12.75" customHeight="1" x14ac:dyDescent="0.2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</row>
    <row r="918" spans="1:24" ht="12.75" customHeight="1" x14ac:dyDescent="0.2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</row>
    <row r="919" spans="1:24" ht="12.75" customHeight="1" x14ac:dyDescent="0.2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</row>
    <row r="920" spans="1:24" ht="12.75" customHeight="1" x14ac:dyDescent="0.2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</row>
    <row r="921" spans="1:24" ht="12.75" customHeight="1" x14ac:dyDescent="0.2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</row>
    <row r="922" spans="1:24" ht="12.75" customHeight="1" x14ac:dyDescent="0.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</row>
    <row r="923" spans="1:24" ht="12.75" customHeight="1" x14ac:dyDescent="0.2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</row>
    <row r="924" spans="1:24" ht="12.75" customHeight="1" x14ac:dyDescent="0.2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</row>
    <row r="925" spans="1:24" ht="12.75" customHeight="1" x14ac:dyDescent="0.2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</row>
    <row r="926" spans="1:24" ht="12.75" customHeight="1" x14ac:dyDescent="0.2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</row>
    <row r="927" spans="1:24" ht="12.75" customHeight="1" x14ac:dyDescent="0.2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</row>
    <row r="928" spans="1:24" ht="12.75" customHeight="1" x14ac:dyDescent="0.2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</row>
    <row r="929" spans="1:24" ht="12.75" customHeight="1" x14ac:dyDescent="0.2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</row>
    <row r="930" spans="1:24" ht="12.75" customHeight="1" x14ac:dyDescent="0.2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</row>
    <row r="931" spans="1:24" ht="12.75" customHeight="1" x14ac:dyDescent="0.2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</row>
    <row r="932" spans="1:24" ht="12.75" customHeight="1" x14ac:dyDescent="0.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</row>
    <row r="933" spans="1:24" ht="12.75" customHeight="1" x14ac:dyDescent="0.2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</row>
    <row r="934" spans="1:24" ht="12.75" customHeight="1" x14ac:dyDescent="0.2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</row>
    <row r="935" spans="1:24" ht="12.75" customHeight="1" x14ac:dyDescent="0.2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</row>
    <row r="936" spans="1:24" ht="12.75" customHeight="1" x14ac:dyDescent="0.2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</row>
    <row r="937" spans="1:24" ht="12.75" customHeight="1" x14ac:dyDescent="0.2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</row>
    <row r="938" spans="1:24" ht="12.75" customHeight="1" x14ac:dyDescent="0.2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</row>
    <row r="939" spans="1:24" ht="12.75" customHeight="1" x14ac:dyDescent="0.2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</row>
    <row r="940" spans="1:24" ht="12.75" customHeight="1" x14ac:dyDescent="0.2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</row>
    <row r="941" spans="1:24" ht="12.75" customHeight="1" x14ac:dyDescent="0.2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</row>
    <row r="942" spans="1:24" ht="12.75" customHeight="1" x14ac:dyDescent="0.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</row>
    <row r="943" spans="1:24" ht="12.75" customHeight="1" x14ac:dyDescent="0.2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</row>
    <row r="944" spans="1:24" ht="12.75" customHeight="1" x14ac:dyDescent="0.2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</row>
    <row r="945" spans="1:24" ht="12.75" customHeight="1" x14ac:dyDescent="0.2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</row>
    <row r="946" spans="1:24" ht="12.75" customHeight="1" x14ac:dyDescent="0.2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</row>
    <row r="947" spans="1:24" ht="12.75" customHeight="1" x14ac:dyDescent="0.2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</row>
    <row r="948" spans="1:24" ht="12.75" customHeight="1" x14ac:dyDescent="0.2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</row>
    <row r="949" spans="1:24" ht="12.75" customHeight="1" x14ac:dyDescent="0.2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</row>
    <row r="950" spans="1:24" ht="12.75" customHeight="1" x14ac:dyDescent="0.2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</row>
    <row r="951" spans="1:24" ht="12.75" customHeight="1" x14ac:dyDescent="0.2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</row>
    <row r="952" spans="1:24" ht="12.75" customHeight="1" x14ac:dyDescent="0.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</row>
    <row r="953" spans="1:24" ht="12.75" customHeight="1" x14ac:dyDescent="0.2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</row>
    <row r="954" spans="1:24" ht="12.75" customHeight="1" x14ac:dyDescent="0.2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</row>
    <row r="955" spans="1:24" ht="12.75" customHeight="1" x14ac:dyDescent="0.2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</row>
    <row r="956" spans="1:24" ht="12.75" customHeight="1" x14ac:dyDescent="0.2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</row>
    <row r="957" spans="1:24" ht="12.75" customHeight="1" x14ac:dyDescent="0.2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</row>
    <row r="958" spans="1:24" ht="12.75" customHeight="1" x14ac:dyDescent="0.2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</row>
    <row r="959" spans="1:24" ht="12.75" customHeight="1" x14ac:dyDescent="0.2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</row>
    <row r="960" spans="1:24" ht="12.75" customHeight="1" x14ac:dyDescent="0.2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</row>
    <row r="961" spans="1:24" ht="12.75" customHeight="1" x14ac:dyDescent="0.2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</row>
    <row r="962" spans="1:24" ht="12.75" customHeight="1" x14ac:dyDescent="0.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</row>
    <row r="963" spans="1:24" ht="12.75" customHeight="1" x14ac:dyDescent="0.2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</row>
    <row r="964" spans="1:24" ht="12.75" customHeight="1" x14ac:dyDescent="0.2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</row>
    <row r="965" spans="1:24" ht="12.75" customHeight="1" x14ac:dyDescent="0.2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</row>
    <row r="966" spans="1:24" ht="12.75" customHeight="1" x14ac:dyDescent="0.2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</row>
    <row r="967" spans="1:24" ht="12.75" customHeight="1" x14ac:dyDescent="0.2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</row>
    <row r="968" spans="1:24" ht="12.75" customHeight="1" x14ac:dyDescent="0.2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</row>
    <row r="969" spans="1:24" ht="12.75" customHeight="1" x14ac:dyDescent="0.2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</row>
    <row r="970" spans="1:24" ht="12.75" customHeight="1" x14ac:dyDescent="0.2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</row>
    <row r="971" spans="1:24" ht="12.75" customHeight="1" x14ac:dyDescent="0.2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</row>
    <row r="972" spans="1:24" ht="12.75" customHeight="1" x14ac:dyDescent="0.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</row>
    <row r="973" spans="1:24" ht="12.75" customHeight="1" x14ac:dyDescent="0.2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</row>
    <row r="974" spans="1:24" ht="12.75" customHeight="1" x14ac:dyDescent="0.2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</row>
    <row r="975" spans="1:24" ht="12.75" customHeight="1" x14ac:dyDescent="0.2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</row>
    <row r="976" spans="1:24" ht="12.75" customHeight="1" x14ac:dyDescent="0.2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</row>
    <row r="977" spans="1:24" ht="12.75" customHeight="1" x14ac:dyDescent="0.2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</row>
    <row r="978" spans="1:24" ht="12.75" customHeight="1" x14ac:dyDescent="0.2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</row>
    <row r="979" spans="1:24" ht="12.75" customHeight="1" x14ac:dyDescent="0.2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</row>
    <row r="980" spans="1:24" ht="12.75" customHeight="1" x14ac:dyDescent="0.2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</row>
    <row r="981" spans="1:24" ht="12.75" customHeight="1" x14ac:dyDescent="0.2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</row>
    <row r="982" spans="1:24" ht="12.75" customHeight="1" x14ac:dyDescent="0.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</row>
    <row r="983" spans="1:24" ht="12.75" customHeight="1" x14ac:dyDescent="0.2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</row>
    <row r="984" spans="1:24" ht="12.75" customHeight="1" x14ac:dyDescent="0.2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</row>
    <row r="985" spans="1:24" ht="12.75" customHeight="1" x14ac:dyDescent="0.2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</row>
    <row r="986" spans="1:24" ht="12.75" customHeight="1" x14ac:dyDescent="0.2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</row>
    <row r="987" spans="1:24" ht="12.75" customHeight="1" x14ac:dyDescent="0.2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</row>
    <row r="988" spans="1:24" ht="12.75" customHeight="1" x14ac:dyDescent="0.2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</row>
    <row r="989" spans="1:24" ht="12.75" customHeight="1" x14ac:dyDescent="0.2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</row>
    <row r="990" spans="1:24" ht="12.75" customHeight="1" x14ac:dyDescent="0.2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</row>
    <row r="991" spans="1:24" ht="12.75" customHeight="1" x14ac:dyDescent="0.2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</row>
    <row r="992" spans="1:24" ht="12.75" customHeight="1" x14ac:dyDescent="0.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</row>
    <row r="993" spans="1:24" ht="12.75" customHeight="1" x14ac:dyDescent="0.2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</row>
    <row r="994" spans="1:24" ht="12.75" customHeight="1" x14ac:dyDescent="0.2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</row>
    <row r="995" spans="1:24" ht="12.75" customHeight="1" x14ac:dyDescent="0.2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</row>
    <row r="996" spans="1:24" ht="12.75" customHeight="1" x14ac:dyDescent="0.2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</row>
    <row r="997" spans="1:24" ht="12.75" customHeight="1" x14ac:dyDescent="0.2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</row>
    <row r="998" spans="1:24" ht="12.75" customHeight="1" x14ac:dyDescent="0.2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</row>
    <row r="999" spans="1:24" ht="12.75" customHeight="1" x14ac:dyDescent="0.2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</row>
    <row r="1000" spans="1:24" ht="12.75" customHeight="1" x14ac:dyDescent="0.2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</row>
  </sheetData>
  <mergeCells count="287"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C100:K100"/>
    <mergeCell ref="I101:I102"/>
    <mergeCell ref="J101:J102"/>
    <mergeCell ref="K101:K102"/>
    <mergeCell ref="C103:K103"/>
    <mergeCell ref="C98:C99"/>
    <mergeCell ref="C101:C102"/>
    <mergeCell ref="D101:D102"/>
    <mergeCell ref="E101:E102"/>
    <mergeCell ref="F101:F102"/>
    <mergeCell ref="G101:G102"/>
    <mergeCell ref="H101:H102"/>
    <mergeCell ref="I92:I93"/>
    <mergeCell ref="J92:J93"/>
    <mergeCell ref="K92:K93"/>
    <mergeCell ref="N93:N94"/>
    <mergeCell ref="O93:O94"/>
    <mergeCell ref="C94:K94"/>
    <mergeCell ref="C95:I95"/>
    <mergeCell ref="H98:H99"/>
    <mergeCell ref="I98:I99"/>
    <mergeCell ref="J98:J99"/>
    <mergeCell ref="K98:K99"/>
    <mergeCell ref="C96:K96"/>
    <mergeCell ref="C97:K97"/>
    <mergeCell ref="D98:D99"/>
    <mergeCell ref="E98:E99"/>
    <mergeCell ref="F98:F99"/>
    <mergeCell ref="G98:G99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C106:K106"/>
    <mergeCell ref="C74:K74"/>
    <mergeCell ref="C75:I75"/>
    <mergeCell ref="C76:K76"/>
    <mergeCell ref="C77:I77"/>
    <mergeCell ref="G48:G49"/>
    <mergeCell ref="H48:H49"/>
    <mergeCell ref="I48:I49"/>
    <mergeCell ref="J48:J49"/>
    <mergeCell ref="K48:K49"/>
    <mergeCell ref="C50:K50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C71:K71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H66:H67"/>
    <mergeCell ref="J69:J70"/>
    <mergeCell ref="K69:K70"/>
    <mergeCell ref="D69:D70"/>
    <mergeCell ref="E69:E70"/>
    <mergeCell ref="F69:F70"/>
    <mergeCell ref="G69:G70"/>
    <mergeCell ref="H69:H70"/>
    <mergeCell ref="I69:I70"/>
    <mergeCell ref="I57:I58"/>
    <mergeCell ref="J57:J58"/>
    <mergeCell ref="K57:K58"/>
    <mergeCell ref="C59:K59"/>
    <mergeCell ref="C60:I60"/>
    <mergeCell ref="C61:K61"/>
    <mergeCell ref="C62:K62"/>
    <mergeCell ref="J63:J64"/>
    <mergeCell ref="K63:K64"/>
    <mergeCell ref="D63:D64"/>
    <mergeCell ref="E63:E64"/>
    <mergeCell ref="F63:F64"/>
    <mergeCell ref="G63:G64"/>
    <mergeCell ref="H63:H64"/>
    <mergeCell ref="I63:I64"/>
    <mergeCell ref="C63:C64"/>
    <mergeCell ref="C89:C90"/>
    <mergeCell ref="C92:C93"/>
    <mergeCell ref="D92:D93"/>
    <mergeCell ref="E92:E93"/>
    <mergeCell ref="F92:F93"/>
    <mergeCell ref="G92:G93"/>
    <mergeCell ref="H92:H93"/>
    <mergeCell ref="C54:C55"/>
    <mergeCell ref="C57:C58"/>
    <mergeCell ref="D57:D58"/>
    <mergeCell ref="E57:E58"/>
    <mergeCell ref="F57:F58"/>
    <mergeCell ref="G57:G58"/>
    <mergeCell ref="H57:H58"/>
    <mergeCell ref="C65:K65"/>
    <mergeCell ref="I66:I67"/>
    <mergeCell ref="J66:J67"/>
    <mergeCell ref="K66:K67"/>
    <mergeCell ref="C68:K68"/>
    <mergeCell ref="C66:C67"/>
    <mergeCell ref="D66:D67"/>
    <mergeCell ref="E66:E67"/>
    <mergeCell ref="F66:F67"/>
    <mergeCell ref="G66:G67"/>
    <mergeCell ref="J81:K81"/>
    <mergeCell ref="C82:K82"/>
    <mergeCell ref="C85:K85"/>
    <mergeCell ref="I86:I87"/>
    <mergeCell ref="J86:J87"/>
    <mergeCell ref="K86:K87"/>
    <mergeCell ref="N87:N88"/>
    <mergeCell ref="O87:O88"/>
    <mergeCell ref="C88:K88"/>
    <mergeCell ref="C83:C84"/>
    <mergeCell ref="C86:C87"/>
    <mergeCell ref="D86:D87"/>
    <mergeCell ref="E86:E87"/>
    <mergeCell ref="F86:F87"/>
    <mergeCell ref="G86:G87"/>
    <mergeCell ref="H86:H87"/>
    <mergeCell ref="D83:D84"/>
    <mergeCell ref="E83:E84"/>
    <mergeCell ref="C56:K56"/>
    <mergeCell ref="J89:J90"/>
    <mergeCell ref="K89:K90"/>
    <mergeCell ref="N90:N91"/>
    <mergeCell ref="O90:O91"/>
    <mergeCell ref="D89:D90"/>
    <mergeCell ref="E89:E90"/>
    <mergeCell ref="F89:F90"/>
    <mergeCell ref="G89:G90"/>
    <mergeCell ref="H89:H90"/>
    <mergeCell ref="I89:I90"/>
    <mergeCell ref="C91:K91"/>
    <mergeCell ref="F83:F84"/>
    <mergeCell ref="G83:G84"/>
    <mergeCell ref="H83:H84"/>
    <mergeCell ref="I83:I84"/>
    <mergeCell ref="J83:J84"/>
    <mergeCell ref="K83:K84"/>
    <mergeCell ref="N84:N85"/>
    <mergeCell ref="O84:O85"/>
    <mergeCell ref="C78:K78"/>
    <mergeCell ref="C79:K80"/>
    <mergeCell ref="E81:F81"/>
    <mergeCell ref="H81:I81"/>
    <mergeCell ref="C39:K39"/>
    <mergeCell ref="C40:I40"/>
    <mergeCell ref="C41:K41"/>
    <mergeCell ref="C42:I42"/>
    <mergeCell ref="C43:K43"/>
    <mergeCell ref="J54:J55"/>
    <mergeCell ref="K54:K55"/>
    <mergeCell ref="D54:D55"/>
    <mergeCell ref="E54:E55"/>
    <mergeCell ref="F54:F55"/>
    <mergeCell ref="G54:G55"/>
    <mergeCell ref="H54:H55"/>
    <mergeCell ref="I54:I55"/>
    <mergeCell ref="C44:K45"/>
    <mergeCell ref="E46:F46"/>
    <mergeCell ref="H46:I46"/>
    <mergeCell ref="J46:K46"/>
    <mergeCell ref="C47:K47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G37:G38"/>
    <mergeCell ref="H37:H38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J19:J20"/>
    <mergeCell ref="K19:K20"/>
  </mergeCells>
  <pageMargins left="0.7" right="0.7" top="0.75" bottom="0.75" header="0" footer="0"/>
  <pageSetup paperSize="9" scale="4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topLeftCell="B87" workbookViewId="0">
      <selection activeCell="C1" sqref="C1:M113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1" width="5.5703125" customWidth="1"/>
    <col min="12" max="16" width="9.140625" customWidth="1"/>
    <col min="17" max="24" width="8" customWidth="1"/>
  </cols>
  <sheetData>
    <row r="1" spans="1:24" ht="12.75" customHeight="1" x14ac:dyDescent="0.2">
      <c r="A1" s="112"/>
      <c r="B1" s="112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 ht="12.75" customHeight="1" x14ac:dyDescent="0.2">
      <c r="A2" s="112"/>
      <c r="B2" s="112"/>
      <c r="C2" s="131"/>
      <c r="D2" s="131"/>
      <c r="E2" s="131"/>
      <c r="F2" s="131"/>
      <c r="G2" s="131"/>
      <c r="H2" s="131"/>
      <c r="I2" s="131"/>
      <c r="J2" s="131"/>
      <c r="K2" s="131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1:24" ht="12.75" customHeight="1" x14ac:dyDescent="0.2">
      <c r="A3" s="112"/>
      <c r="B3" s="112"/>
      <c r="C3" s="131"/>
      <c r="D3" s="131"/>
      <c r="E3" s="131"/>
      <c r="F3" s="131"/>
      <c r="G3" s="131"/>
      <c r="H3" s="131"/>
      <c r="I3" s="131"/>
      <c r="J3" s="131"/>
      <c r="K3" s="13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</row>
    <row r="4" spans="1:24" ht="12.75" customHeight="1" x14ac:dyDescent="0.2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</row>
    <row r="5" spans="1:24" ht="12.75" customHeight="1" x14ac:dyDescent="0.2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</row>
    <row r="6" spans="1:24" ht="19.5" customHeight="1" x14ac:dyDescent="0.2">
      <c r="A6" s="112"/>
      <c r="B6" s="112"/>
      <c r="C6" s="180" t="s">
        <v>233</v>
      </c>
      <c r="D6" s="125"/>
      <c r="E6" s="125"/>
      <c r="F6" s="125"/>
      <c r="G6" s="125"/>
      <c r="H6" s="125"/>
      <c r="I6" s="125"/>
      <c r="J6" s="125"/>
      <c r="K6" s="126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</row>
    <row r="7" spans="1:24" ht="4.5" customHeight="1" x14ac:dyDescent="0.2">
      <c r="A7" s="112"/>
      <c r="B7" s="112"/>
      <c r="C7" s="188"/>
      <c r="D7" s="163"/>
      <c r="E7" s="163"/>
      <c r="F7" s="163"/>
      <c r="G7" s="163"/>
      <c r="H7" s="163"/>
      <c r="I7" s="163"/>
      <c r="J7" s="163"/>
      <c r="K7" s="164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</row>
    <row r="8" spans="1:24" ht="4.5" customHeight="1" x14ac:dyDescent="0.2">
      <c r="A8" s="112"/>
      <c r="B8" s="112"/>
      <c r="C8" s="165"/>
      <c r="D8" s="166"/>
      <c r="E8" s="166"/>
      <c r="F8" s="166"/>
      <c r="G8" s="166"/>
      <c r="H8" s="166"/>
      <c r="I8" s="166"/>
      <c r="J8" s="166"/>
      <c r="K8" s="167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</row>
    <row r="9" spans="1:24" ht="12.75" customHeight="1" x14ac:dyDescent="0.2">
      <c r="A9" s="112"/>
      <c r="B9" s="112"/>
      <c r="C9" s="162" t="s">
        <v>190</v>
      </c>
      <c r="D9" s="163"/>
      <c r="E9" s="163"/>
      <c r="F9" s="163"/>
      <c r="G9" s="163"/>
      <c r="H9" s="163"/>
      <c r="I9" s="163"/>
      <c r="J9" s="163"/>
      <c r="K9" s="164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</row>
    <row r="10" spans="1:24" ht="12.75" customHeight="1" x14ac:dyDescent="0.2">
      <c r="A10" s="112"/>
      <c r="B10" s="112"/>
      <c r="C10" s="165"/>
      <c r="D10" s="166"/>
      <c r="E10" s="166"/>
      <c r="F10" s="166"/>
      <c r="G10" s="166"/>
      <c r="H10" s="166"/>
      <c r="I10" s="166"/>
      <c r="J10" s="166"/>
      <c r="K10" s="167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</row>
    <row r="11" spans="1:24" ht="25.5" customHeight="1" x14ac:dyDescent="0.2">
      <c r="A11" s="112"/>
      <c r="B11" s="112"/>
      <c r="C11" s="96" t="s">
        <v>191</v>
      </c>
      <c r="D11" s="96" t="s">
        <v>192</v>
      </c>
      <c r="E11" s="169" t="s">
        <v>195</v>
      </c>
      <c r="F11" s="126"/>
      <c r="G11" s="96" t="s">
        <v>194</v>
      </c>
      <c r="H11" s="169" t="s">
        <v>220</v>
      </c>
      <c r="I11" s="126"/>
      <c r="J11" s="169" t="s">
        <v>196</v>
      </c>
      <c r="K11" s="126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</row>
    <row r="12" spans="1:24" ht="12.75" customHeight="1" x14ac:dyDescent="0.2">
      <c r="A12" s="112"/>
      <c r="B12" s="112"/>
      <c r="C12" s="189"/>
      <c r="D12" s="125"/>
      <c r="E12" s="125"/>
      <c r="F12" s="125"/>
      <c r="G12" s="125"/>
      <c r="H12" s="125"/>
      <c r="I12" s="125"/>
      <c r="J12" s="125"/>
      <c r="K12" s="126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</row>
    <row r="13" spans="1:24" ht="13.5" customHeight="1" x14ac:dyDescent="0.2">
      <c r="A13" s="112"/>
      <c r="B13" s="112"/>
      <c r="C13" s="170" t="s">
        <v>234</v>
      </c>
      <c r="D13" s="158" t="s">
        <v>206</v>
      </c>
      <c r="E13" s="157" t="s">
        <v>125</v>
      </c>
      <c r="F13" s="157" t="s">
        <v>142</v>
      </c>
      <c r="G13" s="160" t="s">
        <v>194</v>
      </c>
      <c r="H13" s="157" t="s">
        <v>133</v>
      </c>
      <c r="I13" s="157" t="s">
        <v>138</v>
      </c>
      <c r="J13" s="157">
        <v>15</v>
      </c>
      <c r="K13" s="157">
        <v>4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</row>
    <row r="14" spans="1:24" ht="12.75" x14ac:dyDescent="0.2">
      <c r="A14" s="112"/>
      <c r="B14" s="112"/>
      <c r="C14" s="141"/>
      <c r="D14" s="141"/>
      <c r="E14" s="141"/>
      <c r="F14" s="141"/>
      <c r="G14" s="141"/>
      <c r="H14" s="141"/>
      <c r="I14" s="141"/>
      <c r="J14" s="141"/>
      <c r="K14" s="141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</row>
    <row r="15" spans="1:24" ht="4.5" customHeight="1" x14ac:dyDescent="0.2">
      <c r="A15" s="112"/>
      <c r="B15" s="112"/>
      <c r="C15" s="161"/>
      <c r="D15" s="125"/>
      <c r="E15" s="125"/>
      <c r="F15" s="125"/>
      <c r="G15" s="125"/>
      <c r="H15" s="125"/>
      <c r="I15" s="125"/>
      <c r="J15" s="125"/>
      <c r="K15" s="126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</row>
    <row r="16" spans="1:24" ht="12.75" x14ac:dyDescent="0.2">
      <c r="A16" s="112"/>
      <c r="B16" s="112"/>
      <c r="C16" s="170" t="s">
        <v>235</v>
      </c>
      <c r="D16" s="158" t="s">
        <v>202</v>
      </c>
      <c r="E16" s="157" t="s">
        <v>26</v>
      </c>
      <c r="F16" s="157" t="s">
        <v>19</v>
      </c>
      <c r="G16" s="160" t="s">
        <v>194</v>
      </c>
      <c r="H16" s="157" t="s">
        <v>22</v>
      </c>
      <c r="I16" s="157" t="s">
        <v>29</v>
      </c>
      <c r="J16" s="190">
        <v>10</v>
      </c>
      <c r="K16" s="157">
        <v>8</v>
      </c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</row>
    <row r="17" spans="1:24" ht="12.75" x14ac:dyDescent="0.2">
      <c r="A17" s="112"/>
      <c r="B17" s="112"/>
      <c r="C17" s="141"/>
      <c r="D17" s="141"/>
      <c r="E17" s="141"/>
      <c r="F17" s="141"/>
      <c r="G17" s="141"/>
      <c r="H17" s="141"/>
      <c r="I17" s="141"/>
      <c r="J17" s="167"/>
      <c r="K17" s="141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</row>
    <row r="18" spans="1:24" ht="4.5" customHeight="1" x14ac:dyDescent="0.2">
      <c r="A18" s="112"/>
      <c r="B18" s="112"/>
      <c r="C18" s="161"/>
      <c r="D18" s="125"/>
      <c r="E18" s="125"/>
      <c r="F18" s="125"/>
      <c r="G18" s="125"/>
      <c r="H18" s="125"/>
      <c r="I18" s="125"/>
      <c r="J18" s="125"/>
      <c r="K18" s="126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</row>
    <row r="19" spans="1:24" ht="12.75" x14ac:dyDescent="0.2">
      <c r="A19" s="112"/>
      <c r="B19" s="112"/>
      <c r="C19" s="170" t="s">
        <v>236</v>
      </c>
      <c r="D19" s="158" t="s">
        <v>207</v>
      </c>
      <c r="E19" s="157" t="s">
        <v>74</v>
      </c>
      <c r="F19" s="157" t="s">
        <v>61</v>
      </c>
      <c r="G19" s="160" t="s">
        <v>194</v>
      </c>
      <c r="H19" s="157" t="s">
        <v>63</v>
      </c>
      <c r="I19" s="157" t="s">
        <v>237</v>
      </c>
      <c r="J19" s="157">
        <v>12</v>
      </c>
      <c r="K19" s="157">
        <v>6</v>
      </c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</row>
    <row r="20" spans="1:24" ht="12.75" x14ac:dyDescent="0.2">
      <c r="A20" s="112"/>
      <c r="B20" s="112"/>
      <c r="C20" s="141"/>
      <c r="D20" s="141"/>
      <c r="E20" s="141"/>
      <c r="F20" s="141"/>
      <c r="G20" s="141"/>
      <c r="H20" s="141"/>
      <c r="I20" s="141"/>
      <c r="J20" s="141"/>
      <c r="K20" s="141"/>
      <c r="L20" s="112"/>
      <c r="M20" s="112" t="s">
        <v>224</v>
      </c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</row>
    <row r="21" spans="1:24" ht="4.5" customHeight="1" x14ac:dyDescent="0.2">
      <c r="A21" s="112"/>
      <c r="B21" s="112"/>
      <c r="C21" s="161"/>
      <c r="D21" s="125"/>
      <c r="E21" s="125"/>
      <c r="F21" s="125"/>
      <c r="G21" s="125"/>
      <c r="H21" s="125"/>
      <c r="I21" s="125"/>
      <c r="J21" s="125"/>
      <c r="K21" s="126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</row>
    <row r="22" spans="1:24" ht="12.75" x14ac:dyDescent="0.2">
      <c r="A22" s="112"/>
      <c r="B22" s="112"/>
      <c r="C22" s="170" t="s">
        <v>234</v>
      </c>
      <c r="D22" s="171" t="s">
        <v>208</v>
      </c>
      <c r="E22" s="157" t="s">
        <v>119</v>
      </c>
      <c r="F22" s="157" t="s">
        <v>113</v>
      </c>
      <c r="G22" s="160" t="s">
        <v>194</v>
      </c>
      <c r="H22" s="157" t="s">
        <v>110</v>
      </c>
      <c r="I22" s="157" t="s">
        <v>116</v>
      </c>
      <c r="J22" s="157">
        <v>5</v>
      </c>
      <c r="K22" s="157">
        <v>13</v>
      </c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</row>
    <row r="23" spans="1:24" ht="12.75" x14ac:dyDescent="0.2">
      <c r="A23" s="112"/>
      <c r="B23" s="112"/>
      <c r="C23" s="141"/>
      <c r="D23" s="141"/>
      <c r="E23" s="141"/>
      <c r="F23" s="141"/>
      <c r="G23" s="141"/>
      <c r="H23" s="141"/>
      <c r="I23" s="141"/>
      <c r="J23" s="141"/>
      <c r="K23" s="141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</row>
    <row r="24" spans="1:24" ht="4.5" customHeight="1" x14ac:dyDescent="0.2">
      <c r="A24" s="112"/>
      <c r="B24" s="112"/>
      <c r="C24" s="161"/>
      <c r="D24" s="125"/>
      <c r="E24" s="125"/>
      <c r="F24" s="125"/>
      <c r="G24" s="125"/>
      <c r="H24" s="125"/>
      <c r="I24" s="125"/>
      <c r="J24" s="125"/>
      <c r="K24" s="126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</row>
    <row r="25" spans="1:24" ht="12.75" x14ac:dyDescent="0.2">
      <c r="A25" s="112"/>
      <c r="B25" s="112"/>
      <c r="C25" s="172" t="s">
        <v>238</v>
      </c>
      <c r="D25" s="125"/>
      <c r="E25" s="125"/>
      <c r="F25" s="125"/>
      <c r="G25" s="125"/>
      <c r="H25" s="125"/>
      <c r="I25" s="126"/>
      <c r="J25" s="103">
        <f t="shared" ref="J25:K25" si="0">SUM(J13:J23)</f>
        <v>42</v>
      </c>
      <c r="K25" s="103">
        <f t="shared" si="0"/>
        <v>31</v>
      </c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</row>
    <row r="26" spans="1:24" ht="4.5" customHeight="1" x14ac:dyDescent="0.2">
      <c r="A26" s="112"/>
      <c r="B26" s="112"/>
      <c r="C26" s="161"/>
      <c r="D26" s="125"/>
      <c r="E26" s="125"/>
      <c r="F26" s="125"/>
      <c r="G26" s="125"/>
      <c r="H26" s="125"/>
      <c r="I26" s="125"/>
      <c r="J26" s="125"/>
      <c r="K26" s="126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</row>
    <row r="27" spans="1:24" ht="12.75" x14ac:dyDescent="0.2">
      <c r="A27" s="112"/>
      <c r="B27" s="112"/>
      <c r="C27" s="179"/>
      <c r="D27" s="125"/>
      <c r="E27" s="125"/>
      <c r="F27" s="125"/>
      <c r="G27" s="125"/>
      <c r="H27" s="125"/>
      <c r="I27" s="125"/>
      <c r="J27" s="125"/>
      <c r="K27" s="126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</row>
    <row r="28" spans="1:24" ht="12.75" x14ac:dyDescent="0.2">
      <c r="A28" s="112"/>
      <c r="B28" s="112"/>
      <c r="C28" s="170" t="s">
        <v>197</v>
      </c>
      <c r="D28" s="187" t="s">
        <v>209</v>
      </c>
      <c r="E28" s="159" t="s">
        <v>11</v>
      </c>
      <c r="F28" s="159" t="s">
        <v>130</v>
      </c>
      <c r="G28" s="160" t="s">
        <v>194</v>
      </c>
      <c r="H28" s="159" t="s">
        <v>70</v>
      </c>
      <c r="I28" s="159" t="s">
        <v>14</v>
      </c>
      <c r="J28" s="157">
        <v>7</v>
      </c>
      <c r="K28" s="157">
        <v>11</v>
      </c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</row>
    <row r="29" spans="1:24" ht="12.75" x14ac:dyDescent="0.2">
      <c r="A29" s="112"/>
      <c r="B29" s="112"/>
      <c r="C29" s="141"/>
      <c r="D29" s="141"/>
      <c r="E29" s="141"/>
      <c r="F29" s="141"/>
      <c r="G29" s="141"/>
      <c r="H29" s="141"/>
      <c r="I29" s="141"/>
      <c r="J29" s="141"/>
      <c r="K29" s="141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</row>
    <row r="30" spans="1:24" ht="4.5" customHeight="1" x14ac:dyDescent="0.2">
      <c r="A30" s="112"/>
      <c r="B30" s="112"/>
      <c r="C30" s="161"/>
      <c r="D30" s="125"/>
      <c r="E30" s="125"/>
      <c r="F30" s="125"/>
      <c r="G30" s="125"/>
      <c r="H30" s="125"/>
      <c r="I30" s="125"/>
      <c r="J30" s="125"/>
      <c r="K30" s="126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</row>
    <row r="31" spans="1:24" ht="12.75" x14ac:dyDescent="0.2">
      <c r="A31" s="113"/>
      <c r="B31" s="112"/>
      <c r="C31" s="170" t="s">
        <v>199</v>
      </c>
      <c r="D31" s="158" t="s">
        <v>198</v>
      </c>
      <c r="E31" s="159" t="s">
        <v>100</v>
      </c>
      <c r="F31" s="159" t="s">
        <v>93</v>
      </c>
      <c r="G31" s="160" t="s">
        <v>194</v>
      </c>
      <c r="H31" s="159" t="s">
        <v>103</v>
      </c>
      <c r="I31" s="159" t="s">
        <v>89</v>
      </c>
      <c r="J31" s="157">
        <v>5</v>
      </c>
      <c r="K31" s="157">
        <v>13</v>
      </c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</row>
    <row r="32" spans="1:24" ht="12.75" x14ac:dyDescent="0.2">
      <c r="A32" s="113"/>
      <c r="B32" s="112"/>
      <c r="C32" s="141"/>
      <c r="D32" s="141"/>
      <c r="E32" s="141"/>
      <c r="F32" s="141"/>
      <c r="G32" s="141"/>
      <c r="H32" s="141"/>
      <c r="I32" s="141"/>
      <c r="J32" s="141"/>
      <c r="K32" s="141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</row>
    <row r="33" spans="1:24" ht="4.5" customHeight="1" x14ac:dyDescent="0.2">
      <c r="A33" s="112"/>
      <c r="B33" s="112"/>
      <c r="C33" s="161"/>
      <c r="D33" s="125"/>
      <c r="E33" s="125"/>
      <c r="F33" s="125"/>
      <c r="G33" s="125"/>
      <c r="H33" s="125"/>
      <c r="I33" s="125"/>
      <c r="J33" s="125"/>
      <c r="K33" s="126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</row>
    <row r="34" spans="1:24" ht="12.75" x14ac:dyDescent="0.2">
      <c r="A34" s="112"/>
      <c r="B34" s="112"/>
      <c r="C34" s="170" t="s">
        <v>201</v>
      </c>
      <c r="D34" s="158" t="s">
        <v>203</v>
      </c>
      <c r="E34" s="159" t="s">
        <v>40</v>
      </c>
      <c r="F34" s="159" t="s">
        <v>54</v>
      </c>
      <c r="G34" s="160" t="s">
        <v>194</v>
      </c>
      <c r="H34" s="159" t="s">
        <v>43</v>
      </c>
      <c r="I34" s="159" t="s">
        <v>50</v>
      </c>
      <c r="J34" s="157">
        <v>7</v>
      </c>
      <c r="K34" s="157">
        <v>11</v>
      </c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</row>
    <row r="35" spans="1:24" ht="12.75" x14ac:dyDescent="0.2">
      <c r="A35" s="112"/>
      <c r="B35" s="112"/>
      <c r="C35" s="141"/>
      <c r="D35" s="141"/>
      <c r="E35" s="141"/>
      <c r="F35" s="141"/>
      <c r="G35" s="141"/>
      <c r="H35" s="141"/>
      <c r="I35" s="141"/>
      <c r="J35" s="141"/>
      <c r="K35" s="141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</row>
    <row r="36" spans="1:24" ht="4.5" customHeight="1" x14ac:dyDescent="0.2">
      <c r="A36" s="112"/>
      <c r="B36" s="112"/>
      <c r="C36" s="161"/>
      <c r="D36" s="125"/>
      <c r="E36" s="125"/>
      <c r="F36" s="125"/>
      <c r="G36" s="125"/>
      <c r="H36" s="125"/>
      <c r="I36" s="125"/>
      <c r="J36" s="125"/>
      <c r="K36" s="126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</row>
    <row r="37" spans="1:24" ht="12.75" x14ac:dyDescent="0.2">
      <c r="A37" s="112"/>
      <c r="B37" s="112"/>
      <c r="C37" s="170" t="s">
        <v>197</v>
      </c>
      <c r="D37" s="171" t="s">
        <v>200</v>
      </c>
      <c r="E37" s="157" t="s">
        <v>148</v>
      </c>
      <c r="F37" s="157" t="s">
        <v>154</v>
      </c>
      <c r="G37" s="160" t="s">
        <v>194</v>
      </c>
      <c r="H37" s="157" t="s">
        <v>157</v>
      </c>
      <c r="I37" s="157" t="s">
        <v>163</v>
      </c>
      <c r="J37" s="157">
        <v>6</v>
      </c>
      <c r="K37" s="157">
        <v>12</v>
      </c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</row>
    <row r="38" spans="1:24" ht="12.75" x14ac:dyDescent="0.2">
      <c r="A38" s="112"/>
      <c r="B38" s="112"/>
      <c r="C38" s="141"/>
      <c r="D38" s="141"/>
      <c r="E38" s="141"/>
      <c r="F38" s="141"/>
      <c r="G38" s="141"/>
      <c r="H38" s="141"/>
      <c r="I38" s="141"/>
      <c r="J38" s="141"/>
      <c r="K38" s="141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</row>
    <row r="39" spans="1:24" ht="4.5" customHeight="1" x14ac:dyDescent="0.2">
      <c r="A39" s="112"/>
      <c r="B39" s="112"/>
      <c r="C39" s="161"/>
      <c r="D39" s="125"/>
      <c r="E39" s="125"/>
      <c r="F39" s="125"/>
      <c r="G39" s="125"/>
      <c r="H39" s="125"/>
      <c r="I39" s="125"/>
      <c r="J39" s="125"/>
      <c r="K39" s="126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</row>
    <row r="40" spans="1:24" ht="12.75" x14ac:dyDescent="0.2">
      <c r="A40" s="112"/>
      <c r="B40" s="112"/>
      <c r="C40" s="172" t="s">
        <v>239</v>
      </c>
      <c r="D40" s="125"/>
      <c r="E40" s="125"/>
      <c r="F40" s="125"/>
      <c r="G40" s="125"/>
      <c r="H40" s="125"/>
      <c r="I40" s="126"/>
      <c r="J40" s="103">
        <f t="shared" ref="J40:K40" si="1">SUM(J28:J38)</f>
        <v>25</v>
      </c>
      <c r="K40" s="103">
        <f t="shared" si="1"/>
        <v>47</v>
      </c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</row>
    <row r="41" spans="1:24" ht="4.5" customHeight="1" x14ac:dyDescent="0.2">
      <c r="A41" s="112"/>
      <c r="B41" s="112"/>
      <c r="C41" s="161"/>
      <c r="D41" s="125"/>
      <c r="E41" s="125"/>
      <c r="F41" s="125"/>
      <c r="G41" s="125"/>
      <c r="H41" s="125"/>
      <c r="I41" s="125"/>
      <c r="J41" s="125"/>
      <c r="K41" s="126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</row>
    <row r="42" spans="1:24" ht="12.75" x14ac:dyDescent="0.2">
      <c r="A42" s="112"/>
      <c r="B42" s="112"/>
      <c r="C42" s="179" t="s">
        <v>240</v>
      </c>
      <c r="D42" s="125"/>
      <c r="E42" s="125"/>
      <c r="F42" s="125"/>
      <c r="G42" s="125"/>
      <c r="H42" s="125"/>
      <c r="I42" s="126"/>
      <c r="J42" s="104">
        <f t="shared" ref="J42:K42" si="2">J40+J25</f>
        <v>67</v>
      </c>
      <c r="K42" s="104">
        <f t="shared" si="2"/>
        <v>78</v>
      </c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</row>
    <row r="43" spans="1:24" ht="6.75" customHeight="1" x14ac:dyDescent="0.2">
      <c r="A43" s="112"/>
      <c r="B43" s="112"/>
      <c r="C43" s="161"/>
      <c r="D43" s="125"/>
      <c r="E43" s="125"/>
      <c r="F43" s="125"/>
      <c r="G43" s="125"/>
      <c r="H43" s="125"/>
      <c r="I43" s="125"/>
      <c r="J43" s="125"/>
      <c r="K43" s="126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</row>
    <row r="44" spans="1:24" ht="7.5" customHeight="1" x14ac:dyDescent="0.2">
      <c r="A44" s="112"/>
      <c r="B44" s="112"/>
      <c r="C44" s="162" t="s">
        <v>212</v>
      </c>
      <c r="D44" s="163"/>
      <c r="E44" s="163"/>
      <c r="F44" s="163"/>
      <c r="G44" s="163"/>
      <c r="H44" s="163"/>
      <c r="I44" s="163"/>
      <c r="J44" s="163"/>
      <c r="K44" s="164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</row>
    <row r="45" spans="1:24" ht="12.75" x14ac:dyDescent="0.2">
      <c r="A45" s="112"/>
      <c r="B45" s="112"/>
      <c r="C45" s="165"/>
      <c r="D45" s="166"/>
      <c r="E45" s="166"/>
      <c r="F45" s="166"/>
      <c r="G45" s="166"/>
      <c r="H45" s="166"/>
      <c r="I45" s="166"/>
      <c r="J45" s="166"/>
      <c r="K45" s="167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</row>
    <row r="46" spans="1:24" ht="25.5" x14ac:dyDescent="0.2">
      <c r="A46" s="112"/>
      <c r="B46" s="112"/>
      <c r="C46" s="96" t="s">
        <v>191</v>
      </c>
      <c r="D46" s="96" t="s">
        <v>192</v>
      </c>
      <c r="E46" s="169" t="s">
        <v>219</v>
      </c>
      <c r="F46" s="126"/>
      <c r="G46" s="96" t="s">
        <v>194</v>
      </c>
      <c r="H46" s="169" t="s">
        <v>213</v>
      </c>
      <c r="I46" s="126"/>
      <c r="J46" s="169" t="s">
        <v>196</v>
      </c>
      <c r="K46" s="126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</row>
    <row r="47" spans="1:24" ht="12.75" x14ac:dyDescent="0.2">
      <c r="A47" s="112"/>
      <c r="B47" s="112"/>
      <c r="C47" s="189"/>
      <c r="D47" s="125"/>
      <c r="E47" s="125"/>
      <c r="F47" s="125"/>
      <c r="G47" s="125"/>
      <c r="H47" s="125"/>
      <c r="I47" s="125"/>
      <c r="J47" s="125"/>
      <c r="K47" s="126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</row>
    <row r="48" spans="1:24" ht="12.75" x14ac:dyDescent="0.2">
      <c r="A48" s="112"/>
      <c r="B48" s="112"/>
      <c r="C48" s="170" t="s">
        <v>197</v>
      </c>
      <c r="D48" s="158" t="s">
        <v>198</v>
      </c>
      <c r="E48" s="159" t="s">
        <v>85</v>
      </c>
      <c r="F48" s="159" t="s">
        <v>99</v>
      </c>
      <c r="G48" s="160" t="s">
        <v>194</v>
      </c>
      <c r="H48" s="159" t="s">
        <v>87</v>
      </c>
      <c r="I48" s="159" t="s">
        <v>101</v>
      </c>
      <c r="J48" s="157">
        <v>7</v>
      </c>
      <c r="K48" s="157">
        <v>11</v>
      </c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</row>
    <row r="49" spans="1:24" ht="12.75" x14ac:dyDescent="0.2">
      <c r="A49" s="112"/>
      <c r="B49" s="112"/>
      <c r="C49" s="141"/>
      <c r="D49" s="141"/>
      <c r="E49" s="141"/>
      <c r="F49" s="141"/>
      <c r="G49" s="141"/>
      <c r="H49" s="141"/>
      <c r="I49" s="141"/>
      <c r="J49" s="141"/>
      <c r="K49" s="141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</row>
    <row r="50" spans="1:24" ht="4.5" customHeight="1" x14ac:dyDescent="0.2">
      <c r="A50" s="112"/>
      <c r="B50" s="112"/>
      <c r="C50" s="161"/>
      <c r="D50" s="125"/>
      <c r="E50" s="125"/>
      <c r="F50" s="125"/>
      <c r="G50" s="125"/>
      <c r="H50" s="125"/>
      <c r="I50" s="125"/>
      <c r="J50" s="125"/>
      <c r="K50" s="126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</row>
    <row r="51" spans="1:24" ht="12.75" x14ac:dyDescent="0.2">
      <c r="A51" s="112"/>
      <c r="B51" s="112"/>
      <c r="C51" s="170" t="s">
        <v>199</v>
      </c>
      <c r="D51" s="158" t="s">
        <v>209</v>
      </c>
      <c r="E51" s="159" t="s">
        <v>73</v>
      </c>
      <c r="F51" s="159" t="s">
        <v>129</v>
      </c>
      <c r="G51" s="160" t="s">
        <v>194</v>
      </c>
      <c r="H51" s="159" t="s">
        <v>81</v>
      </c>
      <c r="I51" s="159" t="s">
        <v>126</v>
      </c>
      <c r="J51" s="157">
        <v>11</v>
      </c>
      <c r="K51" s="157">
        <v>7</v>
      </c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</row>
    <row r="52" spans="1:24" ht="12.75" x14ac:dyDescent="0.2">
      <c r="A52" s="112"/>
      <c r="B52" s="112"/>
      <c r="C52" s="141"/>
      <c r="D52" s="141"/>
      <c r="E52" s="141"/>
      <c r="F52" s="141"/>
      <c r="G52" s="141"/>
      <c r="H52" s="141"/>
      <c r="I52" s="141"/>
      <c r="J52" s="141"/>
      <c r="K52" s="141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</row>
    <row r="53" spans="1:24" ht="4.5" customHeight="1" x14ac:dyDescent="0.2">
      <c r="A53" s="112"/>
      <c r="B53" s="112"/>
      <c r="C53" s="161"/>
      <c r="D53" s="125"/>
      <c r="E53" s="125"/>
      <c r="F53" s="125"/>
      <c r="G53" s="125"/>
      <c r="H53" s="125"/>
      <c r="I53" s="125"/>
      <c r="J53" s="125"/>
      <c r="K53" s="126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</row>
    <row r="54" spans="1:24" ht="12.75" x14ac:dyDescent="0.2">
      <c r="A54" s="112"/>
      <c r="B54" s="112"/>
      <c r="C54" s="170" t="s">
        <v>201</v>
      </c>
      <c r="D54" s="158" t="s">
        <v>206</v>
      </c>
      <c r="E54" s="159" t="s">
        <v>124</v>
      </c>
      <c r="F54" s="159" t="s">
        <v>141</v>
      </c>
      <c r="G54" s="160" t="s">
        <v>194</v>
      </c>
      <c r="H54" s="159" t="s">
        <v>136</v>
      </c>
      <c r="I54" s="159" t="s">
        <v>143</v>
      </c>
      <c r="J54" s="157">
        <v>15</v>
      </c>
      <c r="K54" s="157">
        <v>4</v>
      </c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</row>
    <row r="55" spans="1:24" ht="12.75" x14ac:dyDescent="0.2">
      <c r="A55" s="112"/>
      <c r="B55" s="112"/>
      <c r="C55" s="141"/>
      <c r="D55" s="141"/>
      <c r="E55" s="141"/>
      <c r="F55" s="141"/>
      <c r="G55" s="141"/>
      <c r="H55" s="141"/>
      <c r="I55" s="141"/>
      <c r="J55" s="141"/>
      <c r="K55" s="141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</row>
    <row r="56" spans="1:24" ht="4.5" customHeight="1" x14ac:dyDescent="0.2">
      <c r="A56" s="112"/>
      <c r="B56" s="112"/>
      <c r="C56" s="161"/>
      <c r="D56" s="125"/>
      <c r="E56" s="125"/>
      <c r="F56" s="125"/>
      <c r="G56" s="125"/>
      <c r="H56" s="125"/>
      <c r="I56" s="125"/>
      <c r="J56" s="125"/>
      <c r="K56" s="126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</row>
    <row r="57" spans="1:24" ht="12.75" x14ac:dyDescent="0.2">
      <c r="A57" s="112"/>
      <c r="B57" s="112"/>
      <c r="C57" s="170" t="s">
        <v>201</v>
      </c>
      <c r="D57" s="171" t="s">
        <v>200</v>
      </c>
      <c r="E57" s="159" t="s">
        <v>147</v>
      </c>
      <c r="F57" s="159" t="s">
        <v>159</v>
      </c>
      <c r="G57" s="160" t="s">
        <v>194</v>
      </c>
      <c r="H57" s="159" t="s">
        <v>149</v>
      </c>
      <c r="I57" s="159" t="s">
        <v>161</v>
      </c>
      <c r="J57" s="157">
        <v>9</v>
      </c>
      <c r="K57" s="157">
        <v>9</v>
      </c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</row>
    <row r="58" spans="1:24" ht="12.75" x14ac:dyDescent="0.2">
      <c r="A58" s="112"/>
      <c r="B58" s="112"/>
      <c r="C58" s="141"/>
      <c r="D58" s="141"/>
      <c r="E58" s="141"/>
      <c r="F58" s="141"/>
      <c r="G58" s="141"/>
      <c r="H58" s="141"/>
      <c r="I58" s="141"/>
      <c r="J58" s="141"/>
      <c r="K58" s="141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</row>
    <row r="59" spans="1:24" ht="4.5" customHeight="1" x14ac:dyDescent="0.2">
      <c r="A59" s="112"/>
      <c r="B59" s="112"/>
      <c r="C59" s="161"/>
      <c r="D59" s="125"/>
      <c r="E59" s="125"/>
      <c r="F59" s="125"/>
      <c r="G59" s="125"/>
      <c r="H59" s="125"/>
      <c r="I59" s="125"/>
      <c r="J59" s="125"/>
      <c r="K59" s="126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</row>
    <row r="60" spans="1:24" ht="12.75" x14ac:dyDescent="0.2">
      <c r="A60" s="112"/>
      <c r="B60" s="112"/>
      <c r="C60" s="172" t="s">
        <v>238</v>
      </c>
      <c r="D60" s="125"/>
      <c r="E60" s="125"/>
      <c r="F60" s="125"/>
      <c r="G60" s="125"/>
      <c r="H60" s="125"/>
      <c r="I60" s="126"/>
      <c r="J60" s="103">
        <f t="shared" ref="J60:K60" si="3">SUM(J48:J58)</f>
        <v>42</v>
      </c>
      <c r="K60" s="103">
        <f t="shared" si="3"/>
        <v>31</v>
      </c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</row>
    <row r="61" spans="1:24" ht="4.5" customHeight="1" x14ac:dyDescent="0.2">
      <c r="A61" s="112"/>
      <c r="B61" s="112"/>
      <c r="C61" s="161"/>
      <c r="D61" s="125"/>
      <c r="E61" s="125"/>
      <c r="F61" s="125"/>
      <c r="G61" s="125"/>
      <c r="H61" s="125"/>
      <c r="I61" s="125"/>
      <c r="J61" s="125"/>
      <c r="K61" s="126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</row>
    <row r="62" spans="1:24" ht="12.75" x14ac:dyDescent="0.2">
      <c r="A62" s="112"/>
      <c r="B62" s="112"/>
      <c r="C62" s="179"/>
      <c r="D62" s="125"/>
      <c r="E62" s="125"/>
      <c r="F62" s="125"/>
      <c r="G62" s="125"/>
      <c r="H62" s="125"/>
      <c r="I62" s="125"/>
      <c r="J62" s="125"/>
      <c r="K62" s="126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</row>
    <row r="63" spans="1:24" ht="12.75" x14ac:dyDescent="0.2">
      <c r="A63" s="112"/>
      <c r="B63" s="112"/>
      <c r="C63" s="170" t="s">
        <v>197</v>
      </c>
      <c r="D63" s="158" t="s">
        <v>207</v>
      </c>
      <c r="E63" s="159" t="s">
        <v>60</v>
      </c>
      <c r="F63" s="159" t="s">
        <v>80</v>
      </c>
      <c r="G63" s="160" t="s">
        <v>194</v>
      </c>
      <c r="H63" s="159" t="s">
        <v>12</v>
      </c>
      <c r="I63" s="159" t="s">
        <v>68</v>
      </c>
      <c r="J63" s="157">
        <v>8</v>
      </c>
      <c r="K63" s="157">
        <v>10</v>
      </c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</row>
    <row r="64" spans="1:24" ht="12.75" x14ac:dyDescent="0.2">
      <c r="A64" s="112"/>
      <c r="B64" s="112"/>
      <c r="C64" s="141"/>
      <c r="D64" s="141"/>
      <c r="E64" s="141"/>
      <c r="F64" s="141"/>
      <c r="G64" s="141"/>
      <c r="H64" s="141"/>
      <c r="I64" s="141"/>
      <c r="J64" s="141"/>
      <c r="K64" s="141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</row>
    <row r="65" spans="1:24" ht="4.5" customHeight="1" x14ac:dyDescent="0.2">
      <c r="A65" s="112"/>
      <c r="B65" s="112"/>
      <c r="C65" s="161"/>
      <c r="D65" s="125"/>
      <c r="E65" s="125"/>
      <c r="F65" s="125"/>
      <c r="G65" s="125"/>
      <c r="H65" s="125"/>
      <c r="I65" s="125"/>
      <c r="J65" s="125"/>
      <c r="K65" s="126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</row>
    <row r="66" spans="1:24" ht="12.75" x14ac:dyDescent="0.2">
      <c r="A66" s="112"/>
      <c r="B66" s="112"/>
      <c r="C66" s="170" t="s">
        <v>199</v>
      </c>
      <c r="D66" s="158" t="s">
        <v>208</v>
      </c>
      <c r="E66" s="159" t="s">
        <v>106</v>
      </c>
      <c r="F66" s="159" t="s">
        <v>112</v>
      </c>
      <c r="G66" s="160" t="s">
        <v>194</v>
      </c>
      <c r="H66" s="159" t="s">
        <v>108</v>
      </c>
      <c r="I66" s="159" t="s">
        <v>120</v>
      </c>
      <c r="J66" s="157">
        <v>6</v>
      </c>
      <c r="K66" s="157">
        <v>12</v>
      </c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</row>
    <row r="67" spans="1:24" ht="12.75" x14ac:dyDescent="0.2">
      <c r="A67" s="112"/>
      <c r="B67" s="112"/>
      <c r="C67" s="141"/>
      <c r="D67" s="141"/>
      <c r="E67" s="141"/>
      <c r="F67" s="141"/>
      <c r="G67" s="141"/>
      <c r="H67" s="141"/>
      <c r="I67" s="141"/>
      <c r="J67" s="141"/>
      <c r="K67" s="141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</row>
    <row r="68" spans="1:24" ht="4.5" customHeight="1" x14ac:dyDescent="0.2">
      <c r="A68" s="112"/>
      <c r="B68" s="112"/>
      <c r="C68" s="161"/>
      <c r="D68" s="125"/>
      <c r="E68" s="125"/>
      <c r="F68" s="125"/>
      <c r="G68" s="125"/>
      <c r="H68" s="125"/>
      <c r="I68" s="125"/>
      <c r="J68" s="125"/>
      <c r="K68" s="126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</row>
    <row r="69" spans="1:24" ht="12.75" x14ac:dyDescent="0.2">
      <c r="A69" s="112"/>
      <c r="B69" s="112"/>
      <c r="C69" s="170" t="s">
        <v>201</v>
      </c>
      <c r="D69" s="158" t="s">
        <v>202</v>
      </c>
      <c r="E69" s="159" t="s">
        <v>18</v>
      </c>
      <c r="F69" s="159" t="s">
        <v>32</v>
      </c>
      <c r="G69" s="160" t="s">
        <v>194</v>
      </c>
      <c r="H69" s="159" t="s">
        <v>27</v>
      </c>
      <c r="I69" s="159" t="s">
        <v>34</v>
      </c>
      <c r="J69" s="157">
        <v>9</v>
      </c>
      <c r="K69" s="157">
        <v>9</v>
      </c>
      <c r="L69" s="112"/>
      <c r="M69" s="112"/>
      <c r="N69" s="112" t="s">
        <v>224</v>
      </c>
      <c r="O69" s="112"/>
      <c r="P69" s="112"/>
      <c r="Q69" s="112"/>
      <c r="R69" s="112"/>
      <c r="S69" s="112"/>
      <c r="T69" s="112"/>
      <c r="U69" s="112"/>
      <c r="V69" s="112"/>
      <c r="W69" s="112"/>
      <c r="X69" s="112"/>
    </row>
    <row r="70" spans="1:24" ht="12.75" x14ac:dyDescent="0.2">
      <c r="A70" s="112"/>
      <c r="B70" s="112"/>
      <c r="C70" s="141"/>
      <c r="D70" s="141"/>
      <c r="E70" s="141"/>
      <c r="F70" s="141"/>
      <c r="G70" s="141"/>
      <c r="H70" s="141"/>
      <c r="I70" s="141"/>
      <c r="J70" s="141"/>
      <c r="K70" s="141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</row>
    <row r="71" spans="1:24" ht="4.5" customHeight="1" x14ac:dyDescent="0.2">
      <c r="A71" s="112"/>
      <c r="B71" s="112"/>
      <c r="C71" s="161"/>
      <c r="D71" s="125"/>
      <c r="E71" s="125"/>
      <c r="F71" s="125"/>
      <c r="G71" s="125"/>
      <c r="H71" s="125"/>
      <c r="I71" s="125"/>
      <c r="J71" s="125"/>
      <c r="K71" s="126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</row>
    <row r="72" spans="1:24" ht="12.75" x14ac:dyDescent="0.2">
      <c r="A72" s="112"/>
      <c r="B72" s="112"/>
      <c r="C72" s="170" t="s">
        <v>199</v>
      </c>
      <c r="D72" s="171" t="s">
        <v>203</v>
      </c>
      <c r="E72" s="159" t="s">
        <v>226</v>
      </c>
      <c r="F72" s="159" t="s">
        <v>53</v>
      </c>
      <c r="G72" s="160" t="s">
        <v>194</v>
      </c>
      <c r="H72" s="159" t="s">
        <v>41</v>
      </c>
      <c r="I72" s="159" t="s">
        <v>55</v>
      </c>
      <c r="J72" s="157">
        <v>12</v>
      </c>
      <c r="K72" s="157">
        <v>6</v>
      </c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</row>
    <row r="73" spans="1:24" ht="12.75" x14ac:dyDescent="0.2">
      <c r="A73" s="112"/>
      <c r="B73" s="112"/>
      <c r="C73" s="141"/>
      <c r="D73" s="141"/>
      <c r="E73" s="141"/>
      <c r="F73" s="141"/>
      <c r="G73" s="141"/>
      <c r="H73" s="141"/>
      <c r="I73" s="141"/>
      <c r="J73" s="141"/>
      <c r="K73" s="141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</row>
    <row r="74" spans="1:24" ht="4.5" customHeight="1" x14ac:dyDescent="0.2">
      <c r="A74" s="112"/>
      <c r="B74" s="112"/>
      <c r="C74" s="161"/>
      <c r="D74" s="125"/>
      <c r="E74" s="125"/>
      <c r="F74" s="125"/>
      <c r="G74" s="125"/>
      <c r="H74" s="125"/>
      <c r="I74" s="125"/>
      <c r="J74" s="125"/>
      <c r="K74" s="126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</row>
    <row r="75" spans="1:24" ht="12.75" x14ac:dyDescent="0.2">
      <c r="A75" s="112"/>
      <c r="B75" s="112"/>
      <c r="C75" s="172" t="s">
        <v>239</v>
      </c>
      <c r="D75" s="125"/>
      <c r="E75" s="125"/>
      <c r="F75" s="125"/>
      <c r="G75" s="125"/>
      <c r="H75" s="125"/>
      <c r="I75" s="126"/>
      <c r="J75" s="103">
        <f t="shared" ref="J75:K75" si="4">SUM(J63:J73)</f>
        <v>35</v>
      </c>
      <c r="K75" s="103">
        <f t="shared" si="4"/>
        <v>37</v>
      </c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</row>
    <row r="76" spans="1:24" ht="4.5" customHeight="1" x14ac:dyDescent="0.2">
      <c r="A76" s="112"/>
      <c r="B76" s="112"/>
      <c r="C76" s="161"/>
      <c r="D76" s="125"/>
      <c r="E76" s="125"/>
      <c r="F76" s="125"/>
      <c r="G76" s="125"/>
      <c r="H76" s="125"/>
      <c r="I76" s="125"/>
      <c r="J76" s="125"/>
      <c r="K76" s="126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</row>
    <row r="77" spans="1:24" ht="12.75" x14ac:dyDescent="0.2">
      <c r="A77" s="112"/>
      <c r="B77" s="112"/>
      <c r="C77" s="179" t="s">
        <v>240</v>
      </c>
      <c r="D77" s="125"/>
      <c r="E77" s="125"/>
      <c r="F77" s="125"/>
      <c r="G77" s="125"/>
      <c r="H77" s="125"/>
      <c r="I77" s="126"/>
      <c r="J77" s="104">
        <f t="shared" ref="J77:K77" si="5">J75+J60</f>
        <v>77</v>
      </c>
      <c r="K77" s="104">
        <f t="shared" si="5"/>
        <v>68</v>
      </c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</row>
    <row r="78" spans="1:24" ht="6.75" customHeight="1" x14ac:dyDescent="0.2">
      <c r="A78" s="112"/>
      <c r="B78" s="112"/>
      <c r="C78" s="161"/>
      <c r="D78" s="125"/>
      <c r="E78" s="125"/>
      <c r="F78" s="125"/>
      <c r="G78" s="125"/>
      <c r="H78" s="125"/>
      <c r="I78" s="125"/>
      <c r="J78" s="125"/>
      <c r="K78" s="126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</row>
    <row r="79" spans="1:24" ht="12.75" customHeight="1" x14ac:dyDescent="0.2">
      <c r="A79" s="112"/>
      <c r="B79" s="112"/>
      <c r="C79" s="162" t="s">
        <v>218</v>
      </c>
      <c r="D79" s="163"/>
      <c r="E79" s="163"/>
      <c r="F79" s="163"/>
      <c r="G79" s="163"/>
      <c r="H79" s="163"/>
      <c r="I79" s="163"/>
      <c r="J79" s="163"/>
      <c r="K79" s="164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</row>
    <row r="80" spans="1:24" ht="12.75" x14ac:dyDescent="0.2">
      <c r="A80" s="112"/>
      <c r="B80" s="112"/>
      <c r="C80" s="165"/>
      <c r="D80" s="166"/>
      <c r="E80" s="166"/>
      <c r="F80" s="166"/>
      <c r="G80" s="166"/>
      <c r="H80" s="166"/>
      <c r="I80" s="166"/>
      <c r="J80" s="166"/>
      <c r="K80" s="167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</row>
    <row r="81" spans="1:24" ht="25.5" x14ac:dyDescent="0.2">
      <c r="A81" s="112"/>
      <c r="B81" s="112"/>
      <c r="C81" s="105" t="s">
        <v>191</v>
      </c>
      <c r="D81" s="96" t="s">
        <v>192</v>
      </c>
      <c r="E81" s="169" t="s">
        <v>193</v>
      </c>
      <c r="F81" s="126"/>
      <c r="G81" s="96" t="s">
        <v>194</v>
      </c>
      <c r="H81" s="169" t="s">
        <v>214</v>
      </c>
      <c r="I81" s="126"/>
      <c r="J81" s="169" t="s">
        <v>196</v>
      </c>
      <c r="K81" s="126"/>
      <c r="L81" s="112"/>
      <c r="M81" s="112"/>
      <c r="N81" s="112"/>
      <c r="O81" s="112"/>
      <c r="P81" s="112" t="s">
        <v>224</v>
      </c>
      <c r="Q81" s="112"/>
      <c r="R81" s="112"/>
      <c r="S81" s="112"/>
      <c r="T81" s="112"/>
      <c r="U81" s="112"/>
      <c r="V81" s="112"/>
      <c r="W81" s="112"/>
      <c r="X81" s="112"/>
    </row>
    <row r="82" spans="1:24" ht="12.75" x14ac:dyDescent="0.2">
      <c r="A82" s="112"/>
      <c r="B82" s="112"/>
      <c r="C82" s="189"/>
      <c r="D82" s="125"/>
      <c r="E82" s="125"/>
      <c r="F82" s="125"/>
      <c r="G82" s="125"/>
      <c r="H82" s="125"/>
      <c r="I82" s="125"/>
      <c r="J82" s="125"/>
      <c r="K82" s="126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</row>
    <row r="83" spans="1:24" ht="12.75" x14ac:dyDescent="0.2">
      <c r="A83" s="112"/>
      <c r="B83" s="112"/>
      <c r="C83" s="170" t="s">
        <v>197</v>
      </c>
      <c r="D83" s="158" t="s">
        <v>198</v>
      </c>
      <c r="E83" s="159" t="s">
        <v>84</v>
      </c>
      <c r="F83" s="159" t="s">
        <v>98</v>
      </c>
      <c r="G83" s="160" t="s">
        <v>194</v>
      </c>
      <c r="H83" s="159" t="s">
        <v>88</v>
      </c>
      <c r="I83" s="159" t="s">
        <v>102</v>
      </c>
      <c r="J83" s="157">
        <v>6</v>
      </c>
      <c r="K83" s="157">
        <v>12</v>
      </c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</row>
    <row r="84" spans="1:24" ht="12.75" x14ac:dyDescent="0.2">
      <c r="A84" s="112"/>
      <c r="B84" s="112"/>
      <c r="C84" s="141"/>
      <c r="D84" s="141"/>
      <c r="E84" s="141"/>
      <c r="F84" s="141"/>
      <c r="G84" s="141"/>
      <c r="H84" s="141"/>
      <c r="I84" s="141"/>
      <c r="J84" s="141"/>
      <c r="K84" s="141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</row>
    <row r="85" spans="1:24" ht="4.5" customHeight="1" x14ac:dyDescent="0.2">
      <c r="A85" s="112"/>
      <c r="B85" s="112"/>
      <c r="C85" s="161"/>
      <c r="D85" s="125"/>
      <c r="E85" s="125"/>
      <c r="F85" s="125"/>
      <c r="G85" s="125"/>
      <c r="H85" s="125"/>
      <c r="I85" s="125"/>
      <c r="J85" s="125"/>
      <c r="K85" s="126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</row>
    <row r="86" spans="1:24" ht="12.75" x14ac:dyDescent="0.2">
      <c r="A86" s="112"/>
      <c r="B86" s="112"/>
      <c r="C86" s="170" t="s">
        <v>199</v>
      </c>
      <c r="D86" s="158" t="s">
        <v>241</v>
      </c>
      <c r="E86" s="159" t="s">
        <v>59</v>
      </c>
      <c r="F86" s="159" t="s">
        <v>123</v>
      </c>
      <c r="G86" s="160" t="s">
        <v>194</v>
      </c>
      <c r="H86" s="159" t="s">
        <v>69</v>
      </c>
      <c r="I86" s="159" t="s">
        <v>137</v>
      </c>
      <c r="J86" s="157">
        <v>10</v>
      </c>
      <c r="K86" s="157">
        <v>8</v>
      </c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</row>
    <row r="87" spans="1:24" ht="12.75" x14ac:dyDescent="0.2">
      <c r="A87" s="112"/>
      <c r="B87" s="112"/>
      <c r="C87" s="141"/>
      <c r="D87" s="141"/>
      <c r="E87" s="141"/>
      <c r="F87" s="141"/>
      <c r="G87" s="141"/>
      <c r="H87" s="141"/>
      <c r="I87" s="141"/>
      <c r="J87" s="141"/>
      <c r="K87" s="141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</row>
    <row r="88" spans="1:24" ht="4.5" customHeight="1" x14ac:dyDescent="0.2">
      <c r="A88" s="112"/>
      <c r="B88" s="112"/>
      <c r="C88" s="161"/>
      <c r="D88" s="125"/>
      <c r="E88" s="125"/>
      <c r="F88" s="125"/>
      <c r="G88" s="125"/>
      <c r="H88" s="125"/>
      <c r="I88" s="125"/>
      <c r="J88" s="125"/>
      <c r="K88" s="126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</row>
    <row r="89" spans="1:24" ht="12.75" x14ac:dyDescent="0.2">
      <c r="A89" s="112"/>
      <c r="B89" s="112"/>
      <c r="C89" s="170" t="s">
        <v>201</v>
      </c>
      <c r="D89" s="158" t="s">
        <v>202</v>
      </c>
      <c r="E89" s="159" t="s">
        <v>17</v>
      </c>
      <c r="F89" s="159" t="s">
        <v>31</v>
      </c>
      <c r="G89" s="160" t="s">
        <v>194</v>
      </c>
      <c r="H89" s="159" t="s">
        <v>21</v>
      </c>
      <c r="I89" s="159" t="s">
        <v>35</v>
      </c>
      <c r="J89" s="157">
        <v>9</v>
      </c>
      <c r="K89" s="157">
        <v>9</v>
      </c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</row>
    <row r="90" spans="1:24" ht="12.75" x14ac:dyDescent="0.2">
      <c r="A90" s="112"/>
      <c r="B90" s="112"/>
      <c r="C90" s="141"/>
      <c r="D90" s="141"/>
      <c r="E90" s="141"/>
      <c r="F90" s="141"/>
      <c r="G90" s="141"/>
      <c r="H90" s="141"/>
      <c r="I90" s="141"/>
      <c r="J90" s="141"/>
      <c r="K90" s="141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</row>
    <row r="91" spans="1:24" ht="4.5" customHeight="1" x14ac:dyDescent="0.2">
      <c r="A91" s="112"/>
      <c r="B91" s="112"/>
      <c r="C91" s="161"/>
      <c r="D91" s="125"/>
      <c r="E91" s="125"/>
      <c r="F91" s="125"/>
      <c r="G91" s="125"/>
      <c r="H91" s="125"/>
      <c r="I91" s="125"/>
      <c r="J91" s="125"/>
      <c r="K91" s="126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</row>
    <row r="92" spans="1:24" ht="12.75" x14ac:dyDescent="0.2">
      <c r="A92" s="112"/>
      <c r="B92" s="112"/>
      <c r="C92" s="171" t="s">
        <v>199</v>
      </c>
      <c r="D92" s="171" t="s">
        <v>207</v>
      </c>
      <c r="E92" s="157" t="s">
        <v>72</v>
      </c>
      <c r="F92" s="157" t="s">
        <v>79</v>
      </c>
      <c r="G92" s="160" t="s">
        <v>194</v>
      </c>
      <c r="H92" s="157" t="s">
        <v>76</v>
      </c>
      <c r="I92" s="157" t="s">
        <v>13</v>
      </c>
      <c r="J92" s="157">
        <v>10</v>
      </c>
      <c r="K92" s="157">
        <v>8</v>
      </c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</row>
    <row r="93" spans="1:24" ht="12.75" x14ac:dyDescent="0.2">
      <c r="A93" s="112"/>
      <c r="B93" s="112"/>
      <c r="C93" s="141"/>
      <c r="D93" s="141"/>
      <c r="E93" s="141"/>
      <c r="F93" s="141"/>
      <c r="G93" s="141"/>
      <c r="H93" s="141"/>
      <c r="I93" s="141"/>
      <c r="J93" s="141"/>
      <c r="K93" s="141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</row>
    <row r="94" spans="1:24" ht="4.5" customHeight="1" x14ac:dyDescent="0.2">
      <c r="A94" s="112"/>
      <c r="B94" s="112"/>
      <c r="C94" s="161"/>
      <c r="D94" s="125"/>
      <c r="E94" s="125"/>
      <c r="F94" s="125"/>
      <c r="G94" s="125"/>
      <c r="H94" s="125"/>
      <c r="I94" s="125"/>
      <c r="J94" s="125"/>
      <c r="K94" s="126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</row>
    <row r="95" spans="1:24" ht="12.75" x14ac:dyDescent="0.2">
      <c r="A95" s="112"/>
      <c r="B95" s="112"/>
      <c r="C95" s="172" t="s">
        <v>238</v>
      </c>
      <c r="D95" s="125"/>
      <c r="E95" s="125"/>
      <c r="F95" s="125"/>
      <c r="G95" s="125"/>
      <c r="H95" s="125"/>
      <c r="I95" s="126"/>
      <c r="J95" s="103">
        <f t="shared" ref="J95:K95" si="6">SUM(J83:J93)</f>
        <v>35</v>
      </c>
      <c r="K95" s="103">
        <f t="shared" si="6"/>
        <v>37</v>
      </c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</row>
    <row r="96" spans="1:24" ht="4.5" customHeight="1" x14ac:dyDescent="0.2">
      <c r="A96" s="112"/>
      <c r="B96" s="112"/>
      <c r="C96" s="161"/>
      <c r="D96" s="125"/>
      <c r="E96" s="125"/>
      <c r="F96" s="125"/>
      <c r="G96" s="125"/>
      <c r="H96" s="125"/>
      <c r="I96" s="125"/>
      <c r="J96" s="125"/>
      <c r="K96" s="126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</row>
    <row r="97" spans="1:24" ht="12.75" x14ac:dyDescent="0.2">
      <c r="A97" s="112"/>
      <c r="B97" s="112"/>
      <c r="C97" s="179"/>
      <c r="D97" s="125"/>
      <c r="E97" s="125"/>
      <c r="F97" s="125"/>
      <c r="G97" s="125"/>
      <c r="H97" s="125"/>
      <c r="I97" s="125"/>
      <c r="J97" s="125"/>
      <c r="K97" s="126"/>
      <c r="L97" s="112"/>
      <c r="M97" s="112"/>
      <c r="N97" s="112"/>
      <c r="O97" s="112" t="s">
        <v>224</v>
      </c>
      <c r="P97" s="112"/>
      <c r="Q97" s="112"/>
      <c r="R97" s="112"/>
      <c r="S97" s="112"/>
      <c r="T97" s="112"/>
      <c r="U97" s="112"/>
      <c r="V97" s="112"/>
      <c r="W97" s="112"/>
      <c r="X97" s="112"/>
    </row>
    <row r="98" spans="1:24" ht="12.75" x14ac:dyDescent="0.2">
      <c r="A98" s="112"/>
      <c r="B98" s="112"/>
      <c r="C98" s="170" t="s">
        <v>197</v>
      </c>
      <c r="D98" s="158" t="s">
        <v>203</v>
      </c>
      <c r="E98" s="159" t="s">
        <v>45</v>
      </c>
      <c r="F98" s="159" t="s">
        <v>52</v>
      </c>
      <c r="G98" s="160" t="s">
        <v>194</v>
      </c>
      <c r="H98" s="159" t="s">
        <v>42</v>
      </c>
      <c r="I98" s="159" t="s">
        <v>56</v>
      </c>
      <c r="J98" s="157">
        <v>5</v>
      </c>
      <c r="K98" s="157">
        <v>13</v>
      </c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</row>
    <row r="99" spans="1:24" ht="12.75" x14ac:dyDescent="0.2">
      <c r="A99" s="112"/>
      <c r="B99" s="112"/>
      <c r="C99" s="141"/>
      <c r="D99" s="141"/>
      <c r="E99" s="141"/>
      <c r="F99" s="141"/>
      <c r="G99" s="141"/>
      <c r="H99" s="141"/>
      <c r="I99" s="141"/>
      <c r="J99" s="141"/>
      <c r="K99" s="141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</row>
    <row r="100" spans="1:24" ht="4.5" customHeight="1" x14ac:dyDescent="0.2">
      <c r="A100" s="112"/>
      <c r="B100" s="112"/>
      <c r="C100" s="161"/>
      <c r="D100" s="125"/>
      <c r="E100" s="125"/>
      <c r="F100" s="125"/>
      <c r="G100" s="125"/>
      <c r="H100" s="125"/>
      <c r="I100" s="125"/>
      <c r="J100" s="125"/>
      <c r="K100" s="126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</row>
    <row r="101" spans="1:24" ht="12.75" x14ac:dyDescent="0.2">
      <c r="A101" s="112"/>
      <c r="B101" s="112"/>
      <c r="C101" s="170" t="s">
        <v>199</v>
      </c>
      <c r="D101" s="158" t="s">
        <v>208</v>
      </c>
      <c r="E101" s="159" t="s">
        <v>105</v>
      </c>
      <c r="F101" s="159" t="s">
        <v>117</v>
      </c>
      <c r="G101" s="160" t="s">
        <v>194</v>
      </c>
      <c r="H101" s="159" t="s">
        <v>109</v>
      </c>
      <c r="I101" s="159" t="s">
        <v>121</v>
      </c>
      <c r="J101" s="157">
        <v>15</v>
      </c>
      <c r="K101" s="157">
        <v>3</v>
      </c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</row>
    <row r="102" spans="1:24" ht="12.75" x14ac:dyDescent="0.2">
      <c r="A102" s="112"/>
      <c r="B102" s="112"/>
      <c r="C102" s="141"/>
      <c r="D102" s="141"/>
      <c r="E102" s="141"/>
      <c r="F102" s="141"/>
      <c r="G102" s="141"/>
      <c r="H102" s="141"/>
      <c r="I102" s="141"/>
      <c r="J102" s="141"/>
      <c r="K102" s="141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</row>
    <row r="103" spans="1:24" ht="4.5" customHeight="1" x14ac:dyDescent="0.2">
      <c r="A103" s="112"/>
      <c r="B103" s="112"/>
      <c r="C103" s="161"/>
      <c r="D103" s="125"/>
      <c r="E103" s="125"/>
      <c r="F103" s="125"/>
      <c r="G103" s="125"/>
      <c r="H103" s="125"/>
      <c r="I103" s="125"/>
      <c r="J103" s="125"/>
      <c r="K103" s="126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</row>
    <row r="104" spans="1:24" ht="12.75" x14ac:dyDescent="0.2">
      <c r="A104" s="112"/>
      <c r="B104" s="112"/>
      <c r="C104" s="170" t="s">
        <v>201</v>
      </c>
      <c r="D104" s="158" t="s">
        <v>206</v>
      </c>
      <c r="E104" s="159" t="s">
        <v>134</v>
      </c>
      <c r="F104" s="159" t="s">
        <v>140</v>
      </c>
      <c r="G104" s="160" t="s">
        <v>194</v>
      </c>
      <c r="H104" s="159" t="s">
        <v>132</v>
      </c>
      <c r="I104" s="159" t="s">
        <v>144</v>
      </c>
      <c r="J104" s="157">
        <v>12</v>
      </c>
      <c r="K104" s="157">
        <v>7</v>
      </c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</row>
    <row r="105" spans="1:24" ht="12.75" x14ac:dyDescent="0.2">
      <c r="A105" s="112"/>
      <c r="B105" s="112"/>
      <c r="C105" s="141"/>
      <c r="D105" s="141"/>
      <c r="E105" s="141"/>
      <c r="F105" s="141"/>
      <c r="G105" s="141"/>
      <c r="H105" s="141"/>
      <c r="I105" s="141"/>
      <c r="J105" s="141"/>
      <c r="K105" s="141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</row>
    <row r="106" spans="1:24" ht="4.5" customHeight="1" x14ac:dyDescent="0.2">
      <c r="A106" s="112"/>
      <c r="B106" s="112"/>
      <c r="C106" s="161"/>
      <c r="D106" s="125"/>
      <c r="E106" s="125"/>
      <c r="F106" s="125"/>
      <c r="G106" s="125"/>
      <c r="H106" s="125"/>
      <c r="I106" s="125"/>
      <c r="J106" s="125"/>
      <c r="K106" s="126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</row>
    <row r="107" spans="1:24" ht="12.75" x14ac:dyDescent="0.2">
      <c r="A107" s="112"/>
      <c r="B107" s="112"/>
      <c r="C107" s="170" t="s">
        <v>201</v>
      </c>
      <c r="D107" s="171" t="s">
        <v>200</v>
      </c>
      <c r="E107" s="159" t="s">
        <v>146</v>
      </c>
      <c r="F107" s="159" t="s">
        <v>158</v>
      </c>
      <c r="G107" s="160" t="s">
        <v>194</v>
      </c>
      <c r="H107" s="159" t="s">
        <v>156</v>
      </c>
      <c r="I107" s="159" t="s">
        <v>162</v>
      </c>
      <c r="J107" s="157">
        <v>12</v>
      </c>
      <c r="K107" s="157">
        <v>6</v>
      </c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</row>
    <row r="108" spans="1:24" ht="12.75" x14ac:dyDescent="0.2">
      <c r="A108" s="112"/>
      <c r="B108" s="112"/>
      <c r="C108" s="141"/>
      <c r="D108" s="141"/>
      <c r="E108" s="141"/>
      <c r="F108" s="141"/>
      <c r="G108" s="141"/>
      <c r="H108" s="141"/>
      <c r="I108" s="141"/>
      <c r="J108" s="141"/>
      <c r="K108" s="141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</row>
    <row r="109" spans="1:24" ht="4.5" customHeight="1" x14ac:dyDescent="0.2">
      <c r="A109" s="112"/>
      <c r="B109" s="112"/>
      <c r="C109" s="161"/>
      <c r="D109" s="125"/>
      <c r="E109" s="125"/>
      <c r="F109" s="125"/>
      <c r="G109" s="125"/>
      <c r="H109" s="125"/>
      <c r="I109" s="125"/>
      <c r="J109" s="125"/>
      <c r="K109" s="126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</row>
    <row r="110" spans="1:24" ht="12.75" customHeight="1" x14ac:dyDescent="0.2">
      <c r="A110" s="112"/>
      <c r="B110" s="112"/>
      <c r="C110" s="172" t="s">
        <v>239</v>
      </c>
      <c r="D110" s="125"/>
      <c r="E110" s="125"/>
      <c r="F110" s="125"/>
      <c r="G110" s="125"/>
      <c r="H110" s="125"/>
      <c r="I110" s="126"/>
      <c r="J110" s="103">
        <f t="shared" ref="J110:K110" si="7">SUM(J98:J108)</f>
        <v>44</v>
      </c>
      <c r="K110" s="103">
        <f t="shared" si="7"/>
        <v>29</v>
      </c>
      <c r="L110" s="112"/>
      <c r="M110" s="112"/>
      <c r="N110" s="112"/>
      <c r="O110" s="112" t="s">
        <v>224</v>
      </c>
      <c r="P110" s="112"/>
      <c r="Q110" s="112"/>
      <c r="R110" s="112"/>
      <c r="S110" s="112"/>
      <c r="T110" s="112"/>
      <c r="U110" s="112"/>
      <c r="V110" s="112"/>
      <c r="W110" s="112"/>
      <c r="X110" s="112"/>
    </row>
    <row r="111" spans="1:24" ht="4.5" customHeight="1" x14ac:dyDescent="0.2">
      <c r="A111" s="112"/>
      <c r="B111" s="112"/>
      <c r="C111" s="161"/>
      <c r="D111" s="125"/>
      <c r="E111" s="125"/>
      <c r="F111" s="125"/>
      <c r="G111" s="125"/>
      <c r="H111" s="125"/>
      <c r="I111" s="125"/>
      <c r="J111" s="125"/>
      <c r="K111" s="126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</row>
    <row r="112" spans="1:24" ht="12.75" customHeight="1" x14ac:dyDescent="0.2">
      <c r="A112" s="112"/>
      <c r="B112" s="112"/>
      <c r="C112" s="179" t="s">
        <v>240</v>
      </c>
      <c r="D112" s="125"/>
      <c r="E112" s="125"/>
      <c r="F112" s="125"/>
      <c r="G112" s="125"/>
      <c r="H112" s="125"/>
      <c r="I112" s="126"/>
      <c r="J112" s="104">
        <f t="shared" ref="J112:K112" si="8">J110+J95</f>
        <v>79</v>
      </c>
      <c r="K112" s="104">
        <f t="shared" si="8"/>
        <v>66</v>
      </c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</row>
    <row r="113" spans="1:24" ht="6.75" customHeight="1" x14ac:dyDescent="0.2">
      <c r="A113" s="112"/>
      <c r="B113" s="112"/>
      <c r="C113" s="161"/>
      <c r="D113" s="125"/>
      <c r="E113" s="125"/>
      <c r="F113" s="125"/>
      <c r="G113" s="125"/>
      <c r="H113" s="125"/>
      <c r="I113" s="125"/>
      <c r="J113" s="125"/>
      <c r="K113" s="126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</row>
    <row r="114" spans="1:24" ht="12.75" customHeight="1" x14ac:dyDescent="0.2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</row>
    <row r="115" spans="1:24" ht="12.75" customHeight="1" x14ac:dyDescent="0.2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</row>
    <row r="116" spans="1:24" ht="12.75" customHeight="1" x14ac:dyDescent="0.2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</row>
    <row r="117" spans="1:24" ht="12.75" customHeight="1" x14ac:dyDescent="0.2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</row>
    <row r="118" spans="1:24" ht="12.75" customHeight="1" x14ac:dyDescent="0.2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</row>
    <row r="119" spans="1:24" ht="12.75" customHeight="1" x14ac:dyDescent="0.2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</row>
    <row r="120" spans="1:24" ht="12.75" customHeight="1" x14ac:dyDescent="0.2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</row>
    <row r="121" spans="1:24" ht="12.75" customHeight="1" x14ac:dyDescent="0.2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</row>
    <row r="122" spans="1:24" ht="12.75" customHeight="1" x14ac:dyDescent="0.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</row>
    <row r="123" spans="1:24" ht="12.75" customHeight="1" x14ac:dyDescent="0.2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</row>
    <row r="124" spans="1:24" ht="12.75" customHeight="1" x14ac:dyDescent="0.2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</row>
    <row r="125" spans="1:24" ht="12.75" customHeight="1" x14ac:dyDescent="0.2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</row>
    <row r="126" spans="1:24" ht="12.75" customHeight="1" x14ac:dyDescent="0.2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</row>
    <row r="127" spans="1:24" ht="12.75" customHeight="1" x14ac:dyDescent="0.2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</row>
    <row r="128" spans="1:24" ht="12.75" customHeight="1" x14ac:dyDescent="0.2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</row>
    <row r="129" spans="1:24" ht="12.75" customHeight="1" x14ac:dyDescent="0.2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</row>
    <row r="130" spans="1:24" ht="12.75" customHeight="1" x14ac:dyDescent="0.2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</row>
    <row r="131" spans="1:24" ht="12.75" customHeight="1" x14ac:dyDescent="0.2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</row>
    <row r="132" spans="1:24" ht="12.75" customHeight="1" x14ac:dyDescent="0.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</row>
    <row r="133" spans="1:24" ht="12.75" customHeight="1" x14ac:dyDescent="0.2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</row>
    <row r="134" spans="1:24" ht="12.75" customHeight="1" x14ac:dyDescent="0.2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</row>
    <row r="135" spans="1:24" ht="12.75" customHeight="1" x14ac:dyDescent="0.2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</row>
    <row r="136" spans="1:24" ht="12.75" customHeight="1" x14ac:dyDescent="0.2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</row>
    <row r="137" spans="1:24" ht="12.75" customHeight="1" x14ac:dyDescent="0.2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</row>
    <row r="138" spans="1:24" ht="12.75" customHeight="1" x14ac:dyDescent="0.2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</row>
    <row r="139" spans="1:24" ht="12.75" customHeight="1" x14ac:dyDescent="0.2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</row>
    <row r="140" spans="1:24" ht="12.75" customHeight="1" x14ac:dyDescent="0.2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</row>
    <row r="141" spans="1:24" ht="12.75" customHeight="1" x14ac:dyDescent="0.2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</row>
    <row r="142" spans="1:24" ht="12.75" customHeight="1" x14ac:dyDescent="0.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</row>
    <row r="143" spans="1:24" ht="12.75" customHeight="1" x14ac:dyDescent="0.2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</row>
    <row r="144" spans="1:24" ht="12.75" customHeight="1" x14ac:dyDescent="0.2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</row>
    <row r="145" spans="1:24" ht="12.75" customHeight="1" x14ac:dyDescent="0.2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</row>
    <row r="146" spans="1:24" ht="12.75" customHeight="1" x14ac:dyDescent="0.2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</row>
    <row r="147" spans="1:24" ht="12.75" customHeight="1" x14ac:dyDescent="0.2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</row>
    <row r="148" spans="1:24" ht="12.75" customHeight="1" x14ac:dyDescent="0.2">
      <c r="A148" s="112"/>
      <c r="B148" s="112"/>
      <c r="C148" s="112"/>
      <c r="D148" s="112"/>
      <c r="E148" s="112"/>
      <c r="F148" s="112" t="s">
        <v>224</v>
      </c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</row>
    <row r="149" spans="1:24" ht="12.75" customHeight="1" x14ac:dyDescent="0.2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</row>
    <row r="150" spans="1:24" ht="12.75" customHeight="1" x14ac:dyDescent="0.2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</row>
    <row r="151" spans="1:24" ht="12.75" customHeight="1" x14ac:dyDescent="0.2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</row>
    <row r="152" spans="1:24" ht="12.75" customHeight="1" x14ac:dyDescent="0.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</row>
    <row r="153" spans="1:24" ht="12.75" customHeight="1" x14ac:dyDescent="0.2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</row>
    <row r="154" spans="1:24" ht="12.75" customHeight="1" x14ac:dyDescent="0.2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</row>
    <row r="155" spans="1:24" ht="12.75" customHeight="1" x14ac:dyDescent="0.2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</row>
    <row r="156" spans="1:24" ht="12.75" customHeight="1" x14ac:dyDescent="0.2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</row>
    <row r="157" spans="1:24" ht="12.75" customHeight="1" x14ac:dyDescent="0.2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</row>
    <row r="158" spans="1:24" ht="12.75" customHeight="1" x14ac:dyDescent="0.2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</row>
    <row r="159" spans="1:24" ht="12.75" customHeight="1" x14ac:dyDescent="0.2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</row>
    <row r="160" spans="1:24" ht="12.75" customHeight="1" x14ac:dyDescent="0.2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</row>
    <row r="161" spans="1:24" ht="12.75" customHeight="1" x14ac:dyDescent="0.2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</row>
    <row r="162" spans="1:24" ht="12.75" customHeight="1" x14ac:dyDescent="0.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</row>
    <row r="163" spans="1:24" ht="12.75" customHeight="1" x14ac:dyDescent="0.2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</row>
    <row r="164" spans="1:24" ht="12.75" customHeight="1" x14ac:dyDescent="0.2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</row>
    <row r="165" spans="1:24" ht="12.75" customHeight="1" x14ac:dyDescent="0.2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</row>
    <row r="166" spans="1:24" ht="12.75" customHeight="1" x14ac:dyDescent="0.2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</row>
    <row r="167" spans="1:24" ht="12.75" customHeight="1" x14ac:dyDescent="0.2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</row>
    <row r="168" spans="1:24" ht="12.75" customHeight="1" x14ac:dyDescent="0.2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</row>
    <row r="169" spans="1:24" ht="12.75" customHeight="1" x14ac:dyDescent="0.2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</row>
    <row r="170" spans="1:24" ht="12.75" customHeight="1" x14ac:dyDescent="0.2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</row>
    <row r="171" spans="1:24" ht="12.75" customHeight="1" x14ac:dyDescent="0.2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</row>
    <row r="172" spans="1:24" ht="12.75" customHeight="1" x14ac:dyDescent="0.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</row>
    <row r="173" spans="1:24" ht="12.75" customHeight="1" x14ac:dyDescent="0.2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</row>
    <row r="174" spans="1:24" ht="12.75" customHeight="1" x14ac:dyDescent="0.2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</row>
    <row r="175" spans="1:24" ht="12.75" customHeight="1" x14ac:dyDescent="0.2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</row>
    <row r="176" spans="1:24" ht="12.75" customHeight="1" x14ac:dyDescent="0.2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</row>
    <row r="177" spans="1:24" ht="12.75" customHeight="1" x14ac:dyDescent="0.2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</row>
    <row r="178" spans="1:24" ht="12.75" customHeight="1" x14ac:dyDescent="0.2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</row>
    <row r="179" spans="1:24" ht="12.75" customHeight="1" x14ac:dyDescent="0.2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</row>
    <row r="180" spans="1:24" ht="12.75" customHeight="1" x14ac:dyDescent="0.2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</row>
    <row r="181" spans="1:24" ht="12.75" customHeight="1" x14ac:dyDescent="0.2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</row>
    <row r="182" spans="1:24" ht="12.75" customHeight="1" x14ac:dyDescent="0.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</row>
    <row r="183" spans="1:24" ht="12.75" customHeight="1" x14ac:dyDescent="0.2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</row>
    <row r="184" spans="1:24" ht="12.75" customHeight="1" x14ac:dyDescent="0.2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</row>
    <row r="185" spans="1:24" ht="12.75" customHeight="1" x14ac:dyDescent="0.2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</row>
    <row r="186" spans="1:24" ht="12.75" customHeight="1" x14ac:dyDescent="0.2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</row>
    <row r="187" spans="1:24" ht="12.75" customHeight="1" x14ac:dyDescent="0.2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</row>
    <row r="188" spans="1:24" ht="12.75" customHeight="1" x14ac:dyDescent="0.2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</row>
    <row r="189" spans="1:24" ht="12.75" customHeight="1" x14ac:dyDescent="0.2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</row>
    <row r="190" spans="1:24" ht="12.75" customHeight="1" x14ac:dyDescent="0.2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</row>
    <row r="191" spans="1:24" ht="12.75" customHeight="1" x14ac:dyDescent="0.2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</row>
    <row r="192" spans="1:24" ht="12.75" customHeight="1" x14ac:dyDescent="0.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</row>
    <row r="193" spans="1:24" ht="12.75" customHeight="1" x14ac:dyDescent="0.2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</row>
    <row r="194" spans="1:24" ht="12.75" customHeight="1" x14ac:dyDescent="0.2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</row>
    <row r="195" spans="1:24" ht="12.75" customHeight="1" x14ac:dyDescent="0.2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</row>
    <row r="196" spans="1:24" ht="12.75" customHeight="1" x14ac:dyDescent="0.2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</row>
    <row r="197" spans="1:24" ht="12.75" customHeight="1" x14ac:dyDescent="0.2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</row>
    <row r="198" spans="1:24" ht="12.75" customHeight="1" x14ac:dyDescent="0.2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</row>
    <row r="199" spans="1:24" ht="12.75" customHeight="1" x14ac:dyDescent="0.2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</row>
    <row r="200" spans="1:24" ht="12.75" customHeight="1" x14ac:dyDescent="0.2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</row>
    <row r="201" spans="1:24" ht="12.75" customHeight="1" x14ac:dyDescent="0.2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</row>
    <row r="202" spans="1:24" ht="12.75" customHeight="1" x14ac:dyDescent="0.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</row>
    <row r="203" spans="1:24" ht="12.75" customHeight="1" x14ac:dyDescent="0.2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</row>
    <row r="204" spans="1:24" ht="12.75" customHeight="1" x14ac:dyDescent="0.2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</row>
    <row r="205" spans="1:24" ht="12.75" customHeight="1" x14ac:dyDescent="0.2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</row>
    <row r="206" spans="1:24" ht="12.75" customHeight="1" x14ac:dyDescent="0.2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</row>
    <row r="207" spans="1:24" ht="12.75" customHeight="1" x14ac:dyDescent="0.2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</row>
    <row r="208" spans="1:24" ht="12.75" customHeight="1" x14ac:dyDescent="0.2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</row>
    <row r="209" spans="1:24" ht="12.75" customHeight="1" x14ac:dyDescent="0.2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</row>
    <row r="210" spans="1:24" ht="12.75" customHeight="1" x14ac:dyDescent="0.2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</row>
    <row r="211" spans="1:24" ht="12.75" customHeight="1" x14ac:dyDescent="0.2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</row>
    <row r="212" spans="1:24" ht="12.75" customHeight="1" x14ac:dyDescent="0.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</row>
    <row r="213" spans="1:24" ht="12.75" customHeight="1" x14ac:dyDescent="0.2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</row>
    <row r="214" spans="1:24" ht="12.75" customHeight="1" x14ac:dyDescent="0.2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</row>
    <row r="215" spans="1:24" ht="12.75" customHeight="1" x14ac:dyDescent="0.2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</row>
    <row r="216" spans="1:24" ht="12.75" customHeight="1" x14ac:dyDescent="0.2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</row>
    <row r="217" spans="1:24" ht="12.75" customHeight="1" x14ac:dyDescent="0.2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</row>
    <row r="218" spans="1:24" ht="12.75" customHeight="1" x14ac:dyDescent="0.2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</row>
    <row r="219" spans="1:24" ht="12.75" customHeight="1" x14ac:dyDescent="0.2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</row>
    <row r="220" spans="1:24" ht="12.75" customHeight="1" x14ac:dyDescent="0.2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</row>
    <row r="221" spans="1:24" ht="12.75" customHeight="1" x14ac:dyDescent="0.2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</row>
    <row r="222" spans="1:24" ht="12.75" customHeight="1" x14ac:dyDescent="0.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</row>
    <row r="223" spans="1:24" ht="12.75" customHeight="1" x14ac:dyDescent="0.2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</row>
    <row r="224" spans="1:24" ht="12.75" customHeight="1" x14ac:dyDescent="0.2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</row>
    <row r="225" spans="1:24" ht="12.75" customHeight="1" x14ac:dyDescent="0.2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</row>
    <row r="226" spans="1:24" ht="12.75" customHeight="1" x14ac:dyDescent="0.2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</row>
    <row r="227" spans="1:24" ht="12.75" customHeight="1" x14ac:dyDescent="0.2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</row>
    <row r="228" spans="1:24" ht="12.75" customHeight="1" x14ac:dyDescent="0.2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</row>
    <row r="229" spans="1:24" ht="12.75" customHeight="1" x14ac:dyDescent="0.2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</row>
    <row r="230" spans="1:24" ht="12.75" customHeight="1" x14ac:dyDescent="0.2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</row>
    <row r="231" spans="1:24" ht="12.75" customHeight="1" x14ac:dyDescent="0.2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</row>
    <row r="232" spans="1:24" ht="12.75" customHeight="1" x14ac:dyDescent="0.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</row>
    <row r="233" spans="1:24" ht="12.75" customHeight="1" x14ac:dyDescent="0.2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</row>
    <row r="234" spans="1:24" ht="12.75" customHeight="1" x14ac:dyDescent="0.2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</row>
    <row r="235" spans="1:24" ht="12.75" customHeight="1" x14ac:dyDescent="0.2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</row>
    <row r="236" spans="1:24" ht="12.75" customHeight="1" x14ac:dyDescent="0.2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</row>
    <row r="237" spans="1:24" ht="12.75" customHeight="1" x14ac:dyDescent="0.2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</row>
    <row r="238" spans="1:24" ht="12.75" customHeight="1" x14ac:dyDescent="0.2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</row>
    <row r="239" spans="1:24" ht="12.75" customHeight="1" x14ac:dyDescent="0.2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</row>
    <row r="240" spans="1:24" ht="12.75" customHeight="1" x14ac:dyDescent="0.2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</row>
    <row r="241" spans="1:24" ht="12.75" customHeight="1" x14ac:dyDescent="0.2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</row>
    <row r="242" spans="1:24" ht="12.75" customHeight="1" x14ac:dyDescent="0.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</row>
    <row r="243" spans="1:24" ht="12.75" customHeight="1" x14ac:dyDescent="0.2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</row>
    <row r="244" spans="1:24" ht="12.75" customHeight="1" x14ac:dyDescent="0.2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</row>
    <row r="245" spans="1:24" ht="12.75" customHeight="1" x14ac:dyDescent="0.2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</row>
    <row r="246" spans="1:24" ht="12.75" customHeight="1" x14ac:dyDescent="0.2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</row>
    <row r="247" spans="1:24" ht="12.75" customHeight="1" x14ac:dyDescent="0.2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</row>
    <row r="248" spans="1:24" ht="12.75" customHeight="1" x14ac:dyDescent="0.2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</row>
    <row r="249" spans="1:24" ht="12.75" customHeight="1" x14ac:dyDescent="0.2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</row>
    <row r="250" spans="1:24" ht="12.75" customHeight="1" x14ac:dyDescent="0.2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</row>
    <row r="251" spans="1:24" ht="12.75" customHeight="1" x14ac:dyDescent="0.2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</row>
    <row r="252" spans="1:24" ht="12.75" customHeight="1" x14ac:dyDescent="0.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</row>
    <row r="253" spans="1:24" ht="12.75" customHeight="1" x14ac:dyDescent="0.2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</row>
    <row r="254" spans="1:24" ht="12.75" customHeight="1" x14ac:dyDescent="0.2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</row>
    <row r="255" spans="1:24" ht="12.75" customHeight="1" x14ac:dyDescent="0.2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</row>
    <row r="256" spans="1:24" ht="12.75" customHeight="1" x14ac:dyDescent="0.2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</row>
    <row r="257" spans="1:24" ht="12.75" customHeight="1" x14ac:dyDescent="0.2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</row>
    <row r="258" spans="1:24" ht="12.75" customHeight="1" x14ac:dyDescent="0.2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</row>
    <row r="259" spans="1:24" ht="12.75" customHeight="1" x14ac:dyDescent="0.2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</row>
    <row r="260" spans="1:24" ht="12.75" customHeight="1" x14ac:dyDescent="0.2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</row>
    <row r="261" spans="1:24" ht="12.75" customHeight="1" x14ac:dyDescent="0.2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</row>
    <row r="262" spans="1:24" ht="12.75" customHeight="1" x14ac:dyDescent="0.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</row>
    <row r="263" spans="1:24" ht="12.75" customHeight="1" x14ac:dyDescent="0.2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</row>
    <row r="264" spans="1:24" ht="12.75" customHeight="1" x14ac:dyDescent="0.2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</row>
    <row r="265" spans="1:24" ht="12.75" customHeight="1" x14ac:dyDescent="0.2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</row>
    <row r="266" spans="1:24" ht="12.75" customHeight="1" x14ac:dyDescent="0.2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</row>
    <row r="267" spans="1:24" ht="12.75" customHeight="1" x14ac:dyDescent="0.2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</row>
    <row r="268" spans="1:24" ht="12.75" customHeight="1" x14ac:dyDescent="0.2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</row>
    <row r="269" spans="1:24" ht="12.75" customHeight="1" x14ac:dyDescent="0.2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</row>
    <row r="270" spans="1:24" ht="12.75" customHeight="1" x14ac:dyDescent="0.2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</row>
    <row r="271" spans="1:24" ht="12.75" customHeight="1" x14ac:dyDescent="0.2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</row>
    <row r="272" spans="1:24" ht="12.75" customHeight="1" x14ac:dyDescent="0.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</row>
    <row r="273" spans="1:24" ht="12.75" customHeight="1" x14ac:dyDescent="0.2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</row>
    <row r="274" spans="1:24" ht="12.75" customHeight="1" x14ac:dyDescent="0.2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</row>
    <row r="275" spans="1:24" ht="12.75" customHeight="1" x14ac:dyDescent="0.2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</row>
    <row r="276" spans="1:24" ht="12.75" customHeight="1" x14ac:dyDescent="0.2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</row>
    <row r="277" spans="1:24" ht="12.75" customHeight="1" x14ac:dyDescent="0.2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</row>
    <row r="278" spans="1:24" ht="12.75" customHeight="1" x14ac:dyDescent="0.2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</row>
    <row r="279" spans="1:24" ht="12.75" customHeight="1" x14ac:dyDescent="0.2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</row>
    <row r="280" spans="1:24" ht="12.75" customHeight="1" x14ac:dyDescent="0.2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</row>
    <row r="281" spans="1:24" ht="12.75" customHeight="1" x14ac:dyDescent="0.2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</row>
    <row r="282" spans="1:24" ht="12.75" customHeight="1" x14ac:dyDescent="0.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</row>
    <row r="283" spans="1:24" ht="12.75" customHeight="1" x14ac:dyDescent="0.2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</row>
    <row r="284" spans="1:24" ht="12.75" customHeight="1" x14ac:dyDescent="0.2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</row>
    <row r="285" spans="1:24" ht="12.75" customHeight="1" x14ac:dyDescent="0.2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</row>
    <row r="286" spans="1:24" ht="12.75" customHeight="1" x14ac:dyDescent="0.2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</row>
    <row r="287" spans="1:24" ht="12.75" customHeight="1" x14ac:dyDescent="0.2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</row>
    <row r="288" spans="1:24" ht="12.75" customHeight="1" x14ac:dyDescent="0.2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</row>
    <row r="289" spans="1:24" ht="12.75" customHeight="1" x14ac:dyDescent="0.2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</row>
    <row r="290" spans="1:24" ht="12.75" customHeight="1" x14ac:dyDescent="0.2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</row>
    <row r="291" spans="1:24" ht="12.75" customHeight="1" x14ac:dyDescent="0.2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</row>
    <row r="292" spans="1:24" ht="12.75" customHeight="1" x14ac:dyDescent="0.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</row>
    <row r="293" spans="1:24" ht="12.75" customHeight="1" x14ac:dyDescent="0.2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</row>
    <row r="294" spans="1:24" ht="12.75" customHeight="1" x14ac:dyDescent="0.2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</row>
    <row r="295" spans="1:24" ht="12.75" customHeight="1" x14ac:dyDescent="0.2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</row>
    <row r="296" spans="1:24" ht="12.75" customHeight="1" x14ac:dyDescent="0.2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</row>
    <row r="297" spans="1:24" ht="12.75" customHeight="1" x14ac:dyDescent="0.2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</row>
    <row r="298" spans="1:24" ht="12.75" customHeight="1" x14ac:dyDescent="0.2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</row>
    <row r="299" spans="1:24" ht="12.75" customHeight="1" x14ac:dyDescent="0.2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</row>
    <row r="300" spans="1:24" ht="12.75" customHeight="1" x14ac:dyDescent="0.2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</row>
    <row r="301" spans="1:24" ht="12.75" customHeight="1" x14ac:dyDescent="0.2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</row>
    <row r="302" spans="1:24" ht="12.75" customHeight="1" x14ac:dyDescent="0.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</row>
    <row r="303" spans="1:24" ht="12.75" customHeight="1" x14ac:dyDescent="0.2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</row>
    <row r="304" spans="1:24" ht="12.75" customHeight="1" x14ac:dyDescent="0.2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</row>
    <row r="305" spans="1:24" ht="12.75" customHeight="1" x14ac:dyDescent="0.2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</row>
    <row r="306" spans="1:24" ht="12.75" customHeight="1" x14ac:dyDescent="0.2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</row>
    <row r="307" spans="1:24" ht="12.75" customHeight="1" x14ac:dyDescent="0.2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</row>
    <row r="308" spans="1:24" ht="12.75" customHeight="1" x14ac:dyDescent="0.2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</row>
    <row r="309" spans="1:24" ht="12.75" customHeight="1" x14ac:dyDescent="0.2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</row>
    <row r="310" spans="1:24" ht="12.75" customHeight="1" x14ac:dyDescent="0.2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</row>
    <row r="311" spans="1:24" ht="12.75" customHeight="1" x14ac:dyDescent="0.2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</row>
    <row r="312" spans="1:24" ht="12.75" customHeight="1" x14ac:dyDescent="0.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</row>
    <row r="313" spans="1:24" ht="12.75" customHeight="1" x14ac:dyDescent="0.2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</row>
    <row r="314" spans="1:24" ht="12.75" customHeight="1" x14ac:dyDescent="0.2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</row>
    <row r="315" spans="1:24" ht="12.75" customHeight="1" x14ac:dyDescent="0.2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</row>
    <row r="316" spans="1:24" ht="12.75" customHeight="1" x14ac:dyDescent="0.2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</row>
    <row r="317" spans="1:24" ht="12.75" customHeight="1" x14ac:dyDescent="0.2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</row>
    <row r="318" spans="1:24" ht="12.75" customHeight="1" x14ac:dyDescent="0.2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</row>
    <row r="319" spans="1:24" ht="12.75" customHeight="1" x14ac:dyDescent="0.2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</row>
    <row r="320" spans="1:24" ht="12.75" customHeight="1" x14ac:dyDescent="0.2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</row>
    <row r="321" spans="1:24" ht="12.75" customHeight="1" x14ac:dyDescent="0.2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</row>
    <row r="322" spans="1:24" ht="12.75" customHeight="1" x14ac:dyDescent="0.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</row>
    <row r="323" spans="1:24" ht="12.75" customHeight="1" x14ac:dyDescent="0.2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</row>
    <row r="324" spans="1:24" ht="12.75" customHeight="1" x14ac:dyDescent="0.2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</row>
    <row r="325" spans="1:24" ht="12.75" customHeight="1" x14ac:dyDescent="0.2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</row>
    <row r="326" spans="1:24" ht="12.75" customHeight="1" x14ac:dyDescent="0.2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</row>
    <row r="327" spans="1:24" ht="12.75" customHeight="1" x14ac:dyDescent="0.2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</row>
    <row r="328" spans="1:24" ht="12.75" customHeight="1" x14ac:dyDescent="0.2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</row>
    <row r="329" spans="1:24" ht="12.75" customHeight="1" x14ac:dyDescent="0.2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</row>
    <row r="330" spans="1:24" ht="12.75" customHeight="1" x14ac:dyDescent="0.2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</row>
    <row r="331" spans="1:24" ht="12.75" customHeight="1" x14ac:dyDescent="0.2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</row>
    <row r="332" spans="1:24" ht="12.75" customHeight="1" x14ac:dyDescent="0.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</row>
    <row r="333" spans="1:24" ht="12.75" customHeight="1" x14ac:dyDescent="0.2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</row>
    <row r="334" spans="1:24" ht="12.75" customHeight="1" x14ac:dyDescent="0.2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</row>
    <row r="335" spans="1:24" ht="12.75" customHeight="1" x14ac:dyDescent="0.2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</row>
    <row r="336" spans="1:24" ht="12.75" customHeight="1" x14ac:dyDescent="0.2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</row>
    <row r="337" spans="1:24" ht="12.75" customHeight="1" x14ac:dyDescent="0.2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</row>
    <row r="338" spans="1:24" ht="12.75" customHeight="1" x14ac:dyDescent="0.2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</row>
    <row r="339" spans="1:24" ht="12.75" customHeight="1" x14ac:dyDescent="0.2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</row>
    <row r="340" spans="1:24" ht="12.75" customHeight="1" x14ac:dyDescent="0.2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</row>
    <row r="341" spans="1:24" ht="12.75" customHeight="1" x14ac:dyDescent="0.2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</row>
    <row r="342" spans="1:24" ht="12.75" customHeight="1" x14ac:dyDescent="0.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</row>
    <row r="343" spans="1:24" ht="12.75" customHeight="1" x14ac:dyDescent="0.2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</row>
    <row r="344" spans="1:24" ht="12.75" customHeight="1" x14ac:dyDescent="0.2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</row>
    <row r="345" spans="1:24" ht="12.75" customHeight="1" x14ac:dyDescent="0.2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</row>
    <row r="346" spans="1:24" ht="12.75" customHeight="1" x14ac:dyDescent="0.2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</row>
    <row r="347" spans="1:24" ht="12.75" customHeight="1" x14ac:dyDescent="0.2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</row>
    <row r="348" spans="1:24" ht="12.75" customHeight="1" x14ac:dyDescent="0.2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</row>
    <row r="349" spans="1:24" ht="12.75" customHeight="1" x14ac:dyDescent="0.2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</row>
    <row r="350" spans="1:24" ht="12.75" customHeight="1" x14ac:dyDescent="0.2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</row>
    <row r="351" spans="1:24" ht="12.75" customHeight="1" x14ac:dyDescent="0.2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</row>
    <row r="352" spans="1:24" ht="12.75" customHeight="1" x14ac:dyDescent="0.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</row>
    <row r="353" spans="1:24" ht="12.75" customHeight="1" x14ac:dyDescent="0.2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</row>
    <row r="354" spans="1:24" ht="12.75" customHeight="1" x14ac:dyDescent="0.2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</row>
    <row r="355" spans="1:24" ht="12.75" customHeight="1" x14ac:dyDescent="0.2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</row>
    <row r="356" spans="1:24" ht="12.75" customHeight="1" x14ac:dyDescent="0.2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</row>
    <row r="357" spans="1:24" ht="12.75" customHeight="1" x14ac:dyDescent="0.2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</row>
    <row r="358" spans="1:24" ht="12.75" customHeight="1" x14ac:dyDescent="0.2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</row>
    <row r="359" spans="1:24" ht="12.75" customHeight="1" x14ac:dyDescent="0.2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</row>
    <row r="360" spans="1:24" ht="12.75" customHeight="1" x14ac:dyDescent="0.2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</row>
    <row r="361" spans="1:24" ht="12.75" customHeight="1" x14ac:dyDescent="0.2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</row>
    <row r="362" spans="1:24" ht="12.75" customHeight="1" x14ac:dyDescent="0.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</row>
    <row r="363" spans="1:24" ht="12.75" customHeight="1" x14ac:dyDescent="0.2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</row>
    <row r="364" spans="1:24" ht="12.75" customHeight="1" x14ac:dyDescent="0.2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</row>
    <row r="365" spans="1:24" ht="12.75" customHeight="1" x14ac:dyDescent="0.2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</row>
    <row r="366" spans="1:24" ht="12.75" customHeight="1" x14ac:dyDescent="0.2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</row>
    <row r="367" spans="1:24" ht="12.75" customHeight="1" x14ac:dyDescent="0.2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</row>
    <row r="368" spans="1:24" ht="12.75" customHeight="1" x14ac:dyDescent="0.2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</row>
    <row r="369" spans="1:24" ht="12.75" customHeight="1" x14ac:dyDescent="0.2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</row>
    <row r="370" spans="1:24" ht="12.75" customHeight="1" x14ac:dyDescent="0.2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</row>
    <row r="371" spans="1:24" ht="12.75" customHeight="1" x14ac:dyDescent="0.2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</row>
    <row r="372" spans="1:24" ht="12.75" customHeight="1" x14ac:dyDescent="0.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</row>
    <row r="373" spans="1:24" ht="12.75" customHeight="1" x14ac:dyDescent="0.2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</row>
    <row r="374" spans="1:24" ht="12.75" customHeight="1" x14ac:dyDescent="0.2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</row>
    <row r="375" spans="1:24" ht="12.75" customHeight="1" x14ac:dyDescent="0.2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</row>
    <row r="376" spans="1:24" ht="12.75" customHeight="1" x14ac:dyDescent="0.2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</row>
    <row r="377" spans="1:24" ht="12.75" customHeight="1" x14ac:dyDescent="0.2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</row>
    <row r="378" spans="1:24" ht="12.75" customHeight="1" x14ac:dyDescent="0.2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</row>
    <row r="379" spans="1:24" ht="12.75" customHeight="1" x14ac:dyDescent="0.2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</row>
    <row r="380" spans="1:24" ht="12.75" customHeight="1" x14ac:dyDescent="0.2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</row>
    <row r="381" spans="1:24" ht="12.75" customHeight="1" x14ac:dyDescent="0.2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</row>
    <row r="382" spans="1:24" ht="12.75" customHeight="1" x14ac:dyDescent="0.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</row>
    <row r="383" spans="1:24" ht="12.75" customHeight="1" x14ac:dyDescent="0.2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</row>
    <row r="384" spans="1:24" ht="12.75" customHeight="1" x14ac:dyDescent="0.2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</row>
    <row r="385" spans="1:24" ht="12.75" customHeight="1" x14ac:dyDescent="0.2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</row>
    <row r="386" spans="1:24" ht="12.75" customHeight="1" x14ac:dyDescent="0.2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</row>
    <row r="387" spans="1:24" ht="12.75" customHeight="1" x14ac:dyDescent="0.2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</row>
    <row r="388" spans="1:24" ht="12.75" customHeight="1" x14ac:dyDescent="0.2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</row>
    <row r="389" spans="1:24" ht="12.75" customHeight="1" x14ac:dyDescent="0.2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</row>
    <row r="390" spans="1:24" ht="12.75" customHeight="1" x14ac:dyDescent="0.2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</row>
    <row r="391" spans="1:24" ht="12.75" customHeight="1" x14ac:dyDescent="0.2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</row>
    <row r="392" spans="1:24" ht="12.75" customHeight="1" x14ac:dyDescent="0.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</row>
    <row r="393" spans="1:24" ht="12.75" customHeight="1" x14ac:dyDescent="0.2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</row>
    <row r="394" spans="1:24" ht="12.75" customHeight="1" x14ac:dyDescent="0.2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</row>
    <row r="395" spans="1:24" ht="12.75" customHeight="1" x14ac:dyDescent="0.2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</row>
    <row r="396" spans="1:24" ht="12.75" customHeight="1" x14ac:dyDescent="0.2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</row>
    <row r="397" spans="1:24" ht="12.75" customHeight="1" x14ac:dyDescent="0.2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</row>
    <row r="398" spans="1:24" ht="12.75" customHeight="1" x14ac:dyDescent="0.2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</row>
    <row r="399" spans="1:24" ht="12.75" customHeight="1" x14ac:dyDescent="0.2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</row>
    <row r="400" spans="1:24" ht="12.75" customHeight="1" x14ac:dyDescent="0.2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</row>
    <row r="401" spans="1:24" ht="12.75" customHeight="1" x14ac:dyDescent="0.2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</row>
    <row r="402" spans="1:24" ht="12.75" customHeight="1" x14ac:dyDescent="0.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</row>
    <row r="403" spans="1:24" ht="12.75" customHeight="1" x14ac:dyDescent="0.2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</row>
    <row r="404" spans="1:24" ht="12.75" customHeight="1" x14ac:dyDescent="0.2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</row>
    <row r="405" spans="1:24" ht="12.75" customHeight="1" x14ac:dyDescent="0.2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</row>
    <row r="406" spans="1:24" ht="12.75" customHeight="1" x14ac:dyDescent="0.2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</row>
    <row r="407" spans="1:24" ht="12.75" customHeight="1" x14ac:dyDescent="0.2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</row>
    <row r="408" spans="1:24" ht="12.75" customHeight="1" x14ac:dyDescent="0.2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</row>
    <row r="409" spans="1:24" ht="12.75" customHeight="1" x14ac:dyDescent="0.2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</row>
    <row r="410" spans="1:24" ht="12.75" customHeight="1" x14ac:dyDescent="0.2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</row>
    <row r="411" spans="1:24" ht="12.75" customHeight="1" x14ac:dyDescent="0.2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</row>
    <row r="412" spans="1:24" ht="12.75" customHeight="1" x14ac:dyDescent="0.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</row>
    <row r="413" spans="1:24" ht="12.75" customHeight="1" x14ac:dyDescent="0.2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</row>
    <row r="414" spans="1:24" ht="12.75" customHeight="1" x14ac:dyDescent="0.2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</row>
    <row r="415" spans="1:24" ht="12.75" customHeight="1" x14ac:dyDescent="0.2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</row>
    <row r="416" spans="1:24" ht="12.75" customHeight="1" x14ac:dyDescent="0.2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</row>
    <row r="417" spans="1:24" ht="12.75" customHeight="1" x14ac:dyDescent="0.2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</row>
    <row r="418" spans="1:24" ht="12.75" customHeight="1" x14ac:dyDescent="0.2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</row>
    <row r="419" spans="1:24" ht="12.75" customHeight="1" x14ac:dyDescent="0.2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</row>
    <row r="420" spans="1:24" ht="12.75" customHeight="1" x14ac:dyDescent="0.2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</row>
    <row r="421" spans="1:24" ht="12.75" customHeight="1" x14ac:dyDescent="0.2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</row>
    <row r="422" spans="1:24" ht="12.75" customHeight="1" x14ac:dyDescent="0.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</row>
    <row r="423" spans="1:24" ht="12.75" customHeight="1" x14ac:dyDescent="0.2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</row>
    <row r="424" spans="1:24" ht="12.75" customHeight="1" x14ac:dyDescent="0.2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</row>
    <row r="425" spans="1:24" ht="12.75" customHeight="1" x14ac:dyDescent="0.2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</row>
    <row r="426" spans="1:24" ht="12.75" customHeight="1" x14ac:dyDescent="0.2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</row>
    <row r="427" spans="1:24" ht="12.75" customHeight="1" x14ac:dyDescent="0.2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</row>
    <row r="428" spans="1:24" ht="12.75" customHeight="1" x14ac:dyDescent="0.2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</row>
    <row r="429" spans="1:24" ht="12.75" customHeight="1" x14ac:dyDescent="0.2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</row>
    <row r="430" spans="1:24" ht="12.75" customHeight="1" x14ac:dyDescent="0.2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</row>
    <row r="431" spans="1:24" ht="12.75" customHeight="1" x14ac:dyDescent="0.2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</row>
    <row r="432" spans="1:24" ht="12.75" customHeight="1" x14ac:dyDescent="0.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</row>
    <row r="433" spans="1:24" ht="12.75" customHeight="1" x14ac:dyDescent="0.2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</row>
    <row r="434" spans="1:24" ht="12.75" customHeight="1" x14ac:dyDescent="0.2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</row>
    <row r="435" spans="1:24" ht="12.75" customHeight="1" x14ac:dyDescent="0.2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</row>
    <row r="436" spans="1:24" ht="12.75" customHeight="1" x14ac:dyDescent="0.2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</row>
    <row r="437" spans="1:24" ht="12.75" customHeight="1" x14ac:dyDescent="0.2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</row>
    <row r="438" spans="1:24" ht="12.75" customHeight="1" x14ac:dyDescent="0.2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</row>
    <row r="439" spans="1:24" ht="12.75" customHeight="1" x14ac:dyDescent="0.2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</row>
    <row r="440" spans="1:24" ht="12.75" customHeight="1" x14ac:dyDescent="0.2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</row>
    <row r="441" spans="1:24" ht="12.75" customHeight="1" x14ac:dyDescent="0.2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</row>
    <row r="442" spans="1:24" ht="12.75" customHeight="1" x14ac:dyDescent="0.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</row>
    <row r="443" spans="1:24" ht="12.75" customHeight="1" x14ac:dyDescent="0.2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</row>
    <row r="444" spans="1:24" ht="12.75" customHeight="1" x14ac:dyDescent="0.2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</row>
    <row r="445" spans="1:24" ht="12.75" customHeight="1" x14ac:dyDescent="0.2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</row>
    <row r="446" spans="1:24" ht="12.75" customHeight="1" x14ac:dyDescent="0.2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</row>
    <row r="447" spans="1:24" ht="12.75" customHeight="1" x14ac:dyDescent="0.2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</row>
    <row r="448" spans="1:24" ht="12.75" customHeight="1" x14ac:dyDescent="0.2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</row>
    <row r="449" spans="1:24" ht="12.75" customHeight="1" x14ac:dyDescent="0.2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</row>
    <row r="450" spans="1:24" ht="12.75" customHeight="1" x14ac:dyDescent="0.2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</row>
    <row r="451" spans="1:24" ht="12.75" customHeight="1" x14ac:dyDescent="0.2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</row>
    <row r="452" spans="1:24" ht="12.75" customHeight="1" x14ac:dyDescent="0.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</row>
    <row r="453" spans="1:24" ht="12.75" customHeight="1" x14ac:dyDescent="0.2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</row>
    <row r="454" spans="1:24" ht="12.75" customHeight="1" x14ac:dyDescent="0.2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</row>
    <row r="455" spans="1:24" ht="12.75" customHeight="1" x14ac:dyDescent="0.2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</row>
    <row r="456" spans="1:24" ht="12.75" customHeight="1" x14ac:dyDescent="0.2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</row>
    <row r="457" spans="1:24" ht="12.75" customHeight="1" x14ac:dyDescent="0.2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</row>
    <row r="458" spans="1:24" ht="12.75" customHeight="1" x14ac:dyDescent="0.2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</row>
    <row r="459" spans="1:24" ht="12.75" customHeight="1" x14ac:dyDescent="0.2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</row>
    <row r="460" spans="1:24" ht="12.75" customHeight="1" x14ac:dyDescent="0.2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</row>
    <row r="461" spans="1:24" ht="12.75" customHeight="1" x14ac:dyDescent="0.2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</row>
    <row r="462" spans="1:24" ht="12.75" customHeight="1" x14ac:dyDescent="0.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</row>
    <row r="463" spans="1:24" ht="12.75" customHeight="1" x14ac:dyDescent="0.2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</row>
    <row r="464" spans="1:24" ht="12.75" customHeight="1" x14ac:dyDescent="0.2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</row>
    <row r="465" spans="1:24" ht="12.75" customHeight="1" x14ac:dyDescent="0.2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</row>
    <row r="466" spans="1:24" ht="12.75" customHeight="1" x14ac:dyDescent="0.2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</row>
    <row r="467" spans="1:24" ht="12.75" customHeight="1" x14ac:dyDescent="0.2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</row>
    <row r="468" spans="1:24" ht="12.75" customHeight="1" x14ac:dyDescent="0.2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</row>
    <row r="469" spans="1:24" ht="12.75" customHeight="1" x14ac:dyDescent="0.2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</row>
    <row r="470" spans="1:24" ht="12.75" customHeight="1" x14ac:dyDescent="0.2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</row>
    <row r="471" spans="1:24" ht="12.75" customHeight="1" x14ac:dyDescent="0.2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</row>
    <row r="472" spans="1:24" ht="12.75" customHeight="1" x14ac:dyDescent="0.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</row>
    <row r="473" spans="1:24" ht="12.75" customHeight="1" x14ac:dyDescent="0.2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</row>
    <row r="474" spans="1:24" ht="12.75" customHeight="1" x14ac:dyDescent="0.2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</row>
    <row r="475" spans="1:24" ht="12.75" customHeight="1" x14ac:dyDescent="0.2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</row>
    <row r="476" spans="1:24" ht="12.75" customHeight="1" x14ac:dyDescent="0.2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</row>
    <row r="477" spans="1:24" ht="12.75" customHeight="1" x14ac:dyDescent="0.2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</row>
    <row r="478" spans="1:24" ht="12.75" customHeight="1" x14ac:dyDescent="0.2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</row>
    <row r="479" spans="1:24" ht="12.75" customHeight="1" x14ac:dyDescent="0.2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</row>
    <row r="480" spans="1:24" ht="12.75" customHeight="1" x14ac:dyDescent="0.2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</row>
    <row r="481" spans="1:24" ht="12.75" customHeight="1" x14ac:dyDescent="0.2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</row>
    <row r="482" spans="1:24" ht="12.75" customHeight="1" x14ac:dyDescent="0.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</row>
    <row r="483" spans="1:24" ht="12.75" customHeight="1" x14ac:dyDescent="0.2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</row>
    <row r="484" spans="1:24" ht="12.75" customHeight="1" x14ac:dyDescent="0.2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</row>
    <row r="485" spans="1:24" ht="12.75" customHeight="1" x14ac:dyDescent="0.2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</row>
    <row r="486" spans="1:24" ht="12.75" customHeight="1" x14ac:dyDescent="0.2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</row>
    <row r="487" spans="1:24" ht="12.75" customHeight="1" x14ac:dyDescent="0.2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</row>
    <row r="488" spans="1:24" ht="12.75" customHeight="1" x14ac:dyDescent="0.2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</row>
    <row r="489" spans="1:24" ht="12.75" customHeight="1" x14ac:dyDescent="0.2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</row>
    <row r="490" spans="1:24" ht="12.75" customHeight="1" x14ac:dyDescent="0.2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</row>
    <row r="491" spans="1:24" ht="12.75" customHeight="1" x14ac:dyDescent="0.2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</row>
    <row r="492" spans="1:24" ht="12.75" customHeight="1" x14ac:dyDescent="0.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</row>
    <row r="493" spans="1:24" ht="12.75" customHeight="1" x14ac:dyDescent="0.2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</row>
    <row r="494" spans="1:24" ht="12.75" customHeight="1" x14ac:dyDescent="0.2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</row>
    <row r="495" spans="1:24" ht="12.75" customHeight="1" x14ac:dyDescent="0.2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</row>
    <row r="496" spans="1:24" ht="12.75" customHeight="1" x14ac:dyDescent="0.2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</row>
    <row r="497" spans="1:24" ht="12.75" customHeight="1" x14ac:dyDescent="0.2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</row>
    <row r="498" spans="1:24" ht="12.75" customHeight="1" x14ac:dyDescent="0.2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</row>
    <row r="499" spans="1:24" ht="12.75" customHeight="1" x14ac:dyDescent="0.2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</row>
    <row r="500" spans="1:24" ht="12.75" customHeight="1" x14ac:dyDescent="0.2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</row>
    <row r="501" spans="1:24" ht="12.75" customHeight="1" x14ac:dyDescent="0.2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</row>
    <row r="502" spans="1:24" ht="12.75" customHeight="1" x14ac:dyDescent="0.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</row>
    <row r="503" spans="1:24" ht="12.75" customHeight="1" x14ac:dyDescent="0.2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</row>
    <row r="504" spans="1:24" ht="12.75" customHeight="1" x14ac:dyDescent="0.2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</row>
    <row r="505" spans="1:24" ht="12.75" customHeight="1" x14ac:dyDescent="0.2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</row>
    <row r="506" spans="1:24" ht="12.75" customHeight="1" x14ac:dyDescent="0.2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</row>
    <row r="507" spans="1:24" ht="12.75" customHeight="1" x14ac:dyDescent="0.2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</row>
    <row r="508" spans="1:24" ht="12.75" customHeight="1" x14ac:dyDescent="0.2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</row>
    <row r="509" spans="1:24" ht="12.75" customHeight="1" x14ac:dyDescent="0.2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</row>
    <row r="510" spans="1:24" ht="12.75" customHeight="1" x14ac:dyDescent="0.2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</row>
    <row r="511" spans="1:24" ht="12.75" customHeight="1" x14ac:dyDescent="0.2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</row>
    <row r="512" spans="1:24" ht="12.75" customHeight="1" x14ac:dyDescent="0.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</row>
    <row r="513" spans="1:24" ht="12.75" customHeight="1" x14ac:dyDescent="0.2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</row>
    <row r="514" spans="1:24" ht="12.75" customHeight="1" x14ac:dyDescent="0.2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</row>
    <row r="515" spans="1:24" ht="12.75" customHeight="1" x14ac:dyDescent="0.2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</row>
    <row r="516" spans="1:24" ht="12.75" customHeight="1" x14ac:dyDescent="0.2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</row>
    <row r="517" spans="1:24" ht="12.75" customHeight="1" x14ac:dyDescent="0.2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</row>
    <row r="518" spans="1:24" ht="12.75" customHeight="1" x14ac:dyDescent="0.2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</row>
    <row r="519" spans="1:24" ht="12.75" customHeight="1" x14ac:dyDescent="0.2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</row>
    <row r="520" spans="1:24" ht="12.75" customHeight="1" x14ac:dyDescent="0.2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</row>
    <row r="521" spans="1:24" ht="12.75" customHeight="1" x14ac:dyDescent="0.2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</row>
    <row r="522" spans="1:24" ht="12.75" customHeight="1" x14ac:dyDescent="0.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</row>
    <row r="523" spans="1:24" ht="12.75" customHeight="1" x14ac:dyDescent="0.2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</row>
    <row r="524" spans="1:24" ht="12.75" customHeight="1" x14ac:dyDescent="0.2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</row>
    <row r="525" spans="1:24" ht="12.75" customHeight="1" x14ac:dyDescent="0.2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</row>
    <row r="526" spans="1:24" ht="12.75" customHeight="1" x14ac:dyDescent="0.2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</row>
    <row r="527" spans="1:24" ht="12.75" customHeight="1" x14ac:dyDescent="0.2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</row>
    <row r="528" spans="1:24" ht="12.75" customHeight="1" x14ac:dyDescent="0.2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</row>
    <row r="529" spans="1:24" ht="12.75" customHeight="1" x14ac:dyDescent="0.2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</row>
    <row r="530" spans="1:24" ht="12.75" customHeight="1" x14ac:dyDescent="0.2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</row>
    <row r="531" spans="1:24" ht="12.75" customHeight="1" x14ac:dyDescent="0.2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</row>
    <row r="532" spans="1:24" ht="12.75" customHeight="1" x14ac:dyDescent="0.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</row>
    <row r="533" spans="1:24" ht="12.75" customHeight="1" x14ac:dyDescent="0.2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</row>
    <row r="534" spans="1:24" ht="12.75" customHeight="1" x14ac:dyDescent="0.2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</row>
    <row r="535" spans="1:24" ht="12.75" customHeight="1" x14ac:dyDescent="0.2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</row>
    <row r="536" spans="1:24" ht="12.75" customHeight="1" x14ac:dyDescent="0.2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</row>
    <row r="537" spans="1:24" ht="12.75" customHeight="1" x14ac:dyDescent="0.2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</row>
    <row r="538" spans="1:24" ht="12.75" customHeight="1" x14ac:dyDescent="0.2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</row>
    <row r="539" spans="1:24" ht="12.75" customHeight="1" x14ac:dyDescent="0.2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</row>
    <row r="540" spans="1:24" ht="12.75" customHeight="1" x14ac:dyDescent="0.2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</row>
    <row r="541" spans="1:24" ht="12.75" customHeight="1" x14ac:dyDescent="0.2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</row>
    <row r="542" spans="1:24" ht="12.75" customHeight="1" x14ac:dyDescent="0.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</row>
    <row r="543" spans="1:24" ht="12.75" customHeight="1" x14ac:dyDescent="0.2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</row>
    <row r="544" spans="1:24" ht="12.75" customHeight="1" x14ac:dyDescent="0.2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</row>
    <row r="545" spans="1:24" ht="12.75" customHeight="1" x14ac:dyDescent="0.2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</row>
    <row r="546" spans="1:24" ht="12.75" customHeight="1" x14ac:dyDescent="0.2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</row>
    <row r="547" spans="1:24" ht="12.75" customHeight="1" x14ac:dyDescent="0.2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</row>
    <row r="548" spans="1:24" ht="12.75" customHeight="1" x14ac:dyDescent="0.2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</row>
    <row r="549" spans="1:24" ht="12.75" customHeight="1" x14ac:dyDescent="0.2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</row>
    <row r="550" spans="1:24" ht="12.75" customHeight="1" x14ac:dyDescent="0.2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</row>
    <row r="551" spans="1:24" ht="12.75" customHeight="1" x14ac:dyDescent="0.2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</row>
    <row r="552" spans="1:24" ht="12.75" customHeight="1" x14ac:dyDescent="0.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</row>
    <row r="553" spans="1:24" ht="12.75" customHeight="1" x14ac:dyDescent="0.2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</row>
    <row r="554" spans="1:24" ht="12.75" customHeight="1" x14ac:dyDescent="0.2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</row>
    <row r="555" spans="1:24" ht="12.75" customHeight="1" x14ac:dyDescent="0.2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</row>
    <row r="556" spans="1:24" ht="12.75" customHeight="1" x14ac:dyDescent="0.2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</row>
    <row r="557" spans="1:24" ht="12.75" customHeight="1" x14ac:dyDescent="0.2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</row>
    <row r="558" spans="1:24" ht="12.75" customHeight="1" x14ac:dyDescent="0.2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</row>
    <row r="559" spans="1:24" ht="12.75" customHeight="1" x14ac:dyDescent="0.2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</row>
    <row r="560" spans="1:24" ht="12.75" customHeight="1" x14ac:dyDescent="0.2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</row>
    <row r="561" spans="1:24" ht="12.75" customHeight="1" x14ac:dyDescent="0.2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</row>
    <row r="562" spans="1:24" ht="12.75" customHeight="1" x14ac:dyDescent="0.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</row>
    <row r="563" spans="1:24" ht="12.75" customHeight="1" x14ac:dyDescent="0.2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</row>
    <row r="564" spans="1:24" ht="12.75" customHeight="1" x14ac:dyDescent="0.2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</row>
    <row r="565" spans="1:24" ht="12.75" customHeight="1" x14ac:dyDescent="0.2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</row>
    <row r="566" spans="1:24" ht="12.75" customHeight="1" x14ac:dyDescent="0.2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</row>
    <row r="567" spans="1:24" ht="12.75" customHeight="1" x14ac:dyDescent="0.2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</row>
    <row r="568" spans="1:24" ht="12.75" customHeight="1" x14ac:dyDescent="0.2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</row>
    <row r="569" spans="1:24" ht="12.75" customHeight="1" x14ac:dyDescent="0.2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</row>
    <row r="570" spans="1:24" ht="12.75" customHeight="1" x14ac:dyDescent="0.2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</row>
    <row r="571" spans="1:24" ht="12.75" customHeight="1" x14ac:dyDescent="0.2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</row>
    <row r="572" spans="1:24" ht="12.75" customHeight="1" x14ac:dyDescent="0.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</row>
    <row r="573" spans="1:24" ht="12.75" customHeight="1" x14ac:dyDescent="0.2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</row>
    <row r="574" spans="1:24" ht="12.75" customHeight="1" x14ac:dyDescent="0.2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</row>
    <row r="575" spans="1:24" ht="12.75" customHeight="1" x14ac:dyDescent="0.2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</row>
    <row r="576" spans="1:24" ht="12.75" customHeight="1" x14ac:dyDescent="0.2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</row>
    <row r="577" spans="1:24" ht="12.75" customHeight="1" x14ac:dyDescent="0.2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</row>
    <row r="578" spans="1:24" ht="12.75" customHeight="1" x14ac:dyDescent="0.2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</row>
    <row r="579" spans="1:24" ht="12.75" customHeight="1" x14ac:dyDescent="0.2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</row>
    <row r="580" spans="1:24" ht="12.75" customHeight="1" x14ac:dyDescent="0.2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</row>
    <row r="581" spans="1:24" ht="12.75" customHeight="1" x14ac:dyDescent="0.2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</row>
    <row r="582" spans="1:24" ht="12.75" customHeight="1" x14ac:dyDescent="0.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</row>
    <row r="583" spans="1:24" ht="12.75" customHeight="1" x14ac:dyDescent="0.2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</row>
    <row r="584" spans="1:24" ht="12.75" customHeight="1" x14ac:dyDescent="0.2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</row>
    <row r="585" spans="1:24" ht="12.75" customHeight="1" x14ac:dyDescent="0.2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</row>
    <row r="586" spans="1:24" ht="12.75" customHeight="1" x14ac:dyDescent="0.2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</row>
    <row r="587" spans="1:24" ht="12.75" customHeight="1" x14ac:dyDescent="0.2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</row>
    <row r="588" spans="1:24" ht="12.75" customHeight="1" x14ac:dyDescent="0.2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</row>
    <row r="589" spans="1:24" ht="12.75" customHeight="1" x14ac:dyDescent="0.2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</row>
    <row r="590" spans="1:24" ht="12.75" customHeight="1" x14ac:dyDescent="0.2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</row>
    <row r="591" spans="1:24" ht="12.75" customHeight="1" x14ac:dyDescent="0.2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</row>
    <row r="592" spans="1:24" ht="12.75" customHeight="1" x14ac:dyDescent="0.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</row>
    <row r="593" spans="1:24" ht="12.75" customHeight="1" x14ac:dyDescent="0.2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</row>
    <row r="594" spans="1:24" ht="12.75" customHeight="1" x14ac:dyDescent="0.2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</row>
    <row r="595" spans="1:24" ht="12.75" customHeight="1" x14ac:dyDescent="0.2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</row>
    <row r="596" spans="1:24" ht="12.75" customHeight="1" x14ac:dyDescent="0.2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</row>
    <row r="597" spans="1:24" ht="12.75" customHeight="1" x14ac:dyDescent="0.2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</row>
    <row r="598" spans="1:24" ht="12.75" customHeight="1" x14ac:dyDescent="0.2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</row>
    <row r="599" spans="1:24" ht="12.75" customHeight="1" x14ac:dyDescent="0.2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</row>
    <row r="600" spans="1:24" ht="12.75" customHeight="1" x14ac:dyDescent="0.2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</row>
    <row r="601" spans="1:24" ht="12.75" customHeight="1" x14ac:dyDescent="0.2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</row>
    <row r="602" spans="1:24" ht="12.75" customHeight="1" x14ac:dyDescent="0.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</row>
    <row r="603" spans="1:24" ht="12.75" customHeight="1" x14ac:dyDescent="0.2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</row>
    <row r="604" spans="1:24" ht="12.75" customHeight="1" x14ac:dyDescent="0.2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</row>
    <row r="605" spans="1:24" ht="12.75" customHeight="1" x14ac:dyDescent="0.2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</row>
    <row r="606" spans="1:24" ht="12.75" customHeight="1" x14ac:dyDescent="0.2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</row>
    <row r="607" spans="1:24" ht="12.75" customHeight="1" x14ac:dyDescent="0.2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</row>
    <row r="608" spans="1:24" ht="12.75" customHeight="1" x14ac:dyDescent="0.2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</row>
    <row r="609" spans="1:24" ht="12.75" customHeight="1" x14ac:dyDescent="0.2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</row>
    <row r="610" spans="1:24" ht="12.75" customHeight="1" x14ac:dyDescent="0.2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</row>
    <row r="611" spans="1:24" ht="12.75" customHeight="1" x14ac:dyDescent="0.2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</row>
    <row r="612" spans="1:24" ht="12.75" customHeight="1" x14ac:dyDescent="0.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</row>
    <row r="613" spans="1:24" ht="12.75" customHeight="1" x14ac:dyDescent="0.2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</row>
    <row r="614" spans="1:24" ht="12.75" customHeight="1" x14ac:dyDescent="0.2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</row>
    <row r="615" spans="1:24" ht="12.75" customHeight="1" x14ac:dyDescent="0.2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</row>
    <row r="616" spans="1:24" ht="12.75" customHeight="1" x14ac:dyDescent="0.2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</row>
    <row r="617" spans="1:24" ht="12.75" customHeight="1" x14ac:dyDescent="0.2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</row>
    <row r="618" spans="1:24" ht="12.75" customHeight="1" x14ac:dyDescent="0.2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</row>
    <row r="619" spans="1:24" ht="12.75" customHeight="1" x14ac:dyDescent="0.2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</row>
    <row r="620" spans="1:24" ht="12.75" customHeight="1" x14ac:dyDescent="0.2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</row>
    <row r="621" spans="1:24" ht="12.75" customHeight="1" x14ac:dyDescent="0.2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</row>
    <row r="622" spans="1:24" ht="12.75" customHeight="1" x14ac:dyDescent="0.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</row>
    <row r="623" spans="1:24" ht="12.75" customHeight="1" x14ac:dyDescent="0.2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</row>
    <row r="624" spans="1:24" ht="12.75" customHeight="1" x14ac:dyDescent="0.2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</row>
    <row r="625" spans="1:24" ht="12.75" customHeight="1" x14ac:dyDescent="0.2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</row>
    <row r="626" spans="1:24" ht="12.75" customHeight="1" x14ac:dyDescent="0.2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</row>
    <row r="627" spans="1:24" ht="12.75" customHeight="1" x14ac:dyDescent="0.2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</row>
    <row r="628" spans="1:24" ht="12.75" customHeight="1" x14ac:dyDescent="0.2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</row>
    <row r="629" spans="1:24" ht="12.75" customHeight="1" x14ac:dyDescent="0.2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</row>
    <row r="630" spans="1:24" ht="12.75" customHeight="1" x14ac:dyDescent="0.2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</row>
    <row r="631" spans="1:24" ht="12.75" customHeight="1" x14ac:dyDescent="0.2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</row>
    <row r="632" spans="1:24" ht="12.75" customHeight="1" x14ac:dyDescent="0.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</row>
    <row r="633" spans="1:24" ht="12.75" customHeight="1" x14ac:dyDescent="0.2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</row>
    <row r="634" spans="1:24" ht="12.75" customHeight="1" x14ac:dyDescent="0.2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</row>
    <row r="635" spans="1:24" ht="12.75" customHeight="1" x14ac:dyDescent="0.2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</row>
    <row r="636" spans="1:24" ht="12.75" customHeight="1" x14ac:dyDescent="0.2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</row>
    <row r="637" spans="1:24" ht="12.75" customHeight="1" x14ac:dyDescent="0.2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</row>
    <row r="638" spans="1:24" ht="12.75" customHeight="1" x14ac:dyDescent="0.2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</row>
    <row r="639" spans="1:24" ht="12.75" customHeight="1" x14ac:dyDescent="0.2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</row>
    <row r="640" spans="1:24" ht="12.75" customHeight="1" x14ac:dyDescent="0.2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</row>
    <row r="641" spans="1:24" ht="12.75" customHeight="1" x14ac:dyDescent="0.2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</row>
    <row r="642" spans="1:24" ht="12.75" customHeight="1" x14ac:dyDescent="0.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</row>
    <row r="643" spans="1:24" ht="12.75" customHeight="1" x14ac:dyDescent="0.2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</row>
    <row r="644" spans="1:24" ht="12.75" customHeight="1" x14ac:dyDescent="0.2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</row>
    <row r="645" spans="1:24" ht="12.75" customHeight="1" x14ac:dyDescent="0.2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</row>
    <row r="646" spans="1:24" ht="12.75" customHeight="1" x14ac:dyDescent="0.2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</row>
    <row r="647" spans="1:24" ht="12.75" customHeight="1" x14ac:dyDescent="0.2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</row>
    <row r="648" spans="1:24" ht="12.75" customHeight="1" x14ac:dyDescent="0.2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</row>
    <row r="649" spans="1:24" ht="12.75" customHeight="1" x14ac:dyDescent="0.2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</row>
    <row r="650" spans="1:24" ht="12.75" customHeight="1" x14ac:dyDescent="0.2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</row>
    <row r="651" spans="1:24" ht="12.75" customHeight="1" x14ac:dyDescent="0.2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</row>
    <row r="652" spans="1:24" ht="12.75" customHeight="1" x14ac:dyDescent="0.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</row>
    <row r="653" spans="1:24" ht="12.75" customHeight="1" x14ac:dyDescent="0.2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</row>
    <row r="654" spans="1:24" ht="12.75" customHeight="1" x14ac:dyDescent="0.2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</row>
    <row r="655" spans="1:24" ht="12.75" customHeight="1" x14ac:dyDescent="0.2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</row>
    <row r="656" spans="1:24" ht="12.75" customHeight="1" x14ac:dyDescent="0.2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</row>
    <row r="657" spans="1:24" ht="12.75" customHeight="1" x14ac:dyDescent="0.2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</row>
    <row r="658" spans="1:24" ht="12.75" customHeight="1" x14ac:dyDescent="0.2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</row>
    <row r="659" spans="1:24" ht="12.75" customHeight="1" x14ac:dyDescent="0.2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</row>
    <row r="660" spans="1:24" ht="12.75" customHeight="1" x14ac:dyDescent="0.2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</row>
    <row r="661" spans="1:24" ht="12.75" customHeight="1" x14ac:dyDescent="0.2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</row>
    <row r="662" spans="1:24" ht="12.75" customHeight="1" x14ac:dyDescent="0.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</row>
    <row r="663" spans="1:24" ht="12.75" customHeight="1" x14ac:dyDescent="0.2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</row>
    <row r="664" spans="1:24" ht="12.75" customHeight="1" x14ac:dyDescent="0.2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</row>
    <row r="665" spans="1:24" ht="12.75" customHeight="1" x14ac:dyDescent="0.2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</row>
    <row r="666" spans="1:24" ht="12.75" customHeight="1" x14ac:dyDescent="0.2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</row>
    <row r="667" spans="1:24" ht="12.75" customHeight="1" x14ac:dyDescent="0.2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</row>
    <row r="668" spans="1:24" ht="12.75" customHeight="1" x14ac:dyDescent="0.2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</row>
    <row r="669" spans="1:24" ht="12.75" customHeight="1" x14ac:dyDescent="0.2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</row>
    <row r="670" spans="1:24" ht="12.75" customHeight="1" x14ac:dyDescent="0.2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</row>
    <row r="671" spans="1:24" ht="12.75" customHeight="1" x14ac:dyDescent="0.2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</row>
    <row r="672" spans="1:24" ht="12.75" customHeight="1" x14ac:dyDescent="0.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</row>
    <row r="673" spans="1:24" ht="12.75" customHeight="1" x14ac:dyDescent="0.2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</row>
    <row r="674" spans="1:24" ht="12.75" customHeight="1" x14ac:dyDescent="0.2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</row>
    <row r="675" spans="1:24" ht="12.75" customHeight="1" x14ac:dyDescent="0.2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</row>
    <row r="676" spans="1:24" ht="12.75" customHeight="1" x14ac:dyDescent="0.2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</row>
    <row r="677" spans="1:24" ht="12.75" customHeight="1" x14ac:dyDescent="0.2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</row>
    <row r="678" spans="1:24" ht="12.75" customHeight="1" x14ac:dyDescent="0.2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</row>
    <row r="679" spans="1:24" ht="12.75" customHeight="1" x14ac:dyDescent="0.2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</row>
    <row r="680" spans="1:24" ht="12.75" customHeight="1" x14ac:dyDescent="0.2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</row>
    <row r="681" spans="1:24" ht="12.75" customHeight="1" x14ac:dyDescent="0.2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</row>
    <row r="682" spans="1:24" ht="12.75" customHeight="1" x14ac:dyDescent="0.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</row>
    <row r="683" spans="1:24" ht="12.75" customHeight="1" x14ac:dyDescent="0.2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</row>
    <row r="684" spans="1:24" ht="12.75" customHeight="1" x14ac:dyDescent="0.2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</row>
    <row r="685" spans="1:24" ht="12.75" customHeight="1" x14ac:dyDescent="0.2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</row>
    <row r="686" spans="1:24" ht="12.75" customHeight="1" x14ac:dyDescent="0.2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</row>
    <row r="687" spans="1:24" ht="12.75" customHeight="1" x14ac:dyDescent="0.2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</row>
    <row r="688" spans="1:24" ht="12.75" customHeight="1" x14ac:dyDescent="0.2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</row>
    <row r="689" spans="1:24" ht="12.75" customHeight="1" x14ac:dyDescent="0.2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</row>
    <row r="690" spans="1:24" ht="12.75" customHeight="1" x14ac:dyDescent="0.2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</row>
    <row r="691" spans="1:24" ht="12.75" customHeight="1" x14ac:dyDescent="0.2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</row>
    <row r="692" spans="1:24" ht="12.75" customHeight="1" x14ac:dyDescent="0.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</row>
    <row r="693" spans="1:24" ht="12.75" customHeight="1" x14ac:dyDescent="0.2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</row>
    <row r="694" spans="1:24" ht="12.75" customHeight="1" x14ac:dyDescent="0.2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</row>
    <row r="695" spans="1:24" ht="12.75" customHeight="1" x14ac:dyDescent="0.2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</row>
    <row r="696" spans="1:24" ht="12.75" customHeight="1" x14ac:dyDescent="0.2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</row>
    <row r="697" spans="1:24" ht="12.75" customHeight="1" x14ac:dyDescent="0.2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</row>
    <row r="698" spans="1:24" ht="12.75" customHeight="1" x14ac:dyDescent="0.2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</row>
    <row r="699" spans="1:24" ht="12.75" customHeight="1" x14ac:dyDescent="0.2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</row>
    <row r="700" spans="1:24" ht="12.75" customHeight="1" x14ac:dyDescent="0.2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</row>
    <row r="701" spans="1:24" ht="12.75" customHeight="1" x14ac:dyDescent="0.2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</row>
    <row r="702" spans="1:24" ht="12.75" customHeight="1" x14ac:dyDescent="0.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</row>
    <row r="703" spans="1:24" ht="12.75" customHeight="1" x14ac:dyDescent="0.2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</row>
    <row r="704" spans="1:24" ht="12.75" customHeight="1" x14ac:dyDescent="0.2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</row>
    <row r="705" spans="1:24" ht="12.75" customHeight="1" x14ac:dyDescent="0.2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</row>
    <row r="706" spans="1:24" ht="12.75" customHeight="1" x14ac:dyDescent="0.2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</row>
    <row r="707" spans="1:24" ht="12.75" customHeight="1" x14ac:dyDescent="0.2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</row>
    <row r="708" spans="1:24" ht="12.75" customHeight="1" x14ac:dyDescent="0.2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</row>
    <row r="709" spans="1:24" ht="12.75" customHeight="1" x14ac:dyDescent="0.2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</row>
    <row r="710" spans="1:24" ht="12.75" customHeight="1" x14ac:dyDescent="0.2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</row>
    <row r="711" spans="1:24" ht="12.75" customHeight="1" x14ac:dyDescent="0.2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</row>
    <row r="712" spans="1:24" ht="12.75" customHeight="1" x14ac:dyDescent="0.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</row>
    <row r="713" spans="1:24" ht="12.75" customHeight="1" x14ac:dyDescent="0.2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</row>
    <row r="714" spans="1:24" ht="12.75" customHeight="1" x14ac:dyDescent="0.2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</row>
    <row r="715" spans="1:24" ht="12.75" customHeight="1" x14ac:dyDescent="0.2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</row>
    <row r="716" spans="1:24" ht="12.75" customHeight="1" x14ac:dyDescent="0.2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</row>
    <row r="717" spans="1:24" ht="12.75" customHeight="1" x14ac:dyDescent="0.2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</row>
    <row r="718" spans="1:24" ht="12.75" customHeight="1" x14ac:dyDescent="0.2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</row>
    <row r="719" spans="1:24" ht="12.75" customHeight="1" x14ac:dyDescent="0.2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</row>
    <row r="720" spans="1:24" ht="12.75" customHeight="1" x14ac:dyDescent="0.2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</row>
    <row r="721" spans="1:24" ht="12.75" customHeight="1" x14ac:dyDescent="0.2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</row>
    <row r="722" spans="1:24" ht="12.75" customHeight="1" x14ac:dyDescent="0.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</row>
    <row r="723" spans="1:24" ht="12.75" customHeight="1" x14ac:dyDescent="0.2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</row>
    <row r="724" spans="1:24" ht="12.75" customHeight="1" x14ac:dyDescent="0.2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</row>
    <row r="725" spans="1:24" ht="12.75" customHeight="1" x14ac:dyDescent="0.2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</row>
    <row r="726" spans="1:24" ht="12.75" customHeight="1" x14ac:dyDescent="0.2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</row>
    <row r="727" spans="1:24" ht="12.75" customHeight="1" x14ac:dyDescent="0.2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</row>
    <row r="728" spans="1:24" ht="12.75" customHeight="1" x14ac:dyDescent="0.2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</row>
    <row r="729" spans="1:24" ht="12.75" customHeight="1" x14ac:dyDescent="0.2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</row>
    <row r="730" spans="1:24" ht="12.75" customHeight="1" x14ac:dyDescent="0.2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</row>
    <row r="731" spans="1:24" ht="12.75" customHeight="1" x14ac:dyDescent="0.2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</row>
    <row r="732" spans="1:24" ht="12.75" customHeight="1" x14ac:dyDescent="0.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</row>
    <row r="733" spans="1:24" ht="12.75" customHeight="1" x14ac:dyDescent="0.2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</row>
    <row r="734" spans="1:24" ht="12.75" customHeight="1" x14ac:dyDescent="0.2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</row>
    <row r="735" spans="1:24" ht="12.75" customHeight="1" x14ac:dyDescent="0.2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</row>
    <row r="736" spans="1:24" ht="12.75" customHeight="1" x14ac:dyDescent="0.2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</row>
    <row r="737" spans="1:24" ht="12.75" customHeight="1" x14ac:dyDescent="0.2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</row>
    <row r="738" spans="1:24" ht="12.75" customHeight="1" x14ac:dyDescent="0.2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</row>
    <row r="739" spans="1:24" ht="12.75" customHeight="1" x14ac:dyDescent="0.2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</row>
    <row r="740" spans="1:24" ht="12.75" customHeight="1" x14ac:dyDescent="0.2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</row>
    <row r="741" spans="1:24" ht="12.75" customHeight="1" x14ac:dyDescent="0.2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</row>
    <row r="742" spans="1:24" ht="12.75" customHeight="1" x14ac:dyDescent="0.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</row>
    <row r="743" spans="1:24" ht="12.75" customHeight="1" x14ac:dyDescent="0.2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</row>
    <row r="744" spans="1:24" ht="12.75" customHeight="1" x14ac:dyDescent="0.2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</row>
    <row r="745" spans="1:24" ht="12.75" customHeight="1" x14ac:dyDescent="0.2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</row>
    <row r="746" spans="1:24" ht="12.75" customHeight="1" x14ac:dyDescent="0.2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</row>
    <row r="747" spans="1:24" ht="12.75" customHeight="1" x14ac:dyDescent="0.2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</row>
    <row r="748" spans="1:24" ht="12.75" customHeight="1" x14ac:dyDescent="0.2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</row>
    <row r="749" spans="1:24" ht="12.75" customHeight="1" x14ac:dyDescent="0.2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</row>
    <row r="750" spans="1:24" ht="12.75" customHeight="1" x14ac:dyDescent="0.2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</row>
    <row r="751" spans="1:24" ht="12.75" customHeight="1" x14ac:dyDescent="0.2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</row>
    <row r="752" spans="1:24" ht="12.75" customHeight="1" x14ac:dyDescent="0.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</row>
    <row r="753" spans="1:24" ht="12.75" customHeight="1" x14ac:dyDescent="0.2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</row>
    <row r="754" spans="1:24" ht="12.75" customHeight="1" x14ac:dyDescent="0.2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</row>
    <row r="755" spans="1:24" ht="12.75" customHeight="1" x14ac:dyDescent="0.2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</row>
    <row r="756" spans="1:24" ht="12.75" customHeight="1" x14ac:dyDescent="0.2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</row>
    <row r="757" spans="1:24" ht="12.75" customHeight="1" x14ac:dyDescent="0.2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</row>
    <row r="758" spans="1:24" ht="12.75" customHeight="1" x14ac:dyDescent="0.2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</row>
    <row r="759" spans="1:24" ht="12.75" customHeight="1" x14ac:dyDescent="0.2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</row>
    <row r="760" spans="1:24" ht="12.75" customHeight="1" x14ac:dyDescent="0.2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</row>
    <row r="761" spans="1:24" ht="12.75" customHeight="1" x14ac:dyDescent="0.2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</row>
    <row r="762" spans="1:24" ht="12.75" customHeight="1" x14ac:dyDescent="0.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</row>
    <row r="763" spans="1:24" ht="12.75" customHeight="1" x14ac:dyDescent="0.2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</row>
    <row r="764" spans="1:24" ht="12.75" customHeight="1" x14ac:dyDescent="0.2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</row>
    <row r="765" spans="1:24" ht="12.75" customHeight="1" x14ac:dyDescent="0.2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</row>
    <row r="766" spans="1:24" ht="12.75" customHeight="1" x14ac:dyDescent="0.2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</row>
    <row r="767" spans="1:24" ht="12.75" customHeight="1" x14ac:dyDescent="0.2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</row>
    <row r="768" spans="1:24" ht="12.75" customHeight="1" x14ac:dyDescent="0.2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</row>
    <row r="769" spans="1:24" ht="12.75" customHeight="1" x14ac:dyDescent="0.2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</row>
    <row r="770" spans="1:24" ht="12.75" customHeight="1" x14ac:dyDescent="0.2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</row>
    <row r="771" spans="1:24" ht="12.75" customHeight="1" x14ac:dyDescent="0.2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</row>
    <row r="772" spans="1:24" ht="12.75" customHeight="1" x14ac:dyDescent="0.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</row>
    <row r="773" spans="1:24" ht="12.75" customHeight="1" x14ac:dyDescent="0.2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</row>
    <row r="774" spans="1:24" ht="12.75" customHeight="1" x14ac:dyDescent="0.2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</row>
    <row r="775" spans="1:24" ht="12.75" customHeight="1" x14ac:dyDescent="0.2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</row>
    <row r="776" spans="1:24" ht="12.75" customHeight="1" x14ac:dyDescent="0.2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</row>
    <row r="777" spans="1:24" ht="12.75" customHeight="1" x14ac:dyDescent="0.2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</row>
    <row r="778" spans="1:24" ht="12.75" customHeight="1" x14ac:dyDescent="0.2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</row>
    <row r="779" spans="1:24" ht="12.75" customHeight="1" x14ac:dyDescent="0.2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</row>
    <row r="780" spans="1:24" ht="12.75" customHeight="1" x14ac:dyDescent="0.2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</row>
    <row r="781" spans="1:24" ht="12.75" customHeight="1" x14ac:dyDescent="0.2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</row>
    <row r="782" spans="1:24" ht="12.75" customHeight="1" x14ac:dyDescent="0.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</row>
    <row r="783" spans="1:24" ht="12.75" customHeight="1" x14ac:dyDescent="0.2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</row>
    <row r="784" spans="1:24" ht="12.75" customHeight="1" x14ac:dyDescent="0.2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</row>
    <row r="785" spans="1:24" ht="12.75" customHeight="1" x14ac:dyDescent="0.2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</row>
    <row r="786" spans="1:24" ht="12.75" customHeight="1" x14ac:dyDescent="0.2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</row>
    <row r="787" spans="1:24" ht="12.75" customHeight="1" x14ac:dyDescent="0.2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</row>
    <row r="788" spans="1:24" ht="12.75" customHeight="1" x14ac:dyDescent="0.2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</row>
    <row r="789" spans="1:24" ht="12.75" customHeight="1" x14ac:dyDescent="0.2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</row>
    <row r="790" spans="1:24" ht="12.75" customHeight="1" x14ac:dyDescent="0.2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</row>
    <row r="791" spans="1:24" ht="12.75" customHeight="1" x14ac:dyDescent="0.2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</row>
    <row r="792" spans="1:24" ht="12.75" customHeight="1" x14ac:dyDescent="0.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</row>
    <row r="793" spans="1:24" ht="12.75" customHeight="1" x14ac:dyDescent="0.2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</row>
    <row r="794" spans="1:24" ht="12.75" customHeight="1" x14ac:dyDescent="0.2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</row>
    <row r="795" spans="1:24" ht="12.75" customHeight="1" x14ac:dyDescent="0.2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</row>
    <row r="796" spans="1:24" ht="12.75" customHeight="1" x14ac:dyDescent="0.2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</row>
    <row r="797" spans="1:24" ht="12.75" customHeight="1" x14ac:dyDescent="0.2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</row>
    <row r="798" spans="1:24" ht="12.75" customHeight="1" x14ac:dyDescent="0.2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</row>
    <row r="799" spans="1:24" ht="12.75" customHeight="1" x14ac:dyDescent="0.2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</row>
    <row r="800" spans="1:24" ht="12.75" customHeight="1" x14ac:dyDescent="0.2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</row>
    <row r="801" spans="1:24" ht="12.75" customHeight="1" x14ac:dyDescent="0.2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</row>
    <row r="802" spans="1:24" ht="12.75" customHeight="1" x14ac:dyDescent="0.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</row>
    <row r="803" spans="1:24" ht="12.75" customHeight="1" x14ac:dyDescent="0.2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</row>
    <row r="804" spans="1:24" ht="12.75" customHeight="1" x14ac:dyDescent="0.2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</row>
    <row r="805" spans="1:24" ht="12.75" customHeight="1" x14ac:dyDescent="0.2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</row>
    <row r="806" spans="1:24" ht="12.75" customHeight="1" x14ac:dyDescent="0.2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</row>
    <row r="807" spans="1:24" ht="12.75" customHeight="1" x14ac:dyDescent="0.2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</row>
    <row r="808" spans="1:24" ht="12.75" customHeight="1" x14ac:dyDescent="0.2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</row>
    <row r="809" spans="1:24" ht="12.75" customHeight="1" x14ac:dyDescent="0.2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</row>
    <row r="810" spans="1:24" ht="12.75" customHeight="1" x14ac:dyDescent="0.2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</row>
    <row r="811" spans="1:24" ht="12.75" customHeight="1" x14ac:dyDescent="0.2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</row>
    <row r="812" spans="1:24" ht="12.75" customHeight="1" x14ac:dyDescent="0.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</row>
    <row r="813" spans="1:24" ht="12.75" customHeight="1" x14ac:dyDescent="0.2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</row>
    <row r="814" spans="1:24" ht="12.75" customHeight="1" x14ac:dyDescent="0.2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</row>
    <row r="815" spans="1:24" ht="12.75" customHeight="1" x14ac:dyDescent="0.2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</row>
    <row r="816" spans="1:24" ht="12.75" customHeight="1" x14ac:dyDescent="0.2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</row>
    <row r="817" spans="1:24" ht="12.75" customHeight="1" x14ac:dyDescent="0.2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</row>
    <row r="818" spans="1:24" ht="12.75" customHeight="1" x14ac:dyDescent="0.2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</row>
    <row r="819" spans="1:24" ht="12.75" customHeight="1" x14ac:dyDescent="0.2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</row>
    <row r="820" spans="1:24" ht="12.75" customHeight="1" x14ac:dyDescent="0.2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</row>
    <row r="821" spans="1:24" ht="12.75" customHeight="1" x14ac:dyDescent="0.2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</row>
    <row r="822" spans="1:24" ht="12.75" customHeight="1" x14ac:dyDescent="0.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</row>
    <row r="823" spans="1:24" ht="12.75" customHeight="1" x14ac:dyDescent="0.2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</row>
    <row r="824" spans="1:24" ht="12.75" customHeight="1" x14ac:dyDescent="0.2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</row>
    <row r="825" spans="1:24" ht="12.75" customHeight="1" x14ac:dyDescent="0.2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</row>
    <row r="826" spans="1:24" ht="12.75" customHeight="1" x14ac:dyDescent="0.2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</row>
    <row r="827" spans="1:24" ht="12.75" customHeight="1" x14ac:dyDescent="0.2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</row>
    <row r="828" spans="1:24" ht="12.75" customHeight="1" x14ac:dyDescent="0.2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</row>
    <row r="829" spans="1:24" ht="12.75" customHeight="1" x14ac:dyDescent="0.2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</row>
    <row r="830" spans="1:24" ht="12.75" customHeight="1" x14ac:dyDescent="0.2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</row>
    <row r="831" spans="1:24" ht="12.75" customHeight="1" x14ac:dyDescent="0.2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</row>
    <row r="832" spans="1:24" ht="12.75" customHeight="1" x14ac:dyDescent="0.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</row>
    <row r="833" spans="1:24" ht="12.75" customHeight="1" x14ac:dyDescent="0.2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</row>
    <row r="834" spans="1:24" ht="12.75" customHeight="1" x14ac:dyDescent="0.2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</row>
    <row r="835" spans="1:24" ht="12.75" customHeight="1" x14ac:dyDescent="0.2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</row>
    <row r="836" spans="1:24" ht="12.75" customHeight="1" x14ac:dyDescent="0.2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</row>
    <row r="837" spans="1:24" ht="12.75" customHeight="1" x14ac:dyDescent="0.2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</row>
    <row r="838" spans="1:24" ht="12.75" customHeight="1" x14ac:dyDescent="0.2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</row>
    <row r="839" spans="1:24" ht="12.75" customHeight="1" x14ac:dyDescent="0.2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</row>
    <row r="840" spans="1:24" ht="12.75" customHeight="1" x14ac:dyDescent="0.2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</row>
    <row r="841" spans="1:24" ht="12.75" customHeight="1" x14ac:dyDescent="0.2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</row>
    <row r="842" spans="1:24" ht="12.75" customHeight="1" x14ac:dyDescent="0.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</row>
    <row r="843" spans="1:24" ht="12.75" customHeight="1" x14ac:dyDescent="0.2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</row>
    <row r="844" spans="1:24" ht="12.75" customHeight="1" x14ac:dyDescent="0.2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</row>
    <row r="845" spans="1:24" ht="12.75" customHeight="1" x14ac:dyDescent="0.2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</row>
    <row r="846" spans="1:24" ht="12.75" customHeight="1" x14ac:dyDescent="0.2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</row>
    <row r="847" spans="1:24" ht="12.75" customHeight="1" x14ac:dyDescent="0.2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</row>
    <row r="848" spans="1:24" ht="12.75" customHeight="1" x14ac:dyDescent="0.2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</row>
    <row r="849" spans="1:24" ht="12.75" customHeight="1" x14ac:dyDescent="0.2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</row>
    <row r="850" spans="1:24" ht="12.75" customHeight="1" x14ac:dyDescent="0.2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</row>
    <row r="851" spans="1:24" ht="12.75" customHeight="1" x14ac:dyDescent="0.2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</row>
    <row r="852" spans="1:24" ht="12.75" customHeight="1" x14ac:dyDescent="0.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</row>
    <row r="853" spans="1:24" ht="12.75" customHeight="1" x14ac:dyDescent="0.2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</row>
    <row r="854" spans="1:24" ht="12.75" customHeight="1" x14ac:dyDescent="0.2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</row>
    <row r="855" spans="1:24" ht="12.75" customHeight="1" x14ac:dyDescent="0.2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</row>
    <row r="856" spans="1:24" ht="12.75" customHeight="1" x14ac:dyDescent="0.2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</row>
    <row r="857" spans="1:24" ht="12.75" customHeight="1" x14ac:dyDescent="0.2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</row>
    <row r="858" spans="1:24" ht="12.75" customHeight="1" x14ac:dyDescent="0.2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</row>
    <row r="859" spans="1:24" ht="12.75" customHeight="1" x14ac:dyDescent="0.2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</row>
    <row r="860" spans="1:24" ht="12.75" customHeight="1" x14ac:dyDescent="0.2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</row>
    <row r="861" spans="1:24" ht="12.75" customHeight="1" x14ac:dyDescent="0.2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</row>
    <row r="862" spans="1:24" ht="12.75" customHeight="1" x14ac:dyDescent="0.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</row>
    <row r="863" spans="1:24" ht="12.75" customHeight="1" x14ac:dyDescent="0.2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</row>
    <row r="864" spans="1:24" ht="12.75" customHeight="1" x14ac:dyDescent="0.2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</row>
    <row r="865" spans="1:24" ht="12.75" customHeight="1" x14ac:dyDescent="0.2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</row>
    <row r="866" spans="1:24" ht="12.75" customHeight="1" x14ac:dyDescent="0.2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</row>
    <row r="867" spans="1:24" ht="12.75" customHeight="1" x14ac:dyDescent="0.2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</row>
    <row r="868" spans="1:24" ht="12.75" customHeight="1" x14ac:dyDescent="0.2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</row>
    <row r="869" spans="1:24" ht="12.75" customHeight="1" x14ac:dyDescent="0.2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</row>
    <row r="870" spans="1:24" ht="12.75" customHeight="1" x14ac:dyDescent="0.2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</row>
    <row r="871" spans="1:24" ht="12.75" customHeight="1" x14ac:dyDescent="0.2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</row>
    <row r="872" spans="1:24" ht="12.75" customHeight="1" x14ac:dyDescent="0.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</row>
    <row r="873" spans="1:24" ht="12.75" customHeight="1" x14ac:dyDescent="0.2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</row>
    <row r="874" spans="1:24" ht="12.75" customHeight="1" x14ac:dyDescent="0.2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</row>
    <row r="875" spans="1:24" ht="12.75" customHeight="1" x14ac:dyDescent="0.2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</row>
    <row r="876" spans="1:24" ht="12.75" customHeight="1" x14ac:dyDescent="0.2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</row>
    <row r="877" spans="1:24" ht="12.75" customHeight="1" x14ac:dyDescent="0.2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</row>
    <row r="878" spans="1:24" ht="12.75" customHeight="1" x14ac:dyDescent="0.2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</row>
    <row r="879" spans="1:24" ht="12.75" customHeight="1" x14ac:dyDescent="0.2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</row>
    <row r="880" spans="1:24" ht="12.75" customHeight="1" x14ac:dyDescent="0.2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</row>
    <row r="881" spans="1:24" ht="12.75" customHeight="1" x14ac:dyDescent="0.2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</row>
    <row r="882" spans="1:24" ht="12.75" customHeight="1" x14ac:dyDescent="0.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</row>
    <row r="883" spans="1:24" ht="12.75" customHeight="1" x14ac:dyDescent="0.2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</row>
    <row r="884" spans="1:24" ht="12.75" customHeight="1" x14ac:dyDescent="0.2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</row>
    <row r="885" spans="1:24" ht="12.75" customHeight="1" x14ac:dyDescent="0.2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</row>
    <row r="886" spans="1:24" ht="12.75" customHeight="1" x14ac:dyDescent="0.2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</row>
    <row r="887" spans="1:24" ht="12.75" customHeight="1" x14ac:dyDescent="0.2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</row>
    <row r="888" spans="1:24" ht="12.75" customHeight="1" x14ac:dyDescent="0.2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</row>
    <row r="889" spans="1:24" ht="12.75" customHeight="1" x14ac:dyDescent="0.2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</row>
    <row r="890" spans="1:24" ht="12.75" customHeight="1" x14ac:dyDescent="0.2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</row>
    <row r="891" spans="1:24" ht="12.75" customHeight="1" x14ac:dyDescent="0.2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</row>
    <row r="892" spans="1:24" ht="12.75" customHeight="1" x14ac:dyDescent="0.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</row>
    <row r="893" spans="1:24" ht="12.75" customHeight="1" x14ac:dyDescent="0.2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</row>
    <row r="894" spans="1:24" ht="12.75" customHeight="1" x14ac:dyDescent="0.2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</row>
    <row r="895" spans="1:24" ht="12.75" customHeight="1" x14ac:dyDescent="0.2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</row>
    <row r="896" spans="1:24" ht="12.75" customHeight="1" x14ac:dyDescent="0.2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</row>
    <row r="897" spans="1:24" ht="12.75" customHeight="1" x14ac:dyDescent="0.2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</row>
    <row r="898" spans="1:24" ht="12.75" customHeight="1" x14ac:dyDescent="0.2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</row>
    <row r="899" spans="1:24" ht="12.75" customHeight="1" x14ac:dyDescent="0.2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</row>
    <row r="900" spans="1:24" ht="12.75" customHeight="1" x14ac:dyDescent="0.2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</row>
    <row r="901" spans="1:24" ht="12.75" customHeight="1" x14ac:dyDescent="0.2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</row>
    <row r="902" spans="1:24" ht="12.75" customHeight="1" x14ac:dyDescent="0.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</row>
    <row r="903" spans="1:24" ht="12.75" customHeight="1" x14ac:dyDescent="0.2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</row>
    <row r="904" spans="1:24" ht="12.75" customHeight="1" x14ac:dyDescent="0.2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</row>
    <row r="905" spans="1:24" ht="12.75" customHeight="1" x14ac:dyDescent="0.2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</row>
    <row r="906" spans="1:24" ht="12.75" customHeight="1" x14ac:dyDescent="0.2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</row>
    <row r="907" spans="1:24" ht="12.75" customHeight="1" x14ac:dyDescent="0.2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</row>
    <row r="908" spans="1:24" ht="12.75" customHeight="1" x14ac:dyDescent="0.2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</row>
    <row r="909" spans="1:24" ht="12.75" customHeight="1" x14ac:dyDescent="0.2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</row>
    <row r="910" spans="1:24" ht="12.75" customHeight="1" x14ac:dyDescent="0.2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</row>
    <row r="911" spans="1:24" ht="12.75" customHeight="1" x14ac:dyDescent="0.2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</row>
    <row r="912" spans="1:24" ht="12.75" customHeight="1" x14ac:dyDescent="0.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</row>
    <row r="913" spans="1:24" ht="12.75" customHeight="1" x14ac:dyDescent="0.2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</row>
    <row r="914" spans="1:24" ht="12.75" customHeight="1" x14ac:dyDescent="0.2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</row>
    <row r="915" spans="1:24" ht="12.75" customHeight="1" x14ac:dyDescent="0.2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</row>
    <row r="916" spans="1:24" ht="12.75" customHeight="1" x14ac:dyDescent="0.2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</row>
    <row r="917" spans="1:24" ht="12.75" customHeight="1" x14ac:dyDescent="0.2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</row>
    <row r="918" spans="1:24" ht="12.75" customHeight="1" x14ac:dyDescent="0.2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</row>
    <row r="919" spans="1:24" ht="12.75" customHeight="1" x14ac:dyDescent="0.2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</row>
    <row r="920" spans="1:24" ht="12.75" customHeight="1" x14ac:dyDescent="0.2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</row>
    <row r="921" spans="1:24" ht="12.75" customHeight="1" x14ac:dyDescent="0.2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</row>
    <row r="922" spans="1:24" ht="12.75" customHeight="1" x14ac:dyDescent="0.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</row>
    <row r="923" spans="1:24" ht="12.75" customHeight="1" x14ac:dyDescent="0.2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</row>
    <row r="924" spans="1:24" ht="12.75" customHeight="1" x14ac:dyDescent="0.2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</row>
    <row r="925" spans="1:24" ht="12.75" customHeight="1" x14ac:dyDescent="0.2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</row>
    <row r="926" spans="1:24" ht="12.75" customHeight="1" x14ac:dyDescent="0.2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</row>
    <row r="927" spans="1:24" ht="12.75" customHeight="1" x14ac:dyDescent="0.2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</row>
    <row r="928" spans="1:24" ht="12.75" customHeight="1" x14ac:dyDescent="0.2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</row>
    <row r="929" spans="1:24" ht="12.75" customHeight="1" x14ac:dyDescent="0.2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</row>
    <row r="930" spans="1:24" ht="12.75" customHeight="1" x14ac:dyDescent="0.2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</row>
    <row r="931" spans="1:24" ht="12.75" customHeight="1" x14ac:dyDescent="0.2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</row>
    <row r="932" spans="1:24" ht="12.75" customHeight="1" x14ac:dyDescent="0.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</row>
    <row r="933" spans="1:24" ht="12.75" customHeight="1" x14ac:dyDescent="0.2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</row>
    <row r="934" spans="1:24" ht="12.75" customHeight="1" x14ac:dyDescent="0.2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</row>
    <row r="935" spans="1:24" ht="12.75" customHeight="1" x14ac:dyDescent="0.2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</row>
    <row r="936" spans="1:24" ht="12.75" customHeight="1" x14ac:dyDescent="0.2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</row>
    <row r="937" spans="1:24" ht="12.75" customHeight="1" x14ac:dyDescent="0.2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</row>
    <row r="938" spans="1:24" ht="12.75" customHeight="1" x14ac:dyDescent="0.2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</row>
    <row r="939" spans="1:24" ht="12.75" customHeight="1" x14ac:dyDescent="0.2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</row>
    <row r="940" spans="1:24" ht="12.75" customHeight="1" x14ac:dyDescent="0.2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</row>
    <row r="941" spans="1:24" ht="12.75" customHeight="1" x14ac:dyDescent="0.2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</row>
    <row r="942" spans="1:24" ht="12.75" customHeight="1" x14ac:dyDescent="0.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</row>
    <row r="943" spans="1:24" ht="12.75" customHeight="1" x14ac:dyDescent="0.2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</row>
    <row r="944" spans="1:24" ht="12.75" customHeight="1" x14ac:dyDescent="0.2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</row>
    <row r="945" spans="1:24" ht="12.75" customHeight="1" x14ac:dyDescent="0.2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</row>
    <row r="946" spans="1:24" ht="12.75" customHeight="1" x14ac:dyDescent="0.2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</row>
    <row r="947" spans="1:24" ht="12.75" customHeight="1" x14ac:dyDescent="0.2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</row>
    <row r="948" spans="1:24" ht="12.75" customHeight="1" x14ac:dyDescent="0.2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</row>
    <row r="949" spans="1:24" ht="12.75" customHeight="1" x14ac:dyDescent="0.2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</row>
    <row r="950" spans="1:24" ht="12.75" customHeight="1" x14ac:dyDescent="0.2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</row>
    <row r="951" spans="1:24" ht="12.75" customHeight="1" x14ac:dyDescent="0.2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</row>
    <row r="952" spans="1:24" ht="12.75" customHeight="1" x14ac:dyDescent="0.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</row>
    <row r="953" spans="1:24" ht="12.75" customHeight="1" x14ac:dyDescent="0.2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</row>
    <row r="954" spans="1:24" ht="12.75" customHeight="1" x14ac:dyDescent="0.2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</row>
    <row r="955" spans="1:24" ht="12.75" customHeight="1" x14ac:dyDescent="0.2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</row>
    <row r="956" spans="1:24" ht="12.75" customHeight="1" x14ac:dyDescent="0.2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</row>
    <row r="957" spans="1:24" ht="12.75" customHeight="1" x14ac:dyDescent="0.2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</row>
    <row r="958" spans="1:24" ht="12.75" customHeight="1" x14ac:dyDescent="0.2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</row>
    <row r="959" spans="1:24" ht="12.75" customHeight="1" x14ac:dyDescent="0.2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</row>
    <row r="960" spans="1:24" ht="12.75" customHeight="1" x14ac:dyDescent="0.2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</row>
    <row r="961" spans="1:24" ht="12.75" customHeight="1" x14ac:dyDescent="0.2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</row>
    <row r="962" spans="1:24" ht="12.75" customHeight="1" x14ac:dyDescent="0.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</row>
    <row r="963" spans="1:24" ht="12.75" customHeight="1" x14ac:dyDescent="0.2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</row>
    <row r="964" spans="1:24" ht="12.75" customHeight="1" x14ac:dyDescent="0.2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</row>
    <row r="965" spans="1:24" ht="12.75" customHeight="1" x14ac:dyDescent="0.2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</row>
    <row r="966" spans="1:24" ht="12.75" customHeight="1" x14ac:dyDescent="0.2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</row>
    <row r="967" spans="1:24" ht="12.75" customHeight="1" x14ac:dyDescent="0.2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</row>
    <row r="968" spans="1:24" ht="12.75" customHeight="1" x14ac:dyDescent="0.2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</row>
    <row r="969" spans="1:24" ht="12.75" customHeight="1" x14ac:dyDescent="0.2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</row>
    <row r="970" spans="1:24" ht="12.75" customHeight="1" x14ac:dyDescent="0.2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</row>
    <row r="971" spans="1:24" ht="12.75" customHeight="1" x14ac:dyDescent="0.2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</row>
    <row r="972" spans="1:24" ht="12.75" customHeight="1" x14ac:dyDescent="0.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</row>
    <row r="973" spans="1:24" ht="12.75" customHeight="1" x14ac:dyDescent="0.2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</row>
    <row r="974" spans="1:24" ht="12.75" customHeight="1" x14ac:dyDescent="0.2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</row>
    <row r="975" spans="1:24" ht="12.75" customHeight="1" x14ac:dyDescent="0.2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</row>
    <row r="976" spans="1:24" ht="12.75" customHeight="1" x14ac:dyDescent="0.2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</row>
    <row r="977" spans="1:24" ht="12.75" customHeight="1" x14ac:dyDescent="0.2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</row>
    <row r="978" spans="1:24" ht="12.75" customHeight="1" x14ac:dyDescent="0.2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</row>
    <row r="979" spans="1:24" ht="12.75" customHeight="1" x14ac:dyDescent="0.2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</row>
    <row r="980" spans="1:24" ht="12.75" customHeight="1" x14ac:dyDescent="0.2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</row>
    <row r="981" spans="1:24" ht="12.75" customHeight="1" x14ac:dyDescent="0.2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</row>
    <row r="982" spans="1:24" ht="12.75" customHeight="1" x14ac:dyDescent="0.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</row>
    <row r="983" spans="1:24" ht="12.75" customHeight="1" x14ac:dyDescent="0.2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</row>
    <row r="984" spans="1:24" ht="12.75" customHeight="1" x14ac:dyDescent="0.2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</row>
    <row r="985" spans="1:24" ht="12.75" customHeight="1" x14ac:dyDescent="0.2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</row>
    <row r="986" spans="1:24" ht="12.75" customHeight="1" x14ac:dyDescent="0.2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</row>
    <row r="987" spans="1:24" ht="12.75" customHeight="1" x14ac:dyDescent="0.2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</row>
    <row r="988" spans="1:24" ht="12.75" customHeight="1" x14ac:dyDescent="0.2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</row>
    <row r="989" spans="1:24" ht="12.75" customHeight="1" x14ac:dyDescent="0.2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</row>
    <row r="990" spans="1:24" ht="12.75" customHeight="1" x14ac:dyDescent="0.2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</row>
    <row r="991" spans="1:24" ht="12.75" customHeight="1" x14ac:dyDescent="0.2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</row>
    <row r="992" spans="1:24" ht="12.75" customHeight="1" x14ac:dyDescent="0.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</row>
    <row r="993" spans="1:24" ht="12.75" customHeight="1" x14ac:dyDescent="0.2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</row>
    <row r="994" spans="1:24" ht="12.75" customHeight="1" x14ac:dyDescent="0.2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</row>
    <row r="995" spans="1:24" ht="12.75" customHeight="1" x14ac:dyDescent="0.2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</row>
    <row r="996" spans="1:24" ht="12.75" customHeight="1" x14ac:dyDescent="0.2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</row>
    <row r="997" spans="1:24" ht="12.75" customHeight="1" x14ac:dyDescent="0.2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</row>
    <row r="998" spans="1:24" ht="12.75" customHeight="1" x14ac:dyDescent="0.2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</row>
    <row r="999" spans="1:24" ht="12.75" customHeight="1" x14ac:dyDescent="0.2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</row>
    <row r="1000" spans="1:24" ht="12.75" customHeight="1" x14ac:dyDescent="0.2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</row>
  </sheetData>
  <mergeCells count="279">
    <mergeCell ref="C85:K85"/>
    <mergeCell ref="C86:C87"/>
    <mergeCell ref="D86:D87"/>
    <mergeCell ref="E86:E87"/>
    <mergeCell ref="F86:F87"/>
    <mergeCell ref="K86:K87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D83:D84"/>
    <mergeCell ref="E83:E84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C103:K103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C106:K106"/>
    <mergeCell ref="G86:G87"/>
    <mergeCell ref="H86:H87"/>
    <mergeCell ref="C88:K88"/>
    <mergeCell ref="D89:D90"/>
    <mergeCell ref="E89:E90"/>
    <mergeCell ref="F89:F90"/>
    <mergeCell ref="C91:K91"/>
    <mergeCell ref="C89:C90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I86:I87"/>
    <mergeCell ref="J86:J87"/>
    <mergeCell ref="C100:K100"/>
    <mergeCell ref="C98:C99"/>
    <mergeCell ref="C101:C102"/>
    <mergeCell ref="D101:D102"/>
    <mergeCell ref="E101:E102"/>
    <mergeCell ref="F101:F102"/>
    <mergeCell ref="G101:G102"/>
    <mergeCell ref="H101:H102"/>
    <mergeCell ref="I89:I90"/>
    <mergeCell ref="J89:J90"/>
    <mergeCell ref="C94:K94"/>
    <mergeCell ref="C95:I95"/>
    <mergeCell ref="C96:K96"/>
    <mergeCell ref="C97:K97"/>
    <mergeCell ref="J98:J99"/>
    <mergeCell ref="K98:K99"/>
    <mergeCell ref="I101:I102"/>
    <mergeCell ref="J101:J102"/>
    <mergeCell ref="K101:K102"/>
    <mergeCell ref="G89:G90"/>
    <mergeCell ref="H89:H90"/>
    <mergeCell ref="K89:K90"/>
    <mergeCell ref="D98:D99"/>
    <mergeCell ref="E98:E99"/>
    <mergeCell ref="F98:F99"/>
    <mergeCell ref="G98:G99"/>
    <mergeCell ref="H98:H99"/>
    <mergeCell ref="I98:I99"/>
    <mergeCell ref="C74:K74"/>
    <mergeCell ref="C75:I75"/>
    <mergeCell ref="C76:K76"/>
    <mergeCell ref="C77:I77"/>
    <mergeCell ref="G48:G49"/>
    <mergeCell ref="H48:H49"/>
    <mergeCell ref="I48:I49"/>
    <mergeCell ref="J48:J49"/>
    <mergeCell ref="K48:K49"/>
    <mergeCell ref="C50:K50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C39:K39"/>
    <mergeCell ref="C40:I40"/>
    <mergeCell ref="C41:K41"/>
    <mergeCell ref="C42:I42"/>
    <mergeCell ref="C43:K43"/>
    <mergeCell ref="J54:J55"/>
    <mergeCell ref="K54:K55"/>
    <mergeCell ref="D54:D55"/>
    <mergeCell ref="E54:E55"/>
    <mergeCell ref="F54:F55"/>
    <mergeCell ref="G54:G55"/>
    <mergeCell ref="H54:H55"/>
    <mergeCell ref="I54:I55"/>
    <mergeCell ref="C44:K45"/>
    <mergeCell ref="E46:F46"/>
    <mergeCell ref="H46:I46"/>
    <mergeCell ref="J46:K46"/>
    <mergeCell ref="C47:K47"/>
    <mergeCell ref="C54:C55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G37:G38"/>
    <mergeCell ref="H37:H38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J19:J20"/>
    <mergeCell ref="K19:K20"/>
  </mergeCells>
  <pageMargins left="0.7" right="0.7" top="0.75" bottom="0.75" header="0" footer="0"/>
  <pageSetup scale="4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topLeftCell="B88" workbookViewId="0">
      <selection activeCell="C1" sqref="C1:M113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1" width="5.5703125" customWidth="1"/>
    <col min="12" max="15" width="9.140625" customWidth="1"/>
    <col min="16" max="24" width="8" customWidth="1"/>
  </cols>
  <sheetData>
    <row r="1" spans="1:24" ht="12.75" customHeight="1" x14ac:dyDescent="0.2">
      <c r="A1" s="95"/>
      <c r="B1" s="95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2.75" customHeight="1" x14ac:dyDescent="0.2">
      <c r="A2" s="95"/>
      <c r="B2" s="95"/>
      <c r="C2" s="131"/>
      <c r="D2" s="131"/>
      <c r="E2" s="131"/>
      <c r="F2" s="131"/>
      <c r="G2" s="131"/>
      <c r="H2" s="131"/>
      <c r="I2" s="131"/>
      <c r="J2" s="131"/>
      <c r="K2" s="131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12.75" customHeight="1" x14ac:dyDescent="0.2">
      <c r="A3" s="95"/>
      <c r="B3" s="95"/>
      <c r="C3" s="131"/>
      <c r="D3" s="131"/>
      <c r="E3" s="131"/>
      <c r="F3" s="131"/>
      <c r="G3" s="131"/>
      <c r="H3" s="131"/>
      <c r="I3" s="131"/>
      <c r="J3" s="131"/>
      <c r="K3" s="131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 spans="1:24" ht="12.75" customHeigh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</row>
    <row r="5" spans="1:24" ht="12.75" customHeight="1" x14ac:dyDescent="0.2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</row>
    <row r="6" spans="1:24" ht="19.5" customHeight="1" x14ac:dyDescent="0.2">
      <c r="A6" s="95"/>
      <c r="B6" s="95"/>
      <c r="C6" s="180" t="s">
        <v>242</v>
      </c>
      <c r="D6" s="125"/>
      <c r="E6" s="125"/>
      <c r="F6" s="125"/>
      <c r="G6" s="125"/>
      <c r="H6" s="125"/>
      <c r="I6" s="125"/>
      <c r="J6" s="125"/>
      <c r="K6" s="126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4" ht="4.5" customHeight="1" x14ac:dyDescent="0.2">
      <c r="A7" s="95"/>
      <c r="B7" s="95"/>
      <c r="C7" s="188"/>
      <c r="D7" s="163"/>
      <c r="E7" s="163"/>
      <c r="F7" s="163"/>
      <c r="G7" s="163"/>
      <c r="H7" s="163"/>
      <c r="I7" s="163"/>
      <c r="J7" s="163"/>
      <c r="K7" s="164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4" ht="4.5" customHeight="1" x14ac:dyDescent="0.2">
      <c r="A8" s="95"/>
      <c r="B8" s="95"/>
      <c r="C8" s="165"/>
      <c r="D8" s="166"/>
      <c r="E8" s="166"/>
      <c r="F8" s="166"/>
      <c r="G8" s="166"/>
      <c r="H8" s="166"/>
      <c r="I8" s="166"/>
      <c r="J8" s="166"/>
      <c r="K8" s="167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4" ht="12.75" customHeight="1" x14ac:dyDescent="0.2">
      <c r="A9" s="95"/>
      <c r="B9" s="95"/>
      <c r="C9" s="162" t="s">
        <v>190</v>
      </c>
      <c r="D9" s="163"/>
      <c r="E9" s="163"/>
      <c r="F9" s="163"/>
      <c r="G9" s="163"/>
      <c r="H9" s="163"/>
      <c r="I9" s="163"/>
      <c r="J9" s="163"/>
      <c r="K9" s="16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</row>
    <row r="10" spans="1:24" ht="12.75" customHeight="1" x14ac:dyDescent="0.2">
      <c r="A10" s="95"/>
      <c r="B10" s="95"/>
      <c r="C10" s="165"/>
      <c r="D10" s="166"/>
      <c r="E10" s="166"/>
      <c r="F10" s="166"/>
      <c r="G10" s="166"/>
      <c r="H10" s="166"/>
      <c r="I10" s="166"/>
      <c r="J10" s="166"/>
      <c r="K10" s="167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25.5" customHeight="1" x14ac:dyDescent="0.2">
      <c r="A11" s="95"/>
      <c r="B11" s="95"/>
      <c r="C11" s="96" t="s">
        <v>191</v>
      </c>
      <c r="D11" s="96" t="s">
        <v>192</v>
      </c>
      <c r="E11" s="169" t="s">
        <v>213</v>
      </c>
      <c r="F11" s="126"/>
      <c r="G11" s="96" t="s">
        <v>194</v>
      </c>
      <c r="H11" s="169" t="s">
        <v>243</v>
      </c>
      <c r="I11" s="126"/>
      <c r="J11" s="169" t="s">
        <v>196</v>
      </c>
      <c r="K11" s="126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2.75" customHeight="1" x14ac:dyDescent="0.2">
      <c r="A12" s="95"/>
      <c r="B12" s="95"/>
      <c r="C12" s="189"/>
      <c r="D12" s="125"/>
      <c r="E12" s="125"/>
      <c r="F12" s="125"/>
      <c r="G12" s="125"/>
      <c r="H12" s="125"/>
      <c r="I12" s="125"/>
      <c r="J12" s="125"/>
      <c r="K12" s="126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13.5" customHeight="1" x14ac:dyDescent="0.2">
      <c r="A13" s="95"/>
      <c r="B13" s="95"/>
      <c r="C13" s="170" t="s">
        <v>197</v>
      </c>
      <c r="D13" s="158" t="s">
        <v>206</v>
      </c>
      <c r="E13" s="157" t="s">
        <v>136</v>
      </c>
      <c r="F13" s="157" t="s">
        <v>143</v>
      </c>
      <c r="G13" s="160" t="s">
        <v>194</v>
      </c>
      <c r="H13" s="157" t="s">
        <v>133</v>
      </c>
      <c r="I13" s="157" t="s">
        <v>138</v>
      </c>
      <c r="J13" s="157">
        <v>7</v>
      </c>
      <c r="K13" s="157">
        <v>11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12.75" x14ac:dyDescent="0.2">
      <c r="A14" s="95"/>
      <c r="B14" s="95"/>
      <c r="C14" s="141"/>
      <c r="D14" s="141"/>
      <c r="E14" s="141"/>
      <c r="F14" s="141"/>
      <c r="G14" s="141"/>
      <c r="H14" s="141"/>
      <c r="I14" s="141"/>
      <c r="J14" s="141"/>
      <c r="K14" s="141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4.5" customHeight="1" x14ac:dyDescent="0.2">
      <c r="A15" s="95"/>
      <c r="B15" s="95"/>
      <c r="C15" s="161"/>
      <c r="D15" s="125"/>
      <c r="E15" s="125"/>
      <c r="F15" s="125"/>
      <c r="G15" s="125"/>
      <c r="H15" s="125"/>
      <c r="I15" s="125"/>
      <c r="J15" s="125"/>
      <c r="K15" s="126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12.75" x14ac:dyDescent="0.2">
      <c r="A16" s="95"/>
      <c r="B16" s="95"/>
      <c r="C16" s="170" t="s">
        <v>199</v>
      </c>
      <c r="D16" s="158" t="s">
        <v>208</v>
      </c>
      <c r="E16" s="157" t="s">
        <v>108</v>
      </c>
      <c r="F16" s="157" t="s">
        <v>244</v>
      </c>
      <c r="G16" s="160" t="s">
        <v>194</v>
      </c>
      <c r="H16" s="157" t="s">
        <v>116</v>
      </c>
      <c r="I16" s="157" t="s">
        <v>122</v>
      </c>
      <c r="J16" s="157">
        <v>10</v>
      </c>
      <c r="K16" s="157">
        <v>8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12.75" x14ac:dyDescent="0.2">
      <c r="A17" s="95"/>
      <c r="B17" s="95"/>
      <c r="C17" s="141"/>
      <c r="D17" s="141"/>
      <c r="E17" s="141"/>
      <c r="F17" s="141"/>
      <c r="G17" s="141"/>
      <c r="H17" s="141"/>
      <c r="I17" s="141"/>
      <c r="J17" s="141"/>
      <c r="K17" s="141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4.5" customHeight="1" x14ac:dyDescent="0.2">
      <c r="A18" s="95"/>
      <c r="B18" s="95"/>
      <c r="C18" s="161"/>
      <c r="D18" s="125"/>
      <c r="E18" s="125"/>
      <c r="F18" s="125"/>
      <c r="G18" s="125"/>
      <c r="H18" s="125"/>
      <c r="I18" s="125"/>
      <c r="J18" s="125"/>
      <c r="K18" s="126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12.75" x14ac:dyDescent="0.2">
      <c r="A19" s="95"/>
      <c r="B19" s="95"/>
      <c r="C19" s="170" t="s">
        <v>201</v>
      </c>
      <c r="D19" s="158" t="s">
        <v>198</v>
      </c>
      <c r="E19" s="157" t="s">
        <v>94</v>
      </c>
      <c r="F19" s="157" t="s">
        <v>101</v>
      </c>
      <c r="G19" s="160" t="s">
        <v>194</v>
      </c>
      <c r="H19" s="157" t="s">
        <v>89</v>
      </c>
      <c r="I19" s="157" t="s">
        <v>96</v>
      </c>
      <c r="J19" s="157">
        <v>9</v>
      </c>
      <c r="K19" s="157">
        <v>9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12.75" x14ac:dyDescent="0.2">
      <c r="A20" s="95"/>
      <c r="B20" s="95"/>
      <c r="C20" s="141"/>
      <c r="D20" s="141"/>
      <c r="E20" s="141"/>
      <c r="F20" s="141"/>
      <c r="G20" s="141"/>
      <c r="H20" s="141"/>
      <c r="I20" s="141"/>
      <c r="J20" s="141"/>
      <c r="K20" s="14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4.5" customHeight="1" x14ac:dyDescent="0.2">
      <c r="A21" s="95"/>
      <c r="B21" s="95"/>
      <c r="C21" s="161"/>
      <c r="D21" s="125"/>
      <c r="E21" s="125"/>
      <c r="F21" s="125"/>
      <c r="G21" s="125"/>
      <c r="H21" s="125"/>
      <c r="I21" s="125"/>
      <c r="J21" s="125"/>
      <c r="K21" s="126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12.75" x14ac:dyDescent="0.2">
      <c r="A22" s="95"/>
      <c r="B22" s="95"/>
      <c r="C22" s="170" t="s">
        <v>197</v>
      </c>
      <c r="D22" s="171" t="s">
        <v>207</v>
      </c>
      <c r="E22" s="157" t="s">
        <v>12</v>
      </c>
      <c r="F22" s="157" t="s">
        <v>75</v>
      </c>
      <c r="G22" s="160" t="s">
        <v>194</v>
      </c>
      <c r="H22" s="157" t="s">
        <v>70</v>
      </c>
      <c r="I22" s="157" t="s">
        <v>82</v>
      </c>
      <c r="J22" s="157">
        <v>14</v>
      </c>
      <c r="K22" s="157">
        <v>4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ht="12.75" x14ac:dyDescent="0.2">
      <c r="A23" s="95"/>
      <c r="B23" s="95"/>
      <c r="C23" s="141"/>
      <c r="D23" s="141"/>
      <c r="E23" s="141"/>
      <c r="F23" s="141"/>
      <c r="G23" s="141"/>
      <c r="H23" s="141"/>
      <c r="I23" s="141"/>
      <c r="J23" s="141"/>
      <c r="K23" s="141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ht="4.5" customHeight="1" x14ac:dyDescent="0.2">
      <c r="A24" s="95"/>
      <c r="B24" s="95"/>
      <c r="C24" s="161"/>
      <c r="D24" s="125"/>
      <c r="E24" s="125"/>
      <c r="F24" s="125"/>
      <c r="G24" s="125"/>
      <c r="H24" s="125"/>
      <c r="I24" s="125"/>
      <c r="J24" s="125"/>
      <c r="K24" s="126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</row>
    <row r="25" spans="1:24" ht="12.75" x14ac:dyDescent="0.2">
      <c r="A25" s="95"/>
      <c r="B25" s="95"/>
      <c r="C25" s="172" t="s">
        <v>245</v>
      </c>
      <c r="D25" s="125"/>
      <c r="E25" s="125"/>
      <c r="F25" s="125"/>
      <c r="G25" s="125"/>
      <c r="H25" s="125"/>
      <c r="I25" s="126"/>
      <c r="J25" s="103">
        <f t="shared" ref="J25:K25" si="0">SUM(J13:J23)</f>
        <v>40</v>
      </c>
      <c r="K25" s="103">
        <f t="shared" si="0"/>
        <v>32</v>
      </c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</row>
    <row r="26" spans="1:24" ht="4.5" customHeight="1" x14ac:dyDescent="0.2">
      <c r="A26" s="95"/>
      <c r="B26" s="95"/>
      <c r="C26" s="161"/>
      <c r="D26" s="125"/>
      <c r="E26" s="125"/>
      <c r="F26" s="125"/>
      <c r="G26" s="125"/>
      <c r="H26" s="125"/>
      <c r="I26" s="125"/>
      <c r="J26" s="125"/>
      <c r="K26" s="126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</row>
    <row r="27" spans="1:24" ht="12.75" x14ac:dyDescent="0.2">
      <c r="A27" s="95"/>
      <c r="B27" s="95"/>
      <c r="C27" s="179"/>
      <c r="D27" s="125"/>
      <c r="E27" s="125"/>
      <c r="F27" s="125"/>
      <c r="G27" s="125"/>
      <c r="H27" s="125"/>
      <c r="I27" s="125"/>
      <c r="J27" s="125"/>
      <c r="K27" s="126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</row>
    <row r="28" spans="1:24" ht="12.75" x14ac:dyDescent="0.2">
      <c r="A28" s="95"/>
      <c r="B28" s="95"/>
      <c r="C28" s="170" t="s">
        <v>197</v>
      </c>
      <c r="D28" s="187" t="s">
        <v>202</v>
      </c>
      <c r="E28" s="159" t="s">
        <v>20</v>
      </c>
      <c r="F28" s="159" t="s">
        <v>34</v>
      </c>
      <c r="G28" s="160" t="s">
        <v>194</v>
      </c>
      <c r="H28" s="159" t="s">
        <v>29</v>
      </c>
      <c r="I28" s="159" t="s">
        <v>36</v>
      </c>
      <c r="J28" s="157">
        <v>13</v>
      </c>
      <c r="K28" s="157">
        <v>6</v>
      </c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</row>
    <row r="29" spans="1:24" ht="12.75" x14ac:dyDescent="0.2">
      <c r="A29" s="95"/>
      <c r="B29" s="95"/>
      <c r="C29" s="141"/>
      <c r="D29" s="141"/>
      <c r="E29" s="141"/>
      <c r="F29" s="141"/>
      <c r="G29" s="141"/>
      <c r="H29" s="141"/>
      <c r="I29" s="141"/>
      <c r="J29" s="141"/>
      <c r="K29" s="14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</row>
    <row r="30" spans="1:24" ht="4.5" customHeight="1" x14ac:dyDescent="0.2">
      <c r="A30" s="95"/>
      <c r="B30" s="95"/>
      <c r="C30" s="161"/>
      <c r="D30" s="125"/>
      <c r="E30" s="125"/>
      <c r="F30" s="125"/>
      <c r="G30" s="125"/>
      <c r="H30" s="125"/>
      <c r="I30" s="125"/>
      <c r="J30" s="125"/>
      <c r="K30" s="126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</row>
    <row r="31" spans="1:24" ht="12.75" x14ac:dyDescent="0.2">
      <c r="A31" s="102"/>
      <c r="B31" s="95"/>
      <c r="C31" s="170" t="s">
        <v>199</v>
      </c>
      <c r="D31" s="158" t="s">
        <v>241</v>
      </c>
      <c r="E31" s="159" t="s">
        <v>68</v>
      </c>
      <c r="F31" s="159" t="s">
        <v>131</v>
      </c>
      <c r="G31" s="160" t="s">
        <v>194</v>
      </c>
      <c r="H31" s="159" t="s">
        <v>77</v>
      </c>
      <c r="I31" s="159" t="s">
        <v>145</v>
      </c>
      <c r="J31" s="157">
        <v>11</v>
      </c>
      <c r="K31" s="157">
        <v>7</v>
      </c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ht="12.75" x14ac:dyDescent="0.2">
      <c r="A32" s="102"/>
      <c r="B32" s="95"/>
      <c r="C32" s="141"/>
      <c r="D32" s="141"/>
      <c r="E32" s="141"/>
      <c r="F32" s="141"/>
      <c r="G32" s="141"/>
      <c r="H32" s="141"/>
      <c r="I32" s="141"/>
      <c r="J32" s="141"/>
      <c r="K32" s="141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</row>
    <row r="33" spans="1:24" ht="4.5" customHeight="1" x14ac:dyDescent="0.2">
      <c r="A33" s="95"/>
      <c r="B33" s="95"/>
      <c r="C33" s="161"/>
      <c r="D33" s="125"/>
      <c r="E33" s="125"/>
      <c r="F33" s="125"/>
      <c r="G33" s="125"/>
      <c r="H33" s="125"/>
      <c r="I33" s="125"/>
      <c r="J33" s="125"/>
      <c r="K33" s="126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</row>
    <row r="34" spans="1:24" ht="12.75" x14ac:dyDescent="0.2">
      <c r="A34" s="95"/>
      <c r="B34" s="95"/>
      <c r="C34" s="170" t="s">
        <v>201</v>
      </c>
      <c r="D34" s="158" t="s">
        <v>246</v>
      </c>
      <c r="E34" s="159" t="s">
        <v>41</v>
      </c>
      <c r="F34" s="159" t="s">
        <v>48</v>
      </c>
      <c r="G34" s="160" t="s">
        <v>194</v>
      </c>
      <c r="H34" s="159" t="s">
        <v>43</v>
      </c>
      <c r="I34" s="159" t="s">
        <v>57</v>
      </c>
      <c r="J34" s="157">
        <v>9</v>
      </c>
      <c r="K34" s="157">
        <v>9</v>
      </c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</row>
    <row r="35" spans="1:24" ht="12.75" x14ac:dyDescent="0.2">
      <c r="A35" s="95"/>
      <c r="B35" s="95"/>
      <c r="C35" s="141"/>
      <c r="D35" s="141"/>
      <c r="E35" s="141"/>
      <c r="F35" s="141"/>
      <c r="G35" s="141"/>
      <c r="H35" s="141"/>
      <c r="I35" s="141"/>
      <c r="J35" s="141"/>
      <c r="K35" s="141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</row>
    <row r="36" spans="1:24" ht="4.5" customHeight="1" x14ac:dyDescent="0.2">
      <c r="A36" s="95"/>
      <c r="B36" s="95"/>
      <c r="C36" s="161"/>
      <c r="D36" s="125"/>
      <c r="E36" s="125"/>
      <c r="F36" s="125"/>
      <c r="G36" s="125"/>
      <c r="H36" s="125"/>
      <c r="I36" s="125"/>
      <c r="J36" s="125"/>
      <c r="K36" s="126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</row>
    <row r="37" spans="1:24" ht="12.75" x14ac:dyDescent="0.2">
      <c r="A37" s="95"/>
      <c r="B37" s="95"/>
      <c r="C37" s="170" t="s">
        <v>199</v>
      </c>
      <c r="D37" s="171" t="s">
        <v>200</v>
      </c>
      <c r="E37" s="157" t="s">
        <v>247</v>
      </c>
      <c r="F37" s="157" t="s">
        <v>161</v>
      </c>
      <c r="G37" s="160" t="s">
        <v>194</v>
      </c>
      <c r="H37" s="157" t="s">
        <v>151</v>
      </c>
      <c r="I37" s="157" t="s">
        <v>157</v>
      </c>
      <c r="J37" s="157">
        <v>4</v>
      </c>
      <c r="K37" s="157">
        <v>14</v>
      </c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1:24" ht="12.75" x14ac:dyDescent="0.2">
      <c r="A38" s="95"/>
      <c r="B38" s="95"/>
      <c r="C38" s="141"/>
      <c r="D38" s="141"/>
      <c r="E38" s="141"/>
      <c r="F38" s="141"/>
      <c r="G38" s="141"/>
      <c r="H38" s="141"/>
      <c r="I38" s="141"/>
      <c r="J38" s="141"/>
      <c r="K38" s="14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</row>
    <row r="39" spans="1:24" ht="4.5" customHeight="1" x14ac:dyDescent="0.2">
      <c r="A39" s="95"/>
      <c r="B39" s="95"/>
      <c r="C39" s="161"/>
      <c r="D39" s="125"/>
      <c r="E39" s="125"/>
      <c r="F39" s="125"/>
      <c r="G39" s="125"/>
      <c r="H39" s="125"/>
      <c r="I39" s="125"/>
      <c r="J39" s="125"/>
      <c r="K39" s="126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:24" ht="12.75" x14ac:dyDescent="0.2">
      <c r="A40" s="95"/>
      <c r="B40" s="95"/>
      <c r="C40" s="172" t="s">
        <v>248</v>
      </c>
      <c r="D40" s="125"/>
      <c r="E40" s="125"/>
      <c r="F40" s="125"/>
      <c r="G40" s="125"/>
      <c r="H40" s="125"/>
      <c r="I40" s="126"/>
      <c r="J40" s="103">
        <f t="shared" ref="J40:K40" si="1">SUM(J28:J38)</f>
        <v>37</v>
      </c>
      <c r="K40" s="103">
        <f t="shared" si="1"/>
        <v>36</v>
      </c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:24" ht="4.5" customHeight="1" x14ac:dyDescent="0.2">
      <c r="A41" s="95"/>
      <c r="B41" s="95"/>
      <c r="C41" s="161"/>
      <c r="D41" s="125"/>
      <c r="E41" s="125"/>
      <c r="F41" s="125"/>
      <c r="G41" s="125"/>
      <c r="H41" s="125"/>
      <c r="I41" s="125"/>
      <c r="J41" s="125"/>
      <c r="K41" s="126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:24" ht="12.75" x14ac:dyDescent="0.2">
      <c r="A42" s="95"/>
      <c r="B42" s="95"/>
      <c r="C42" s="179" t="s">
        <v>249</v>
      </c>
      <c r="D42" s="125"/>
      <c r="E42" s="125"/>
      <c r="F42" s="125"/>
      <c r="G42" s="125"/>
      <c r="H42" s="125"/>
      <c r="I42" s="126"/>
      <c r="J42" s="104">
        <f t="shared" ref="J42:K42" si="2">J40+J25</f>
        <v>77</v>
      </c>
      <c r="K42" s="104">
        <f t="shared" si="2"/>
        <v>68</v>
      </c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:24" ht="6.75" customHeight="1" x14ac:dyDescent="0.2">
      <c r="A43" s="95"/>
      <c r="B43" s="95"/>
      <c r="C43" s="161"/>
      <c r="D43" s="125"/>
      <c r="E43" s="125"/>
      <c r="F43" s="125"/>
      <c r="G43" s="125"/>
      <c r="H43" s="125"/>
      <c r="I43" s="125"/>
      <c r="J43" s="125"/>
      <c r="K43" s="126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</row>
    <row r="44" spans="1:24" ht="7.5" customHeight="1" x14ac:dyDescent="0.2">
      <c r="A44" s="95"/>
      <c r="B44" s="95"/>
      <c r="C44" s="162" t="s">
        <v>212</v>
      </c>
      <c r="D44" s="163"/>
      <c r="E44" s="163"/>
      <c r="F44" s="163"/>
      <c r="G44" s="163"/>
      <c r="H44" s="163"/>
      <c r="I44" s="163"/>
      <c r="J44" s="163"/>
      <c r="K44" s="164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</row>
    <row r="45" spans="1:24" ht="12.75" x14ac:dyDescent="0.2">
      <c r="A45" s="95"/>
      <c r="B45" s="95"/>
      <c r="C45" s="165"/>
      <c r="D45" s="166"/>
      <c r="E45" s="166"/>
      <c r="F45" s="166"/>
      <c r="G45" s="166"/>
      <c r="H45" s="166"/>
      <c r="I45" s="166"/>
      <c r="J45" s="166"/>
      <c r="K45" s="167"/>
      <c r="L45" s="95"/>
      <c r="M45" s="95"/>
      <c r="N45" s="95"/>
      <c r="O45" s="114"/>
      <c r="P45" s="95"/>
      <c r="Q45" s="95"/>
      <c r="R45" s="95"/>
      <c r="S45" s="95"/>
      <c r="T45" s="95"/>
      <c r="U45" s="95"/>
      <c r="V45" s="95"/>
      <c r="W45" s="95"/>
      <c r="X45" s="95"/>
    </row>
    <row r="46" spans="1:24" ht="25.5" x14ac:dyDescent="0.2">
      <c r="A46" s="95"/>
      <c r="B46" s="95"/>
      <c r="C46" s="96" t="s">
        <v>191</v>
      </c>
      <c r="D46" s="96" t="s">
        <v>192</v>
      </c>
      <c r="E46" s="169" t="s">
        <v>195</v>
      </c>
      <c r="F46" s="126"/>
      <c r="G46" s="96" t="s">
        <v>194</v>
      </c>
      <c r="H46" s="169" t="s">
        <v>250</v>
      </c>
      <c r="I46" s="126"/>
      <c r="J46" s="169" t="s">
        <v>196</v>
      </c>
      <c r="K46" s="126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</row>
    <row r="47" spans="1:24" ht="12.75" x14ac:dyDescent="0.2">
      <c r="A47" s="95"/>
      <c r="B47" s="95"/>
      <c r="C47" s="189"/>
      <c r="D47" s="125"/>
      <c r="E47" s="125"/>
      <c r="F47" s="125"/>
      <c r="G47" s="125"/>
      <c r="H47" s="125"/>
      <c r="I47" s="125"/>
      <c r="J47" s="125"/>
      <c r="K47" s="126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</row>
    <row r="48" spans="1:24" ht="12.75" x14ac:dyDescent="0.2">
      <c r="A48" s="95"/>
      <c r="B48" s="95"/>
      <c r="C48" s="170" t="s">
        <v>197</v>
      </c>
      <c r="D48" s="191" t="s">
        <v>208</v>
      </c>
      <c r="E48" s="192" t="s">
        <v>107</v>
      </c>
      <c r="F48" s="192" t="s">
        <v>119</v>
      </c>
      <c r="G48" s="191" t="s">
        <v>194</v>
      </c>
      <c r="H48" s="192" t="s">
        <v>109</v>
      </c>
      <c r="I48" s="193" t="s">
        <v>115</v>
      </c>
      <c r="J48" s="157">
        <v>14</v>
      </c>
      <c r="K48" s="157">
        <v>4</v>
      </c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</row>
    <row r="49" spans="1:24" ht="12.75" x14ac:dyDescent="0.2">
      <c r="A49" s="95"/>
      <c r="B49" s="95"/>
      <c r="C49" s="141"/>
      <c r="D49" s="141"/>
      <c r="E49" s="141"/>
      <c r="F49" s="141"/>
      <c r="G49" s="141"/>
      <c r="H49" s="141"/>
      <c r="I49" s="131"/>
      <c r="J49" s="141"/>
      <c r="K49" s="141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50" spans="1:24" ht="4.5" customHeight="1" x14ac:dyDescent="0.2">
      <c r="A50" s="95"/>
      <c r="B50" s="95"/>
      <c r="C50" s="161"/>
      <c r="D50" s="125"/>
      <c r="E50" s="125"/>
      <c r="F50" s="125"/>
      <c r="G50" s="125"/>
      <c r="H50" s="125"/>
      <c r="I50" s="125"/>
      <c r="J50" s="125"/>
      <c r="K50" s="126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</row>
    <row r="51" spans="1:24" ht="12.75" x14ac:dyDescent="0.2">
      <c r="A51" s="95"/>
      <c r="B51" s="95"/>
      <c r="C51" s="170" t="s">
        <v>199</v>
      </c>
      <c r="D51" s="158" t="s">
        <v>198</v>
      </c>
      <c r="E51" s="159" t="s">
        <v>86</v>
      </c>
      <c r="F51" s="159" t="s">
        <v>100</v>
      </c>
      <c r="G51" s="160" t="s">
        <v>194</v>
      </c>
      <c r="H51" s="159" t="s">
        <v>102</v>
      </c>
      <c r="I51" s="159" t="s">
        <v>95</v>
      </c>
      <c r="J51" s="157">
        <v>6</v>
      </c>
      <c r="K51" s="157">
        <v>12</v>
      </c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</row>
    <row r="52" spans="1:24" ht="12.75" x14ac:dyDescent="0.2">
      <c r="A52" s="95"/>
      <c r="B52" s="95"/>
      <c r="C52" s="141"/>
      <c r="D52" s="141"/>
      <c r="E52" s="141"/>
      <c r="F52" s="141"/>
      <c r="G52" s="141"/>
      <c r="H52" s="141"/>
      <c r="I52" s="141"/>
      <c r="J52" s="141"/>
      <c r="K52" s="141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</row>
    <row r="53" spans="1:24" ht="4.5" customHeight="1" x14ac:dyDescent="0.2">
      <c r="A53" s="95"/>
      <c r="B53" s="95"/>
      <c r="C53" s="161"/>
      <c r="D53" s="125"/>
      <c r="E53" s="125"/>
      <c r="F53" s="125"/>
      <c r="G53" s="125"/>
      <c r="H53" s="125"/>
      <c r="I53" s="125"/>
      <c r="J53" s="125"/>
      <c r="K53" s="126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</row>
    <row r="54" spans="1:24" ht="12.75" x14ac:dyDescent="0.2">
      <c r="A54" s="95"/>
      <c r="B54" s="95"/>
      <c r="C54" s="170" t="s">
        <v>201</v>
      </c>
      <c r="D54" s="158" t="s">
        <v>207</v>
      </c>
      <c r="E54" s="159" t="s">
        <v>11</v>
      </c>
      <c r="F54" s="159" t="s">
        <v>74</v>
      </c>
      <c r="G54" s="160" t="s">
        <v>194</v>
      </c>
      <c r="H54" s="159" t="s">
        <v>69</v>
      </c>
      <c r="I54" s="159" t="s">
        <v>76</v>
      </c>
      <c r="J54" s="157">
        <v>6</v>
      </c>
      <c r="K54" s="157">
        <v>12</v>
      </c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</row>
    <row r="55" spans="1:24" ht="12.75" x14ac:dyDescent="0.2">
      <c r="A55" s="95"/>
      <c r="B55" s="95"/>
      <c r="C55" s="141"/>
      <c r="D55" s="141"/>
      <c r="E55" s="141"/>
      <c r="F55" s="141"/>
      <c r="G55" s="141"/>
      <c r="H55" s="141"/>
      <c r="I55" s="141"/>
      <c r="J55" s="141"/>
      <c r="K55" s="141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</row>
    <row r="56" spans="1:24" ht="4.5" customHeight="1" x14ac:dyDescent="0.2">
      <c r="A56" s="95"/>
      <c r="B56" s="95"/>
      <c r="C56" s="161"/>
      <c r="D56" s="125"/>
      <c r="E56" s="125"/>
      <c r="F56" s="125"/>
      <c r="G56" s="125"/>
      <c r="H56" s="125"/>
      <c r="I56" s="125"/>
      <c r="J56" s="125"/>
      <c r="K56" s="126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</row>
    <row r="57" spans="1:24" ht="12.75" x14ac:dyDescent="0.2">
      <c r="A57" s="95"/>
      <c r="B57" s="95"/>
      <c r="C57" s="170" t="s">
        <v>199</v>
      </c>
      <c r="D57" s="171" t="s">
        <v>203</v>
      </c>
      <c r="E57" s="159" t="s">
        <v>40</v>
      </c>
      <c r="F57" s="159" t="s">
        <v>54</v>
      </c>
      <c r="G57" s="160" t="s">
        <v>194</v>
      </c>
      <c r="H57" s="159" t="s">
        <v>42</v>
      </c>
      <c r="I57" s="159" t="s">
        <v>56</v>
      </c>
      <c r="J57" s="157">
        <v>7</v>
      </c>
      <c r="K57" s="157">
        <v>11</v>
      </c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</row>
    <row r="58" spans="1:24" ht="12.75" x14ac:dyDescent="0.2">
      <c r="A58" s="95"/>
      <c r="B58" s="95"/>
      <c r="C58" s="141"/>
      <c r="D58" s="141"/>
      <c r="E58" s="141"/>
      <c r="F58" s="141"/>
      <c r="G58" s="141"/>
      <c r="H58" s="141"/>
      <c r="I58" s="141"/>
      <c r="J58" s="141"/>
      <c r="K58" s="141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</row>
    <row r="59" spans="1:24" ht="4.5" customHeight="1" x14ac:dyDescent="0.2">
      <c r="A59" s="95"/>
      <c r="B59" s="95"/>
      <c r="C59" s="161"/>
      <c r="D59" s="125"/>
      <c r="E59" s="125"/>
      <c r="F59" s="125"/>
      <c r="G59" s="125"/>
      <c r="H59" s="125"/>
      <c r="I59" s="125"/>
      <c r="J59" s="125"/>
      <c r="K59" s="12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</row>
    <row r="60" spans="1:24" ht="12.75" x14ac:dyDescent="0.2">
      <c r="A60" s="95"/>
      <c r="B60" s="95"/>
      <c r="C60" s="172" t="s">
        <v>245</v>
      </c>
      <c r="D60" s="125"/>
      <c r="E60" s="125"/>
      <c r="F60" s="125"/>
      <c r="G60" s="125"/>
      <c r="H60" s="125"/>
      <c r="I60" s="126"/>
      <c r="J60" s="103">
        <f t="shared" ref="J60:K60" si="3">SUM(J48:J58)</f>
        <v>33</v>
      </c>
      <c r="K60" s="103">
        <f t="shared" si="3"/>
        <v>39</v>
      </c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</row>
    <row r="61" spans="1:24" ht="4.5" customHeight="1" x14ac:dyDescent="0.2">
      <c r="A61" s="95"/>
      <c r="B61" s="95"/>
      <c r="C61" s="161"/>
      <c r="D61" s="125"/>
      <c r="E61" s="125"/>
      <c r="F61" s="125"/>
      <c r="G61" s="125"/>
      <c r="H61" s="125"/>
      <c r="I61" s="125"/>
      <c r="J61" s="125"/>
      <c r="K61" s="126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</row>
    <row r="62" spans="1:24" ht="12.75" x14ac:dyDescent="0.2">
      <c r="A62" s="95"/>
      <c r="B62" s="95"/>
      <c r="C62" s="179"/>
      <c r="D62" s="125"/>
      <c r="E62" s="125"/>
      <c r="F62" s="125"/>
      <c r="G62" s="125"/>
      <c r="H62" s="125"/>
      <c r="I62" s="125"/>
      <c r="J62" s="125"/>
      <c r="K62" s="126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</row>
    <row r="63" spans="1:24" ht="12.75" x14ac:dyDescent="0.2">
      <c r="A63" s="95"/>
      <c r="B63" s="95"/>
      <c r="C63" s="170" t="s">
        <v>197</v>
      </c>
      <c r="D63" s="158" t="s">
        <v>200</v>
      </c>
      <c r="E63" s="159" t="s">
        <v>154</v>
      </c>
      <c r="F63" s="159" t="s">
        <v>160</v>
      </c>
      <c r="G63" s="160" t="s">
        <v>194</v>
      </c>
      <c r="H63" s="159" t="s">
        <v>156</v>
      </c>
      <c r="I63" s="159" t="s">
        <v>150</v>
      </c>
      <c r="J63" s="157">
        <v>3</v>
      </c>
      <c r="K63" s="157">
        <v>15</v>
      </c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</row>
    <row r="64" spans="1:24" ht="12.75" x14ac:dyDescent="0.2">
      <c r="A64" s="95"/>
      <c r="B64" s="95"/>
      <c r="C64" s="141"/>
      <c r="D64" s="141"/>
      <c r="E64" s="141"/>
      <c r="F64" s="141"/>
      <c r="G64" s="141"/>
      <c r="H64" s="141"/>
      <c r="I64" s="141"/>
      <c r="J64" s="141"/>
      <c r="K64" s="141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</row>
    <row r="65" spans="1:24" ht="4.5" customHeight="1" x14ac:dyDescent="0.2">
      <c r="A65" s="95"/>
      <c r="B65" s="95"/>
      <c r="C65" s="161"/>
      <c r="D65" s="125"/>
      <c r="E65" s="125"/>
      <c r="F65" s="125"/>
      <c r="G65" s="125"/>
      <c r="H65" s="125"/>
      <c r="I65" s="125"/>
      <c r="J65" s="125"/>
      <c r="K65" s="126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</row>
    <row r="66" spans="1:24" ht="12.75" x14ac:dyDescent="0.2">
      <c r="A66" s="95"/>
      <c r="B66" s="95"/>
      <c r="C66" s="170" t="s">
        <v>199</v>
      </c>
      <c r="D66" s="158" t="s">
        <v>206</v>
      </c>
      <c r="E66" s="159" t="s">
        <v>125</v>
      </c>
      <c r="F66" s="159" t="s">
        <v>135</v>
      </c>
      <c r="G66" s="160" t="s">
        <v>194</v>
      </c>
      <c r="H66" s="159" t="s">
        <v>132</v>
      </c>
      <c r="I66" s="159" t="s">
        <v>127</v>
      </c>
      <c r="J66" s="157">
        <v>3</v>
      </c>
      <c r="K66" s="157">
        <v>15</v>
      </c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</row>
    <row r="67" spans="1:24" ht="12.75" x14ac:dyDescent="0.2">
      <c r="A67" s="95"/>
      <c r="B67" s="95"/>
      <c r="C67" s="141"/>
      <c r="D67" s="141"/>
      <c r="E67" s="141"/>
      <c r="F67" s="141"/>
      <c r="G67" s="141"/>
      <c r="H67" s="141"/>
      <c r="I67" s="141"/>
      <c r="J67" s="141"/>
      <c r="K67" s="141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</row>
    <row r="68" spans="1:24" ht="4.5" customHeight="1" x14ac:dyDescent="0.2">
      <c r="A68" s="95"/>
      <c r="B68" s="95"/>
      <c r="C68" s="161"/>
      <c r="D68" s="125"/>
      <c r="E68" s="125"/>
      <c r="F68" s="125"/>
      <c r="G68" s="125"/>
      <c r="H68" s="125"/>
      <c r="I68" s="125"/>
      <c r="J68" s="125"/>
      <c r="K68" s="126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</row>
    <row r="69" spans="1:24" ht="12.75" x14ac:dyDescent="0.2">
      <c r="A69" s="95"/>
      <c r="B69" s="95"/>
      <c r="C69" s="170" t="s">
        <v>199</v>
      </c>
      <c r="D69" s="158" t="s">
        <v>202</v>
      </c>
      <c r="E69" s="159" t="s">
        <v>19</v>
      </c>
      <c r="F69" s="159" t="s">
        <v>33</v>
      </c>
      <c r="G69" s="160" t="s">
        <v>194</v>
      </c>
      <c r="H69" s="159" t="s">
        <v>28</v>
      </c>
      <c r="I69" s="159" t="s">
        <v>35</v>
      </c>
      <c r="J69" s="157">
        <v>13</v>
      </c>
      <c r="K69" s="157">
        <v>6</v>
      </c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</row>
    <row r="70" spans="1:24" ht="12.75" x14ac:dyDescent="0.2">
      <c r="A70" s="95"/>
      <c r="B70" s="95"/>
      <c r="C70" s="141"/>
      <c r="D70" s="141"/>
      <c r="E70" s="141"/>
      <c r="F70" s="141"/>
      <c r="G70" s="141"/>
      <c r="H70" s="141"/>
      <c r="I70" s="141"/>
      <c r="J70" s="141"/>
      <c r="K70" s="141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</row>
    <row r="71" spans="1:24" ht="4.5" customHeight="1" x14ac:dyDescent="0.2">
      <c r="A71" s="95"/>
      <c r="B71" s="95"/>
      <c r="C71" s="161"/>
      <c r="D71" s="125"/>
      <c r="E71" s="125"/>
      <c r="F71" s="125"/>
      <c r="G71" s="125"/>
      <c r="H71" s="125"/>
      <c r="I71" s="125"/>
      <c r="J71" s="125"/>
      <c r="K71" s="126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</row>
    <row r="72" spans="1:24" ht="12.75" x14ac:dyDescent="0.2">
      <c r="A72" s="95"/>
      <c r="B72" s="95"/>
      <c r="C72" s="170" t="s">
        <v>199</v>
      </c>
      <c r="D72" s="171" t="s">
        <v>241</v>
      </c>
      <c r="E72" s="159" t="s">
        <v>67</v>
      </c>
      <c r="F72" s="159" t="s">
        <v>130</v>
      </c>
      <c r="G72" s="160" t="s">
        <v>194</v>
      </c>
      <c r="H72" s="159" t="s">
        <v>62</v>
      </c>
      <c r="I72" s="159" t="s">
        <v>144</v>
      </c>
      <c r="J72" s="157">
        <v>6</v>
      </c>
      <c r="K72" s="157">
        <v>12</v>
      </c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</row>
    <row r="73" spans="1:24" ht="12.75" x14ac:dyDescent="0.2">
      <c r="A73" s="95"/>
      <c r="B73" s="95"/>
      <c r="C73" s="141"/>
      <c r="D73" s="141"/>
      <c r="E73" s="141"/>
      <c r="F73" s="141"/>
      <c r="G73" s="141"/>
      <c r="H73" s="141"/>
      <c r="I73" s="141"/>
      <c r="J73" s="141"/>
      <c r="K73" s="141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</row>
    <row r="74" spans="1:24" ht="4.5" customHeight="1" x14ac:dyDescent="0.2">
      <c r="A74" s="95"/>
      <c r="B74" s="95"/>
      <c r="C74" s="161"/>
      <c r="D74" s="125"/>
      <c r="E74" s="125"/>
      <c r="F74" s="125"/>
      <c r="G74" s="125"/>
      <c r="H74" s="125"/>
      <c r="I74" s="125"/>
      <c r="J74" s="125"/>
      <c r="K74" s="126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</row>
    <row r="75" spans="1:24" ht="12.75" x14ac:dyDescent="0.2">
      <c r="A75" s="95"/>
      <c r="B75" s="95"/>
      <c r="C75" s="172" t="s">
        <v>248</v>
      </c>
      <c r="D75" s="125"/>
      <c r="E75" s="125"/>
      <c r="F75" s="125"/>
      <c r="G75" s="125"/>
      <c r="H75" s="125"/>
      <c r="I75" s="126"/>
      <c r="J75" s="103">
        <f t="shared" ref="J75:K75" si="4">SUM(J63:J73)</f>
        <v>25</v>
      </c>
      <c r="K75" s="103">
        <f t="shared" si="4"/>
        <v>48</v>
      </c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</row>
    <row r="76" spans="1:24" ht="4.5" customHeight="1" x14ac:dyDescent="0.2">
      <c r="A76" s="95"/>
      <c r="B76" s="95"/>
      <c r="C76" s="161"/>
      <c r="D76" s="125"/>
      <c r="E76" s="125"/>
      <c r="F76" s="125"/>
      <c r="G76" s="125"/>
      <c r="H76" s="125"/>
      <c r="I76" s="125"/>
      <c r="J76" s="125"/>
      <c r="K76" s="126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</row>
    <row r="77" spans="1:24" ht="12.75" x14ac:dyDescent="0.2">
      <c r="A77" s="95"/>
      <c r="B77" s="95"/>
      <c r="C77" s="179" t="s">
        <v>249</v>
      </c>
      <c r="D77" s="125"/>
      <c r="E77" s="125"/>
      <c r="F77" s="125"/>
      <c r="G77" s="125"/>
      <c r="H77" s="125"/>
      <c r="I77" s="126"/>
      <c r="J77" s="104">
        <f t="shared" ref="J77:K77" si="5">J75+J60</f>
        <v>58</v>
      </c>
      <c r="K77" s="104">
        <f t="shared" si="5"/>
        <v>87</v>
      </c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</row>
    <row r="78" spans="1:24" ht="6.75" customHeight="1" x14ac:dyDescent="0.2">
      <c r="A78" s="95"/>
      <c r="B78" s="95"/>
      <c r="C78" s="161"/>
      <c r="D78" s="125"/>
      <c r="E78" s="125"/>
      <c r="F78" s="125"/>
      <c r="G78" s="125"/>
      <c r="H78" s="125"/>
      <c r="I78" s="125"/>
      <c r="J78" s="125"/>
      <c r="K78" s="126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  <row r="79" spans="1:24" ht="12.75" customHeight="1" x14ac:dyDescent="0.2">
      <c r="A79" s="95"/>
      <c r="B79" s="95"/>
      <c r="C79" s="162" t="s">
        <v>218</v>
      </c>
      <c r="D79" s="163"/>
      <c r="E79" s="163"/>
      <c r="F79" s="163"/>
      <c r="G79" s="163"/>
      <c r="H79" s="163"/>
      <c r="I79" s="163"/>
      <c r="J79" s="163"/>
      <c r="K79" s="164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</row>
    <row r="80" spans="1:24" ht="12.75" x14ac:dyDescent="0.2">
      <c r="A80" s="95"/>
      <c r="B80" s="95"/>
      <c r="C80" s="165"/>
      <c r="D80" s="166"/>
      <c r="E80" s="166"/>
      <c r="F80" s="166"/>
      <c r="G80" s="166"/>
      <c r="H80" s="166"/>
      <c r="I80" s="166"/>
      <c r="J80" s="166"/>
      <c r="K80" s="167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</row>
    <row r="81" spans="1:24" ht="25.5" x14ac:dyDescent="0.2">
      <c r="A81" s="95"/>
      <c r="B81" s="95"/>
      <c r="C81" s="105" t="s">
        <v>191</v>
      </c>
      <c r="D81" s="96" t="s">
        <v>192</v>
      </c>
      <c r="E81" s="169" t="s">
        <v>193</v>
      </c>
      <c r="F81" s="126"/>
      <c r="G81" s="96" t="s">
        <v>194</v>
      </c>
      <c r="H81" s="169" t="s">
        <v>219</v>
      </c>
      <c r="I81" s="126"/>
      <c r="J81" s="169" t="s">
        <v>196</v>
      </c>
      <c r="K81" s="126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</row>
    <row r="82" spans="1:24" ht="12.75" x14ac:dyDescent="0.2">
      <c r="A82" s="95"/>
      <c r="B82" s="95"/>
      <c r="C82" s="189"/>
      <c r="D82" s="125"/>
      <c r="E82" s="125"/>
      <c r="F82" s="125"/>
      <c r="G82" s="125"/>
      <c r="H82" s="125"/>
      <c r="I82" s="125"/>
      <c r="J82" s="125"/>
      <c r="K82" s="126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</row>
    <row r="83" spans="1:24" ht="12.75" x14ac:dyDescent="0.2">
      <c r="A83" s="95"/>
      <c r="B83" s="95"/>
      <c r="C83" s="170" t="s">
        <v>197</v>
      </c>
      <c r="D83" s="158" t="s">
        <v>198</v>
      </c>
      <c r="E83" s="159" t="s">
        <v>84</v>
      </c>
      <c r="F83" s="159" t="s">
        <v>91</v>
      </c>
      <c r="G83" s="160" t="s">
        <v>194</v>
      </c>
      <c r="H83" s="159" t="s">
        <v>85</v>
      </c>
      <c r="I83" s="159" t="s">
        <v>99</v>
      </c>
      <c r="J83" s="157">
        <v>13</v>
      </c>
      <c r="K83" s="157">
        <v>5</v>
      </c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</row>
    <row r="84" spans="1:24" ht="12.75" x14ac:dyDescent="0.2">
      <c r="A84" s="95"/>
      <c r="B84" s="95"/>
      <c r="C84" s="141"/>
      <c r="D84" s="141"/>
      <c r="E84" s="141"/>
      <c r="F84" s="141"/>
      <c r="G84" s="141"/>
      <c r="H84" s="141"/>
      <c r="I84" s="141"/>
      <c r="J84" s="141"/>
      <c r="K84" s="141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</row>
    <row r="85" spans="1:24" ht="4.5" customHeight="1" x14ac:dyDescent="0.2">
      <c r="A85" s="95"/>
      <c r="B85" s="95"/>
      <c r="C85" s="161"/>
      <c r="D85" s="125"/>
      <c r="E85" s="125"/>
      <c r="F85" s="125"/>
      <c r="G85" s="125"/>
      <c r="H85" s="125"/>
      <c r="I85" s="125"/>
      <c r="J85" s="125"/>
      <c r="K85" s="126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</row>
    <row r="86" spans="1:24" ht="12.75" x14ac:dyDescent="0.2">
      <c r="A86" s="95"/>
      <c r="B86" s="95"/>
      <c r="C86" s="170" t="s">
        <v>199</v>
      </c>
      <c r="D86" s="158" t="s">
        <v>207</v>
      </c>
      <c r="E86" s="159" t="s">
        <v>59</v>
      </c>
      <c r="F86" s="159" t="s">
        <v>65</v>
      </c>
      <c r="G86" s="160" t="s">
        <v>194</v>
      </c>
      <c r="H86" s="159" t="s">
        <v>66</v>
      </c>
      <c r="I86" s="159" t="s">
        <v>73</v>
      </c>
      <c r="J86" s="157">
        <v>9</v>
      </c>
      <c r="K86" s="157">
        <v>9</v>
      </c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</row>
    <row r="87" spans="1:24" ht="12.75" x14ac:dyDescent="0.2">
      <c r="A87" s="95"/>
      <c r="B87" s="95"/>
      <c r="C87" s="141"/>
      <c r="D87" s="141"/>
      <c r="E87" s="141"/>
      <c r="F87" s="141"/>
      <c r="G87" s="141"/>
      <c r="H87" s="141"/>
      <c r="I87" s="141"/>
      <c r="J87" s="141"/>
      <c r="K87" s="141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</row>
    <row r="88" spans="1:24" ht="4.5" customHeight="1" x14ac:dyDescent="0.2">
      <c r="A88" s="95"/>
      <c r="B88" s="95"/>
      <c r="C88" s="161"/>
      <c r="D88" s="125"/>
      <c r="E88" s="125"/>
      <c r="F88" s="125"/>
      <c r="G88" s="125"/>
      <c r="H88" s="125"/>
      <c r="I88" s="125"/>
      <c r="J88" s="125"/>
      <c r="K88" s="126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</row>
    <row r="89" spans="1:24" ht="12.75" x14ac:dyDescent="0.2">
      <c r="A89" s="95"/>
      <c r="B89" s="95"/>
      <c r="C89" s="170" t="s">
        <v>201</v>
      </c>
      <c r="D89" s="158" t="s">
        <v>202</v>
      </c>
      <c r="E89" s="159" t="s">
        <v>24</v>
      </c>
      <c r="F89" s="159" t="s">
        <v>31</v>
      </c>
      <c r="G89" s="160" t="s">
        <v>194</v>
      </c>
      <c r="H89" s="159" t="s">
        <v>25</v>
      </c>
      <c r="I89" s="159" t="s">
        <v>32</v>
      </c>
      <c r="J89" s="157">
        <v>12</v>
      </c>
      <c r="K89" s="157">
        <v>7</v>
      </c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</row>
    <row r="90" spans="1:24" ht="12.75" x14ac:dyDescent="0.2">
      <c r="A90" s="95"/>
      <c r="B90" s="95"/>
      <c r="C90" s="141"/>
      <c r="D90" s="141"/>
      <c r="E90" s="141"/>
      <c r="F90" s="141"/>
      <c r="G90" s="141"/>
      <c r="H90" s="141"/>
      <c r="I90" s="141"/>
      <c r="J90" s="141"/>
      <c r="K90" s="141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</row>
    <row r="91" spans="1:24" ht="4.5" customHeight="1" x14ac:dyDescent="0.2">
      <c r="A91" s="95"/>
      <c r="B91" s="95"/>
      <c r="C91" s="161"/>
      <c r="D91" s="125"/>
      <c r="E91" s="125"/>
      <c r="F91" s="125"/>
      <c r="G91" s="125"/>
      <c r="H91" s="125"/>
      <c r="I91" s="125"/>
      <c r="J91" s="125"/>
      <c r="K91" s="126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</row>
    <row r="92" spans="1:24" ht="12.75" x14ac:dyDescent="0.2">
      <c r="A92" s="95"/>
      <c r="B92" s="95"/>
      <c r="C92" s="171" t="s">
        <v>197</v>
      </c>
      <c r="D92" s="171" t="s">
        <v>200</v>
      </c>
      <c r="E92" s="157" t="s">
        <v>152</v>
      </c>
      <c r="F92" s="157" t="s">
        <v>158</v>
      </c>
      <c r="G92" s="160" t="s">
        <v>194</v>
      </c>
      <c r="H92" s="157" t="s">
        <v>147</v>
      </c>
      <c r="I92" s="157" t="s">
        <v>251</v>
      </c>
      <c r="J92" s="157">
        <v>11</v>
      </c>
      <c r="K92" s="157">
        <v>7</v>
      </c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</row>
    <row r="93" spans="1:24" ht="12.75" x14ac:dyDescent="0.2">
      <c r="A93" s="95"/>
      <c r="B93" s="95"/>
      <c r="C93" s="141"/>
      <c r="D93" s="141"/>
      <c r="E93" s="141"/>
      <c r="F93" s="141"/>
      <c r="G93" s="141"/>
      <c r="H93" s="141"/>
      <c r="I93" s="141"/>
      <c r="J93" s="141"/>
      <c r="K93" s="141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</row>
    <row r="94" spans="1:24" ht="4.5" customHeight="1" x14ac:dyDescent="0.2">
      <c r="A94" s="95"/>
      <c r="B94" s="95"/>
      <c r="C94" s="161"/>
      <c r="D94" s="125"/>
      <c r="E94" s="125"/>
      <c r="F94" s="125"/>
      <c r="G94" s="125"/>
      <c r="H94" s="125"/>
      <c r="I94" s="125"/>
      <c r="J94" s="125"/>
      <c r="K94" s="126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</row>
    <row r="95" spans="1:24" ht="12.75" x14ac:dyDescent="0.2">
      <c r="A95" s="95"/>
      <c r="B95" s="95"/>
      <c r="C95" s="172" t="s">
        <v>245</v>
      </c>
      <c r="D95" s="125"/>
      <c r="E95" s="125"/>
      <c r="F95" s="125"/>
      <c r="G95" s="125"/>
      <c r="H95" s="125"/>
      <c r="I95" s="126"/>
      <c r="J95" s="103">
        <f t="shared" ref="J95:K95" si="6">SUM(J83:J93)</f>
        <v>45</v>
      </c>
      <c r="K95" s="103">
        <f t="shared" si="6"/>
        <v>28</v>
      </c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</row>
    <row r="96" spans="1:24" ht="4.5" customHeight="1" x14ac:dyDescent="0.2">
      <c r="A96" s="95"/>
      <c r="B96" s="95"/>
      <c r="C96" s="161"/>
      <c r="D96" s="125"/>
      <c r="E96" s="125"/>
      <c r="F96" s="125"/>
      <c r="G96" s="125"/>
      <c r="H96" s="125"/>
      <c r="I96" s="125"/>
      <c r="J96" s="125"/>
      <c r="K96" s="126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</row>
    <row r="97" spans="1:24" ht="12.75" x14ac:dyDescent="0.2">
      <c r="A97" s="95"/>
      <c r="B97" s="95"/>
      <c r="C97" s="179"/>
      <c r="D97" s="125"/>
      <c r="E97" s="125"/>
      <c r="F97" s="125"/>
      <c r="G97" s="125"/>
      <c r="H97" s="125"/>
      <c r="I97" s="125"/>
      <c r="J97" s="125"/>
      <c r="K97" s="126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</row>
    <row r="98" spans="1:24" ht="12.75" x14ac:dyDescent="0.2">
      <c r="A98" s="95"/>
      <c r="B98" s="95"/>
      <c r="C98" s="170" t="s">
        <v>197</v>
      </c>
      <c r="D98" s="158" t="s">
        <v>208</v>
      </c>
      <c r="E98" s="159" t="s">
        <v>111</v>
      </c>
      <c r="F98" s="159" t="s">
        <v>117</v>
      </c>
      <c r="G98" s="160" t="s">
        <v>194</v>
      </c>
      <c r="H98" s="159" t="s">
        <v>112</v>
      </c>
      <c r="I98" s="159" t="s">
        <v>118</v>
      </c>
      <c r="J98" s="157">
        <v>8</v>
      </c>
      <c r="K98" s="157">
        <v>10</v>
      </c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</row>
    <row r="99" spans="1:24" ht="12.75" x14ac:dyDescent="0.2">
      <c r="A99" s="95"/>
      <c r="B99" s="95"/>
      <c r="C99" s="141"/>
      <c r="D99" s="141"/>
      <c r="E99" s="141"/>
      <c r="F99" s="141"/>
      <c r="G99" s="141"/>
      <c r="H99" s="141"/>
      <c r="I99" s="141"/>
      <c r="J99" s="141"/>
      <c r="K99" s="141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</row>
    <row r="100" spans="1:24" ht="4.5" customHeight="1" x14ac:dyDescent="0.2">
      <c r="A100" s="95"/>
      <c r="B100" s="95"/>
      <c r="C100" s="161"/>
      <c r="D100" s="125"/>
      <c r="E100" s="125"/>
      <c r="F100" s="125"/>
      <c r="G100" s="125"/>
      <c r="H100" s="125"/>
      <c r="I100" s="125"/>
      <c r="J100" s="125"/>
      <c r="K100" s="126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</row>
    <row r="101" spans="1:24" ht="12.75" x14ac:dyDescent="0.2">
      <c r="A101" s="95"/>
      <c r="B101" s="95"/>
      <c r="C101" s="170" t="s">
        <v>199</v>
      </c>
      <c r="D101" s="158" t="s">
        <v>203</v>
      </c>
      <c r="E101" s="159" t="s">
        <v>38</v>
      </c>
      <c r="F101" s="159" t="s">
        <v>52</v>
      </c>
      <c r="G101" s="160" t="s">
        <v>194</v>
      </c>
      <c r="H101" s="159" t="s">
        <v>46</v>
      </c>
      <c r="I101" s="159" t="s">
        <v>39</v>
      </c>
      <c r="J101" s="157">
        <v>8</v>
      </c>
      <c r="K101" s="157">
        <v>10</v>
      </c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</row>
    <row r="102" spans="1:24" ht="12.75" x14ac:dyDescent="0.2">
      <c r="A102" s="95"/>
      <c r="B102" s="95"/>
      <c r="C102" s="141"/>
      <c r="D102" s="141"/>
      <c r="E102" s="141"/>
      <c r="F102" s="141"/>
      <c r="G102" s="141"/>
      <c r="H102" s="141"/>
      <c r="I102" s="141"/>
      <c r="J102" s="141"/>
      <c r="K102" s="141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</row>
    <row r="103" spans="1:24" ht="4.5" customHeight="1" x14ac:dyDescent="0.2">
      <c r="A103" s="95"/>
      <c r="B103" s="95"/>
      <c r="C103" s="161"/>
      <c r="D103" s="125"/>
      <c r="E103" s="125"/>
      <c r="F103" s="125"/>
      <c r="G103" s="125"/>
      <c r="H103" s="125"/>
      <c r="I103" s="125"/>
      <c r="J103" s="125"/>
      <c r="K103" s="126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</row>
    <row r="104" spans="1:24" ht="12.75" x14ac:dyDescent="0.2">
      <c r="A104" s="95"/>
      <c r="B104" s="95"/>
      <c r="C104" s="170" t="s">
        <v>201</v>
      </c>
      <c r="D104" s="158" t="s">
        <v>206</v>
      </c>
      <c r="E104" s="159" t="s">
        <v>134</v>
      </c>
      <c r="F104" s="159" t="s">
        <v>140</v>
      </c>
      <c r="G104" s="160" t="s">
        <v>194</v>
      </c>
      <c r="H104" s="159" t="s">
        <v>124</v>
      </c>
      <c r="I104" s="159" t="s">
        <v>141</v>
      </c>
      <c r="J104" s="157">
        <v>14</v>
      </c>
      <c r="K104" s="157">
        <v>4</v>
      </c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</row>
    <row r="105" spans="1:24" ht="12.75" x14ac:dyDescent="0.2">
      <c r="A105" s="95"/>
      <c r="B105" s="95"/>
      <c r="C105" s="141"/>
      <c r="D105" s="141"/>
      <c r="E105" s="141"/>
      <c r="F105" s="141"/>
      <c r="G105" s="141"/>
      <c r="H105" s="141"/>
      <c r="I105" s="141"/>
      <c r="J105" s="141"/>
      <c r="K105" s="141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</row>
    <row r="106" spans="1:24" ht="4.5" customHeight="1" x14ac:dyDescent="0.2">
      <c r="A106" s="95"/>
      <c r="B106" s="95"/>
      <c r="C106" s="161"/>
      <c r="D106" s="125"/>
      <c r="E106" s="125"/>
      <c r="F106" s="125"/>
      <c r="G106" s="125"/>
      <c r="H106" s="125"/>
      <c r="I106" s="125"/>
      <c r="J106" s="125"/>
      <c r="K106" s="126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</row>
    <row r="107" spans="1:24" ht="12.75" x14ac:dyDescent="0.2">
      <c r="A107" s="95"/>
      <c r="B107" s="95"/>
      <c r="C107" s="170" t="s">
        <v>201</v>
      </c>
      <c r="D107" s="171" t="s">
        <v>241</v>
      </c>
      <c r="E107" s="159" t="s">
        <v>79</v>
      </c>
      <c r="F107" s="159" t="s">
        <v>128</v>
      </c>
      <c r="G107" s="160" t="s">
        <v>194</v>
      </c>
      <c r="H107" s="159" t="s">
        <v>80</v>
      </c>
      <c r="I107" s="159" t="s">
        <v>10</v>
      </c>
      <c r="J107" s="157">
        <v>7</v>
      </c>
      <c r="K107" s="157">
        <v>11</v>
      </c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</row>
    <row r="108" spans="1:24" ht="12.75" x14ac:dyDescent="0.2">
      <c r="A108" s="95"/>
      <c r="B108" s="95"/>
      <c r="C108" s="141"/>
      <c r="D108" s="141"/>
      <c r="E108" s="141"/>
      <c r="F108" s="141"/>
      <c r="G108" s="141"/>
      <c r="H108" s="141"/>
      <c r="I108" s="141"/>
      <c r="J108" s="141"/>
      <c r="K108" s="141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</row>
    <row r="109" spans="1:24" ht="4.5" customHeight="1" x14ac:dyDescent="0.2">
      <c r="A109" s="95"/>
      <c r="B109" s="95"/>
      <c r="C109" s="161"/>
      <c r="D109" s="125"/>
      <c r="E109" s="125"/>
      <c r="F109" s="125"/>
      <c r="G109" s="125"/>
      <c r="H109" s="125"/>
      <c r="I109" s="125"/>
      <c r="J109" s="125"/>
      <c r="K109" s="126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</row>
    <row r="110" spans="1:24" ht="12.75" customHeight="1" x14ac:dyDescent="0.2">
      <c r="A110" s="95"/>
      <c r="B110" s="95"/>
      <c r="C110" s="172" t="s">
        <v>248</v>
      </c>
      <c r="D110" s="125"/>
      <c r="E110" s="125"/>
      <c r="F110" s="125"/>
      <c r="G110" s="125"/>
      <c r="H110" s="125"/>
      <c r="I110" s="126"/>
      <c r="J110" s="103">
        <f t="shared" ref="J110:K110" si="7">SUM(J98:J108)</f>
        <v>37</v>
      </c>
      <c r="K110" s="103">
        <f t="shared" si="7"/>
        <v>35</v>
      </c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</row>
    <row r="111" spans="1:24" ht="4.5" customHeight="1" x14ac:dyDescent="0.2">
      <c r="A111" s="95"/>
      <c r="B111" s="95"/>
      <c r="C111" s="161"/>
      <c r="D111" s="125"/>
      <c r="E111" s="125"/>
      <c r="F111" s="125"/>
      <c r="G111" s="125"/>
      <c r="H111" s="125"/>
      <c r="I111" s="125"/>
      <c r="J111" s="125"/>
      <c r="K111" s="126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</row>
    <row r="112" spans="1:24" ht="12.75" customHeight="1" x14ac:dyDescent="0.2">
      <c r="A112" s="95"/>
      <c r="B112" s="95"/>
      <c r="C112" s="179" t="s">
        <v>249</v>
      </c>
      <c r="D112" s="125"/>
      <c r="E112" s="125"/>
      <c r="F112" s="125"/>
      <c r="G112" s="125"/>
      <c r="H112" s="125"/>
      <c r="I112" s="126"/>
      <c r="J112" s="104">
        <f t="shared" ref="J112:K112" si="8">J110+J95</f>
        <v>82</v>
      </c>
      <c r="K112" s="104">
        <f t="shared" si="8"/>
        <v>63</v>
      </c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</row>
    <row r="113" spans="1:24" ht="6.75" customHeight="1" x14ac:dyDescent="0.2">
      <c r="A113" s="95"/>
      <c r="B113" s="95"/>
      <c r="C113" s="161"/>
      <c r="D113" s="125"/>
      <c r="E113" s="125"/>
      <c r="F113" s="125"/>
      <c r="G113" s="125"/>
      <c r="H113" s="125"/>
      <c r="I113" s="125"/>
      <c r="J113" s="125"/>
      <c r="K113" s="126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</row>
    <row r="114" spans="1:24" ht="12.75" customHeight="1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</row>
    <row r="115" spans="1:24" ht="12.75" customHeight="1" x14ac:dyDescent="0.2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 t="s">
        <v>224</v>
      </c>
      <c r="P115" s="95"/>
      <c r="Q115" s="95"/>
      <c r="R115" s="95"/>
      <c r="S115" s="95"/>
      <c r="T115" s="95"/>
      <c r="U115" s="95"/>
      <c r="V115" s="95"/>
      <c r="W115" s="95"/>
      <c r="X115" s="95"/>
    </row>
    <row r="116" spans="1:24" ht="12.75" customHeight="1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</row>
    <row r="117" spans="1:24" ht="12.75" customHeight="1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</row>
    <row r="118" spans="1:24" ht="12.75" customHeight="1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</row>
    <row r="119" spans="1:24" ht="12.75" customHeight="1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</row>
    <row r="120" spans="1:24" ht="12.75" customHeight="1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</row>
    <row r="121" spans="1:24" ht="12.75" customHeight="1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</row>
    <row r="122" spans="1:24" ht="12.75" customHeight="1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</row>
    <row r="123" spans="1:24" ht="12.75" customHeight="1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</row>
    <row r="124" spans="1:24" ht="12.75" customHeight="1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</row>
    <row r="125" spans="1:24" ht="12.75" customHeight="1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</row>
    <row r="126" spans="1:24" ht="12.75" customHeight="1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</row>
    <row r="127" spans="1:24" ht="12.75" customHeight="1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</row>
    <row r="128" spans="1:24" ht="12.75" customHeight="1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</row>
    <row r="129" spans="1:24" ht="12.75" customHeight="1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</row>
    <row r="130" spans="1:24" ht="12.75" customHeight="1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</row>
    <row r="131" spans="1:24" ht="12.75" customHeight="1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</row>
    <row r="132" spans="1:24" ht="12.75" customHeight="1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</row>
    <row r="133" spans="1:24" ht="12.75" customHeight="1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</row>
    <row r="134" spans="1:24" ht="12.75" customHeight="1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</row>
    <row r="135" spans="1:24" ht="12.75" customHeight="1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</row>
    <row r="136" spans="1:24" ht="12.75" customHeight="1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</row>
    <row r="137" spans="1:24" ht="12.75" customHeight="1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</row>
    <row r="138" spans="1:24" ht="12.75" customHeight="1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</row>
    <row r="139" spans="1:24" ht="12.75" customHeight="1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</row>
    <row r="140" spans="1:24" ht="12.75" customHeight="1" x14ac:dyDescent="0.2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</row>
    <row r="141" spans="1:24" ht="12.75" customHeight="1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</row>
    <row r="142" spans="1:24" ht="12.75" customHeight="1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</row>
    <row r="143" spans="1:24" ht="12.75" customHeight="1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</row>
    <row r="144" spans="1:24" ht="12.75" customHeight="1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</row>
    <row r="145" spans="1:24" ht="12.75" customHeight="1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</row>
    <row r="146" spans="1:24" ht="12.75" customHeight="1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</row>
    <row r="147" spans="1:24" ht="12.75" customHeight="1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</row>
    <row r="148" spans="1:24" ht="12.75" customHeight="1" x14ac:dyDescent="0.2">
      <c r="A148" s="95"/>
      <c r="B148" s="95"/>
      <c r="C148" s="95"/>
      <c r="D148" s="95"/>
      <c r="E148" s="95"/>
      <c r="F148" s="95" t="s">
        <v>224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</row>
    <row r="149" spans="1:24" ht="12.75" customHeight="1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</row>
    <row r="150" spans="1:24" ht="12.75" customHeight="1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</row>
    <row r="151" spans="1:24" ht="12.75" customHeight="1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</row>
    <row r="152" spans="1:24" ht="12.75" customHeight="1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</row>
    <row r="153" spans="1:24" ht="12.75" customHeight="1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</row>
    <row r="154" spans="1:24" ht="12.75" customHeight="1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</row>
    <row r="155" spans="1:24" ht="12.75" customHeight="1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</row>
    <row r="156" spans="1:24" ht="12.75" customHeight="1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</row>
    <row r="157" spans="1:24" ht="12.75" customHeight="1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</row>
    <row r="158" spans="1:24" ht="12.75" customHeight="1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</row>
    <row r="159" spans="1:24" ht="12.75" customHeight="1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</row>
    <row r="160" spans="1:24" ht="12.75" customHeight="1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</row>
    <row r="161" spans="1:24" ht="12.75" customHeight="1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</row>
    <row r="162" spans="1:24" ht="12.75" customHeight="1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</row>
    <row r="163" spans="1:24" ht="12.75" customHeight="1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</row>
    <row r="164" spans="1:24" ht="12.75" customHeight="1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</row>
    <row r="165" spans="1:24" ht="12.75" customHeight="1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</row>
    <row r="166" spans="1:24" ht="12.75" customHeight="1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</row>
    <row r="167" spans="1:24" ht="12.75" customHeight="1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</row>
    <row r="168" spans="1:24" ht="12.75" customHeight="1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</row>
    <row r="169" spans="1:24" ht="12.75" customHeight="1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</row>
    <row r="170" spans="1:24" ht="12.75" customHeight="1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</row>
    <row r="171" spans="1:24" ht="12.75" customHeight="1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</row>
    <row r="172" spans="1:24" ht="12.75" customHeight="1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</row>
    <row r="173" spans="1:24" ht="12.75" customHeight="1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</row>
    <row r="174" spans="1:24" ht="12.75" customHeight="1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</row>
    <row r="175" spans="1:24" ht="12.75" customHeight="1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</row>
    <row r="176" spans="1:24" ht="12.75" customHeight="1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</row>
    <row r="177" spans="1:24" ht="12.75" customHeight="1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</row>
    <row r="178" spans="1:24" ht="12.75" customHeight="1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</row>
    <row r="179" spans="1:24" ht="12.75" customHeight="1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</row>
    <row r="180" spans="1:24" ht="12.75" customHeight="1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</row>
    <row r="181" spans="1:24" ht="12.75" customHeight="1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</row>
    <row r="182" spans="1:24" ht="12.75" customHeight="1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</row>
    <row r="183" spans="1:24" ht="12.75" customHeight="1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</row>
    <row r="184" spans="1:24" ht="12.75" customHeight="1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</row>
    <row r="185" spans="1:24" ht="12.75" customHeight="1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</row>
    <row r="186" spans="1:24" ht="12.75" customHeight="1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</row>
    <row r="187" spans="1:24" ht="12.75" customHeight="1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</row>
    <row r="188" spans="1:24" ht="12.75" customHeight="1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</row>
    <row r="189" spans="1:24" ht="12.75" customHeight="1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</row>
    <row r="190" spans="1:24" ht="12.75" customHeight="1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</row>
    <row r="191" spans="1:24" ht="12.75" customHeight="1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</row>
    <row r="192" spans="1:24" ht="12.75" customHeight="1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</row>
    <row r="193" spans="1:24" ht="12.75" customHeight="1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</row>
    <row r="194" spans="1:24" ht="12.75" customHeight="1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</row>
    <row r="195" spans="1:24" ht="12.75" customHeight="1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</row>
    <row r="196" spans="1:24" ht="12.75" customHeight="1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</row>
    <row r="197" spans="1:24" ht="12.75" customHeight="1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</row>
    <row r="198" spans="1:24" ht="12.75" customHeight="1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</row>
    <row r="199" spans="1:24" ht="12.75" customHeight="1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</row>
    <row r="200" spans="1:24" ht="12.75" customHeight="1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</row>
    <row r="201" spans="1:24" ht="12.75" customHeight="1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</row>
    <row r="202" spans="1:24" ht="12.75" customHeight="1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</row>
    <row r="203" spans="1:24" ht="12.75" customHeight="1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</row>
    <row r="204" spans="1:24" ht="12.75" customHeight="1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</row>
    <row r="205" spans="1:24" ht="12.75" customHeight="1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</row>
    <row r="206" spans="1:24" ht="12.75" customHeight="1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</row>
    <row r="207" spans="1:24" ht="12.75" customHeight="1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</row>
    <row r="208" spans="1:24" ht="12.75" customHeight="1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</row>
    <row r="209" spans="1:24" ht="12.75" customHeight="1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</row>
    <row r="210" spans="1:24" ht="12.75" customHeight="1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</row>
    <row r="211" spans="1:24" ht="12.75" customHeight="1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</row>
    <row r="212" spans="1:24" ht="12.75" customHeight="1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</row>
    <row r="213" spans="1:24" ht="12.75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</row>
    <row r="214" spans="1:24" ht="12.75" customHeight="1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</row>
    <row r="215" spans="1:24" ht="12.75" customHeight="1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</row>
    <row r="216" spans="1:24" ht="12.75" customHeight="1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</row>
    <row r="217" spans="1:24" ht="12.75" customHeight="1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</row>
    <row r="218" spans="1:24" ht="12.75" customHeight="1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</row>
    <row r="219" spans="1:24" ht="12.75" customHeight="1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</row>
    <row r="220" spans="1:24" ht="12.75" customHeight="1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</row>
    <row r="221" spans="1:24" ht="12.75" customHeight="1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</row>
    <row r="222" spans="1:24" ht="12.75" customHeight="1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</row>
    <row r="223" spans="1:24" ht="12.75" customHeight="1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</row>
    <row r="224" spans="1:24" ht="12.75" customHeight="1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</row>
    <row r="225" spans="1:24" ht="12.75" customHeight="1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</row>
    <row r="226" spans="1:24" ht="12.75" customHeight="1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</row>
    <row r="227" spans="1:24" ht="12.75" customHeight="1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</row>
    <row r="228" spans="1:24" ht="12.75" customHeight="1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</row>
    <row r="229" spans="1:24" ht="12.75" customHeight="1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</row>
    <row r="230" spans="1:24" ht="12.75" customHeight="1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</row>
    <row r="231" spans="1:24" ht="12.75" customHeight="1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</row>
    <row r="232" spans="1:24" ht="12.75" customHeight="1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</row>
    <row r="233" spans="1:24" ht="12.75" customHeight="1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</row>
    <row r="234" spans="1:24" ht="12.75" customHeight="1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</row>
    <row r="235" spans="1:24" ht="12.75" customHeight="1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</row>
    <row r="236" spans="1:24" ht="12.75" customHeight="1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</row>
    <row r="237" spans="1:24" ht="12.75" customHeight="1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</row>
    <row r="238" spans="1:24" ht="12.75" customHeight="1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</row>
    <row r="239" spans="1:24" ht="12.75" customHeight="1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</row>
    <row r="240" spans="1:24" ht="12.75" customHeight="1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</row>
    <row r="241" spans="1:24" ht="12.75" customHeight="1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</row>
    <row r="242" spans="1:24" ht="12.75" customHeigh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</row>
    <row r="243" spans="1:24" ht="12.75" customHeight="1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</row>
    <row r="244" spans="1:24" ht="12.75" customHeight="1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</row>
    <row r="245" spans="1:24" ht="12.75" customHeight="1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</row>
    <row r="246" spans="1:24" ht="12.75" customHeight="1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</row>
    <row r="247" spans="1:24" ht="12.75" customHeight="1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</row>
    <row r="248" spans="1:24" ht="12.75" customHeight="1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</row>
    <row r="249" spans="1:24" ht="12.75" customHeight="1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</row>
    <row r="250" spans="1:24" ht="12.75" customHeight="1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</row>
    <row r="251" spans="1:24" ht="12.75" customHeight="1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</row>
    <row r="252" spans="1:24" ht="12.75" customHeight="1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</row>
    <row r="253" spans="1:24" ht="12.75" customHeight="1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</row>
    <row r="254" spans="1:24" ht="12.75" customHeight="1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</row>
    <row r="255" spans="1:24" ht="12.75" customHeight="1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</row>
    <row r="256" spans="1:24" ht="12.7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</row>
    <row r="257" spans="1:24" ht="12.75" customHeight="1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</row>
    <row r="258" spans="1:24" ht="12.75" customHeight="1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</row>
    <row r="259" spans="1:24" ht="12.75" customHeight="1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</row>
    <row r="260" spans="1:24" ht="12.75" customHeight="1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</row>
    <row r="261" spans="1:24" ht="12.75" customHeight="1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</row>
    <row r="262" spans="1:24" ht="12.75" customHeight="1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</row>
    <row r="263" spans="1:24" ht="12.75" customHeight="1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</row>
    <row r="264" spans="1:24" ht="12.75" customHeight="1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</row>
    <row r="265" spans="1:24" ht="12.75" customHeight="1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</row>
    <row r="266" spans="1:24" ht="12.75" customHeight="1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</row>
    <row r="267" spans="1:24" ht="12.75" customHeight="1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</row>
    <row r="268" spans="1:24" ht="12.75" customHeight="1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</row>
    <row r="269" spans="1:24" ht="12.75" customHeight="1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</row>
    <row r="270" spans="1:24" ht="12.75" customHeight="1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</row>
    <row r="271" spans="1:24" ht="12.75" customHeight="1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</row>
    <row r="272" spans="1:24" ht="12.75" customHeight="1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</row>
    <row r="273" spans="1:24" ht="12.75" customHeight="1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</row>
    <row r="274" spans="1:24" ht="12.75" customHeight="1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</row>
    <row r="275" spans="1:24" ht="12.75" customHeight="1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</row>
    <row r="276" spans="1:24" ht="12.75" customHeight="1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</row>
    <row r="277" spans="1:24" ht="12.75" customHeight="1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</row>
    <row r="278" spans="1:24" ht="12.75" customHeight="1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</row>
    <row r="279" spans="1:24" ht="12.75" customHeight="1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</row>
    <row r="280" spans="1:24" ht="12.75" customHeight="1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</row>
    <row r="281" spans="1:24" ht="12.75" customHeight="1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</row>
    <row r="282" spans="1:24" ht="12.75" customHeight="1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</row>
    <row r="283" spans="1:24" ht="12.75" customHeight="1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pans="1:24" ht="12.75" customHeight="1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pans="1:24" ht="12.75" customHeight="1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pans="1:24" ht="12.75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pans="1:24" ht="12.75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pans="1:24" ht="12.75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pans="1:24" ht="12.75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pans="1:24" ht="12.75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pans="1:24" ht="12.75" customHeight="1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pans="1:24" ht="12.75" customHeight="1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pans="1:24" ht="12.75" customHeight="1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pans="1:24" ht="12.75" customHeight="1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pans="1:24" ht="12.75" customHeight="1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pans="1:24" ht="12.75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pans="1:24" ht="12.75" customHeight="1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pans="1:24" ht="12.75" customHeight="1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pans="1:24" ht="12.75" customHeight="1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pans="1:24" ht="12.75" customHeight="1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pans="1:24" ht="12.75" customHeight="1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pans="1:24" ht="12.75" customHeight="1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pans="1:24" ht="12.75" customHeight="1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pans="1:24" ht="12.75" customHeight="1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pans="1:24" ht="12.75" customHeight="1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pans="1:24" ht="12.75" customHeight="1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pans="1:24" ht="12.75" customHeight="1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pans="1:24" ht="12.75" customHeight="1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pans="1:24" ht="12.75" customHeight="1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pans="1:24" ht="12.75" customHeight="1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pans="1:24" ht="12.75" customHeight="1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pans="1:24" ht="12.75" customHeight="1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pans="1:24" ht="12.75" customHeight="1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pans="1:24" ht="12.75" customHeight="1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pans="1:24" ht="12.75" customHeight="1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pans="1:24" ht="12.75" customHeight="1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pans="1:24" ht="12.75" customHeight="1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pans="1:24" ht="12.75" customHeight="1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pans="1:24" ht="12.75" customHeight="1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pans="1:24" ht="12.75" customHeight="1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pans="1:24" ht="12.75" customHeight="1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pans="1:24" ht="12.75" customHeight="1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pans="1:24" ht="12.75" customHeight="1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pans="1:24" ht="12.75" customHeight="1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pans="1:24" ht="12.75" customHeight="1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pans="1:24" ht="12.75" customHeight="1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pans="1:24" ht="12.75" customHeight="1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pans="1:24" ht="12.75" customHeight="1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pans="1:24" ht="12.75" customHeight="1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pans="1:24" ht="12.75" customHeight="1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pans="1:24" ht="12.75" customHeight="1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pans="1:24" ht="12.75" customHeight="1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pans="1:24" ht="12.75" customHeight="1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pans="1:24" ht="12.75" customHeight="1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pans="1:24" ht="12.75" customHeight="1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pans="1:24" ht="12.75" customHeight="1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pans="1:24" ht="12.75" customHeight="1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pans="1:24" ht="12.75" customHeight="1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pans="1:24" ht="12.75" customHeight="1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pans="1:24" ht="12.75" customHeight="1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pans="1:24" ht="12.75" customHeight="1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pans="1:24" ht="12.75" customHeight="1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pans="1:24" ht="12.75" customHeight="1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pans="1:24" ht="12.75" customHeight="1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pans="1:24" ht="12.75" customHeight="1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pans="1:24" ht="12.75" customHeight="1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pans="1:24" ht="12.75" customHeight="1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</row>
    <row r="348" spans="1:24" ht="12.75" customHeight="1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</row>
    <row r="349" spans="1:24" ht="12.75" customHeight="1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</row>
    <row r="350" spans="1:24" ht="12.75" customHeight="1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</row>
    <row r="351" spans="1:24" ht="12.75" customHeight="1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pans="1:24" ht="12.75" customHeight="1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pans="1:24" ht="12.75" customHeight="1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pans="1:24" ht="12.75" customHeight="1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pans="1:24" ht="12.75" customHeight="1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</row>
    <row r="356" spans="1:24" ht="12.75" customHeight="1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</row>
    <row r="357" spans="1:24" ht="12.75" customHeight="1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</row>
    <row r="358" spans="1:24" ht="12.75" customHeight="1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</row>
    <row r="359" spans="1:24" ht="12.75" customHeight="1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</row>
    <row r="360" spans="1:24" ht="12.75" customHeight="1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</row>
    <row r="361" spans="1:24" ht="12.75" customHeight="1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</row>
    <row r="362" spans="1:24" ht="12.75" customHeight="1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</row>
    <row r="363" spans="1:24" ht="12.75" customHeight="1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</row>
    <row r="364" spans="1:24" ht="12.75" customHeight="1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</row>
    <row r="365" spans="1:24" ht="12.75" customHeight="1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</row>
    <row r="366" spans="1:24" ht="12.75" customHeight="1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</row>
    <row r="367" spans="1:24" ht="12.75" customHeight="1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</row>
    <row r="368" spans="1:24" ht="12.75" customHeight="1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</row>
    <row r="369" spans="1:24" ht="12.75" customHeight="1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</row>
    <row r="370" spans="1:24" ht="12.75" customHeight="1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</row>
    <row r="371" spans="1:24" ht="12.75" customHeight="1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</row>
    <row r="372" spans="1:24" ht="12.75" customHeight="1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</row>
    <row r="373" spans="1:24" ht="12.75" customHeight="1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</row>
    <row r="374" spans="1:24" ht="12.75" customHeight="1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</row>
    <row r="375" spans="1:24" ht="12.75" customHeight="1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</row>
    <row r="376" spans="1:24" ht="12.75" customHeight="1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</row>
    <row r="377" spans="1:24" ht="12.75" customHeight="1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</row>
    <row r="378" spans="1:24" ht="12.75" customHeight="1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</row>
    <row r="379" spans="1:24" ht="12.75" customHeight="1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</row>
    <row r="380" spans="1:24" ht="12.75" customHeight="1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</row>
    <row r="381" spans="1:24" ht="12.75" customHeight="1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</row>
    <row r="382" spans="1:24" ht="12.75" customHeight="1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</row>
    <row r="383" spans="1:24" ht="12.75" customHeight="1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</row>
    <row r="384" spans="1:24" ht="12.75" customHeight="1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</row>
    <row r="385" spans="1:24" ht="12.75" customHeight="1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</row>
    <row r="386" spans="1:24" ht="12.75" customHeight="1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</row>
    <row r="387" spans="1:24" ht="12.75" customHeight="1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</row>
    <row r="388" spans="1:24" ht="12.75" customHeight="1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</row>
    <row r="389" spans="1:24" ht="12.75" customHeight="1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</row>
    <row r="390" spans="1:24" ht="12.75" customHeight="1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</row>
    <row r="391" spans="1:24" ht="12.75" customHeight="1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</row>
    <row r="392" spans="1:24" ht="12.75" customHeight="1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</row>
    <row r="393" spans="1:24" ht="12.75" customHeight="1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</row>
    <row r="394" spans="1:24" ht="12.75" customHeight="1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</row>
    <row r="395" spans="1:24" ht="12.75" customHeight="1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</row>
    <row r="396" spans="1:24" ht="12.75" customHeight="1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</row>
    <row r="397" spans="1:24" ht="12.75" customHeight="1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</row>
    <row r="398" spans="1:24" ht="12.75" customHeight="1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</row>
    <row r="399" spans="1:24" ht="12.75" customHeight="1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</row>
    <row r="400" spans="1:24" ht="12.75" customHeight="1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</row>
    <row r="401" spans="1:24" ht="12.75" customHeight="1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</row>
    <row r="402" spans="1:24" ht="12.75" customHeight="1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</row>
    <row r="403" spans="1:24" ht="12.75" customHeight="1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</row>
    <row r="404" spans="1:24" ht="12.75" customHeight="1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</row>
    <row r="405" spans="1:24" ht="12.75" customHeight="1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</row>
    <row r="406" spans="1:24" ht="12.75" customHeight="1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</row>
    <row r="407" spans="1:24" ht="12.75" customHeight="1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</row>
    <row r="408" spans="1:24" ht="12.75" customHeight="1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</row>
    <row r="409" spans="1:24" ht="12.75" customHeight="1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</row>
    <row r="410" spans="1:24" ht="12.75" customHeight="1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</row>
    <row r="411" spans="1:24" ht="12.75" customHeight="1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</row>
    <row r="412" spans="1:24" ht="12.75" customHeight="1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</row>
    <row r="413" spans="1:24" ht="12.75" customHeight="1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</row>
    <row r="414" spans="1:24" ht="12.75" customHeight="1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</row>
    <row r="415" spans="1:24" ht="12.75" customHeight="1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</row>
    <row r="416" spans="1:24" ht="12.75" customHeight="1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</row>
    <row r="417" spans="1:24" ht="12.75" customHeight="1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</row>
    <row r="418" spans="1:24" ht="12.75" customHeight="1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</row>
    <row r="419" spans="1:24" ht="12.75" customHeight="1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</row>
    <row r="420" spans="1:24" ht="12.75" customHeight="1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</row>
    <row r="421" spans="1:24" ht="12.75" customHeight="1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</row>
    <row r="422" spans="1:24" ht="12.75" customHeight="1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</row>
    <row r="423" spans="1:24" ht="12.75" customHeight="1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</row>
    <row r="424" spans="1:24" ht="12.75" customHeight="1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</row>
    <row r="425" spans="1:24" ht="12.75" customHeight="1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</row>
    <row r="426" spans="1:24" ht="12.75" customHeight="1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</row>
    <row r="427" spans="1:24" ht="12.75" customHeight="1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</row>
    <row r="428" spans="1:24" ht="12.75" customHeight="1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</row>
    <row r="429" spans="1:24" ht="12.75" customHeight="1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</row>
    <row r="430" spans="1:24" ht="12.75" customHeight="1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</row>
    <row r="431" spans="1:24" ht="12.75" customHeight="1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</row>
    <row r="432" spans="1:24" ht="12.75" customHeight="1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</row>
    <row r="433" spans="1:24" ht="12.75" customHeight="1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</row>
    <row r="434" spans="1:24" ht="12.75" customHeight="1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</row>
    <row r="435" spans="1:24" ht="12.75" customHeight="1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</row>
    <row r="436" spans="1:24" ht="12.75" customHeight="1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</row>
    <row r="437" spans="1:24" ht="12.75" customHeight="1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</row>
    <row r="438" spans="1:24" ht="12.75" customHeight="1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</row>
    <row r="439" spans="1:24" ht="12.75" customHeight="1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</row>
    <row r="440" spans="1:24" ht="12.75" customHeight="1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</row>
    <row r="441" spans="1:24" ht="12.75" customHeight="1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</row>
    <row r="442" spans="1:24" ht="12.75" customHeight="1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</row>
    <row r="443" spans="1:24" ht="12.75" customHeight="1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</row>
    <row r="444" spans="1:24" ht="12.75" customHeight="1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</row>
    <row r="445" spans="1:24" ht="12.75" customHeight="1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</row>
    <row r="446" spans="1:24" ht="12.75" customHeight="1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</row>
    <row r="447" spans="1:24" ht="12.75" customHeight="1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</row>
    <row r="448" spans="1:24" ht="12.75" customHeight="1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</row>
    <row r="449" spans="1:24" ht="12.75" customHeight="1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</row>
    <row r="450" spans="1:24" ht="12.75" customHeight="1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</row>
    <row r="451" spans="1:24" ht="12.75" customHeight="1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</row>
    <row r="452" spans="1:24" ht="12.75" customHeight="1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</row>
    <row r="453" spans="1:24" ht="12.75" customHeight="1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</row>
    <row r="454" spans="1:24" ht="12.75" customHeight="1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</row>
    <row r="455" spans="1:24" ht="12.75" customHeight="1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</row>
    <row r="456" spans="1:24" ht="12.75" customHeight="1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</row>
    <row r="457" spans="1:24" ht="12.75" customHeight="1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</row>
    <row r="458" spans="1:24" ht="12.75" customHeight="1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</row>
    <row r="459" spans="1:24" ht="12.75" customHeight="1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</row>
    <row r="460" spans="1:24" ht="12.75" customHeight="1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</row>
    <row r="461" spans="1:24" ht="12.75" customHeight="1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</row>
    <row r="462" spans="1:24" ht="12.75" customHeight="1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</row>
    <row r="463" spans="1:24" ht="12.75" customHeight="1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</row>
    <row r="464" spans="1:24" ht="12.75" customHeight="1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</row>
    <row r="465" spans="1:24" ht="12.75" customHeight="1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</row>
    <row r="466" spans="1:24" ht="12.75" customHeight="1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</row>
    <row r="467" spans="1:24" ht="12.75" customHeight="1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</row>
    <row r="468" spans="1:24" ht="12.75" customHeight="1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</row>
    <row r="469" spans="1:24" ht="12.75" customHeight="1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</row>
    <row r="470" spans="1:24" ht="12.75" customHeight="1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</row>
    <row r="471" spans="1:24" ht="12.75" customHeight="1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</row>
    <row r="472" spans="1:24" ht="12.75" customHeight="1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</row>
    <row r="473" spans="1:24" ht="12.75" customHeight="1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</row>
    <row r="474" spans="1:24" ht="12.75" customHeight="1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</row>
    <row r="475" spans="1:24" ht="12.75" customHeight="1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</row>
    <row r="476" spans="1:24" ht="12.75" customHeight="1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</row>
    <row r="477" spans="1:24" ht="12.75" customHeight="1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</row>
    <row r="478" spans="1:24" ht="12.75" customHeight="1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</row>
    <row r="479" spans="1:24" ht="12.75" customHeight="1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</row>
    <row r="480" spans="1:24" ht="12.75" customHeight="1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</row>
    <row r="481" spans="1:24" ht="12.75" customHeight="1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</row>
    <row r="482" spans="1:24" ht="12.75" customHeight="1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</row>
    <row r="483" spans="1:24" ht="12.75" customHeight="1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</row>
    <row r="484" spans="1:24" ht="12.75" customHeight="1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</row>
    <row r="485" spans="1:24" ht="12.75" customHeight="1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</row>
    <row r="486" spans="1:24" ht="12.75" customHeight="1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</row>
    <row r="487" spans="1:24" ht="12.75" customHeight="1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</row>
    <row r="488" spans="1:24" ht="12.75" customHeight="1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</row>
    <row r="489" spans="1:24" ht="12.75" customHeight="1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</row>
    <row r="490" spans="1:24" ht="12.75" customHeight="1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</row>
    <row r="491" spans="1:24" ht="12.75" customHeight="1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</row>
    <row r="492" spans="1:24" ht="12.75" customHeight="1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</row>
    <row r="493" spans="1:24" ht="12.75" customHeight="1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</row>
    <row r="494" spans="1:24" ht="12.75" customHeight="1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</row>
    <row r="495" spans="1:24" ht="12.75" customHeight="1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</row>
    <row r="496" spans="1:24" ht="12.75" customHeight="1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</row>
    <row r="497" spans="1:24" ht="12.75" customHeight="1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</row>
    <row r="498" spans="1:24" ht="12.75" customHeight="1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</row>
    <row r="499" spans="1:24" ht="12.75" customHeight="1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</row>
    <row r="500" spans="1:24" ht="12.75" customHeight="1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</row>
    <row r="501" spans="1:24" ht="12.75" customHeight="1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</row>
    <row r="502" spans="1:24" ht="12.75" customHeight="1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</row>
    <row r="503" spans="1:24" ht="12.75" customHeight="1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</row>
    <row r="504" spans="1:24" ht="12.75" customHeight="1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</row>
    <row r="505" spans="1:24" ht="12.75" customHeight="1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pans="1:24" ht="12.75" customHeight="1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pans="1:24" ht="12.75" customHeight="1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pans="1:24" ht="12.75" customHeight="1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pans="1:24" ht="12.75" customHeight="1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pans="1:24" ht="12.75" customHeight="1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pans="1:24" ht="12.75" customHeight="1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pans="1:24" ht="12.75" customHeight="1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pans="1:24" ht="12.75" customHeight="1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pans="1:24" ht="12.75" customHeight="1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pans="1:24" ht="12.75" customHeight="1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pans="1:24" ht="12.75" customHeight="1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pans="1:24" ht="12.75" customHeight="1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pans="1:24" ht="12.75" customHeight="1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pans="1:24" ht="12.75" customHeight="1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pans="1:24" ht="12.75" customHeight="1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</row>
    <row r="521" spans="1:24" ht="12.75" customHeight="1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</row>
    <row r="522" spans="1:24" ht="12.75" customHeight="1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</row>
    <row r="523" spans="1:24" ht="12.75" customHeight="1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</row>
    <row r="524" spans="1:24" ht="12.75" customHeight="1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</row>
    <row r="525" spans="1:24" ht="12.75" customHeight="1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</row>
    <row r="526" spans="1:24" ht="12.75" customHeight="1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</row>
    <row r="527" spans="1:24" ht="12.75" customHeight="1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</row>
    <row r="528" spans="1:24" ht="12.75" customHeight="1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</row>
    <row r="529" spans="1:24" ht="12.75" customHeight="1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</row>
    <row r="530" spans="1:24" ht="12.75" customHeight="1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pans="1:24" ht="12.75" customHeight="1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pans="1:24" ht="12.75" customHeight="1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pans="1:24" ht="12.75" customHeight="1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pans="1:24" ht="12.75" customHeight="1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pans="1:24" ht="12.75" customHeight="1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pans="1:24" ht="12.75" customHeight="1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pans="1:24" ht="12.75" customHeight="1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pans="1:24" ht="12.75" customHeight="1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pans="1:24" ht="12.75" customHeight="1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pans="1:24" ht="12.75" customHeight="1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pans="1:24" ht="12.75" customHeight="1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pans="1:24" ht="12.75" customHeight="1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pans="1:24" ht="12.75" customHeight="1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pans="1:24" ht="12.75" customHeight="1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pans="1:24" ht="12.75" customHeight="1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</row>
    <row r="546" spans="1:24" ht="12.75" customHeight="1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</row>
    <row r="547" spans="1:24" ht="12.75" customHeight="1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</row>
    <row r="548" spans="1:24" ht="12.75" customHeight="1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</row>
    <row r="549" spans="1:24" ht="12.75" customHeight="1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</row>
    <row r="550" spans="1:24" ht="12.75" customHeight="1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</row>
    <row r="551" spans="1:24" ht="12.75" customHeight="1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</row>
    <row r="552" spans="1:24" ht="12.75" customHeight="1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</row>
    <row r="553" spans="1:24" ht="12.75" customHeight="1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</row>
    <row r="554" spans="1:24" ht="12.75" customHeight="1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</row>
    <row r="555" spans="1:24" ht="12.75" customHeight="1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</row>
    <row r="556" spans="1:24" ht="12.75" customHeight="1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</row>
    <row r="557" spans="1:24" ht="12.75" customHeight="1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</row>
    <row r="558" spans="1:24" ht="12.75" customHeight="1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</row>
    <row r="559" spans="1:24" ht="12.75" customHeight="1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</row>
    <row r="560" spans="1:24" ht="12.75" customHeight="1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</row>
    <row r="561" spans="1:24" ht="12.75" customHeight="1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</row>
    <row r="562" spans="1:24" ht="12.75" customHeight="1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</row>
    <row r="563" spans="1:24" ht="12.75" customHeight="1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</row>
    <row r="564" spans="1:24" ht="12.75" customHeight="1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</row>
    <row r="565" spans="1:24" ht="12.75" customHeight="1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</row>
    <row r="566" spans="1:24" ht="12.75" customHeight="1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</row>
    <row r="567" spans="1:24" ht="12.75" customHeight="1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</row>
    <row r="568" spans="1:24" ht="12.75" customHeight="1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</row>
    <row r="569" spans="1:24" ht="12.75" customHeight="1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</row>
    <row r="570" spans="1:24" ht="12.75" customHeight="1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</row>
    <row r="571" spans="1:24" ht="12.75" customHeight="1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</row>
    <row r="572" spans="1:24" ht="12.75" customHeight="1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</row>
    <row r="573" spans="1:24" ht="12.75" customHeight="1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</row>
    <row r="574" spans="1:24" ht="12.75" customHeight="1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</row>
    <row r="575" spans="1:24" ht="12.75" customHeight="1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</row>
    <row r="576" spans="1:24" ht="12.75" customHeight="1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</row>
    <row r="577" spans="1:24" ht="12.75" customHeight="1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</row>
    <row r="578" spans="1:24" ht="12.75" customHeight="1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</row>
    <row r="579" spans="1:24" ht="12.75" customHeight="1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</row>
    <row r="580" spans="1:24" ht="12.75" customHeight="1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</row>
    <row r="581" spans="1:24" ht="12.75" customHeight="1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</row>
    <row r="582" spans="1:24" ht="12.75" customHeight="1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</row>
    <row r="583" spans="1:24" ht="12.75" customHeight="1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</row>
    <row r="584" spans="1:24" ht="12.75" customHeight="1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</row>
    <row r="585" spans="1:24" ht="12.75" customHeight="1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</row>
    <row r="586" spans="1:24" ht="12.75" customHeight="1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</row>
    <row r="587" spans="1:24" ht="12.75" customHeight="1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</row>
    <row r="588" spans="1:24" ht="12.75" customHeight="1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</row>
    <row r="589" spans="1:24" ht="12.75" customHeight="1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</row>
    <row r="590" spans="1:24" ht="12.75" customHeight="1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</row>
    <row r="591" spans="1:24" ht="12.75" customHeight="1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</row>
    <row r="592" spans="1:24" ht="12.75" customHeight="1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</row>
    <row r="593" spans="1:24" ht="12.75" customHeight="1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</row>
    <row r="594" spans="1:24" ht="12.75" customHeight="1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</row>
    <row r="595" spans="1:24" ht="12.75" customHeight="1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</row>
    <row r="596" spans="1:24" ht="12.75" customHeight="1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</row>
    <row r="597" spans="1:24" ht="12.75" customHeight="1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</row>
    <row r="598" spans="1:24" ht="12.75" customHeight="1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</row>
    <row r="599" spans="1:24" ht="12.75" customHeight="1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</row>
    <row r="600" spans="1:24" ht="12.75" customHeight="1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</row>
    <row r="601" spans="1:24" ht="12.75" customHeight="1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</row>
    <row r="602" spans="1:24" ht="12.75" customHeight="1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</row>
    <row r="603" spans="1:24" ht="12.75" customHeight="1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</row>
    <row r="604" spans="1:24" ht="12.75" customHeight="1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</row>
    <row r="605" spans="1:24" ht="12.75" customHeight="1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</row>
    <row r="606" spans="1:24" ht="12.75" customHeight="1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</row>
    <row r="607" spans="1:24" ht="12.75" customHeight="1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</row>
    <row r="608" spans="1:24" ht="12.75" customHeight="1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</row>
    <row r="609" spans="1:24" ht="12.75" customHeight="1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</row>
    <row r="610" spans="1:24" ht="12.75" customHeight="1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</row>
    <row r="611" spans="1:24" ht="12.75" customHeight="1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</row>
    <row r="612" spans="1:24" ht="12.75" customHeight="1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</row>
    <row r="613" spans="1:24" ht="12.75" customHeight="1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</row>
    <row r="614" spans="1:24" ht="12.75" customHeight="1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</row>
    <row r="615" spans="1:24" ht="12.75" customHeight="1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</row>
    <row r="616" spans="1:24" ht="12.75" customHeight="1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</row>
    <row r="617" spans="1:24" ht="12.75" customHeight="1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</row>
    <row r="618" spans="1:24" ht="12.75" customHeight="1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</row>
    <row r="619" spans="1:24" ht="12.75" customHeight="1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</row>
    <row r="620" spans="1:24" ht="12.75" customHeight="1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</row>
    <row r="621" spans="1:24" ht="12.75" customHeight="1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</row>
    <row r="622" spans="1:24" ht="12.75" customHeight="1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</row>
    <row r="623" spans="1:24" ht="12.75" customHeight="1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</row>
    <row r="624" spans="1:24" ht="12.75" customHeight="1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</row>
    <row r="625" spans="1:24" ht="12.75" customHeight="1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</row>
    <row r="626" spans="1:24" ht="12.75" customHeight="1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</row>
    <row r="627" spans="1:24" ht="12.75" customHeight="1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</row>
    <row r="628" spans="1:24" ht="12.75" customHeight="1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</row>
    <row r="629" spans="1:24" ht="12.75" customHeight="1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</row>
    <row r="630" spans="1:24" ht="12.75" customHeight="1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</row>
    <row r="631" spans="1:24" ht="12.75" customHeight="1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</row>
    <row r="632" spans="1:24" ht="12.75" customHeight="1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</row>
    <row r="633" spans="1:24" ht="12.75" customHeight="1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</row>
    <row r="634" spans="1:24" ht="12.75" customHeight="1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</row>
    <row r="635" spans="1:24" ht="12.75" customHeight="1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</row>
    <row r="636" spans="1:24" ht="12.75" customHeight="1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</row>
    <row r="637" spans="1:24" ht="12.75" customHeight="1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</row>
    <row r="638" spans="1:24" ht="12.75" customHeight="1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</row>
    <row r="639" spans="1:24" ht="12.75" customHeight="1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</row>
    <row r="640" spans="1:24" ht="12.75" customHeight="1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</row>
    <row r="641" spans="1:24" ht="12.75" customHeight="1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</row>
    <row r="642" spans="1:24" ht="12.75" customHeight="1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</row>
    <row r="643" spans="1:24" ht="12.75" customHeight="1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</row>
    <row r="644" spans="1:24" ht="12.75" customHeight="1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</row>
    <row r="645" spans="1:24" ht="12.75" customHeight="1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</row>
    <row r="646" spans="1:24" ht="12.75" customHeight="1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</row>
    <row r="647" spans="1:24" ht="12.75" customHeight="1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</row>
    <row r="648" spans="1:24" ht="12.75" customHeight="1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</row>
    <row r="649" spans="1:24" ht="12.75" customHeight="1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</row>
    <row r="650" spans="1:24" ht="12.75" customHeight="1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</row>
    <row r="651" spans="1:24" ht="12.75" customHeight="1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</row>
    <row r="652" spans="1:24" ht="12.75" customHeight="1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</row>
    <row r="653" spans="1:24" ht="12.75" customHeight="1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</row>
    <row r="654" spans="1:24" ht="12.75" customHeight="1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</row>
    <row r="655" spans="1:24" ht="12.75" customHeight="1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</row>
    <row r="656" spans="1:24" ht="12.75" customHeight="1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</row>
    <row r="657" spans="1:24" ht="12.75" customHeight="1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</row>
    <row r="658" spans="1:24" ht="12.75" customHeight="1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</row>
    <row r="659" spans="1:24" ht="12.75" customHeight="1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</row>
    <row r="660" spans="1:24" ht="12.75" customHeight="1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</row>
    <row r="661" spans="1:24" ht="12.75" customHeight="1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</row>
    <row r="662" spans="1:24" ht="12.75" customHeight="1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</row>
    <row r="663" spans="1:24" ht="12.75" customHeight="1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</row>
    <row r="664" spans="1:24" ht="12.75" customHeight="1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</row>
    <row r="665" spans="1:24" ht="12.75" customHeight="1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</row>
    <row r="666" spans="1:24" ht="12.75" customHeight="1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</row>
    <row r="667" spans="1:24" ht="12.75" customHeight="1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</row>
    <row r="668" spans="1:24" ht="12.75" customHeight="1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</row>
    <row r="669" spans="1:24" ht="12.75" customHeight="1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</row>
    <row r="670" spans="1:24" ht="12.75" customHeight="1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</row>
    <row r="671" spans="1:24" ht="12.75" customHeight="1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</row>
    <row r="672" spans="1:24" ht="12.75" customHeight="1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</row>
    <row r="673" spans="1:24" ht="12.75" customHeight="1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</row>
    <row r="674" spans="1:24" ht="12.75" customHeight="1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</row>
    <row r="675" spans="1:24" ht="12.75" customHeight="1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</row>
    <row r="676" spans="1:24" ht="12.75" customHeight="1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</row>
    <row r="677" spans="1:24" ht="12.75" customHeight="1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</row>
    <row r="678" spans="1:24" ht="12.75" customHeight="1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</row>
    <row r="679" spans="1:24" ht="12.75" customHeight="1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</row>
    <row r="680" spans="1:24" ht="12.75" customHeight="1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</row>
    <row r="681" spans="1:24" ht="12.75" customHeight="1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</row>
    <row r="682" spans="1:24" ht="12.75" customHeight="1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</row>
    <row r="683" spans="1:24" ht="12.75" customHeight="1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</row>
    <row r="684" spans="1:24" ht="12.75" customHeight="1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</row>
    <row r="685" spans="1:24" ht="12.75" customHeight="1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</row>
    <row r="686" spans="1:24" ht="12.75" customHeight="1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</row>
    <row r="687" spans="1:24" ht="12.75" customHeight="1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</row>
    <row r="688" spans="1:24" ht="12.75" customHeight="1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</row>
    <row r="689" spans="1:24" ht="12.75" customHeight="1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</row>
    <row r="690" spans="1:24" ht="12.75" customHeight="1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</row>
    <row r="691" spans="1:24" ht="12.75" customHeight="1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</row>
    <row r="692" spans="1:24" ht="12.75" customHeight="1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</row>
    <row r="693" spans="1:24" ht="12.75" customHeight="1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</row>
    <row r="694" spans="1:24" ht="12.75" customHeight="1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</row>
    <row r="695" spans="1:24" ht="12.75" customHeight="1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</row>
    <row r="696" spans="1:24" ht="12.75" customHeight="1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</row>
    <row r="697" spans="1:24" ht="12.75" customHeight="1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</row>
    <row r="698" spans="1:24" ht="12.75" customHeight="1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</row>
    <row r="699" spans="1:24" ht="12.75" customHeight="1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</row>
    <row r="700" spans="1:24" ht="12.75" customHeight="1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</row>
    <row r="701" spans="1:24" ht="12.75" customHeight="1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</row>
    <row r="702" spans="1:24" ht="12.75" customHeight="1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</row>
    <row r="703" spans="1:24" ht="12.75" customHeight="1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</row>
    <row r="704" spans="1:24" ht="12.75" customHeight="1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</row>
    <row r="705" spans="1:24" ht="12.75" customHeight="1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</row>
    <row r="706" spans="1:24" ht="12.75" customHeight="1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</row>
    <row r="707" spans="1:24" ht="12.75" customHeight="1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</row>
    <row r="708" spans="1:24" ht="12.75" customHeight="1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</row>
    <row r="709" spans="1:24" ht="12.75" customHeight="1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</row>
    <row r="710" spans="1:24" ht="12.75" customHeight="1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</row>
    <row r="711" spans="1:24" ht="12.75" customHeight="1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</row>
    <row r="712" spans="1:24" ht="12.75" customHeight="1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</row>
    <row r="713" spans="1:24" ht="12.75" customHeight="1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</row>
    <row r="714" spans="1:24" ht="12.75" customHeight="1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</row>
    <row r="715" spans="1:24" ht="12.75" customHeight="1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</row>
    <row r="716" spans="1:24" ht="12.75" customHeight="1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</row>
    <row r="717" spans="1:24" ht="12.75" customHeight="1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</row>
    <row r="718" spans="1:24" ht="12.75" customHeight="1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</row>
    <row r="719" spans="1:24" ht="12.75" customHeight="1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</row>
    <row r="720" spans="1:24" ht="12.75" customHeight="1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</row>
    <row r="721" spans="1:24" ht="12.75" customHeight="1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</row>
    <row r="722" spans="1:24" ht="12.75" customHeight="1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</row>
    <row r="723" spans="1:24" ht="12.75" customHeight="1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</row>
    <row r="724" spans="1:24" ht="12.75" customHeight="1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</row>
    <row r="725" spans="1:24" ht="12.75" customHeight="1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</row>
    <row r="726" spans="1:24" ht="12.75" customHeight="1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</row>
    <row r="727" spans="1:24" ht="12.75" customHeight="1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</row>
    <row r="728" spans="1:24" ht="12.75" customHeight="1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</row>
    <row r="729" spans="1:24" ht="12.75" customHeight="1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</row>
    <row r="730" spans="1:24" ht="12.75" customHeight="1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</row>
    <row r="731" spans="1:24" ht="12.75" customHeight="1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</row>
    <row r="732" spans="1:24" ht="12.75" customHeight="1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</row>
    <row r="733" spans="1:24" ht="12.75" customHeight="1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</row>
    <row r="734" spans="1:24" ht="12.75" customHeight="1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</row>
    <row r="735" spans="1:24" ht="12.75" customHeight="1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</row>
    <row r="736" spans="1:24" ht="12.75" customHeight="1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</row>
    <row r="737" spans="1:24" ht="12.75" customHeight="1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</row>
    <row r="738" spans="1:24" ht="12.75" customHeight="1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</row>
    <row r="739" spans="1:24" ht="12.75" customHeight="1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</row>
    <row r="740" spans="1:24" ht="12.75" customHeight="1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</row>
    <row r="741" spans="1:24" ht="12.75" customHeight="1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</row>
    <row r="742" spans="1:24" ht="12.75" customHeight="1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</row>
    <row r="743" spans="1:24" ht="12.75" customHeight="1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</row>
    <row r="744" spans="1:24" ht="12.75" customHeight="1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</row>
    <row r="745" spans="1:24" ht="12.75" customHeight="1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</row>
    <row r="746" spans="1:24" ht="12.75" customHeight="1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</row>
    <row r="747" spans="1:24" ht="12.75" customHeight="1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</row>
    <row r="748" spans="1:24" ht="12.75" customHeight="1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</row>
    <row r="749" spans="1:24" ht="12.75" customHeight="1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</row>
    <row r="750" spans="1:24" ht="12.75" customHeight="1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</row>
    <row r="751" spans="1:24" ht="12.75" customHeight="1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</row>
    <row r="752" spans="1:24" ht="12.75" customHeight="1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</row>
    <row r="753" spans="1:24" ht="12.75" customHeight="1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</row>
    <row r="754" spans="1:24" ht="12.75" customHeight="1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</row>
    <row r="755" spans="1:24" ht="12.75" customHeight="1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</row>
    <row r="756" spans="1:24" ht="12.75" customHeight="1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</row>
    <row r="757" spans="1:24" ht="12.75" customHeight="1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</row>
    <row r="758" spans="1:24" ht="12.75" customHeight="1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</row>
    <row r="759" spans="1:24" ht="12.75" customHeight="1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</row>
    <row r="760" spans="1:24" ht="12.75" customHeight="1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</row>
    <row r="761" spans="1:24" ht="12.75" customHeight="1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</row>
    <row r="762" spans="1:24" ht="12.75" customHeight="1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</row>
    <row r="763" spans="1:24" ht="12.75" customHeight="1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</row>
    <row r="764" spans="1:24" ht="12.75" customHeight="1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</row>
    <row r="765" spans="1:24" ht="12.75" customHeight="1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</row>
    <row r="766" spans="1:24" ht="12.75" customHeight="1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</row>
    <row r="767" spans="1:24" ht="12.75" customHeight="1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</row>
    <row r="768" spans="1:24" ht="12.75" customHeight="1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</row>
    <row r="769" spans="1:24" ht="12.75" customHeight="1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</row>
    <row r="770" spans="1:24" ht="12.75" customHeight="1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</row>
    <row r="771" spans="1:24" ht="12.75" customHeight="1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</row>
    <row r="772" spans="1:24" ht="12.75" customHeight="1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</row>
    <row r="773" spans="1:24" ht="12.75" customHeight="1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</row>
    <row r="774" spans="1:24" ht="12.75" customHeight="1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</row>
    <row r="775" spans="1:24" ht="12.75" customHeight="1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</row>
    <row r="776" spans="1:24" ht="12.75" customHeight="1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</row>
    <row r="777" spans="1:24" ht="12.75" customHeight="1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</row>
    <row r="778" spans="1:24" ht="12.75" customHeight="1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</row>
    <row r="779" spans="1:24" ht="12.75" customHeight="1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</row>
    <row r="780" spans="1:24" ht="12.75" customHeight="1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</row>
    <row r="781" spans="1:24" ht="12.75" customHeight="1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</row>
    <row r="782" spans="1:24" ht="12.75" customHeight="1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</row>
    <row r="783" spans="1:24" ht="12.75" customHeight="1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</row>
    <row r="784" spans="1:24" ht="12.75" customHeight="1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</row>
    <row r="785" spans="1:24" ht="12.75" customHeight="1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</row>
    <row r="786" spans="1:24" ht="12.75" customHeight="1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</row>
    <row r="787" spans="1:24" ht="12.75" customHeight="1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</row>
    <row r="788" spans="1:24" ht="12.75" customHeight="1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</row>
    <row r="789" spans="1:24" ht="12.75" customHeight="1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</row>
    <row r="790" spans="1:24" ht="12.75" customHeight="1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</row>
    <row r="791" spans="1:24" ht="12.75" customHeight="1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</row>
    <row r="792" spans="1:24" ht="12.75" customHeight="1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</row>
    <row r="793" spans="1:24" ht="12.75" customHeight="1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</row>
    <row r="794" spans="1:24" ht="12.75" customHeight="1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</row>
    <row r="795" spans="1:24" ht="12.75" customHeight="1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</row>
    <row r="796" spans="1:24" ht="12.75" customHeight="1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</row>
    <row r="797" spans="1:24" ht="12.75" customHeight="1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</row>
    <row r="798" spans="1:24" ht="12.75" customHeight="1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</row>
    <row r="799" spans="1:24" ht="12.75" customHeight="1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</row>
    <row r="800" spans="1:24" ht="12.75" customHeight="1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</row>
    <row r="801" spans="1:24" ht="12.75" customHeight="1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</row>
    <row r="802" spans="1:24" ht="12.75" customHeight="1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</row>
    <row r="803" spans="1:24" ht="12.75" customHeight="1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</row>
    <row r="804" spans="1:24" ht="12.75" customHeight="1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</row>
    <row r="805" spans="1:24" ht="12.75" customHeight="1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</row>
    <row r="806" spans="1:24" ht="12.75" customHeight="1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</row>
    <row r="807" spans="1:24" ht="12.75" customHeight="1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</row>
    <row r="808" spans="1:24" ht="12.75" customHeight="1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</row>
    <row r="809" spans="1:24" ht="12.75" customHeight="1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</row>
    <row r="810" spans="1:24" ht="12.75" customHeight="1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</row>
    <row r="811" spans="1:24" ht="12.75" customHeight="1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</row>
    <row r="812" spans="1:24" ht="12.75" customHeight="1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</row>
    <row r="813" spans="1:24" ht="12.75" customHeight="1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</row>
    <row r="814" spans="1:24" ht="12.75" customHeight="1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</row>
    <row r="815" spans="1:24" ht="12.75" customHeight="1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</row>
    <row r="816" spans="1:24" ht="12.75" customHeight="1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</row>
    <row r="817" spans="1:24" ht="12.75" customHeight="1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</row>
    <row r="818" spans="1:24" ht="12.75" customHeight="1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</row>
    <row r="819" spans="1:24" ht="12.75" customHeight="1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</row>
    <row r="820" spans="1:24" ht="12.75" customHeight="1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</row>
    <row r="821" spans="1:24" ht="12.75" customHeight="1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</row>
    <row r="822" spans="1:24" ht="12.75" customHeight="1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</row>
    <row r="823" spans="1:24" ht="12.75" customHeight="1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</row>
    <row r="824" spans="1:24" ht="12.75" customHeight="1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</row>
    <row r="825" spans="1:24" ht="12.75" customHeight="1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</row>
    <row r="826" spans="1:24" ht="12.75" customHeight="1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</row>
    <row r="827" spans="1:24" ht="12.75" customHeight="1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</row>
    <row r="828" spans="1:24" ht="12.75" customHeight="1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</row>
    <row r="829" spans="1:24" ht="12.75" customHeight="1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</row>
    <row r="830" spans="1:24" ht="12.75" customHeight="1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</row>
    <row r="831" spans="1:24" ht="12.75" customHeight="1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</row>
    <row r="832" spans="1:24" ht="12.75" customHeight="1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</row>
    <row r="833" spans="1:24" ht="12.75" customHeight="1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</row>
    <row r="834" spans="1:24" ht="12.75" customHeight="1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</row>
    <row r="835" spans="1:24" ht="12.75" customHeight="1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</row>
    <row r="836" spans="1:24" ht="12.75" customHeight="1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</row>
    <row r="837" spans="1:24" ht="12.75" customHeight="1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</row>
    <row r="838" spans="1:24" ht="12.75" customHeight="1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</row>
    <row r="839" spans="1:24" ht="12.75" customHeight="1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</row>
    <row r="840" spans="1:24" ht="12.75" customHeight="1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</row>
    <row r="841" spans="1:24" ht="12.75" customHeight="1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</row>
    <row r="842" spans="1:24" ht="12.75" customHeight="1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</row>
    <row r="843" spans="1:24" ht="12.75" customHeight="1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</row>
    <row r="844" spans="1:24" ht="12.75" customHeight="1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</row>
    <row r="845" spans="1:24" ht="12.75" customHeight="1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</row>
    <row r="846" spans="1:24" ht="12.75" customHeight="1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</row>
    <row r="847" spans="1:24" ht="12.75" customHeight="1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</row>
    <row r="848" spans="1:24" ht="12.75" customHeight="1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</row>
    <row r="849" spans="1:24" ht="12.75" customHeight="1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</row>
    <row r="850" spans="1:24" ht="12.75" customHeight="1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</row>
    <row r="851" spans="1:24" ht="12.75" customHeight="1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</row>
    <row r="852" spans="1:24" ht="12.75" customHeight="1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</row>
    <row r="853" spans="1:24" ht="12.75" customHeight="1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</row>
    <row r="854" spans="1:24" ht="12.75" customHeight="1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</row>
    <row r="855" spans="1:24" ht="12.75" customHeight="1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</row>
    <row r="856" spans="1:24" ht="12.75" customHeight="1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</row>
    <row r="857" spans="1:24" ht="12.75" customHeight="1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</row>
    <row r="858" spans="1:24" ht="12.75" customHeight="1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</row>
    <row r="859" spans="1:24" ht="12.75" customHeight="1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</row>
    <row r="860" spans="1:24" ht="12.75" customHeight="1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</row>
    <row r="861" spans="1:24" ht="12.75" customHeight="1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</row>
    <row r="862" spans="1:24" ht="12.75" customHeight="1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</row>
    <row r="863" spans="1:24" ht="12.75" customHeight="1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</row>
    <row r="864" spans="1:24" ht="12.75" customHeight="1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</row>
    <row r="865" spans="1:24" ht="12.75" customHeight="1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</row>
    <row r="866" spans="1:24" ht="12.75" customHeight="1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</row>
    <row r="867" spans="1:24" ht="12.75" customHeight="1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</row>
    <row r="868" spans="1:24" ht="12.75" customHeight="1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</row>
    <row r="869" spans="1:24" ht="12.75" customHeight="1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</row>
    <row r="870" spans="1:24" ht="12.75" customHeight="1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</row>
    <row r="871" spans="1:24" ht="12.75" customHeight="1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</row>
    <row r="872" spans="1:24" ht="12.75" customHeight="1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</row>
    <row r="873" spans="1:24" ht="12.75" customHeight="1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</row>
    <row r="874" spans="1:24" ht="12.75" customHeight="1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</row>
    <row r="875" spans="1:24" ht="12.75" customHeight="1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</row>
    <row r="876" spans="1:24" ht="12.75" customHeight="1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</row>
    <row r="877" spans="1:24" ht="12.75" customHeight="1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</row>
    <row r="878" spans="1:24" ht="12.75" customHeight="1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</row>
    <row r="879" spans="1:24" ht="12.75" customHeight="1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</row>
    <row r="880" spans="1:24" ht="12.75" customHeight="1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</row>
    <row r="881" spans="1:24" ht="12.75" customHeight="1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</row>
    <row r="882" spans="1:24" ht="12.75" customHeight="1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</row>
    <row r="883" spans="1:24" ht="12.75" customHeight="1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</row>
    <row r="884" spans="1:24" ht="12.75" customHeight="1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</row>
    <row r="885" spans="1:24" ht="12.75" customHeight="1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</row>
    <row r="886" spans="1:24" ht="12.75" customHeight="1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</row>
    <row r="887" spans="1:24" ht="12.75" customHeight="1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</row>
    <row r="888" spans="1:24" ht="12.75" customHeight="1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</row>
    <row r="889" spans="1:24" ht="12.75" customHeight="1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</row>
    <row r="890" spans="1:24" ht="12.75" customHeight="1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</row>
    <row r="891" spans="1:24" ht="12.75" customHeight="1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</row>
    <row r="892" spans="1:24" ht="12.75" customHeight="1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</row>
    <row r="893" spans="1:24" ht="12.75" customHeight="1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</row>
    <row r="894" spans="1:24" ht="12.75" customHeight="1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</row>
    <row r="895" spans="1:24" ht="12.75" customHeight="1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</row>
    <row r="896" spans="1:24" ht="12.75" customHeight="1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</row>
    <row r="897" spans="1:24" ht="12.75" customHeight="1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</row>
    <row r="898" spans="1:24" ht="12.75" customHeight="1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</row>
    <row r="899" spans="1:24" ht="12.75" customHeight="1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</row>
    <row r="900" spans="1:24" ht="12.75" customHeight="1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</row>
    <row r="901" spans="1:24" ht="12.75" customHeight="1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</row>
    <row r="902" spans="1:24" ht="12.75" customHeight="1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</row>
    <row r="903" spans="1:24" ht="12.75" customHeight="1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</row>
    <row r="904" spans="1:24" ht="12.75" customHeight="1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</row>
    <row r="905" spans="1:24" ht="12.75" customHeight="1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</row>
    <row r="906" spans="1:24" ht="12.75" customHeight="1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</row>
    <row r="907" spans="1:24" ht="12.75" customHeight="1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</row>
    <row r="908" spans="1:24" ht="12.75" customHeight="1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</row>
    <row r="909" spans="1:24" ht="12.75" customHeight="1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</row>
    <row r="910" spans="1:24" ht="12.75" customHeight="1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</row>
    <row r="911" spans="1:24" ht="12.75" customHeight="1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</row>
    <row r="912" spans="1:24" ht="12.75" customHeight="1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</row>
    <row r="913" spans="1:24" ht="12.75" customHeight="1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</row>
    <row r="914" spans="1:24" ht="12.75" customHeight="1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</row>
    <row r="915" spans="1:24" ht="12.75" customHeight="1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</row>
    <row r="916" spans="1:24" ht="12.75" customHeight="1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</row>
    <row r="917" spans="1:24" ht="12.75" customHeight="1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</row>
    <row r="918" spans="1:24" ht="12.75" customHeight="1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</row>
    <row r="919" spans="1:24" ht="12.75" customHeight="1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</row>
    <row r="920" spans="1:24" ht="12.75" customHeight="1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</row>
    <row r="921" spans="1:24" ht="12.75" customHeight="1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</row>
    <row r="922" spans="1:24" ht="12.75" customHeight="1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</row>
    <row r="923" spans="1:24" ht="12.75" customHeight="1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</row>
    <row r="924" spans="1:24" ht="12.75" customHeight="1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</row>
    <row r="925" spans="1:24" ht="12.75" customHeight="1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</row>
    <row r="926" spans="1:24" ht="12.75" customHeight="1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</row>
    <row r="927" spans="1:24" ht="12.75" customHeight="1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</row>
    <row r="928" spans="1:24" ht="12.75" customHeight="1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</row>
    <row r="929" spans="1:24" ht="12.75" customHeight="1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</row>
    <row r="930" spans="1:24" ht="12.75" customHeight="1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</row>
    <row r="931" spans="1:24" ht="12.75" customHeight="1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</row>
    <row r="932" spans="1:24" ht="12.75" customHeight="1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</row>
    <row r="933" spans="1:24" ht="12.75" customHeight="1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</row>
    <row r="934" spans="1:24" ht="12.75" customHeight="1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</row>
    <row r="935" spans="1:24" ht="12.75" customHeight="1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</row>
    <row r="936" spans="1:24" ht="12.75" customHeight="1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</row>
    <row r="937" spans="1:24" ht="12.75" customHeight="1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</row>
    <row r="938" spans="1:24" ht="12.75" customHeight="1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</row>
    <row r="939" spans="1:24" ht="12.75" customHeight="1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</row>
    <row r="940" spans="1:24" ht="12.75" customHeight="1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</row>
    <row r="941" spans="1:24" ht="12.75" customHeight="1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</row>
    <row r="942" spans="1:24" ht="12.75" customHeight="1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</row>
    <row r="943" spans="1:24" ht="12.75" customHeight="1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</row>
    <row r="944" spans="1:24" ht="12.75" customHeight="1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</row>
    <row r="945" spans="1:24" ht="12.75" customHeight="1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</row>
    <row r="946" spans="1:24" ht="12.75" customHeight="1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</row>
    <row r="947" spans="1:24" ht="12.75" customHeight="1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</row>
    <row r="948" spans="1:24" ht="12.75" customHeight="1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</row>
    <row r="949" spans="1:24" ht="12.75" customHeight="1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</row>
    <row r="950" spans="1:24" ht="12.75" customHeight="1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</row>
    <row r="951" spans="1:24" ht="12.75" customHeight="1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</row>
    <row r="952" spans="1:24" ht="12.75" customHeight="1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</row>
    <row r="953" spans="1:24" ht="12.75" customHeight="1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</row>
    <row r="954" spans="1:24" ht="12.75" customHeight="1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</row>
    <row r="955" spans="1:24" ht="12.75" customHeight="1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</row>
    <row r="956" spans="1:24" ht="12.75" customHeight="1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</row>
    <row r="957" spans="1:24" ht="12.75" customHeight="1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</row>
    <row r="958" spans="1:24" ht="12.75" customHeight="1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</row>
    <row r="959" spans="1:24" ht="12.75" customHeight="1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</row>
    <row r="960" spans="1:24" ht="12.75" customHeight="1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</row>
    <row r="961" spans="1:24" ht="12.75" customHeight="1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</row>
    <row r="962" spans="1:24" ht="12.75" customHeight="1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</row>
    <row r="963" spans="1:24" ht="12.75" customHeight="1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</row>
    <row r="964" spans="1:24" ht="12.75" customHeight="1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</row>
    <row r="965" spans="1:24" ht="12.75" customHeight="1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</row>
    <row r="966" spans="1:24" ht="12.75" customHeight="1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</row>
    <row r="967" spans="1:24" ht="12.75" customHeight="1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</row>
    <row r="968" spans="1:24" ht="12.75" customHeight="1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</row>
    <row r="969" spans="1:24" ht="12.75" customHeight="1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</row>
    <row r="970" spans="1:24" ht="12.75" customHeight="1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</row>
    <row r="971" spans="1:24" ht="12.75" customHeight="1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</row>
    <row r="972" spans="1:24" ht="12.75" customHeight="1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</row>
    <row r="973" spans="1:24" ht="12.75" customHeight="1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</row>
    <row r="974" spans="1:24" ht="12.75" customHeight="1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</row>
    <row r="975" spans="1:24" ht="12.75" customHeight="1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</row>
    <row r="976" spans="1:24" ht="12.75" customHeight="1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</row>
    <row r="977" spans="1:24" ht="12.75" customHeight="1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</row>
    <row r="978" spans="1:24" ht="12.75" customHeight="1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</row>
    <row r="979" spans="1:24" ht="12.75" customHeight="1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</row>
    <row r="980" spans="1:24" ht="12.75" customHeight="1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</row>
    <row r="981" spans="1:24" ht="12.75" customHeight="1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</row>
    <row r="982" spans="1:24" ht="12.75" customHeight="1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</row>
    <row r="983" spans="1:24" ht="12.75" customHeight="1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</row>
    <row r="984" spans="1:24" ht="12.75" customHeight="1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</row>
    <row r="985" spans="1:24" ht="12.75" customHeight="1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</row>
    <row r="986" spans="1:24" ht="12.75" customHeight="1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</row>
    <row r="987" spans="1:24" ht="12.75" customHeight="1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</row>
    <row r="988" spans="1:24" ht="12.75" customHeight="1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</row>
    <row r="989" spans="1:24" ht="12.75" customHeight="1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</row>
    <row r="990" spans="1:24" ht="12.75" customHeight="1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</row>
    <row r="991" spans="1:24" ht="12.75" customHeight="1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</row>
    <row r="992" spans="1:24" ht="12.75" customHeight="1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</row>
    <row r="993" spans="1:24" ht="12.75" customHeight="1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</row>
    <row r="994" spans="1:24" ht="12.75" customHeight="1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</row>
    <row r="995" spans="1:24" ht="12.75" customHeight="1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</row>
    <row r="996" spans="1:24" ht="12.75" customHeight="1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</row>
    <row r="997" spans="1:24" ht="12.75" customHeight="1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</row>
    <row r="998" spans="1:24" ht="12.75" customHeight="1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</row>
    <row r="999" spans="1:24" ht="12.75" customHeight="1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</row>
    <row r="1000" spans="1:24" ht="12.75" customHeight="1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</row>
  </sheetData>
  <mergeCells count="279">
    <mergeCell ref="C85:K85"/>
    <mergeCell ref="C86:C87"/>
    <mergeCell ref="D86:D87"/>
    <mergeCell ref="E86:E87"/>
    <mergeCell ref="F86:F87"/>
    <mergeCell ref="K86:K87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D83:D84"/>
    <mergeCell ref="E83:E84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C103:K103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C106:K106"/>
    <mergeCell ref="G86:G87"/>
    <mergeCell ref="H86:H87"/>
    <mergeCell ref="C88:K88"/>
    <mergeCell ref="D89:D90"/>
    <mergeCell ref="E89:E90"/>
    <mergeCell ref="F89:F90"/>
    <mergeCell ref="C91:K91"/>
    <mergeCell ref="C89:C90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I86:I87"/>
    <mergeCell ref="J86:J87"/>
    <mergeCell ref="C100:K100"/>
    <mergeCell ref="C98:C99"/>
    <mergeCell ref="C101:C102"/>
    <mergeCell ref="D101:D102"/>
    <mergeCell ref="E101:E102"/>
    <mergeCell ref="F101:F102"/>
    <mergeCell ref="G101:G102"/>
    <mergeCell ref="H101:H102"/>
    <mergeCell ref="I89:I90"/>
    <mergeCell ref="J89:J90"/>
    <mergeCell ref="C94:K94"/>
    <mergeCell ref="C95:I95"/>
    <mergeCell ref="C96:K96"/>
    <mergeCell ref="C97:K97"/>
    <mergeCell ref="J98:J99"/>
    <mergeCell ref="K98:K99"/>
    <mergeCell ref="I101:I102"/>
    <mergeCell ref="J101:J102"/>
    <mergeCell ref="K101:K102"/>
    <mergeCell ref="G89:G90"/>
    <mergeCell ref="H89:H90"/>
    <mergeCell ref="K89:K90"/>
    <mergeCell ref="D98:D99"/>
    <mergeCell ref="E98:E99"/>
    <mergeCell ref="F98:F99"/>
    <mergeCell ref="G98:G99"/>
    <mergeCell ref="H98:H99"/>
    <mergeCell ref="I98:I99"/>
    <mergeCell ref="C74:K74"/>
    <mergeCell ref="C75:I75"/>
    <mergeCell ref="C76:K76"/>
    <mergeCell ref="C77:I77"/>
    <mergeCell ref="G48:G49"/>
    <mergeCell ref="H48:H49"/>
    <mergeCell ref="I48:I49"/>
    <mergeCell ref="J48:J49"/>
    <mergeCell ref="K48:K49"/>
    <mergeCell ref="C50:K50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C39:K39"/>
    <mergeCell ref="C40:I40"/>
    <mergeCell ref="C41:K41"/>
    <mergeCell ref="C42:I42"/>
    <mergeCell ref="C43:K43"/>
    <mergeCell ref="J54:J55"/>
    <mergeCell ref="K54:K55"/>
    <mergeCell ref="D54:D55"/>
    <mergeCell ref="E54:E55"/>
    <mergeCell ref="F54:F55"/>
    <mergeCell ref="G54:G55"/>
    <mergeCell ref="H54:H55"/>
    <mergeCell ref="I54:I55"/>
    <mergeCell ref="C44:K45"/>
    <mergeCell ref="E46:F46"/>
    <mergeCell ref="H46:I46"/>
    <mergeCell ref="J46:K46"/>
    <mergeCell ref="C47:K47"/>
    <mergeCell ref="C54:C55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G37:G38"/>
    <mergeCell ref="H37:H38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J19:J20"/>
    <mergeCell ref="K19:K20"/>
  </mergeCells>
  <pageMargins left="0.7" right="0.7" top="0.75" bottom="0.75" header="0" footer="0"/>
  <pageSetup scale="4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topLeftCell="B94" workbookViewId="0">
      <selection activeCell="C1" sqref="C1:M113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1" width="5.5703125" customWidth="1"/>
    <col min="12" max="15" width="9.140625" customWidth="1"/>
    <col min="16" max="24" width="8" customWidth="1"/>
  </cols>
  <sheetData>
    <row r="1" spans="1:24" ht="12.75" customHeight="1" x14ac:dyDescent="0.2">
      <c r="A1" s="95"/>
      <c r="B1" s="95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2.75" customHeight="1" x14ac:dyDescent="0.2">
      <c r="A2" s="95"/>
      <c r="B2" s="95"/>
      <c r="C2" s="131"/>
      <c r="D2" s="131"/>
      <c r="E2" s="131"/>
      <c r="F2" s="131"/>
      <c r="G2" s="131"/>
      <c r="H2" s="131"/>
      <c r="I2" s="131"/>
      <c r="J2" s="131"/>
      <c r="K2" s="131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12.75" customHeight="1" x14ac:dyDescent="0.2">
      <c r="A3" s="95"/>
      <c r="B3" s="95"/>
      <c r="C3" s="131"/>
      <c r="D3" s="131"/>
      <c r="E3" s="131"/>
      <c r="F3" s="131"/>
      <c r="G3" s="131"/>
      <c r="H3" s="131"/>
      <c r="I3" s="131"/>
      <c r="J3" s="131"/>
      <c r="K3" s="131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 spans="1:24" ht="12.75" customHeigh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</row>
    <row r="5" spans="1:24" ht="12.75" customHeight="1" x14ac:dyDescent="0.2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</row>
    <row r="6" spans="1:24" ht="19.5" customHeight="1" x14ac:dyDescent="0.2">
      <c r="A6" s="95"/>
      <c r="B6" s="95"/>
      <c r="C6" s="180" t="s">
        <v>252</v>
      </c>
      <c r="D6" s="125"/>
      <c r="E6" s="125"/>
      <c r="F6" s="125"/>
      <c r="G6" s="125"/>
      <c r="H6" s="125"/>
      <c r="I6" s="125"/>
      <c r="J6" s="125"/>
      <c r="K6" s="126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4" ht="4.5" customHeight="1" x14ac:dyDescent="0.2">
      <c r="A7" s="95"/>
      <c r="B7" s="95"/>
      <c r="C7" s="188"/>
      <c r="D7" s="163"/>
      <c r="E7" s="163"/>
      <c r="F7" s="163"/>
      <c r="G7" s="163"/>
      <c r="H7" s="163"/>
      <c r="I7" s="163"/>
      <c r="J7" s="163"/>
      <c r="K7" s="164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4" ht="4.5" customHeight="1" x14ac:dyDescent="0.2">
      <c r="A8" s="95"/>
      <c r="B8" s="95"/>
      <c r="C8" s="165"/>
      <c r="D8" s="166"/>
      <c r="E8" s="166"/>
      <c r="F8" s="166"/>
      <c r="G8" s="166"/>
      <c r="H8" s="166"/>
      <c r="I8" s="166"/>
      <c r="J8" s="166"/>
      <c r="K8" s="167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4" ht="12.75" customHeight="1" x14ac:dyDescent="0.2">
      <c r="A9" s="95"/>
      <c r="B9" s="95"/>
      <c r="C9" s="162" t="s">
        <v>190</v>
      </c>
      <c r="D9" s="163"/>
      <c r="E9" s="163"/>
      <c r="F9" s="163"/>
      <c r="G9" s="163"/>
      <c r="H9" s="163"/>
      <c r="I9" s="163"/>
      <c r="J9" s="163"/>
      <c r="K9" s="16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</row>
    <row r="10" spans="1:24" ht="12.75" customHeight="1" x14ac:dyDescent="0.2">
      <c r="A10" s="95"/>
      <c r="B10" s="95"/>
      <c r="C10" s="165"/>
      <c r="D10" s="166"/>
      <c r="E10" s="166"/>
      <c r="F10" s="166"/>
      <c r="G10" s="166"/>
      <c r="H10" s="166"/>
      <c r="I10" s="166"/>
      <c r="J10" s="166"/>
      <c r="K10" s="167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25.5" customHeight="1" x14ac:dyDescent="0.2">
      <c r="A11" s="95"/>
      <c r="B11" s="95"/>
      <c r="C11" s="96" t="s">
        <v>191</v>
      </c>
      <c r="D11" s="96" t="s">
        <v>192</v>
      </c>
      <c r="E11" s="169" t="s">
        <v>193</v>
      </c>
      <c r="F11" s="126"/>
      <c r="G11" s="96" t="s">
        <v>194</v>
      </c>
      <c r="H11" s="169" t="s">
        <v>213</v>
      </c>
      <c r="I11" s="126"/>
      <c r="J11" s="169" t="s">
        <v>196</v>
      </c>
      <c r="K11" s="126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2.75" customHeight="1" x14ac:dyDescent="0.2">
      <c r="A12" s="95"/>
      <c r="B12" s="95"/>
      <c r="C12" s="189"/>
      <c r="D12" s="125"/>
      <c r="E12" s="125"/>
      <c r="F12" s="125"/>
      <c r="G12" s="125"/>
      <c r="H12" s="125"/>
      <c r="I12" s="125"/>
      <c r="J12" s="125"/>
      <c r="K12" s="126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13.5" customHeight="1" x14ac:dyDescent="0.2">
      <c r="A13" s="95"/>
      <c r="B13" s="95"/>
      <c r="C13" s="170" t="s">
        <v>197</v>
      </c>
      <c r="D13" s="158" t="s">
        <v>202</v>
      </c>
      <c r="E13" s="157" t="s">
        <v>17</v>
      </c>
      <c r="F13" s="157" t="s">
        <v>24</v>
      </c>
      <c r="G13" s="160" t="s">
        <v>194</v>
      </c>
      <c r="H13" s="157" t="s">
        <v>20</v>
      </c>
      <c r="I13" s="157" t="s">
        <v>27</v>
      </c>
      <c r="J13" s="157">
        <v>11</v>
      </c>
      <c r="K13" s="157">
        <v>7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12.75" x14ac:dyDescent="0.2">
      <c r="A14" s="95"/>
      <c r="B14" s="95"/>
      <c r="C14" s="141"/>
      <c r="D14" s="141"/>
      <c r="E14" s="141"/>
      <c r="F14" s="141"/>
      <c r="G14" s="141"/>
      <c r="H14" s="141"/>
      <c r="I14" s="141"/>
      <c r="J14" s="141"/>
      <c r="K14" s="141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4.5" customHeight="1" x14ac:dyDescent="0.2">
      <c r="A15" s="95"/>
      <c r="B15" s="95"/>
      <c r="C15" s="161"/>
      <c r="D15" s="125"/>
      <c r="E15" s="125"/>
      <c r="F15" s="125"/>
      <c r="G15" s="125"/>
      <c r="H15" s="125"/>
      <c r="I15" s="125"/>
      <c r="J15" s="125"/>
      <c r="K15" s="126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12.75" x14ac:dyDescent="0.2">
      <c r="A16" s="95"/>
      <c r="B16" s="95"/>
      <c r="C16" s="170" t="s">
        <v>199</v>
      </c>
      <c r="D16" s="158" t="s">
        <v>207</v>
      </c>
      <c r="E16" s="157" t="s">
        <v>59</v>
      </c>
      <c r="F16" s="157" t="s">
        <v>72</v>
      </c>
      <c r="G16" s="160" t="s">
        <v>194</v>
      </c>
      <c r="H16" s="157" t="s">
        <v>68</v>
      </c>
      <c r="I16" s="157" t="s">
        <v>81</v>
      </c>
      <c r="J16" s="157">
        <v>7</v>
      </c>
      <c r="K16" s="157">
        <v>11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12.75" x14ac:dyDescent="0.2">
      <c r="A17" s="95"/>
      <c r="B17" s="95"/>
      <c r="C17" s="141"/>
      <c r="D17" s="141"/>
      <c r="E17" s="141"/>
      <c r="F17" s="141"/>
      <c r="G17" s="141"/>
      <c r="H17" s="141"/>
      <c r="I17" s="141"/>
      <c r="J17" s="141"/>
      <c r="K17" s="141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4.5" customHeight="1" x14ac:dyDescent="0.2">
      <c r="A18" s="95"/>
      <c r="B18" s="95"/>
      <c r="C18" s="161"/>
      <c r="D18" s="125"/>
      <c r="E18" s="125"/>
      <c r="F18" s="125"/>
      <c r="G18" s="125"/>
      <c r="H18" s="125"/>
      <c r="I18" s="125"/>
      <c r="J18" s="125"/>
      <c r="K18" s="126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12.75" x14ac:dyDescent="0.2">
      <c r="A19" s="95"/>
      <c r="B19" s="95"/>
      <c r="C19" s="170" t="s">
        <v>201</v>
      </c>
      <c r="D19" s="158" t="s">
        <v>206</v>
      </c>
      <c r="E19" s="157" t="s">
        <v>128</v>
      </c>
      <c r="F19" s="157" t="s">
        <v>134</v>
      </c>
      <c r="G19" s="160" t="s">
        <v>194</v>
      </c>
      <c r="H19" s="157" t="s">
        <v>126</v>
      </c>
      <c r="I19" s="157" t="s">
        <v>136</v>
      </c>
      <c r="J19" s="157">
        <v>8</v>
      </c>
      <c r="K19" s="157">
        <v>10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12.75" x14ac:dyDescent="0.2">
      <c r="A20" s="95"/>
      <c r="B20" s="95"/>
      <c r="C20" s="141"/>
      <c r="D20" s="141"/>
      <c r="E20" s="141"/>
      <c r="F20" s="141"/>
      <c r="G20" s="141"/>
      <c r="H20" s="141"/>
      <c r="I20" s="141"/>
      <c r="J20" s="141"/>
      <c r="K20" s="14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4.5" customHeight="1" x14ac:dyDescent="0.2">
      <c r="A21" s="95"/>
      <c r="B21" s="95"/>
      <c r="C21" s="161"/>
      <c r="D21" s="125"/>
      <c r="E21" s="125"/>
      <c r="F21" s="125"/>
      <c r="G21" s="125"/>
      <c r="H21" s="125"/>
      <c r="I21" s="125"/>
      <c r="J21" s="125"/>
      <c r="K21" s="126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12.75" x14ac:dyDescent="0.2">
      <c r="A22" s="95"/>
      <c r="B22" s="95"/>
      <c r="C22" s="170" t="s">
        <v>197</v>
      </c>
      <c r="D22" s="158" t="s">
        <v>198</v>
      </c>
      <c r="E22" s="157" t="s">
        <v>84</v>
      </c>
      <c r="F22" s="157" t="s">
        <v>98</v>
      </c>
      <c r="G22" s="160" t="s">
        <v>194</v>
      </c>
      <c r="H22" s="157" t="s">
        <v>87</v>
      </c>
      <c r="I22" s="157" t="s">
        <v>94</v>
      </c>
      <c r="J22" s="157">
        <v>7</v>
      </c>
      <c r="K22" s="157">
        <v>11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ht="12.75" x14ac:dyDescent="0.2">
      <c r="A23" s="95"/>
      <c r="B23" s="95"/>
      <c r="C23" s="141"/>
      <c r="D23" s="141"/>
      <c r="E23" s="141"/>
      <c r="F23" s="141"/>
      <c r="G23" s="141"/>
      <c r="H23" s="141"/>
      <c r="I23" s="141"/>
      <c r="J23" s="141"/>
      <c r="K23" s="141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ht="4.5" customHeight="1" x14ac:dyDescent="0.2">
      <c r="A24" s="95"/>
      <c r="B24" s="95"/>
      <c r="C24" s="161"/>
      <c r="D24" s="125"/>
      <c r="E24" s="125"/>
      <c r="F24" s="125"/>
      <c r="G24" s="125"/>
      <c r="H24" s="125"/>
      <c r="I24" s="125"/>
      <c r="J24" s="125"/>
      <c r="K24" s="126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</row>
    <row r="25" spans="1:24" ht="12.75" x14ac:dyDescent="0.2">
      <c r="A25" s="95"/>
      <c r="B25" s="95"/>
      <c r="C25" s="172" t="s">
        <v>253</v>
      </c>
      <c r="D25" s="125"/>
      <c r="E25" s="125"/>
      <c r="F25" s="125"/>
      <c r="G25" s="125"/>
      <c r="H25" s="125"/>
      <c r="I25" s="126"/>
      <c r="J25" s="103">
        <f t="shared" ref="J25:K25" si="0">SUM(J13:J23)</f>
        <v>33</v>
      </c>
      <c r="K25" s="103">
        <f t="shared" si="0"/>
        <v>39</v>
      </c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</row>
    <row r="26" spans="1:24" ht="4.5" customHeight="1" x14ac:dyDescent="0.2">
      <c r="A26" s="95"/>
      <c r="B26" s="95"/>
      <c r="C26" s="161"/>
      <c r="D26" s="125"/>
      <c r="E26" s="125"/>
      <c r="F26" s="125"/>
      <c r="G26" s="125"/>
      <c r="H26" s="125"/>
      <c r="I26" s="125"/>
      <c r="J26" s="125"/>
      <c r="K26" s="126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</row>
    <row r="27" spans="1:24" ht="12.75" x14ac:dyDescent="0.2">
      <c r="A27" s="95"/>
      <c r="B27" s="95"/>
      <c r="C27" s="179"/>
      <c r="D27" s="125"/>
      <c r="E27" s="125"/>
      <c r="F27" s="125"/>
      <c r="G27" s="125"/>
      <c r="H27" s="125"/>
      <c r="I27" s="125"/>
      <c r="J27" s="125"/>
      <c r="K27" s="126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</row>
    <row r="28" spans="1:24" ht="12.75" x14ac:dyDescent="0.2">
      <c r="A28" s="95"/>
      <c r="B28" s="95"/>
      <c r="C28" s="170" t="s">
        <v>197</v>
      </c>
      <c r="D28" s="187" t="s">
        <v>203</v>
      </c>
      <c r="E28" s="159" t="s">
        <v>38</v>
      </c>
      <c r="F28" s="159" t="s">
        <v>254</v>
      </c>
      <c r="G28" s="160" t="s">
        <v>194</v>
      </c>
      <c r="H28" s="159" t="s">
        <v>41</v>
      </c>
      <c r="I28" s="159" t="s">
        <v>55</v>
      </c>
      <c r="J28" s="157">
        <v>12</v>
      </c>
      <c r="K28" s="157">
        <v>6</v>
      </c>
      <c r="L28" s="95"/>
      <c r="M28" s="95"/>
      <c r="N28" s="95"/>
      <c r="O28" s="95" t="s">
        <v>224</v>
      </c>
      <c r="P28" s="95"/>
      <c r="Q28" s="95"/>
      <c r="R28" s="95"/>
      <c r="S28" s="95"/>
      <c r="T28" s="95"/>
      <c r="U28" s="95"/>
      <c r="V28" s="95"/>
      <c r="W28" s="95"/>
      <c r="X28" s="95"/>
    </row>
    <row r="29" spans="1:24" ht="12.75" x14ac:dyDescent="0.2">
      <c r="A29" s="95"/>
      <c r="B29" s="95"/>
      <c r="C29" s="141"/>
      <c r="D29" s="141"/>
      <c r="E29" s="141"/>
      <c r="F29" s="141"/>
      <c r="G29" s="141"/>
      <c r="H29" s="141"/>
      <c r="I29" s="141"/>
      <c r="J29" s="141"/>
      <c r="K29" s="14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</row>
    <row r="30" spans="1:24" ht="4.5" customHeight="1" x14ac:dyDescent="0.2">
      <c r="A30" s="95"/>
      <c r="B30" s="95"/>
      <c r="C30" s="161"/>
      <c r="D30" s="125"/>
      <c r="E30" s="125"/>
      <c r="F30" s="125"/>
      <c r="G30" s="125"/>
      <c r="H30" s="125"/>
      <c r="I30" s="125"/>
      <c r="J30" s="125"/>
      <c r="K30" s="126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</row>
    <row r="31" spans="1:24" ht="12.75" x14ac:dyDescent="0.2">
      <c r="A31" s="102"/>
      <c r="B31" s="95"/>
      <c r="C31" s="170" t="s">
        <v>199</v>
      </c>
      <c r="D31" s="158" t="s">
        <v>208</v>
      </c>
      <c r="E31" s="159" t="s">
        <v>105</v>
      </c>
      <c r="F31" s="159" t="s">
        <v>117</v>
      </c>
      <c r="G31" s="160" t="s">
        <v>194</v>
      </c>
      <c r="H31" s="159" t="s">
        <v>255</v>
      </c>
      <c r="I31" s="159" t="s">
        <v>120</v>
      </c>
      <c r="J31" s="157">
        <v>14</v>
      </c>
      <c r="K31" s="157">
        <v>4</v>
      </c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ht="12.75" x14ac:dyDescent="0.2">
      <c r="A32" s="102"/>
      <c r="B32" s="95"/>
      <c r="C32" s="141"/>
      <c r="D32" s="141"/>
      <c r="E32" s="141"/>
      <c r="F32" s="141"/>
      <c r="G32" s="141"/>
      <c r="H32" s="141"/>
      <c r="I32" s="141"/>
      <c r="J32" s="141"/>
      <c r="K32" s="141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</row>
    <row r="33" spans="1:24" ht="4.5" customHeight="1" x14ac:dyDescent="0.2">
      <c r="A33" s="95"/>
      <c r="B33" s="95"/>
      <c r="C33" s="161"/>
      <c r="D33" s="125"/>
      <c r="E33" s="125"/>
      <c r="F33" s="125"/>
      <c r="G33" s="125"/>
      <c r="H33" s="125"/>
      <c r="I33" s="125"/>
      <c r="J33" s="125"/>
      <c r="K33" s="126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</row>
    <row r="34" spans="1:24" ht="12.75" x14ac:dyDescent="0.2">
      <c r="A34" s="95"/>
      <c r="B34" s="95"/>
      <c r="C34" s="170" t="s">
        <v>201</v>
      </c>
      <c r="D34" s="158" t="s">
        <v>256</v>
      </c>
      <c r="E34" s="159" t="s">
        <v>65</v>
      </c>
      <c r="F34" s="159" t="s">
        <v>257</v>
      </c>
      <c r="G34" s="160" t="s">
        <v>194</v>
      </c>
      <c r="H34" s="159" t="s">
        <v>75</v>
      </c>
      <c r="I34" s="159" t="s">
        <v>131</v>
      </c>
      <c r="J34" s="157">
        <v>8</v>
      </c>
      <c r="K34" s="157">
        <v>10</v>
      </c>
      <c r="L34" s="95"/>
      <c r="M34" s="95"/>
      <c r="N34" s="95"/>
      <c r="O34" s="95" t="s">
        <v>224</v>
      </c>
      <c r="P34" s="95"/>
      <c r="Q34" s="95"/>
      <c r="R34" s="95"/>
      <c r="S34" s="95"/>
      <c r="T34" s="95"/>
      <c r="U34" s="95"/>
      <c r="V34" s="95"/>
      <c r="W34" s="95"/>
      <c r="X34" s="95"/>
    </row>
    <row r="35" spans="1:24" ht="12.75" x14ac:dyDescent="0.2">
      <c r="A35" s="95"/>
      <c r="B35" s="95"/>
      <c r="C35" s="141"/>
      <c r="D35" s="141"/>
      <c r="E35" s="141"/>
      <c r="F35" s="141"/>
      <c r="G35" s="141"/>
      <c r="H35" s="141"/>
      <c r="I35" s="141"/>
      <c r="J35" s="141"/>
      <c r="K35" s="141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</row>
    <row r="36" spans="1:24" ht="4.5" customHeight="1" x14ac:dyDescent="0.2">
      <c r="A36" s="95"/>
      <c r="B36" s="95"/>
      <c r="C36" s="161"/>
      <c r="D36" s="125"/>
      <c r="E36" s="125"/>
      <c r="F36" s="125"/>
      <c r="G36" s="125"/>
      <c r="H36" s="125"/>
      <c r="I36" s="125"/>
      <c r="J36" s="125"/>
      <c r="K36" s="126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</row>
    <row r="37" spans="1:24" ht="12.75" x14ac:dyDescent="0.2">
      <c r="A37" s="95"/>
      <c r="B37" s="95"/>
      <c r="C37" s="170" t="s">
        <v>197</v>
      </c>
      <c r="D37" s="171" t="s">
        <v>200</v>
      </c>
      <c r="E37" s="157" t="s">
        <v>146</v>
      </c>
      <c r="F37" s="157" t="s">
        <v>152</v>
      </c>
      <c r="G37" s="160" t="s">
        <v>194</v>
      </c>
      <c r="H37" s="157" t="s">
        <v>149</v>
      </c>
      <c r="I37" s="157" t="s">
        <v>155</v>
      </c>
      <c r="J37" s="157">
        <v>8</v>
      </c>
      <c r="K37" s="157">
        <v>11</v>
      </c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1:24" ht="12.75" x14ac:dyDescent="0.2">
      <c r="A38" s="95"/>
      <c r="B38" s="95"/>
      <c r="C38" s="141"/>
      <c r="D38" s="141"/>
      <c r="E38" s="141"/>
      <c r="F38" s="141"/>
      <c r="G38" s="141"/>
      <c r="H38" s="141"/>
      <c r="I38" s="141"/>
      <c r="J38" s="141"/>
      <c r="K38" s="14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</row>
    <row r="39" spans="1:24" ht="4.5" customHeight="1" x14ac:dyDescent="0.2">
      <c r="A39" s="95"/>
      <c r="B39" s="95"/>
      <c r="C39" s="161"/>
      <c r="D39" s="125"/>
      <c r="E39" s="125"/>
      <c r="F39" s="125"/>
      <c r="G39" s="125"/>
      <c r="H39" s="125"/>
      <c r="I39" s="125"/>
      <c r="J39" s="125"/>
      <c r="K39" s="126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:24" ht="12.75" x14ac:dyDescent="0.2">
      <c r="A40" s="95"/>
      <c r="B40" s="95"/>
      <c r="C40" s="172" t="s">
        <v>258</v>
      </c>
      <c r="D40" s="125"/>
      <c r="E40" s="125"/>
      <c r="F40" s="125"/>
      <c r="G40" s="125"/>
      <c r="H40" s="125"/>
      <c r="I40" s="126"/>
      <c r="J40" s="103">
        <f t="shared" ref="J40:K40" si="1">SUM(J28:J38)</f>
        <v>42</v>
      </c>
      <c r="K40" s="103">
        <f t="shared" si="1"/>
        <v>31</v>
      </c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:24" ht="4.5" customHeight="1" x14ac:dyDescent="0.2">
      <c r="A41" s="95"/>
      <c r="B41" s="95"/>
      <c r="C41" s="161"/>
      <c r="D41" s="125"/>
      <c r="E41" s="125"/>
      <c r="F41" s="125"/>
      <c r="G41" s="125"/>
      <c r="H41" s="125"/>
      <c r="I41" s="125"/>
      <c r="J41" s="125"/>
      <c r="K41" s="126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:24" ht="12.75" x14ac:dyDescent="0.2">
      <c r="A42" s="95"/>
      <c r="B42" s="95"/>
      <c r="C42" s="179" t="s">
        <v>259</v>
      </c>
      <c r="D42" s="125"/>
      <c r="E42" s="125"/>
      <c r="F42" s="125"/>
      <c r="G42" s="125"/>
      <c r="H42" s="125"/>
      <c r="I42" s="126"/>
      <c r="J42" s="104">
        <f t="shared" ref="J42:K42" si="2">J40+J25</f>
        <v>75</v>
      </c>
      <c r="K42" s="104">
        <f t="shared" si="2"/>
        <v>70</v>
      </c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:24" ht="6.75" customHeight="1" x14ac:dyDescent="0.2">
      <c r="A43" s="95"/>
      <c r="B43" s="95"/>
      <c r="C43" s="161"/>
      <c r="D43" s="125"/>
      <c r="E43" s="125"/>
      <c r="F43" s="125"/>
      <c r="G43" s="125"/>
      <c r="H43" s="125"/>
      <c r="I43" s="125"/>
      <c r="J43" s="125"/>
      <c r="K43" s="126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</row>
    <row r="44" spans="1:24" ht="7.5" customHeight="1" x14ac:dyDescent="0.2">
      <c r="A44" s="95"/>
      <c r="B44" s="95"/>
      <c r="C44" s="162" t="s">
        <v>212</v>
      </c>
      <c r="D44" s="163"/>
      <c r="E44" s="163"/>
      <c r="F44" s="163"/>
      <c r="G44" s="163"/>
      <c r="H44" s="163"/>
      <c r="I44" s="163"/>
      <c r="J44" s="163"/>
      <c r="K44" s="164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</row>
    <row r="45" spans="1:24" ht="12.75" x14ac:dyDescent="0.2">
      <c r="A45" s="95"/>
      <c r="B45" s="95"/>
      <c r="C45" s="165"/>
      <c r="D45" s="166"/>
      <c r="E45" s="166"/>
      <c r="F45" s="166"/>
      <c r="G45" s="166"/>
      <c r="H45" s="166"/>
      <c r="I45" s="166"/>
      <c r="J45" s="166"/>
      <c r="K45" s="167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</row>
    <row r="46" spans="1:24" ht="25.5" x14ac:dyDescent="0.2">
      <c r="A46" s="95"/>
      <c r="B46" s="95"/>
      <c r="C46" s="96" t="s">
        <v>191</v>
      </c>
      <c r="D46" s="96" t="s">
        <v>192</v>
      </c>
      <c r="E46" s="169" t="s">
        <v>219</v>
      </c>
      <c r="F46" s="126"/>
      <c r="G46" s="96" t="s">
        <v>194</v>
      </c>
      <c r="H46" s="169" t="s">
        <v>195</v>
      </c>
      <c r="I46" s="126"/>
      <c r="J46" s="169" t="s">
        <v>196</v>
      </c>
      <c r="K46" s="126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</row>
    <row r="47" spans="1:24" ht="12.75" x14ac:dyDescent="0.2">
      <c r="A47" s="95"/>
      <c r="B47" s="95"/>
      <c r="C47" s="189"/>
      <c r="D47" s="125"/>
      <c r="E47" s="125"/>
      <c r="F47" s="125"/>
      <c r="G47" s="125"/>
      <c r="H47" s="125"/>
      <c r="I47" s="125"/>
      <c r="J47" s="125"/>
      <c r="K47" s="126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</row>
    <row r="48" spans="1:24" ht="12.75" x14ac:dyDescent="0.2">
      <c r="A48" s="95"/>
      <c r="B48" s="95"/>
      <c r="C48" s="170" t="s">
        <v>197</v>
      </c>
      <c r="D48" s="158" t="s">
        <v>208</v>
      </c>
      <c r="E48" s="159" t="s">
        <v>260</v>
      </c>
      <c r="F48" s="159" t="s">
        <v>118</v>
      </c>
      <c r="G48" s="160" t="s">
        <v>194</v>
      </c>
      <c r="H48" s="159" t="s">
        <v>107</v>
      </c>
      <c r="I48" s="159" t="s">
        <v>113</v>
      </c>
      <c r="J48" s="157">
        <v>7</v>
      </c>
      <c r="K48" s="157">
        <v>11</v>
      </c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</row>
    <row r="49" spans="1:24" ht="12.75" x14ac:dyDescent="0.2">
      <c r="A49" s="95"/>
      <c r="B49" s="95"/>
      <c r="C49" s="141"/>
      <c r="D49" s="141"/>
      <c r="E49" s="141"/>
      <c r="F49" s="141"/>
      <c r="G49" s="141"/>
      <c r="H49" s="141"/>
      <c r="I49" s="141"/>
      <c r="J49" s="141"/>
      <c r="K49" s="141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50" spans="1:24" ht="4.5" customHeight="1" x14ac:dyDescent="0.2">
      <c r="A50" s="95"/>
      <c r="B50" s="95"/>
      <c r="C50" s="161"/>
      <c r="D50" s="125"/>
      <c r="E50" s="125"/>
      <c r="F50" s="125"/>
      <c r="G50" s="125"/>
      <c r="H50" s="125"/>
      <c r="I50" s="125"/>
      <c r="J50" s="125"/>
      <c r="K50" s="126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</row>
    <row r="51" spans="1:24" ht="12.75" x14ac:dyDescent="0.2">
      <c r="A51" s="95"/>
      <c r="B51" s="95"/>
      <c r="C51" s="170" t="s">
        <v>199</v>
      </c>
      <c r="D51" s="158" t="s">
        <v>209</v>
      </c>
      <c r="E51" s="159" t="s">
        <v>80</v>
      </c>
      <c r="F51" s="159" t="s">
        <v>10</v>
      </c>
      <c r="G51" s="160" t="s">
        <v>194</v>
      </c>
      <c r="H51" s="159" t="s">
        <v>261</v>
      </c>
      <c r="I51" s="159" t="s">
        <v>142</v>
      </c>
      <c r="J51" s="157">
        <v>9</v>
      </c>
      <c r="K51" s="157">
        <v>9</v>
      </c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</row>
    <row r="52" spans="1:24" ht="12.75" x14ac:dyDescent="0.2">
      <c r="A52" s="95"/>
      <c r="B52" s="95"/>
      <c r="C52" s="141"/>
      <c r="D52" s="141"/>
      <c r="E52" s="141"/>
      <c r="F52" s="141"/>
      <c r="G52" s="141"/>
      <c r="H52" s="141"/>
      <c r="I52" s="141"/>
      <c r="J52" s="141"/>
      <c r="K52" s="141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</row>
    <row r="53" spans="1:24" ht="4.5" customHeight="1" x14ac:dyDescent="0.2">
      <c r="A53" s="95"/>
      <c r="B53" s="95"/>
      <c r="C53" s="161"/>
      <c r="D53" s="125"/>
      <c r="E53" s="125"/>
      <c r="F53" s="125"/>
      <c r="G53" s="125"/>
      <c r="H53" s="125"/>
      <c r="I53" s="125"/>
      <c r="J53" s="125"/>
      <c r="K53" s="126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</row>
    <row r="54" spans="1:24" ht="12.75" x14ac:dyDescent="0.2">
      <c r="A54" s="95"/>
      <c r="B54" s="95"/>
      <c r="C54" s="170" t="s">
        <v>201</v>
      </c>
      <c r="D54" s="158" t="s">
        <v>202</v>
      </c>
      <c r="E54" s="159" t="s">
        <v>18</v>
      </c>
      <c r="F54" s="159" t="s">
        <v>25</v>
      </c>
      <c r="G54" s="160" t="s">
        <v>194</v>
      </c>
      <c r="H54" s="159" t="s">
        <v>26</v>
      </c>
      <c r="I54" s="159" t="s">
        <v>33</v>
      </c>
      <c r="J54" s="157">
        <v>11</v>
      </c>
      <c r="K54" s="157">
        <v>7</v>
      </c>
      <c r="L54" s="95"/>
      <c r="M54" s="95" t="s">
        <v>224</v>
      </c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</row>
    <row r="55" spans="1:24" ht="12.75" x14ac:dyDescent="0.2">
      <c r="A55" s="95"/>
      <c r="B55" s="95"/>
      <c r="C55" s="141"/>
      <c r="D55" s="141"/>
      <c r="E55" s="141"/>
      <c r="F55" s="141"/>
      <c r="G55" s="141"/>
      <c r="H55" s="141"/>
      <c r="I55" s="141"/>
      <c r="J55" s="141"/>
      <c r="K55" s="141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</row>
    <row r="56" spans="1:24" ht="4.5" customHeight="1" x14ac:dyDescent="0.2">
      <c r="A56" s="95"/>
      <c r="B56" s="95"/>
      <c r="C56" s="161"/>
      <c r="D56" s="125"/>
      <c r="E56" s="125"/>
      <c r="F56" s="125"/>
      <c r="G56" s="125"/>
      <c r="H56" s="125"/>
      <c r="I56" s="125"/>
      <c r="J56" s="125"/>
      <c r="K56" s="126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</row>
    <row r="57" spans="1:24" ht="12.75" x14ac:dyDescent="0.2">
      <c r="A57" s="95"/>
      <c r="B57" s="95"/>
      <c r="C57" s="170" t="s">
        <v>199</v>
      </c>
      <c r="D57" s="171" t="s">
        <v>207</v>
      </c>
      <c r="E57" s="159" t="s">
        <v>66</v>
      </c>
      <c r="F57" s="159" t="s">
        <v>73</v>
      </c>
      <c r="G57" s="160" t="s">
        <v>194</v>
      </c>
      <c r="H57" s="159" t="s">
        <v>67</v>
      </c>
      <c r="I57" s="159" t="s">
        <v>74</v>
      </c>
      <c r="J57" s="157">
        <v>11</v>
      </c>
      <c r="K57" s="157">
        <v>7</v>
      </c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</row>
    <row r="58" spans="1:24" ht="12.75" x14ac:dyDescent="0.2">
      <c r="A58" s="95"/>
      <c r="B58" s="95"/>
      <c r="C58" s="141"/>
      <c r="D58" s="141"/>
      <c r="E58" s="141"/>
      <c r="F58" s="141"/>
      <c r="G58" s="141"/>
      <c r="H58" s="141"/>
      <c r="I58" s="141"/>
      <c r="J58" s="141"/>
      <c r="K58" s="141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</row>
    <row r="59" spans="1:24" ht="4.5" customHeight="1" x14ac:dyDescent="0.2">
      <c r="A59" s="95"/>
      <c r="B59" s="95"/>
      <c r="C59" s="161"/>
      <c r="D59" s="125"/>
      <c r="E59" s="125"/>
      <c r="F59" s="125"/>
      <c r="G59" s="125"/>
      <c r="H59" s="125"/>
      <c r="I59" s="125"/>
      <c r="J59" s="125"/>
      <c r="K59" s="12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</row>
    <row r="60" spans="1:24" ht="12.75" x14ac:dyDescent="0.2">
      <c r="A60" s="95"/>
      <c r="B60" s="95"/>
      <c r="C60" s="172" t="s">
        <v>253</v>
      </c>
      <c r="D60" s="125"/>
      <c r="E60" s="125"/>
      <c r="F60" s="125"/>
      <c r="G60" s="125"/>
      <c r="H60" s="125"/>
      <c r="I60" s="126"/>
      <c r="J60" s="103">
        <f t="shared" ref="J60:K60" si="3">SUM(J48:J58)</f>
        <v>38</v>
      </c>
      <c r="K60" s="103">
        <f t="shared" si="3"/>
        <v>34</v>
      </c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</row>
    <row r="61" spans="1:24" ht="4.5" customHeight="1" x14ac:dyDescent="0.2">
      <c r="A61" s="95"/>
      <c r="B61" s="95"/>
      <c r="C61" s="161"/>
      <c r="D61" s="125"/>
      <c r="E61" s="125"/>
      <c r="F61" s="125"/>
      <c r="G61" s="125"/>
      <c r="H61" s="125"/>
      <c r="I61" s="125"/>
      <c r="J61" s="125"/>
      <c r="K61" s="126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</row>
    <row r="62" spans="1:24" ht="12.75" x14ac:dyDescent="0.2">
      <c r="A62" s="95"/>
      <c r="B62" s="95"/>
      <c r="C62" s="179"/>
      <c r="D62" s="125"/>
      <c r="E62" s="125"/>
      <c r="F62" s="125"/>
      <c r="G62" s="125"/>
      <c r="H62" s="125"/>
      <c r="I62" s="125"/>
      <c r="J62" s="125"/>
      <c r="K62" s="126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</row>
    <row r="63" spans="1:24" ht="12.75" x14ac:dyDescent="0.2">
      <c r="A63" s="95"/>
      <c r="B63" s="95"/>
      <c r="C63" s="170" t="s">
        <v>197</v>
      </c>
      <c r="D63" s="158" t="s">
        <v>206</v>
      </c>
      <c r="E63" s="159" t="s">
        <v>124</v>
      </c>
      <c r="F63" s="159" t="s">
        <v>129</v>
      </c>
      <c r="G63" s="160" t="s">
        <v>194</v>
      </c>
      <c r="H63" s="159" t="s">
        <v>130</v>
      </c>
      <c r="I63" s="159" t="s">
        <v>125</v>
      </c>
      <c r="J63" s="157">
        <v>13</v>
      </c>
      <c r="K63" s="157">
        <v>5</v>
      </c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</row>
    <row r="64" spans="1:24" ht="12.75" x14ac:dyDescent="0.2">
      <c r="A64" s="95"/>
      <c r="B64" s="95"/>
      <c r="C64" s="141"/>
      <c r="D64" s="141"/>
      <c r="E64" s="141"/>
      <c r="F64" s="141"/>
      <c r="G64" s="141"/>
      <c r="H64" s="141"/>
      <c r="I64" s="141"/>
      <c r="J64" s="141"/>
      <c r="K64" s="141"/>
      <c r="L64" s="95"/>
      <c r="M64" s="95" t="s">
        <v>224</v>
      </c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</row>
    <row r="65" spans="1:24" ht="4.5" customHeight="1" x14ac:dyDescent="0.2">
      <c r="A65" s="95"/>
      <c r="B65" s="95"/>
      <c r="C65" s="161"/>
      <c r="D65" s="125"/>
      <c r="E65" s="125"/>
      <c r="F65" s="125"/>
      <c r="G65" s="125"/>
      <c r="H65" s="125"/>
      <c r="I65" s="125"/>
      <c r="J65" s="125"/>
      <c r="K65" s="126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</row>
    <row r="66" spans="1:24" ht="12.75" x14ac:dyDescent="0.2">
      <c r="A66" s="95"/>
      <c r="B66" s="95"/>
      <c r="C66" s="170" t="s">
        <v>199</v>
      </c>
      <c r="D66" s="158" t="s">
        <v>198</v>
      </c>
      <c r="E66" s="159" t="s">
        <v>85</v>
      </c>
      <c r="F66" s="159" t="s">
        <v>92</v>
      </c>
      <c r="G66" s="160" t="s">
        <v>194</v>
      </c>
      <c r="H66" s="159" t="s">
        <v>93</v>
      </c>
      <c r="I66" s="159" t="s">
        <v>86</v>
      </c>
      <c r="J66" s="157">
        <v>9</v>
      </c>
      <c r="K66" s="157">
        <v>9</v>
      </c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</row>
    <row r="67" spans="1:24" ht="12.75" x14ac:dyDescent="0.2">
      <c r="A67" s="95"/>
      <c r="B67" s="95"/>
      <c r="C67" s="141"/>
      <c r="D67" s="141"/>
      <c r="E67" s="141"/>
      <c r="F67" s="141"/>
      <c r="G67" s="141"/>
      <c r="H67" s="141"/>
      <c r="I67" s="141"/>
      <c r="J67" s="141"/>
      <c r="K67" s="141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</row>
    <row r="68" spans="1:24" ht="4.5" customHeight="1" x14ac:dyDescent="0.2">
      <c r="A68" s="95"/>
      <c r="B68" s="95"/>
      <c r="C68" s="161"/>
      <c r="D68" s="125"/>
      <c r="E68" s="125"/>
      <c r="F68" s="125"/>
      <c r="G68" s="125"/>
      <c r="H68" s="125"/>
      <c r="I68" s="125"/>
      <c r="J68" s="125"/>
      <c r="K68" s="126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</row>
    <row r="69" spans="1:24" ht="12.75" x14ac:dyDescent="0.2">
      <c r="A69" s="95"/>
      <c r="B69" s="95"/>
      <c r="C69" s="170" t="s">
        <v>201</v>
      </c>
      <c r="D69" s="158" t="s">
        <v>203</v>
      </c>
      <c r="E69" s="159" t="s">
        <v>39</v>
      </c>
      <c r="F69" s="159" t="s">
        <v>53</v>
      </c>
      <c r="G69" s="160" t="s">
        <v>194</v>
      </c>
      <c r="H69" s="159" t="s">
        <v>40</v>
      </c>
      <c r="I69" s="159" t="s">
        <v>47</v>
      </c>
      <c r="J69" s="157">
        <v>10</v>
      </c>
      <c r="K69" s="157">
        <v>8</v>
      </c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</row>
    <row r="70" spans="1:24" ht="12.75" x14ac:dyDescent="0.2">
      <c r="A70" s="95"/>
      <c r="B70" s="95"/>
      <c r="C70" s="141"/>
      <c r="D70" s="141"/>
      <c r="E70" s="141"/>
      <c r="F70" s="141"/>
      <c r="G70" s="141"/>
      <c r="H70" s="141"/>
      <c r="I70" s="141"/>
      <c r="J70" s="141"/>
      <c r="K70" s="141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</row>
    <row r="71" spans="1:24" ht="4.5" customHeight="1" x14ac:dyDescent="0.2">
      <c r="A71" s="95"/>
      <c r="B71" s="95"/>
      <c r="C71" s="161"/>
      <c r="D71" s="125"/>
      <c r="E71" s="125"/>
      <c r="F71" s="125"/>
      <c r="G71" s="125"/>
      <c r="H71" s="125"/>
      <c r="I71" s="125"/>
      <c r="J71" s="125"/>
      <c r="K71" s="126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</row>
    <row r="72" spans="1:24" ht="12.75" x14ac:dyDescent="0.2">
      <c r="A72" s="95"/>
      <c r="B72" s="95"/>
      <c r="C72" s="170" t="s">
        <v>199</v>
      </c>
      <c r="D72" s="158" t="s">
        <v>200</v>
      </c>
      <c r="E72" s="159" t="s">
        <v>153</v>
      </c>
      <c r="F72" s="159" t="s">
        <v>159</v>
      </c>
      <c r="G72" s="160" t="s">
        <v>194</v>
      </c>
      <c r="H72" s="159" t="s">
        <v>148</v>
      </c>
      <c r="I72" s="159" t="s">
        <v>160</v>
      </c>
      <c r="J72" s="157">
        <v>9</v>
      </c>
      <c r="K72" s="157">
        <v>10</v>
      </c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</row>
    <row r="73" spans="1:24" ht="12.75" x14ac:dyDescent="0.2">
      <c r="A73" s="95"/>
      <c r="B73" s="95"/>
      <c r="C73" s="141"/>
      <c r="D73" s="141"/>
      <c r="E73" s="141"/>
      <c r="F73" s="141"/>
      <c r="G73" s="141"/>
      <c r="H73" s="141"/>
      <c r="I73" s="141"/>
      <c r="J73" s="141"/>
      <c r="K73" s="141"/>
      <c r="L73" s="95"/>
      <c r="M73" s="95"/>
      <c r="N73" s="95"/>
      <c r="O73" s="95" t="s">
        <v>224</v>
      </c>
      <c r="P73" s="95"/>
      <c r="Q73" s="95"/>
      <c r="R73" s="95"/>
      <c r="S73" s="95"/>
      <c r="T73" s="95"/>
      <c r="U73" s="95"/>
      <c r="V73" s="95"/>
      <c r="W73" s="95"/>
      <c r="X73" s="95"/>
    </row>
    <row r="74" spans="1:24" ht="4.5" customHeight="1" x14ac:dyDescent="0.2">
      <c r="A74" s="95"/>
      <c r="B74" s="95"/>
      <c r="C74" s="161"/>
      <c r="D74" s="125"/>
      <c r="E74" s="125"/>
      <c r="F74" s="125"/>
      <c r="G74" s="125"/>
      <c r="H74" s="125"/>
      <c r="I74" s="125"/>
      <c r="J74" s="125"/>
      <c r="K74" s="126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</row>
    <row r="75" spans="1:24" ht="12.75" x14ac:dyDescent="0.2">
      <c r="A75" s="95"/>
      <c r="B75" s="95"/>
      <c r="C75" s="172" t="s">
        <v>258</v>
      </c>
      <c r="D75" s="125"/>
      <c r="E75" s="125"/>
      <c r="F75" s="125"/>
      <c r="G75" s="125"/>
      <c r="H75" s="125"/>
      <c r="I75" s="126"/>
      <c r="J75" s="103">
        <f t="shared" ref="J75:K75" si="4">SUM(J63:J73)</f>
        <v>41</v>
      </c>
      <c r="K75" s="103">
        <f t="shared" si="4"/>
        <v>32</v>
      </c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</row>
    <row r="76" spans="1:24" ht="4.5" customHeight="1" x14ac:dyDescent="0.2">
      <c r="A76" s="95"/>
      <c r="B76" s="95"/>
      <c r="C76" s="161"/>
      <c r="D76" s="125"/>
      <c r="E76" s="125"/>
      <c r="F76" s="125"/>
      <c r="G76" s="125"/>
      <c r="H76" s="125"/>
      <c r="I76" s="125"/>
      <c r="J76" s="125"/>
      <c r="K76" s="126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</row>
    <row r="77" spans="1:24" ht="12.75" x14ac:dyDescent="0.2">
      <c r="A77" s="95"/>
      <c r="B77" s="95"/>
      <c r="C77" s="179" t="s">
        <v>259</v>
      </c>
      <c r="D77" s="125"/>
      <c r="E77" s="125"/>
      <c r="F77" s="125"/>
      <c r="G77" s="125"/>
      <c r="H77" s="125"/>
      <c r="I77" s="126"/>
      <c r="J77" s="104">
        <f t="shared" ref="J77:K77" si="5">J75+J60</f>
        <v>79</v>
      </c>
      <c r="K77" s="104">
        <f t="shared" si="5"/>
        <v>66</v>
      </c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</row>
    <row r="78" spans="1:24" ht="6.75" customHeight="1" x14ac:dyDescent="0.2">
      <c r="A78" s="95"/>
      <c r="B78" s="95"/>
      <c r="C78" s="161"/>
      <c r="D78" s="125"/>
      <c r="E78" s="125"/>
      <c r="F78" s="125"/>
      <c r="G78" s="125"/>
      <c r="H78" s="125"/>
      <c r="I78" s="125"/>
      <c r="J78" s="125"/>
      <c r="K78" s="126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  <row r="79" spans="1:24" ht="12.75" customHeight="1" x14ac:dyDescent="0.2">
      <c r="A79" s="95"/>
      <c r="B79" s="95"/>
      <c r="C79" s="162" t="s">
        <v>218</v>
      </c>
      <c r="D79" s="163"/>
      <c r="E79" s="163"/>
      <c r="F79" s="163"/>
      <c r="G79" s="163"/>
      <c r="H79" s="163"/>
      <c r="I79" s="163"/>
      <c r="J79" s="163"/>
      <c r="K79" s="164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</row>
    <row r="80" spans="1:24" ht="12.75" x14ac:dyDescent="0.2">
      <c r="A80" s="95"/>
      <c r="B80" s="95"/>
      <c r="C80" s="165"/>
      <c r="D80" s="166"/>
      <c r="E80" s="166"/>
      <c r="F80" s="166"/>
      <c r="G80" s="166"/>
      <c r="H80" s="166"/>
      <c r="I80" s="166"/>
      <c r="J80" s="166"/>
      <c r="K80" s="167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</row>
    <row r="81" spans="1:24" ht="25.5" x14ac:dyDescent="0.2">
      <c r="A81" s="95"/>
      <c r="B81" s="95"/>
      <c r="C81" s="105" t="s">
        <v>191</v>
      </c>
      <c r="D81" s="96" t="s">
        <v>192</v>
      </c>
      <c r="E81" s="169" t="s">
        <v>214</v>
      </c>
      <c r="F81" s="126"/>
      <c r="G81" s="96" t="s">
        <v>194</v>
      </c>
      <c r="H81" s="169" t="s">
        <v>220</v>
      </c>
      <c r="I81" s="126"/>
      <c r="J81" s="169" t="s">
        <v>196</v>
      </c>
      <c r="K81" s="126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</row>
    <row r="82" spans="1:24" ht="12.75" x14ac:dyDescent="0.2">
      <c r="A82" s="95"/>
      <c r="B82" s="95"/>
      <c r="C82" s="189"/>
      <c r="D82" s="125"/>
      <c r="E82" s="125"/>
      <c r="F82" s="125"/>
      <c r="G82" s="125"/>
      <c r="H82" s="125"/>
      <c r="I82" s="125"/>
      <c r="J82" s="125"/>
      <c r="K82" s="126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</row>
    <row r="83" spans="1:24" ht="12.75" x14ac:dyDescent="0.2">
      <c r="A83" s="95"/>
      <c r="B83" s="95"/>
      <c r="C83" s="170" t="s">
        <v>197</v>
      </c>
      <c r="D83" s="158" t="s">
        <v>207</v>
      </c>
      <c r="E83" s="159" t="s">
        <v>62</v>
      </c>
      <c r="F83" s="159" t="s">
        <v>76</v>
      </c>
      <c r="G83" s="160" t="s">
        <v>194</v>
      </c>
      <c r="H83" s="159" t="s">
        <v>63</v>
      </c>
      <c r="I83" s="159" t="s">
        <v>77</v>
      </c>
      <c r="J83" s="157">
        <v>6</v>
      </c>
      <c r="K83" s="157">
        <v>12</v>
      </c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</row>
    <row r="84" spans="1:24" ht="12.75" x14ac:dyDescent="0.2">
      <c r="A84" s="95"/>
      <c r="B84" s="95"/>
      <c r="C84" s="141"/>
      <c r="D84" s="141"/>
      <c r="E84" s="141"/>
      <c r="F84" s="141"/>
      <c r="G84" s="141"/>
      <c r="H84" s="141"/>
      <c r="I84" s="141"/>
      <c r="J84" s="141"/>
      <c r="K84" s="141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</row>
    <row r="85" spans="1:24" ht="4.5" customHeight="1" x14ac:dyDescent="0.2">
      <c r="A85" s="95"/>
      <c r="B85" s="95"/>
      <c r="C85" s="161"/>
      <c r="D85" s="125"/>
      <c r="E85" s="125"/>
      <c r="F85" s="125"/>
      <c r="G85" s="125"/>
      <c r="H85" s="125"/>
      <c r="I85" s="125"/>
      <c r="J85" s="125"/>
      <c r="K85" s="126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</row>
    <row r="86" spans="1:24" ht="12.75" x14ac:dyDescent="0.2">
      <c r="A86" s="95"/>
      <c r="B86" s="95"/>
      <c r="C86" s="170" t="s">
        <v>199</v>
      </c>
      <c r="D86" s="158" t="s">
        <v>208</v>
      </c>
      <c r="E86" s="159" t="s">
        <v>115</v>
      </c>
      <c r="F86" s="159" t="s">
        <v>121</v>
      </c>
      <c r="G86" s="160" t="s">
        <v>194</v>
      </c>
      <c r="H86" s="159" t="s">
        <v>110</v>
      </c>
      <c r="I86" s="159" t="s">
        <v>122</v>
      </c>
      <c r="J86" s="157">
        <v>7</v>
      </c>
      <c r="K86" s="157">
        <v>11</v>
      </c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</row>
    <row r="87" spans="1:24" ht="12.75" x14ac:dyDescent="0.2">
      <c r="A87" s="95"/>
      <c r="B87" s="95"/>
      <c r="C87" s="141"/>
      <c r="D87" s="141"/>
      <c r="E87" s="141"/>
      <c r="F87" s="141"/>
      <c r="G87" s="141"/>
      <c r="H87" s="141"/>
      <c r="I87" s="141"/>
      <c r="J87" s="141"/>
      <c r="K87" s="141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</row>
    <row r="88" spans="1:24" ht="4.5" customHeight="1" x14ac:dyDescent="0.2">
      <c r="A88" s="95"/>
      <c r="B88" s="95"/>
      <c r="C88" s="161"/>
      <c r="D88" s="125"/>
      <c r="E88" s="125"/>
      <c r="F88" s="125"/>
      <c r="G88" s="125"/>
      <c r="H88" s="125"/>
      <c r="I88" s="125"/>
      <c r="J88" s="125"/>
      <c r="K88" s="126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</row>
    <row r="89" spans="1:24" ht="12.75" x14ac:dyDescent="0.2">
      <c r="A89" s="95"/>
      <c r="B89" s="95"/>
      <c r="C89" s="170" t="s">
        <v>201</v>
      </c>
      <c r="D89" s="158" t="s">
        <v>206</v>
      </c>
      <c r="E89" s="159" t="s">
        <v>127</v>
      </c>
      <c r="F89" s="159" t="s">
        <v>132</v>
      </c>
      <c r="G89" s="160" t="s">
        <v>194</v>
      </c>
      <c r="H89" s="159" t="s">
        <v>14</v>
      </c>
      <c r="I89" s="159" t="s">
        <v>145</v>
      </c>
      <c r="J89" s="157">
        <v>11</v>
      </c>
      <c r="K89" s="157">
        <v>7</v>
      </c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</row>
    <row r="90" spans="1:24" ht="12.75" x14ac:dyDescent="0.2">
      <c r="A90" s="95"/>
      <c r="B90" s="95"/>
      <c r="C90" s="141"/>
      <c r="D90" s="141"/>
      <c r="E90" s="141"/>
      <c r="F90" s="141"/>
      <c r="G90" s="141"/>
      <c r="H90" s="141"/>
      <c r="I90" s="141"/>
      <c r="J90" s="141"/>
      <c r="K90" s="141"/>
      <c r="L90" s="95"/>
      <c r="M90" s="95" t="s">
        <v>224</v>
      </c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</row>
    <row r="91" spans="1:24" ht="4.5" customHeight="1" x14ac:dyDescent="0.2">
      <c r="A91" s="95"/>
      <c r="B91" s="95"/>
      <c r="C91" s="161"/>
      <c r="D91" s="125"/>
      <c r="E91" s="125"/>
      <c r="F91" s="125"/>
      <c r="G91" s="125"/>
      <c r="H91" s="125"/>
      <c r="I91" s="125"/>
      <c r="J91" s="125"/>
      <c r="K91" s="126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</row>
    <row r="92" spans="1:24" ht="12.75" x14ac:dyDescent="0.2">
      <c r="A92" s="95"/>
      <c r="B92" s="95"/>
      <c r="C92" s="171" t="s">
        <v>201</v>
      </c>
      <c r="D92" s="171" t="s">
        <v>203</v>
      </c>
      <c r="E92" s="157" t="s">
        <v>42</v>
      </c>
      <c r="F92" s="157" t="s">
        <v>49</v>
      </c>
      <c r="G92" s="160" t="s">
        <v>194</v>
      </c>
      <c r="H92" s="157" t="s">
        <v>50</v>
      </c>
      <c r="I92" s="157" t="s">
        <v>57</v>
      </c>
      <c r="J92" s="157">
        <v>16</v>
      </c>
      <c r="K92" s="157">
        <v>2</v>
      </c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</row>
    <row r="93" spans="1:24" ht="12.75" x14ac:dyDescent="0.2">
      <c r="A93" s="95"/>
      <c r="B93" s="95"/>
      <c r="C93" s="141"/>
      <c r="D93" s="141"/>
      <c r="E93" s="141"/>
      <c r="F93" s="141"/>
      <c r="G93" s="141"/>
      <c r="H93" s="141"/>
      <c r="I93" s="141"/>
      <c r="J93" s="141"/>
      <c r="K93" s="141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</row>
    <row r="94" spans="1:24" ht="4.5" customHeight="1" x14ac:dyDescent="0.2">
      <c r="A94" s="95"/>
      <c r="B94" s="95"/>
      <c r="C94" s="161"/>
      <c r="D94" s="125"/>
      <c r="E94" s="125"/>
      <c r="F94" s="125"/>
      <c r="G94" s="125"/>
      <c r="H94" s="125"/>
      <c r="I94" s="125"/>
      <c r="J94" s="125"/>
      <c r="K94" s="126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</row>
    <row r="95" spans="1:24" ht="12.75" x14ac:dyDescent="0.2">
      <c r="A95" s="95"/>
      <c r="B95" s="95"/>
      <c r="C95" s="172" t="s">
        <v>253</v>
      </c>
      <c r="D95" s="125"/>
      <c r="E95" s="125"/>
      <c r="F95" s="125"/>
      <c r="G95" s="125"/>
      <c r="H95" s="125"/>
      <c r="I95" s="126"/>
      <c r="J95" s="103">
        <f t="shared" ref="J95:K95" si="6">SUM(J83:J93)</f>
        <v>40</v>
      </c>
      <c r="K95" s="103">
        <f t="shared" si="6"/>
        <v>32</v>
      </c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</row>
    <row r="96" spans="1:24" ht="4.5" customHeight="1" x14ac:dyDescent="0.2">
      <c r="A96" s="95"/>
      <c r="B96" s="95"/>
      <c r="C96" s="161"/>
      <c r="D96" s="125"/>
      <c r="E96" s="125"/>
      <c r="F96" s="125"/>
      <c r="G96" s="125"/>
      <c r="H96" s="125"/>
      <c r="I96" s="125"/>
      <c r="J96" s="125"/>
      <c r="K96" s="126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</row>
    <row r="97" spans="1:24" ht="12.75" x14ac:dyDescent="0.2">
      <c r="A97" s="95"/>
      <c r="B97" s="95"/>
      <c r="C97" s="179"/>
      <c r="D97" s="125"/>
      <c r="E97" s="125"/>
      <c r="F97" s="125"/>
      <c r="G97" s="125"/>
      <c r="H97" s="125"/>
      <c r="I97" s="125"/>
      <c r="J97" s="125"/>
      <c r="K97" s="126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</row>
    <row r="98" spans="1:24" ht="12.75" x14ac:dyDescent="0.2">
      <c r="A98" s="95"/>
      <c r="B98" s="95"/>
      <c r="C98" s="170" t="s">
        <v>197</v>
      </c>
      <c r="D98" s="158" t="s">
        <v>200</v>
      </c>
      <c r="E98" s="159" t="s">
        <v>150</v>
      </c>
      <c r="F98" s="159" t="s">
        <v>162</v>
      </c>
      <c r="G98" s="160" t="s">
        <v>194</v>
      </c>
      <c r="H98" s="159" t="s">
        <v>151</v>
      </c>
      <c r="I98" s="159" t="s">
        <v>163</v>
      </c>
      <c r="J98" s="157">
        <v>4</v>
      </c>
      <c r="K98" s="157">
        <v>15</v>
      </c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</row>
    <row r="99" spans="1:24" ht="12.75" x14ac:dyDescent="0.2">
      <c r="A99" s="95"/>
      <c r="B99" s="95"/>
      <c r="C99" s="141"/>
      <c r="D99" s="141"/>
      <c r="E99" s="141"/>
      <c r="F99" s="141"/>
      <c r="G99" s="141"/>
      <c r="H99" s="141"/>
      <c r="I99" s="141"/>
      <c r="J99" s="141"/>
      <c r="K99" s="141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</row>
    <row r="100" spans="1:24" ht="4.5" customHeight="1" x14ac:dyDescent="0.2">
      <c r="A100" s="95"/>
      <c r="B100" s="95"/>
      <c r="C100" s="161"/>
      <c r="D100" s="125"/>
      <c r="E100" s="125"/>
      <c r="F100" s="125"/>
      <c r="G100" s="125"/>
      <c r="H100" s="125"/>
      <c r="I100" s="125"/>
      <c r="J100" s="125"/>
      <c r="K100" s="126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</row>
    <row r="101" spans="1:24" ht="12.75" x14ac:dyDescent="0.2">
      <c r="A101" s="95"/>
      <c r="B101" s="95"/>
      <c r="C101" s="170" t="s">
        <v>201</v>
      </c>
      <c r="D101" s="158" t="s">
        <v>198</v>
      </c>
      <c r="E101" s="159" t="s">
        <v>88</v>
      </c>
      <c r="F101" s="159" t="s">
        <v>262</v>
      </c>
      <c r="G101" s="160" t="s">
        <v>194</v>
      </c>
      <c r="H101" s="159" t="s">
        <v>96</v>
      </c>
      <c r="I101" s="159" t="s">
        <v>103</v>
      </c>
      <c r="J101" s="157">
        <v>11</v>
      </c>
      <c r="K101" s="157">
        <v>7</v>
      </c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</row>
    <row r="102" spans="1:24" ht="12.75" x14ac:dyDescent="0.2">
      <c r="A102" s="95"/>
      <c r="B102" s="95"/>
      <c r="C102" s="141"/>
      <c r="D102" s="141"/>
      <c r="E102" s="141"/>
      <c r="F102" s="141"/>
      <c r="G102" s="141"/>
      <c r="H102" s="141"/>
      <c r="I102" s="141"/>
      <c r="J102" s="141"/>
      <c r="K102" s="141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</row>
    <row r="103" spans="1:24" ht="4.5" customHeight="1" x14ac:dyDescent="0.2">
      <c r="A103" s="95"/>
      <c r="B103" s="95"/>
      <c r="C103" s="161"/>
      <c r="D103" s="125"/>
      <c r="E103" s="125"/>
      <c r="F103" s="125"/>
      <c r="G103" s="125"/>
      <c r="H103" s="125"/>
      <c r="I103" s="125"/>
      <c r="J103" s="125"/>
      <c r="K103" s="126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</row>
    <row r="104" spans="1:24" ht="12.75" x14ac:dyDescent="0.2">
      <c r="A104" s="95"/>
      <c r="B104" s="95"/>
      <c r="C104" s="170" t="s">
        <v>201</v>
      </c>
      <c r="D104" s="158" t="s">
        <v>209</v>
      </c>
      <c r="E104" s="159" t="s">
        <v>69</v>
      </c>
      <c r="F104" s="159" t="s">
        <v>263</v>
      </c>
      <c r="G104" s="160" t="s">
        <v>194</v>
      </c>
      <c r="H104" s="159" t="s">
        <v>82</v>
      </c>
      <c r="I104" s="159" t="s">
        <v>138</v>
      </c>
      <c r="J104" s="157">
        <v>11</v>
      </c>
      <c r="K104" s="157">
        <v>7</v>
      </c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</row>
    <row r="105" spans="1:24" ht="12.75" x14ac:dyDescent="0.2">
      <c r="A105" s="95"/>
      <c r="B105" s="95"/>
      <c r="C105" s="141"/>
      <c r="D105" s="141"/>
      <c r="E105" s="141"/>
      <c r="F105" s="141"/>
      <c r="G105" s="141"/>
      <c r="H105" s="141"/>
      <c r="I105" s="141"/>
      <c r="J105" s="141"/>
      <c r="K105" s="141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</row>
    <row r="106" spans="1:24" ht="4.5" customHeight="1" x14ac:dyDescent="0.2">
      <c r="A106" s="95"/>
      <c r="B106" s="95"/>
      <c r="C106" s="161"/>
      <c r="D106" s="125"/>
      <c r="E106" s="125"/>
      <c r="F106" s="125"/>
      <c r="G106" s="125"/>
      <c r="H106" s="125"/>
      <c r="I106" s="125"/>
      <c r="J106" s="125"/>
      <c r="K106" s="126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</row>
    <row r="107" spans="1:24" ht="12.75" x14ac:dyDescent="0.2">
      <c r="A107" s="95"/>
      <c r="B107" s="95"/>
      <c r="C107" s="170" t="s">
        <v>201</v>
      </c>
      <c r="D107" s="171" t="s">
        <v>202</v>
      </c>
      <c r="E107" s="159" t="s">
        <v>21</v>
      </c>
      <c r="F107" s="159" t="s">
        <v>28</v>
      </c>
      <c r="G107" s="160" t="s">
        <v>194</v>
      </c>
      <c r="H107" s="159" t="s">
        <v>22</v>
      </c>
      <c r="I107" s="159" t="s">
        <v>36</v>
      </c>
      <c r="J107" s="157">
        <v>11</v>
      </c>
      <c r="K107" s="157">
        <v>7</v>
      </c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</row>
    <row r="108" spans="1:24" ht="12.75" x14ac:dyDescent="0.2">
      <c r="A108" s="95"/>
      <c r="B108" s="95"/>
      <c r="C108" s="141"/>
      <c r="D108" s="141"/>
      <c r="E108" s="141"/>
      <c r="F108" s="141"/>
      <c r="G108" s="141"/>
      <c r="H108" s="141"/>
      <c r="I108" s="141"/>
      <c r="J108" s="141"/>
      <c r="K108" s="141"/>
      <c r="L108" s="95"/>
      <c r="M108" s="95" t="s">
        <v>224</v>
      </c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</row>
    <row r="109" spans="1:24" ht="4.5" customHeight="1" x14ac:dyDescent="0.2">
      <c r="A109" s="95"/>
      <c r="B109" s="95"/>
      <c r="C109" s="161"/>
      <c r="D109" s="125"/>
      <c r="E109" s="125"/>
      <c r="F109" s="125"/>
      <c r="G109" s="125"/>
      <c r="H109" s="125"/>
      <c r="I109" s="125"/>
      <c r="J109" s="125"/>
      <c r="K109" s="126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</row>
    <row r="110" spans="1:24" ht="12.75" customHeight="1" x14ac:dyDescent="0.2">
      <c r="A110" s="95"/>
      <c r="B110" s="95"/>
      <c r="C110" s="172" t="s">
        <v>264</v>
      </c>
      <c r="D110" s="125"/>
      <c r="E110" s="125"/>
      <c r="F110" s="125"/>
      <c r="G110" s="125"/>
      <c r="H110" s="125"/>
      <c r="I110" s="126"/>
      <c r="J110" s="103">
        <f t="shared" ref="J110:K110" si="7">SUM(J98:J108)</f>
        <v>37</v>
      </c>
      <c r="K110" s="103">
        <f t="shared" si="7"/>
        <v>36</v>
      </c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</row>
    <row r="111" spans="1:24" ht="4.5" customHeight="1" x14ac:dyDescent="0.2">
      <c r="A111" s="95"/>
      <c r="B111" s="95"/>
      <c r="C111" s="161"/>
      <c r="D111" s="125"/>
      <c r="E111" s="125"/>
      <c r="F111" s="125"/>
      <c r="G111" s="125"/>
      <c r="H111" s="125"/>
      <c r="I111" s="125"/>
      <c r="J111" s="125"/>
      <c r="K111" s="126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</row>
    <row r="112" spans="1:24" ht="12.75" customHeight="1" x14ac:dyDescent="0.2">
      <c r="A112" s="95"/>
      <c r="B112" s="95"/>
      <c r="C112" s="179" t="s">
        <v>259</v>
      </c>
      <c r="D112" s="125"/>
      <c r="E112" s="125"/>
      <c r="F112" s="125"/>
      <c r="G112" s="125"/>
      <c r="H112" s="125"/>
      <c r="I112" s="126"/>
      <c r="J112" s="104">
        <f t="shared" ref="J112:K112" si="8">J110+J95</f>
        <v>77</v>
      </c>
      <c r="K112" s="104">
        <f t="shared" si="8"/>
        <v>68</v>
      </c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</row>
    <row r="113" spans="1:24" ht="6.75" customHeight="1" x14ac:dyDescent="0.2">
      <c r="A113" s="95"/>
      <c r="B113" s="95"/>
      <c r="C113" s="161"/>
      <c r="D113" s="125"/>
      <c r="E113" s="125"/>
      <c r="F113" s="125"/>
      <c r="G113" s="125"/>
      <c r="H113" s="125"/>
      <c r="I113" s="125"/>
      <c r="J113" s="125"/>
      <c r="K113" s="126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</row>
    <row r="114" spans="1:24" ht="12.75" customHeight="1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</row>
    <row r="115" spans="1:24" ht="12.75" customHeight="1" x14ac:dyDescent="0.2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</row>
    <row r="116" spans="1:24" ht="12.75" customHeight="1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</row>
    <row r="117" spans="1:24" ht="12.75" customHeight="1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</row>
    <row r="118" spans="1:24" ht="12.75" customHeight="1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</row>
    <row r="119" spans="1:24" ht="12.75" customHeight="1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</row>
    <row r="120" spans="1:24" ht="12.75" customHeight="1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</row>
    <row r="121" spans="1:24" ht="12.75" customHeight="1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</row>
    <row r="122" spans="1:24" ht="12.75" customHeight="1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</row>
    <row r="123" spans="1:24" ht="12.75" customHeight="1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</row>
    <row r="124" spans="1:24" ht="12.75" customHeight="1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</row>
    <row r="125" spans="1:24" ht="12.75" customHeight="1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</row>
    <row r="126" spans="1:24" ht="12.75" customHeight="1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</row>
    <row r="127" spans="1:24" ht="12.75" customHeight="1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</row>
    <row r="128" spans="1:24" ht="12.75" customHeight="1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</row>
    <row r="129" spans="1:24" ht="12.75" customHeight="1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</row>
    <row r="130" spans="1:24" ht="12.75" customHeight="1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</row>
    <row r="131" spans="1:24" ht="12.75" customHeight="1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</row>
    <row r="132" spans="1:24" ht="12.75" customHeight="1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</row>
    <row r="133" spans="1:24" ht="12.75" customHeight="1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</row>
    <row r="134" spans="1:24" ht="12.75" customHeight="1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</row>
    <row r="135" spans="1:24" ht="12.75" customHeight="1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</row>
    <row r="136" spans="1:24" ht="12.75" customHeight="1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</row>
    <row r="137" spans="1:24" ht="12.75" customHeight="1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</row>
    <row r="138" spans="1:24" ht="12.75" customHeight="1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</row>
    <row r="139" spans="1:24" ht="12.75" customHeight="1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</row>
    <row r="140" spans="1:24" ht="12.75" customHeight="1" x14ac:dyDescent="0.2">
      <c r="A140" s="95"/>
      <c r="B140" s="95"/>
      <c r="C140" s="95"/>
      <c r="D140" s="95"/>
      <c r="E140" s="95" t="s">
        <v>224</v>
      </c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</row>
    <row r="141" spans="1:24" ht="12.75" customHeight="1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</row>
    <row r="142" spans="1:24" ht="12.75" customHeight="1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</row>
    <row r="143" spans="1:24" ht="12.75" customHeight="1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</row>
    <row r="144" spans="1:24" ht="12.75" customHeight="1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</row>
    <row r="145" spans="1:24" ht="12.75" customHeight="1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</row>
    <row r="146" spans="1:24" ht="12.75" customHeight="1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</row>
    <row r="147" spans="1:24" ht="12.75" customHeight="1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</row>
    <row r="148" spans="1:24" ht="12.75" customHeight="1" x14ac:dyDescent="0.2">
      <c r="A148" s="95"/>
      <c r="B148" s="95"/>
      <c r="C148" s="95"/>
      <c r="D148" s="95"/>
      <c r="E148" s="95"/>
      <c r="F148" s="95" t="s">
        <v>224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</row>
    <row r="149" spans="1:24" ht="12.75" customHeight="1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</row>
    <row r="150" spans="1:24" ht="12.75" customHeight="1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</row>
    <row r="151" spans="1:24" ht="12.75" customHeight="1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</row>
    <row r="152" spans="1:24" ht="12.75" customHeight="1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</row>
    <row r="153" spans="1:24" ht="12.75" customHeight="1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</row>
    <row r="154" spans="1:24" ht="12.75" customHeight="1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</row>
    <row r="155" spans="1:24" ht="12.75" customHeight="1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</row>
    <row r="156" spans="1:24" ht="12.75" customHeight="1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</row>
    <row r="157" spans="1:24" ht="12.75" customHeight="1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</row>
    <row r="158" spans="1:24" ht="12.75" customHeight="1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</row>
    <row r="159" spans="1:24" ht="12.75" customHeight="1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</row>
    <row r="160" spans="1:24" ht="12.75" customHeight="1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</row>
    <row r="161" spans="1:24" ht="12.75" customHeight="1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</row>
    <row r="162" spans="1:24" ht="12.75" customHeight="1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</row>
    <row r="163" spans="1:24" ht="12.75" customHeight="1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</row>
    <row r="164" spans="1:24" ht="12.75" customHeight="1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</row>
    <row r="165" spans="1:24" ht="12.75" customHeight="1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</row>
    <row r="166" spans="1:24" ht="12.75" customHeight="1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</row>
    <row r="167" spans="1:24" ht="12.75" customHeight="1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</row>
    <row r="168" spans="1:24" ht="12.75" customHeight="1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</row>
    <row r="169" spans="1:24" ht="12.75" customHeight="1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</row>
    <row r="170" spans="1:24" ht="12.75" customHeight="1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</row>
    <row r="171" spans="1:24" ht="12.75" customHeight="1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</row>
    <row r="172" spans="1:24" ht="12.75" customHeight="1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</row>
    <row r="173" spans="1:24" ht="12.75" customHeight="1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</row>
    <row r="174" spans="1:24" ht="12.75" customHeight="1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</row>
    <row r="175" spans="1:24" ht="12.75" customHeight="1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</row>
    <row r="176" spans="1:24" ht="12.75" customHeight="1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</row>
    <row r="177" spans="1:24" ht="12.75" customHeight="1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</row>
    <row r="178" spans="1:24" ht="12.75" customHeight="1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</row>
    <row r="179" spans="1:24" ht="12.75" customHeight="1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</row>
    <row r="180" spans="1:24" ht="12.75" customHeight="1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</row>
    <row r="181" spans="1:24" ht="12.75" customHeight="1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</row>
    <row r="182" spans="1:24" ht="12.75" customHeight="1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</row>
    <row r="183" spans="1:24" ht="12.75" customHeight="1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</row>
    <row r="184" spans="1:24" ht="12.75" customHeight="1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</row>
    <row r="185" spans="1:24" ht="12.75" customHeight="1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</row>
    <row r="186" spans="1:24" ht="12.75" customHeight="1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</row>
    <row r="187" spans="1:24" ht="12.75" customHeight="1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</row>
    <row r="188" spans="1:24" ht="12.75" customHeight="1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</row>
    <row r="189" spans="1:24" ht="12.75" customHeight="1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</row>
    <row r="190" spans="1:24" ht="12.75" customHeight="1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</row>
    <row r="191" spans="1:24" ht="12.75" customHeight="1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</row>
    <row r="192" spans="1:24" ht="12.75" customHeight="1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</row>
    <row r="193" spans="1:24" ht="12.75" customHeight="1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</row>
    <row r="194" spans="1:24" ht="12.75" customHeight="1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</row>
    <row r="195" spans="1:24" ht="12.75" customHeight="1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</row>
    <row r="196" spans="1:24" ht="12.75" customHeight="1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</row>
    <row r="197" spans="1:24" ht="12.75" customHeight="1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</row>
    <row r="198" spans="1:24" ht="12.75" customHeight="1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</row>
    <row r="199" spans="1:24" ht="12.75" customHeight="1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</row>
    <row r="200" spans="1:24" ht="12.75" customHeight="1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</row>
    <row r="201" spans="1:24" ht="12.75" customHeight="1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</row>
    <row r="202" spans="1:24" ht="12.75" customHeight="1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</row>
    <row r="203" spans="1:24" ht="12.75" customHeight="1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</row>
    <row r="204" spans="1:24" ht="12.75" customHeight="1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</row>
    <row r="205" spans="1:24" ht="12.75" customHeight="1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</row>
    <row r="206" spans="1:24" ht="12.75" customHeight="1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</row>
    <row r="207" spans="1:24" ht="12.75" customHeight="1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</row>
    <row r="208" spans="1:24" ht="12.75" customHeight="1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</row>
    <row r="209" spans="1:24" ht="12.75" customHeight="1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</row>
    <row r="210" spans="1:24" ht="12.75" customHeight="1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</row>
    <row r="211" spans="1:24" ht="12.75" customHeight="1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</row>
    <row r="212" spans="1:24" ht="12.75" customHeight="1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</row>
    <row r="213" spans="1:24" ht="12.75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</row>
    <row r="214" spans="1:24" ht="12.75" customHeight="1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</row>
    <row r="215" spans="1:24" ht="12.75" customHeight="1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</row>
    <row r="216" spans="1:24" ht="12.75" customHeight="1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</row>
    <row r="217" spans="1:24" ht="12.75" customHeight="1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</row>
    <row r="218" spans="1:24" ht="12.75" customHeight="1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</row>
    <row r="219" spans="1:24" ht="12.75" customHeight="1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</row>
    <row r="220" spans="1:24" ht="12.75" customHeight="1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</row>
    <row r="221" spans="1:24" ht="12.75" customHeight="1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</row>
    <row r="222" spans="1:24" ht="12.75" customHeight="1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</row>
    <row r="223" spans="1:24" ht="12.75" customHeight="1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</row>
    <row r="224" spans="1:24" ht="12.75" customHeight="1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</row>
    <row r="225" spans="1:24" ht="12.75" customHeight="1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</row>
    <row r="226" spans="1:24" ht="12.75" customHeight="1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</row>
    <row r="227" spans="1:24" ht="12.75" customHeight="1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</row>
    <row r="228" spans="1:24" ht="12.75" customHeight="1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</row>
    <row r="229" spans="1:24" ht="12.75" customHeight="1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</row>
    <row r="230" spans="1:24" ht="12.75" customHeight="1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</row>
    <row r="231" spans="1:24" ht="12.75" customHeight="1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</row>
    <row r="232" spans="1:24" ht="12.75" customHeight="1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</row>
    <row r="233" spans="1:24" ht="12.75" customHeight="1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</row>
    <row r="234" spans="1:24" ht="12.75" customHeight="1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</row>
    <row r="235" spans="1:24" ht="12.75" customHeight="1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</row>
    <row r="236" spans="1:24" ht="12.75" customHeight="1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</row>
    <row r="237" spans="1:24" ht="12.75" customHeight="1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</row>
    <row r="238" spans="1:24" ht="12.75" customHeight="1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</row>
    <row r="239" spans="1:24" ht="12.75" customHeight="1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</row>
    <row r="240" spans="1:24" ht="12.75" customHeight="1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</row>
    <row r="241" spans="1:24" ht="12.75" customHeight="1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</row>
    <row r="242" spans="1:24" ht="12.75" customHeigh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</row>
    <row r="243" spans="1:24" ht="12.75" customHeight="1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</row>
    <row r="244" spans="1:24" ht="12.75" customHeight="1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</row>
    <row r="245" spans="1:24" ht="12.75" customHeight="1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</row>
    <row r="246" spans="1:24" ht="12.75" customHeight="1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</row>
    <row r="247" spans="1:24" ht="12.75" customHeight="1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</row>
    <row r="248" spans="1:24" ht="12.75" customHeight="1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</row>
    <row r="249" spans="1:24" ht="12.75" customHeight="1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</row>
    <row r="250" spans="1:24" ht="12.75" customHeight="1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</row>
    <row r="251" spans="1:24" ht="12.75" customHeight="1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</row>
    <row r="252" spans="1:24" ht="12.75" customHeight="1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</row>
    <row r="253" spans="1:24" ht="12.75" customHeight="1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</row>
    <row r="254" spans="1:24" ht="12.75" customHeight="1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</row>
    <row r="255" spans="1:24" ht="12.75" customHeight="1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</row>
    <row r="256" spans="1:24" ht="12.7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</row>
    <row r="257" spans="1:24" ht="12.75" customHeight="1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</row>
    <row r="258" spans="1:24" ht="12.75" customHeight="1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</row>
    <row r="259" spans="1:24" ht="12.75" customHeight="1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</row>
    <row r="260" spans="1:24" ht="12.75" customHeight="1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</row>
    <row r="261" spans="1:24" ht="12.75" customHeight="1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</row>
    <row r="262" spans="1:24" ht="12.75" customHeight="1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</row>
    <row r="263" spans="1:24" ht="12.75" customHeight="1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</row>
    <row r="264" spans="1:24" ht="12.75" customHeight="1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</row>
    <row r="265" spans="1:24" ht="12.75" customHeight="1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</row>
    <row r="266" spans="1:24" ht="12.75" customHeight="1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</row>
    <row r="267" spans="1:24" ht="12.75" customHeight="1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</row>
    <row r="268" spans="1:24" ht="12.75" customHeight="1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</row>
    <row r="269" spans="1:24" ht="12.75" customHeight="1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</row>
    <row r="270" spans="1:24" ht="12.75" customHeight="1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</row>
    <row r="271" spans="1:24" ht="12.75" customHeight="1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</row>
    <row r="272" spans="1:24" ht="12.75" customHeight="1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</row>
    <row r="273" spans="1:24" ht="12.75" customHeight="1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</row>
    <row r="274" spans="1:24" ht="12.75" customHeight="1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</row>
    <row r="275" spans="1:24" ht="12.75" customHeight="1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</row>
    <row r="276" spans="1:24" ht="12.75" customHeight="1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</row>
    <row r="277" spans="1:24" ht="12.75" customHeight="1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</row>
    <row r="278" spans="1:24" ht="12.75" customHeight="1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</row>
    <row r="279" spans="1:24" ht="12.75" customHeight="1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</row>
    <row r="280" spans="1:24" ht="12.75" customHeight="1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</row>
    <row r="281" spans="1:24" ht="12.75" customHeight="1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</row>
    <row r="282" spans="1:24" ht="12.75" customHeight="1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</row>
    <row r="283" spans="1:24" ht="12.75" customHeight="1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pans="1:24" ht="12.75" customHeight="1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pans="1:24" ht="12.75" customHeight="1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pans="1:24" ht="12.75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pans="1:24" ht="12.75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pans="1:24" ht="12.75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pans="1:24" ht="12.75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pans="1:24" ht="12.75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pans="1:24" ht="12.75" customHeight="1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pans="1:24" ht="12.75" customHeight="1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pans="1:24" ht="12.75" customHeight="1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pans="1:24" ht="12.75" customHeight="1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pans="1:24" ht="12.75" customHeight="1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pans="1:24" ht="12.75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pans="1:24" ht="12.75" customHeight="1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pans="1:24" ht="12.75" customHeight="1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pans="1:24" ht="12.75" customHeight="1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pans="1:24" ht="12.75" customHeight="1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pans="1:24" ht="12.75" customHeight="1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pans="1:24" ht="12.75" customHeight="1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pans="1:24" ht="12.75" customHeight="1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pans="1:24" ht="12.75" customHeight="1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pans="1:24" ht="12.75" customHeight="1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pans="1:24" ht="12.75" customHeight="1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pans="1:24" ht="12.75" customHeight="1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pans="1:24" ht="12.75" customHeight="1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pans="1:24" ht="12.75" customHeight="1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pans="1:24" ht="12.75" customHeight="1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pans="1:24" ht="12.75" customHeight="1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pans="1:24" ht="12.75" customHeight="1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pans="1:24" ht="12.75" customHeight="1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pans="1:24" ht="12.75" customHeight="1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pans="1:24" ht="12.75" customHeight="1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pans="1:24" ht="12.75" customHeight="1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pans="1:24" ht="12.75" customHeight="1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pans="1:24" ht="12.75" customHeight="1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pans="1:24" ht="12.75" customHeight="1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pans="1:24" ht="12.75" customHeight="1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pans="1:24" ht="12.75" customHeight="1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pans="1:24" ht="12.75" customHeight="1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pans="1:24" ht="12.75" customHeight="1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pans="1:24" ht="12.75" customHeight="1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pans="1:24" ht="12.75" customHeight="1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pans="1:24" ht="12.75" customHeight="1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pans="1:24" ht="12.75" customHeight="1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pans="1:24" ht="12.75" customHeight="1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pans="1:24" ht="12.75" customHeight="1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pans="1:24" ht="12.75" customHeight="1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pans="1:24" ht="12.75" customHeight="1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pans="1:24" ht="12.75" customHeight="1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pans="1:24" ht="12.75" customHeight="1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pans="1:24" ht="12.75" customHeight="1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pans="1:24" ht="12.75" customHeight="1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pans="1:24" ht="12.75" customHeight="1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pans="1:24" ht="12.75" customHeight="1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pans="1:24" ht="12.75" customHeight="1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pans="1:24" ht="12.75" customHeight="1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pans="1:24" ht="12.75" customHeight="1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pans="1:24" ht="12.75" customHeight="1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pans="1:24" ht="12.75" customHeight="1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pans="1:24" ht="12.75" customHeight="1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pans="1:24" ht="12.75" customHeight="1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pans="1:24" ht="12.75" customHeight="1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pans="1:24" ht="12.75" customHeight="1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pans="1:24" ht="12.75" customHeight="1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</row>
    <row r="348" spans="1:24" ht="12.75" customHeight="1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</row>
    <row r="349" spans="1:24" ht="12.75" customHeight="1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</row>
    <row r="350" spans="1:24" ht="12.75" customHeight="1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</row>
    <row r="351" spans="1:24" ht="12.75" customHeight="1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pans="1:24" ht="12.75" customHeight="1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pans="1:24" ht="12.75" customHeight="1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pans="1:24" ht="12.75" customHeight="1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pans="1:24" ht="12.75" customHeight="1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</row>
    <row r="356" spans="1:24" ht="12.75" customHeight="1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</row>
    <row r="357" spans="1:24" ht="12.75" customHeight="1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</row>
    <row r="358" spans="1:24" ht="12.75" customHeight="1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</row>
    <row r="359" spans="1:24" ht="12.75" customHeight="1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</row>
    <row r="360" spans="1:24" ht="12.75" customHeight="1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</row>
    <row r="361" spans="1:24" ht="12.75" customHeight="1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</row>
    <row r="362" spans="1:24" ht="12.75" customHeight="1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</row>
    <row r="363" spans="1:24" ht="12.75" customHeight="1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</row>
    <row r="364" spans="1:24" ht="12.75" customHeight="1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</row>
    <row r="365" spans="1:24" ht="12.75" customHeight="1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</row>
    <row r="366" spans="1:24" ht="12.75" customHeight="1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</row>
    <row r="367" spans="1:24" ht="12.75" customHeight="1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</row>
    <row r="368" spans="1:24" ht="12.75" customHeight="1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</row>
    <row r="369" spans="1:24" ht="12.75" customHeight="1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</row>
    <row r="370" spans="1:24" ht="12.75" customHeight="1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</row>
    <row r="371" spans="1:24" ht="12.75" customHeight="1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</row>
    <row r="372" spans="1:24" ht="12.75" customHeight="1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</row>
    <row r="373" spans="1:24" ht="12.75" customHeight="1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</row>
    <row r="374" spans="1:24" ht="12.75" customHeight="1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</row>
    <row r="375" spans="1:24" ht="12.75" customHeight="1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</row>
    <row r="376" spans="1:24" ht="12.75" customHeight="1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</row>
    <row r="377" spans="1:24" ht="12.75" customHeight="1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</row>
    <row r="378" spans="1:24" ht="12.75" customHeight="1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</row>
    <row r="379" spans="1:24" ht="12.75" customHeight="1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</row>
    <row r="380" spans="1:24" ht="12.75" customHeight="1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</row>
    <row r="381" spans="1:24" ht="12.75" customHeight="1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</row>
    <row r="382" spans="1:24" ht="12.75" customHeight="1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</row>
    <row r="383" spans="1:24" ht="12.75" customHeight="1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</row>
    <row r="384" spans="1:24" ht="12.75" customHeight="1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</row>
    <row r="385" spans="1:24" ht="12.75" customHeight="1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</row>
    <row r="386" spans="1:24" ht="12.75" customHeight="1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</row>
    <row r="387" spans="1:24" ht="12.75" customHeight="1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</row>
    <row r="388" spans="1:24" ht="12.75" customHeight="1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</row>
    <row r="389" spans="1:24" ht="12.75" customHeight="1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</row>
    <row r="390" spans="1:24" ht="12.75" customHeight="1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</row>
    <row r="391" spans="1:24" ht="12.75" customHeight="1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</row>
    <row r="392" spans="1:24" ht="12.75" customHeight="1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</row>
    <row r="393" spans="1:24" ht="12.75" customHeight="1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</row>
    <row r="394" spans="1:24" ht="12.75" customHeight="1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</row>
    <row r="395" spans="1:24" ht="12.75" customHeight="1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</row>
    <row r="396" spans="1:24" ht="12.75" customHeight="1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</row>
    <row r="397" spans="1:24" ht="12.75" customHeight="1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</row>
    <row r="398" spans="1:24" ht="12.75" customHeight="1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</row>
    <row r="399" spans="1:24" ht="12.75" customHeight="1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</row>
    <row r="400" spans="1:24" ht="12.75" customHeight="1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</row>
    <row r="401" spans="1:24" ht="12.75" customHeight="1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</row>
    <row r="402" spans="1:24" ht="12.75" customHeight="1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</row>
    <row r="403" spans="1:24" ht="12.75" customHeight="1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</row>
    <row r="404" spans="1:24" ht="12.75" customHeight="1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</row>
    <row r="405" spans="1:24" ht="12.75" customHeight="1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</row>
    <row r="406" spans="1:24" ht="12.75" customHeight="1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</row>
    <row r="407" spans="1:24" ht="12.75" customHeight="1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</row>
    <row r="408" spans="1:24" ht="12.75" customHeight="1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</row>
    <row r="409" spans="1:24" ht="12.75" customHeight="1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</row>
    <row r="410" spans="1:24" ht="12.75" customHeight="1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</row>
    <row r="411" spans="1:24" ht="12.75" customHeight="1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</row>
    <row r="412" spans="1:24" ht="12.75" customHeight="1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</row>
    <row r="413" spans="1:24" ht="12.75" customHeight="1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</row>
    <row r="414" spans="1:24" ht="12.75" customHeight="1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</row>
    <row r="415" spans="1:24" ht="12.75" customHeight="1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</row>
    <row r="416" spans="1:24" ht="12.75" customHeight="1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</row>
    <row r="417" spans="1:24" ht="12.75" customHeight="1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</row>
    <row r="418" spans="1:24" ht="12.75" customHeight="1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</row>
    <row r="419" spans="1:24" ht="12.75" customHeight="1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</row>
    <row r="420" spans="1:24" ht="12.75" customHeight="1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</row>
    <row r="421" spans="1:24" ht="12.75" customHeight="1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</row>
    <row r="422" spans="1:24" ht="12.75" customHeight="1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</row>
    <row r="423" spans="1:24" ht="12.75" customHeight="1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</row>
    <row r="424" spans="1:24" ht="12.75" customHeight="1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</row>
    <row r="425" spans="1:24" ht="12.75" customHeight="1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</row>
    <row r="426" spans="1:24" ht="12.75" customHeight="1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</row>
    <row r="427" spans="1:24" ht="12.75" customHeight="1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</row>
    <row r="428" spans="1:24" ht="12.75" customHeight="1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</row>
    <row r="429" spans="1:24" ht="12.75" customHeight="1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</row>
    <row r="430" spans="1:24" ht="12.75" customHeight="1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</row>
    <row r="431" spans="1:24" ht="12.75" customHeight="1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</row>
    <row r="432" spans="1:24" ht="12.75" customHeight="1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</row>
    <row r="433" spans="1:24" ht="12.75" customHeight="1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</row>
    <row r="434" spans="1:24" ht="12.75" customHeight="1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</row>
    <row r="435" spans="1:24" ht="12.75" customHeight="1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</row>
    <row r="436" spans="1:24" ht="12.75" customHeight="1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</row>
    <row r="437" spans="1:24" ht="12.75" customHeight="1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</row>
    <row r="438" spans="1:24" ht="12.75" customHeight="1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</row>
    <row r="439" spans="1:24" ht="12.75" customHeight="1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</row>
    <row r="440" spans="1:24" ht="12.75" customHeight="1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</row>
    <row r="441" spans="1:24" ht="12.75" customHeight="1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</row>
    <row r="442" spans="1:24" ht="12.75" customHeight="1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</row>
    <row r="443" spans="1:24" ht="12.75" customHeight="1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</row>
    <row r="444" spans="1:24" ht="12.75" customHeight="1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</row>
    <row r="445" spans="1:24" ht="12.75" customHeight="1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</row>
    <row r="446" spans="1:24" ht="12.75" customHeight="1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</row>
    <row r="447" spans="1:24" ht="12.75" customHeight="1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</row>
    <row r="448" spans="1:24" ht="12.75" customHeight="1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</row>
    <row r="449" spans="1:24" ht="12.75" customHeight="1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</row>
    <row r="450" spans="1:24" ht="12.75" customHeight="1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</row>
    <row r="451" spans="1:24" ht="12.75" customHeight="1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</row>
    <row r="452" spans="1:24" ht="12.75" customHeight="1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</row>
    <row r="453" spans="1:24" ht="12.75" customHeight="1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</row>
    <row r="454" spans="1:24" ht="12.75" customHeight="1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</row>
    <row r="455" spans="1:24" ht="12.75" customHeight="1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</row>
    <row r="456" spans="1:24" ht="12.75" customHeight="1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</row>
    <row r="457" spans="1:24" ht="12.75" customHeight="1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</row>
    <row r="458" spans="1:24" ht="12.75" customHeight="1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</row>
    <row r="459" spans="1:24" ht="12.75" customHeight="1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</row>
    <row r="460" spans="1:24" ht="12.75" customHeight="1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</row>
    <row r="461" spans="1:24" ht="12.75" customHeight="1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</row>
    <row r="462" spans="1:24" ht="12.75" customHeight="1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</row>
    <row r="463" spans="1:24" ht="12.75" customHeight="1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</row>
    <row r="464" spans="1:24" ht="12.75" customHeight="1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</row>
    <row r="465" spans="1:24" ht="12.75" customHeight="1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</row>
    <row r="466" spans="1:24" ht="12.75" customHeight="1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</row>
    <row r="467" spans="1:24" ht="12.75" customHeight="1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</row>
    <row r="468" spans="1:24" ht="12.75" customHeight="1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</row>
    <row r="469" spans="1:24" ht="12.75" customHeight="1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</row>
    <row r="470" spans="1:24" ht="12.75" customHeight="1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</row>
    <row r="471" spans="1:24" ht="12.75" customHeight="1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</row>
    <row r="472" spans="1:24" ht="12.75" customHeight="1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</row>
    <row r="473" spans="1:24" ht="12.75" customHeight="1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</row>
    <row r="474" spans="1:24" ht="12.75" customHeight="1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</row>
    <row r="475" spans="1:24" ht="12.75" customHeight="1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</row>
    <row r="476" spans="1:24" ht="12.75" customHeight="1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</row>
    <row r="477" spans="1:24" ht="12.75" customHeight="1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</row>
    <row r="478" spans="1:24" ht="12.75" customHeight="1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</row>
    <row r="479" spans="1:24" ht="12.75" customHeight="1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</row>
    <row r="480" spans="1:24" ht="12.75" customHeight="1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</row>
    <row r="481" spans="1:24" ht="12.75" customHeight="1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</row>
    <row r="482" spans="1:24" ht="12.75" customHeight="1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</row>
    <row r="483" spans="1:24" ht="12.75" customHeight="1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</row>
    <row r="484" spans="1:24" ht="12.75" customHeight="1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</row>
    <row r="485" spans="1:24" ht="12.75" customHeight="1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</row>
    <row r="486" spans="1:24" ht="12.75" customHeight="1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</row>
    <row r="487" spans="1:24" ht="12.75" customHeight="1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</row>
    <row r="488" spans="1:24" ht="12.75" customHeight="1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</row>
    <row r="489" spans="1:24" ht="12.75" customHeight="1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</row>
    <row r="490" spans="1:24" ht="12.75" customHeight="1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</row>
    <row r="491" spans="1:24" ht="12.75" customHeight="1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</row>
    <row r="492" spans="1:24" ht="12.75" customHeight="1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</row>
    <row r="493" spans="1:24" ht="12.75" customHeight="1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</row>
    <row r="494" spans="1:24" ht="12.75" customHeight="1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</row>
    <row r="495" spans="1:24" ht="12.75" customHeight="1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</row>
    <row r="496" spans="1:24" ht="12.75" customHeight="1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</row>
    <row r="497" spans="1:24" ht="12.75" customHeight="1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</row>
    <row r="498" spans="1:24" ht="12.75" customHeight="1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</row>
    <row r="499" spans="1:24" ht="12.75" customHeight="1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</row>
    <row r="500" spans="1:24" ht="12.75" customHeight="1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</row>
    <row r="501" spans="1:24" ht="12.75" customHeight="1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</row>
    <row r="502" spans="1:24" ht="12.75" customHeight="1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</row>
    <row r="503" spans="1:24" ht="12.75" customHeight="1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</row>
    <row r="504" spans="1:24" ht="12.75" customHeight="1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</row>
    <row r="505" spans="1:24" ht="12.75" customHeight="1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pans="1:24" ht="12.75" customHeight="1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pans="1:24" ht="12.75" customHeight="1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pans="1:24" ht="12.75" customHeight="1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pans="1:24" ht="12.75" customHeight="1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pans="1:24" ht="12.75" customHeight="1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pans="1:24" ht="12.75" customHeight="1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pans="1:24" ht="12.75" customHeight="1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pans="1:24" ht="12.75" customHeight="1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pans="1:24" ht="12.75" customHeight="1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pans="1:24" ht="12.75" customHeight="1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pans="1:24" ht="12.75" customHeight="1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pans="1:24" ht="12.75" customHeight="1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pans="1:24" ht="12.75" customHeight="1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pans="1:24" ht="12.75" customHeight="1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pans="1:24" ht="12.75" customHeight="1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</row>
    <row r="521" spans="1:24" ht="12.75" customHeight="1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</row>
    <row r="522" spans="1:24" ht="12.75" customHeight="1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</row>
    <row r="523" spans="1:24" ht="12.75" customHeight="1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</row>
    <row r="524" spans="1:24" ht="12.75" customHeight="1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</row>
    <row r="525" spans="1:24" ht="12.75" customHeight="1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</row>
    <row r="526" spans="1:24" ht="12.75" customHeight="1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</row>
    <row r="527" spans="1:24" ht="12.75" customHeight="1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</row>
    <row r="528" spans="1:24" ht="12.75" customHeight="1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</row>
    <row r="529" spans="1:24" ht="12.75" customHeight="1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</row>
    <row r="530" spans="1:24" ht="12.75" customHeight="1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pans="1:24" ht="12.75" customHeight="1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pans="1:24" ht="12.75" customHeight="1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pans="1:24" ht="12.75" customHeight="1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pans="1:24" ht="12.75" customHeight="1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pans="1:24" ht="12.75" customHeight="1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pans="1:24" ht="12.75" customHeight="1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pans="1:24" ht="12.75" customHeight="1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pans="1:24" ht="12.75" customHeight="1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pans="1:24" ht="12.75" customHeight="1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pans="1:24" ht="12.75" customHeight="1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pans="1:24" ht="12.75" customHeight="1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pans="1:24" ht="12.75" customHeight="1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pans="1:24" ht="12.75" customHeight="1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pans="1:24" ht="12.75" customHeight="1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pans="1:24" ht="12.75" customHeight="1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</row>
    <row r="546" spans="1:24" ht="12.75" customHeight="1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</row>
    <row r="547" spans="1:24" ht="12.75" customHeight="1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</row>
    <row r="548" spans="1:24" ht="12.75" customHeight="1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</row>
    <row r="549" spans="1:24" ht="12.75" customHeight="1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</row>
    <row r="550" spans="1:24" ht="12.75" customHeight="1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</row>
    <row r="551" spans="1:24" ht="12.75" customHeight="1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</row>
    <row r="552" spans="1:24" ht="12.75" customHeight="1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</row>
    <row r="553" spans="1:24" ht="12.75" customHeight="1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</row>
    <row r="554" spans="1:24" ht="12.75" customHeight="1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</row>
    <row r="555" spans="1:24" ht="12.75" customHeight="1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</row>
    <row r="556" spans="1:24" ht="12.75" customHeight="1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</row>
    <row r="557" spans="1:24" ht="12.75" customHeight="1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</row>
    <row r="558" spans="1:24" ht="12.75" customHeight="1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</row>
    <row r="559" spans="1:24" ht="12.75" customHeight="1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</row>
    <row r="560" spans="1:24" ht="12.75" customHeight="1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</row>
    <row r="561" spans="1:24" ht="12.75" customHeight="1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</row>
    <row r="562" spans="1:24" ht="12.75" customHeight="1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</row>
    <row r="563" spans="1:24" ht="12.75" customHeight="1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</row>
    <row r="564" spans="1:24" ht="12.75" customHeight="1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</row>
    <row r="565" spans="1:24" ht="12.75" customHeight="1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</row>
    <row r="566" spans="1:24" ht="12.75" customHeight="1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</row>
    <row r="567" spans="1:24" ht="12.75" customHeight="1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</row>
    <row r="568" spans="1:24" ht="12.75" customHeight="1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</row>
    <row r="569" spans="1:24" ht="12.75" customHeight="1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</row>
    <row r="570" spans="1:24" ht="12.75" customHeight="1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</row>
    <row r="571" spans="1:24" ht="12.75" customHeight="1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</row>
    <row r="572" spans="1:24" ht="12.75" customHeight="1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</row>
    <row r="573" spans="1:24" ht="12.75" customHeight="1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</row>
    <row r="574" spans="1:24" ht="12.75" customHeight="1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</row>
    <row r="575" spans="1:24" ht="12.75" customHeight="1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</row>
    <row r="576" spans="1:24" ht="12.75" customHeight="1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</row>
    <row r="577" spans="1:24" ht="12.75" customHeight="1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</row>
    <row r="578" spans="1:24" ht="12.75" customHeight="1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</row>
    <row r="579" spans="1:24" ht="12.75" customHeight="1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</row>
    <row r="580" spans="1:24" ht="12.75" customHeight="1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</row>
    <row r="581" spans="1:24" ht="12.75" customHeight="1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</row>
    <row r="582" spans="1:24" ht="12.75" customHeight="1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</row>
    <row r="583" spans="1:24" ht="12.75" customHeight="1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</row>
    <row r="584" spans="1:24" ht="12.75" customHeight="1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</row>
    <row r="585" spans="1:24" ht="12.75" customHeight="1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</row>
    <row r="586" spans="1:24" ht="12.75" customHeight="1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</row>
    <row r="587" spans="1:24" ht="12.75" customHeight="1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</row>
    <row r="588" spans="1:24" ht="12.75" customHeight="1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</row>
    <row r="589" spans="1:24" ht="12.75" customHeight="1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</row>
    <row r="590" spans="1:24" ht="12.75" customHeight="1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</row>
    <row r="591" spans="1:24" ht="12.75" customHeight="1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</row>
    <row r="592" spans="1:24" ht="12.75" customHeight="1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</row>
    <row r="593" spans="1:24" ht="12.75" customHeight="1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</row>
    <row r="594" spans="1:24" ht="12.75" customHeight="1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</row>
    <row r="595" spans="1:24" ht="12.75" customHeight="1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</row>
    <row r="596" spans="1:24" ht="12.75" customHeight="1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</row>
    <row r="597" spans="1:24" ht="12.75" customHeight="1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</row>
    <row r="598" spans="1:24" ht="12.75" customHeight="1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</row>
    <row r="599" spans="1:24" ht="12.75" customHeight="1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</row>
    <row r="600" spans="1:24" ht="12.75" customHeight="1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</row>
    <row r="601" spans="1:24" ht="12.75" customHeight="1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</row>
    <row r="602" spans="1:24" ht="12.75" customHeight="1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</row>
    <row r="603" spans="1:24" ht="12.75" customHeight="1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</row>
    <row r="604" spans="1:24" ht="12.75" customHeight="1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</row>
    <row r="605" spans="1:24" ht="12.75" customHeight="1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</row>
    <row r="606" spans="1:24" ht="12.75" customHeight="1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</row>
    <row r="607" spans="1:24" ht="12.75" customHeight="1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</row>
    <row r="608" spans="1:24" ht="12.75" customHeight="1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</row>
    <row r="609" spans="1:24" ht="12.75" customHeight="1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</row>
    <row r="610" spans="1:24" ht="12.75" customHeight="1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</row>
    <row r="611" spans="1:24" ht="12.75" customHeight="1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</row>
    <row r="612" spans="1:24" ht="12.75" customHeight="1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</row>
    <row r="613" spans="1:24" ht="12.75" customHeight="1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</row>
    <row r="614" spans="1:24" ht="12.75" customHeight="1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</row>
    <row r="615" spans="1:24" ht="12.75" customHeight="1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</row>
    <row r="616" spans="1:24" ht="12.75" customHeight="1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</row>
    <row r="617" spans="1:24" ht="12.75" customHeight="1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</row>
    <row r="618" spans="1:24" ht="12.75" customHeight="1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</row>
    <row r="619" spans="1:24" ht="12.75" customHeight="1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</row>
    <row r="620" spans="1:24" ht="12.75" customHeight="1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</row>
    <row r="621" spans="1:24" ht="12.75" customHeight="1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</row>
    <row r="622" spans="1:24" ht="12.75" customHeight="1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</row>
    <row r="623" spans="1:24" ht="12.75" customHeight="1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</row>
    <row r="624" spans="1:24" ht="12.75" customHeight="1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</row>
    <row r="625" spans="1:24" ht="12.75" customHeight="1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</row>
    <row r="626" spans="1:24" ht="12.75" customHeight="1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</row>
    <row r="627" spans="1:24" ht="12.75" customHeight="1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</row>
    <row r="628" spans="1:24" ht="12.75" customHeight="1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</row>
    <row r="629" spans="1:24" ht="12.75" customHeight="1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</row>
    <row r="630" spans="1:24" ht="12.75" customHeight="1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</row>
    <row r="631" spans="1:24" ht="12.75" customHeight="1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</row>
    <row r="632" spans="1:24" ht="12.75" customHeight="1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</row>
    <row r="633" spans="1:24" ht="12.75" customHeight="1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</row>
    <row r="634" spans="1:24" ht="12.75" customHeight="1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</row>
    <row r="635" spans="1:24" ht="12.75" customHeight="1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</row>
    <row r="636" spans="1:24" ht="12.75" customHeight="1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</row>
    <row r="637" spans="1:24" ht="12.75" customHeight="1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</row>
    <row r="638" spans="1:24" ht="12.75" customHeight="1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</row>
    <row r="639" spans="1:24" ht="12.75" customHeight="1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</row>
    <row r="640" spans="1:24" ht="12.75" customHeight="1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</row>
    <row r="641" spans="1:24" ht="12.75" customHeight="1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</row>
    <row r="642" spans="1:24" ht="12.75" customHeight="1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</row>
    <row r="643" spans="1:24" ht="12.75" customHeight="1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</row>
    <row r="644" spans="1:24" ht="12.75" customHeight="1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</row>
    <row r="645" spans="1:24" ht="12.75" customHeight="1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</row>
    <row r="646" spans="1:24" ht="12.75" customHeight="1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</row>
    <row r="647" spans="1:24" ht="12.75" customHeight="1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</row>
    <row r="648" spans="1:24" ht="12.75" customHeight="1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</row>
    <row r="649" spans="1:24" ht="12.75" customHeight="1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</row>
    <row r="650" spans="1:24" ht="12.75" customHeight="1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</row>
    <row r="651" spans="1:24" ht="12.75" customHeight="1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</row>
    <row r="652" spans="1:24" ht="12.75" customHeight="1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</row>
    <row r="653" spans="1:24" ht="12.75" customHeight="1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</row>
    <row r="654" spans="1:24" ht="12.75" customHeight="1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</row>
    <row r="655" spans="1:24" ht="12.75" customHeight="1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</row>
    <row r="656" spans="1:24" ht="12.75" customHeight="1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</row>
    <row r="657" spans="1:24" ht="12.75" customHeight="1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</row>
    <row r="658" spans="1:24" ht="12.75" customHeight="1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</row>
    <row r="659" spans="1:24" ht="12.75" customHeight="1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</row>
    <row r="660" spans="1:24" ht="12.75" customHeight="1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</row>
    <row r="661" spans="1:24" ht="12.75" customHeight="1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</row>
    <row r="662" spans="1:24" ht="12.75" customHeight="1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</row>
    <row r="663" spans="1:24" ht="12.75" customHeight="1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</row>
    <row r="664" spans="1:24" ht="12.75" customHeight="1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</row>
    <row r="665" spans="1:24" ht="12.75" customHeight="1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</row>
    <row r="666" spans="1:24" ht="12.75" customHeight="1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</row>
    <row r="667" spans="1:24" ht="12.75" customHeight="1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</row>
    <row r="668" spans="1:24" ht="12.75" customHeight="1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</row>
    <row r="669" spans="1:24" ht="12.75" customHeight="1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</row>
    <row r="670" spans="1:24" ht="12.75" customHeight="1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</row>
    <row r="671" spans="1:24" ht="12.75" customHeight="1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</row>
    <row r="672" spans="1:24" ht="12.75" customHeight="1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</row>
    <row r="673" spans="1:24" ht="12.75" customHeight="1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</row>
    <row r="674" spans="1:24" ht="12.75" customHeight="1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</row>
    <row r="675" spans="1:24" ht="12.75" customHeight="1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</row>
    <row r="676" spans="1:24" ht="12.75" customHeight="1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</row>
    <row r="677" spans="1:24" ht="12.75" customHeight="1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</row>
    <row r="678" spans="1:24" ht="12.75" customHeight="1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</row>
    <row r="679" spans="1:24" ht="12.75" customHeight="1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</row>
    <row r="680" spans="1:24" ht="12.75" customHeight="1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</row>
    <row r="681" spans="1:24" ht="12.75" customHeight="1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</row>
    <row r="682" spans="1:24" ht="12.75" customHeight="1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</row>
    <row r="683" spans="1:24" ht="12.75" customHeight="1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</row>
    <row r="684" spans="1:24" ht="12.75" customHeight="1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</row>
    <row r="685" spans="1:24" ht="12.75" customHeight="1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</row>
    <row r="686" spans="1:24" ht="12.75" customHeight="1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</row>
    <row r="687" spans="1:24" ht="12.75" customHeight="1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</row>
    <row r="688" spans="1:24" ht="12.75" customHeight="1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</row>
    <row r="689" spans="1:24" ht="12.75" customHeight="1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</row>
    <row r="690" spans="1:24" ht="12.75" customHeight="1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</row>
    <row r="691" spans="1:24" ht="12.75" customHeight="1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</row>
    <row r="692" spans="1:24" ht="12.75" customHeight="1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</row>
    <row r="693" spans="1:24" ht="12.75" customHeight="1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</row>
    <row r="694" spans="1:24" ht="12.75" customHeight="1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</row>
    <row r="695" spans="1:24" ht="12.75" customHeight="1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</row>
    <row r="696" spans="1:24" ht="12.75" customHeight="1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</row>
    <row r="697" spans="1:24" ht="12.75" customHeight="1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</row>
    <row r="698" spans="1:24" ht="12.75" customHeight="1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</row>
    <row r="699" spans="1:24" ht="12.75" customHeight="1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</row>
    <row r="700" spans="1:24" ht="12.75" customHeight="1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</row>
    <row r="701" spans="1:24" ht="12.75" customHeight="1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</row>
    <row r="702" spans="1:24" ht="12.75" customHeight="1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</row>
    <row r="703" spans="1:24" ht="12.75" customHeight="1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</row>
    <row r="704" spans="1:24" ht="12.75" customHeight="1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</row>
    <row r="705" spans="1:24" ht="12.75" customHeight="1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</row>
    <row r="706" spans="1:24" ht="12.75" customHeight="1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</row>
    <row r="707" spans="1:24" ht="12.75" customHeight="1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</row>
    <row r="708" spans="1:24" ht="12.75" customHeight="1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</row>
    <row r="709" spans="1:24" ht="12.75" customHeight="1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</row>
    <row r="710" spans="1:24" ht="12.75" customHeight="1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</row>
    <row r="711" spans="1:24" ht="12.75" customHeight="1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</row>
    <row r="712" spans="1:24" ht="12.75" customHeight="1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</row>
    <row r="713" spans="1:24" ht="12.75" customHeight="1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</row>
    <row r="714" spans="1:24" ht="12.75" customHeight="1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</row>
    <row r="715" spans="1:24" ht="12.75" customHeight="1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</row>
    <row r="716" spans="1:24" ht="12.75" customHeight="1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</row>
    <row r="717" spans="1:24" ht="12.75" customHeight="1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</row>
    <row r="718" spans="1:24" ht="12.75" customHeight="1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</row>
    <row r="719" spans="1:24" ht="12.75" customHeight="1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</row>
    <row r="720" spans="1:24" ht="12.75" customHeight="1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</row>
    <row r="721" spans="1:24" ht="12.75" customHeight="1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</row>
    <row r="722" spans="1:24" ht="12.75" customHeight="1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</row>
    <row r="723" spans="1:24" ht="12.75" customHeight="1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</row>
    <row r="724" spans="1:24" ht="12.75" customHeight="1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</row>
    <row r="725" spans="1:24" ht="12.75" customHeight="1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</row>
    <row r="726" spans="1:24" ht="12.75" customHeight="1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</row>
    <row r="727" spans="1:24" ht="12.75" customHeight="1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</row>
    <row r="728" spans="1:24" ht="12.75" customHeight="1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</row>
    <row r="729" spans="1:24" ht="12.75" customHeight="1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</row>
    <row r="730" spans="1:24" ht="12.75" customHeight="1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</row>
    <row r="731" spans="1:24" ht="12.75" customHeight="1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</row>
    <row r="732" spans="1:24" ht="12.75" customHeight="1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</row>
    <row r="733" spans="1:24" ht="12.75" customHeight="1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</row>
    <row r="734" spans="1:24" ht="12.75" customHeight="1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</row>
    <row r="735" spans="1:24" ht="12.75" customHeight="1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</row>
    <row r="736" spans="1:24" ht="12.75" customHeight="1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</row>
    <row r="737" spans="1:24" ht="12.75" customHeight="1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</row>
    <row r="738" spans="1:24" ht="12.75" customHeight="1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</row>
    <row r="739" spans="1:24" ht="12.75" customHeight="1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</row>
    <row r="740" spans="1:24" ht="12.75" customHeight="1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</row>
    <row r="741" spans="1:24" ht="12.75" customHeight="1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</row>
    <row r="742" spans="1:24" ht="12.75" customHeight="1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</row>
    <row r="743" spans="1:24" ht="12.75" customHeight="1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</row>
    <row r="744" spans="1:24" ht="12.75" customHeight="1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</row>
    <row r="745" spans="1:24" ht="12.75" customHeight="1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</row>
    <row r="746" spans="1:24" ht="12.75" customHeight="1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</row>
    <row r="747" spans="1:24" ht="12.75" customHeight="1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</row>
    <row r="748" spans="1:24" ht="12.75" customHeight="1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</row>
    <row r="749" spans="1:24" ht="12.75" customHeight="1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</row>
    <row r="750" spans="1:24" ht="12.75" customHeight="1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</row>
    <row r="751" spans="1:24" ht="12.75" customHeight="1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</row>
    <row r="752" spans="1:24" ht="12.75" customHeight="1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</row>
    <row r="753" spans="1:24" ht="12.75" customHeight="1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</row>
    <row r="754" spans="1:24" ht="12.75" customHeight="1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</row>
    <row r="755" spans="1:24" ht="12.75" customHeight="1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</row>
    <row r="756" spans="1:24" ht="12.75" customHeight="1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</row>
    <row r="757" spans="1:24" ht="12.75" customHeight="1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</row>
    <row r="758" spans="1:24" ht="12.75" customHeight="1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</row>
    <row r="759" spans="1:24" ht="12.75" customHeight="1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</row>
    <row r="760" spans="1:24" ht="12.75" customHeight="1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</row>
    <row r="761" spans="1:24" ht="12.75" customHeight="1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</row>
    <row r="762" spans="1:24" ht="12.75" customHeight="1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</row>
    <row r="763" spans="1:24" ht="12.75" customHeight="1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</row>
    <row r="764" spans="1:24" ht="12.75" customHeight="1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</row>
    <row r="765" spans="1:24" ht="12.75" customHeight="1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</row>
    <row r="766" spans="1:24" ht="12.75" customHeight="1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</row>
    <row r="767" spans="1:24" ht="12.75" customHeight="1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</row>
    <row r="768" spans="1:24" ht="12.75" customHeight="1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</row>
    <row r="769" spans="1:24" ht="12.75" customHeight="1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</row>
    <row r="770" spans="1:24" ht="12.75" customHeight="1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</row>
    <row r="771" spans="1:24" ht="12.75" customHeight="1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</row>
    <row r="772" spans="1:24" ht="12.75" customHeight="1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</row>
    <row r="773" spans="1:24" ht="12.75" customHeight="1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</row>
    <row r="774" spans="1:24" ht="12.75" customHeight="1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</row>
    <row r="775" spans="1:24" ht="12.75" customHeight="1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</row>
    <row r="776" spans="1:24" ht="12.75" customHeight="1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</row>
    <row r="777" spans="1:24" ht="12.75" customHeight="1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</row>
    <row r="778" spans="1:24" ht="12.75" customHeight="1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</row>
    <row r="779" spans="1:24" ht="12.75" customHeight="1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</row>
    <row r="780" spans="1:24" ht="12.75" customHeight="1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</row>
    <row r="781" spans="1:24" ht="12.75" customHeight="1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</row>
    <row r="782" spans="1:24" ht="12.75" customHeight="1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</row>
    <row r="783" spans="1:24" ht="12.75" customHeight="1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</row>
    <row r="784" spans="1:24" ht="12.75" customHeight="1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</row>
    <row r="785" spans="1:24" ht="12.75" customHeight="1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</row>
    <row r="786" spans="1:24" ht="12.75" customHeight="1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</row>
    <row r="787" spans="1:24" ht="12.75" customHeight="1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</row>
    <row r="788" spans="1:24" ht="12.75" customHeight="1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</row>
    <row r="789" spans="1:24" ht="12.75" customHeight="1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</row>
    <row r="790" spans="1:24" ht="12.75" customHeight="1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</row>
    <row r="791" spans="1:24" ht="12.75" customHeight="1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</row>
    <row r="792" spans="1:24" ht="12.75" customHeight="1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</row>
    <row r="793" spans="1:24" ht="12.75" customHeight="1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</row>
    <row r="794" spans="1:24" ht="12.75" customHeight="1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</row>
    <row r="795" spans="1:24" ht="12.75" customHeight="1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</row>
    <row r="796" spans="1:24" ht="12.75" customHeight="1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</row>
    <row r="797" spans="1:24" ht="12.75" customHeight="1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</row>
    <row r="798" spans="1:24" ht="12.75" customHeight="1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</row>
    <row r="799" spans="1:24" ht="12.75" customHeight="1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</row>
    <row r="800" spans="1:24" ht="12.75" customHeight="1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</row>
    <row r="801" spans="1:24" ht="12.75" customHeight="1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</row>
    <row r="802" spans="1:24" ht="12.75" customHeight="1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</row>
    <row r="803" spans="1:24" ht="12.75" customHeight="1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</row>
    <row r="804" spans="1:24" ht="12.75" customHeight="1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</row>
    <row r="805" spans="1:24" ht="12.75" customHeight="1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</row>
    <row r="806" spans="1:24" ht="12.75" customHeight="1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</row>
    <row r="807" spans="1:24" ht="12.75" customHeight="1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</row>
    <row r="808" spans="1:24" ht="12.75" customHeight="1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</row>
    <row r="809" spans="1:24" ht="12.75" customHeight="1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</row>
    <row r="810" spans="1:24" ht="12.75" customHeight="1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</row>
    <row r="811" spans="1:24" ht="12.75" customHeight="1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</row>
    <row r="812" spans="1:24" ht="12.75" customHeight="1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</row>
    <row r="813" spans="1:24" ht="12.75" customHeight="1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</row>
    <row r="814" spans="1:24" ht="12.75" customHeight="1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</row>
    <row r="815" spans="1:24" ht="12.75" customHeight="1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</row>
    <row r="816" spans="1:24" ht="12.75" customHeight="1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</row>
    <row r="817" spans="1:24" ht="12.75" customHeight="1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</row>
    <row r="818" spans="1:24" ht="12.75" customHeight="1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</row>
    <row r="819" spans="1:24" ht="12.75" customHeight="1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</row>
    <row r="820" spans="1:24" ht="12.75" customHeight="1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</row>
    <row r="821" spans="1:24" ht="12.75" customHeight="1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</row>
    <row r="822" spans="1:24" ht="12.75" customHeight="1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</row>
    <row r="823" spans="1:24" ht="12.75" customHeight="1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</row>
    <row r="824" spans="1:24" ht="12.75" customHeight="1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</row>
    <row r="825" spans="1:24" ht="12.75" customHeight="1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</row>
    <row r="826" spans="1:24" ht="12.75" customHeight="1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</row>
    <row r="827" spans="1:24" ht="12.75" customHeight="1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</row>
    <row r="828" spans="1:24" ht="12.75" customHeight="1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</row>
    <row r="829" spans="1:24" ht="12.75" customHeight="1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</row>
    <row r="830" spans="1:24" ht="12.75" customHeight="1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</row>
    <row r="831" spans="1:24" ht="12.75" customHeight="1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</row>
    <row r="832" spans="1:24" ht="12.75" customHeight="1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</row>
    <row r="833" spans="1:24" ht="12.75" customHeight="1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</row>
    <row r="834" spans="1:24" ht="12.75" customHeight="1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</row>
    <row r="835" spans="1:24" ht="12.75" customHeight="1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</row>
    <row r="836" spans="1:24" ht="12.75" customHeight="1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</row>
    <row r="837" spans="1:24" ht="12.75" customHeight="1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</row>
    <row r="838" spans="1:24" ht="12.75" customHeight="1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</row>
    <row r="839" spans="1:24" ht="12.75" customHeight="1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</row>
    <row r="840" spans="1:24" ht="12.75" customHeight="1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</row>
    <row r="841" spans="1:24" ht="12.75" customHeight="1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</row>
    <row r="842" spans="1:24" ht="12.75" customHeight="1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</row>
    <row r="843" spans="1:24" ht="12.75" customHeight="1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</row>
    <row r="844" spans="1:24" ht="12.75" customHeight="1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</row>
    <row r="845" spans="1:24" ht="12.75" customHeight="1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</row>
    <row r="846" spans="1:24" ht="12.75" customHeight="1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</row>
    <row r="847" spans="1:24" ht="12.75" customHeight="1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</row>
    <row r="848" spans="1:24" ht="12.75" customHeight="1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</row>
    <row r="849" spans="1:24" ht="12.75" customHeight="1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</row>
    <row r="850" spans="1:24" ht="12.75" customHeight="1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</row>
    <row r="851" spans="1:24" ht="12.75" customHeight="1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</row>
    <row r="852" spans="1:24" ht="12.75" customHeight="1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</row>
    <row r="853" spans="1:24" ht="12.75" customHeight="1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</row>
    <row r="854" spans="1:24" ht="12.75" customHeight="1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</row>
    <row r="855" spans="1:24" ht="12.75" customHeight="1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</row>
    <row r="856" spans="1:24" ht="12.75" customHeight="1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</row>
    <row r="857" spans="1:24" ht="12.75" customHeight="1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</row>
    <row r="858" spans="1:24" ht="12.75" customHeight="1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</row>
    <row r="859" spans="1:24" ht="12.75" customHeight="1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</row>
    <row r="860" spans="1:24" ht="12.75" customHeight="1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</row>
    <row r="861" spans="1:24" ht="12.75" customHeight="1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</row>
    <row r="862" spans="1:24" ht="12.75" customHeight="1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</row>
    <row r="863" spans="1:24" ht="12.75" customHeight="1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</row>
    <row r="864" spans="1:24" ht="12.75" customHeight="1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</row>
    <row r="865" spans="1:24" ht="12.75" customHeight="1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</row>
    <row r="866" spans="1:24" ht="12.75" customHeight="1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</row>
    <row r="867" spans="1:24" ht="12.75" customHeight="1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</row>
    <row r="868" spans="1:24" ht="12.75" customHeight="1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</row>
    <row r="869" spans="1:24" ht="12.75" customHeight="1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</row>
    <row r="870" spans="1:24" ht="12.75" customHeight="1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</row>
    <row r="871" spans="1:24" ht="12.75" customHeight="1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</row>
    <row r="872" spans="1:24" ht="12.75" customHeight="1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</row>
    <row r="873" spans="1:24" ht="12.75" customHeight="1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</row>
    <row r="874" spans="1:24" ht="12.75" customHeight="1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</row>
    <row r="875" spans="1:24" ht="12.75" customHeight="1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</row>
    <row r="876" spans="1:24" ht="12.75" customHeight="1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</row>
    <row r="877" spans="1:24" ht="12.75" customHeight="1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</row>
    <row r="878" spans="1:24" ht="12.75" customHeight="1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</row>
    <row r="879" spans="1:24" ht="12.75" customHeight="1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</row>
    <row r="880" spans="1:24" ht="12.75" customHeight="1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</row>
    <row r="881" spans="1:24" ht="12.75" customHeight="1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</row>
    <row r="882" spans="1:24" ht="12.75" customHeight="1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</row>
    <row r="883" spans="1:24" ht="12.75" customHeight="1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</row>
    <row r="884" spans="1:24" ht="12.75" customHeight="1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</row>
    <row r="885" spans="1:24" ht="12.75" customHeight="1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</row>
    <row r="886" spans="1:24" ht="12.75" customHeight="1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</row>
    <row r="887" spans="1:24" ht="12.75" customHeight="1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</row>
    <row r="888" spans="1:24" ht="12.75" customHeight="1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</row>
    <row r="889" spans="1:24" ht="12.75" customHeight="1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</row>
    <row r="890" spans="1:24" ht="12.75" customHeight="1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</row>
    <row r="891" spans="1:24" ht="12.75" customHeight="1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</row>
    <row r="892" spans="1:24" ht="12.75" customHeight="1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</row>
    <row r="893" spans="1:24" ht="12.75" customHeight="1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</row>
    <row r="894" spans="1:24" ht="12.75" customHeight="1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</row>
    <row r="895" spans="1:24" ht="12.75" customHeight="1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</row>
    <row r="896" spans="1:24" ht="12.75" customHeight="1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</row>
    <row r="897" spans="1:24" ht="12.75" customHeight="1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</row>
    <row r="898" spans="1:24" ht="12.75" customHeight="1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</row>
    <row r="899" spans="1:24" ht="12.75" customHeight="1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</row>
    <row r="900" spans="1:24" ht="12.75" customHeight="1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</row>
    <row r="901" spans="1:24" ht="12.75" customHeight="1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</row>
    <row r="902" spans="1:24" ht="12.75" customHeight="1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</row>
    <row r="903" spans="1:24" ht="12.75" customHeight="1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</row>
    <row r="904" spans="1:24" ht="12.75" customHeight="1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</row>
    <row r="905" spans="1:24" ht="12.75" customHeight="1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</row>
    <row r="906" spans="1:24" ht="12.75" customHeight="1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</row>
    <row r="907" spans="1:24" ht="12.75" customHeight="1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</row>
    <row r="908" spans="1:24" ht="12.75" customHeight="1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</row>
    <row r="909" spans="1:24" ht="12.75" customHeight="1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</row>
    <row r="910" spans="1:24" ht="12.75" customHeight="1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</row>
    <row r="911" spans="1:24" ht="12.75" customHeight="1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</row>
    <row r="912" spans="1:24" ht="12.75" customHeight="1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</row>
    <row r="913" spans="1:24" ht="12.75" customHeight="1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</row>
    <row r="914" spans="1:24" ht="12.75" customHeight="1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</row>
    <row r="915" spans="1:24" ht="12.75" customHeight="1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</row>
    <row r="916" spans="1:24" ht="12.75" customHeight="1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</row>
    <row r="917" spans="1:24" ht="12.75" customHeight="1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</row>
    <row r="918" spans="1:24" ht="12.75" customHeight="1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</row>
    <row r="919" spans="1:24" ht="12.75" customHeight="1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</row>
    <row r="920" spans="1:24" ht="12.75" customHeight="1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</row>
    <row r="921" spans="1:24" ht="12.75" customHeight="1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</row>
    <row r="922" spans="1:24" ht="12.75" customHeight="1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</row>
    <row r="923" spans="1:24" ht="12.75" customHeight="1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</row>
    <row r="924" spans="1:24" ht="12.75" customHeight="1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</row>
    <row r="925" spans="1:24" ht="12.75" customHeight="1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</row>
    <row r="926" spans="1:24" ht="12.75" customHeight="1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</row>
    <row r="927" spans="1:24" ht="12.75" customHeight="1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</row>
    <row r="928" spans="1:24" ht="12.75" customHeight="1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</row>
    <row r="929" spans="1:24" ht="12.75" customHeight="1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</row>
    <row r="930" spans="1:24" ht="12.75" customHeight="1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</row>
    <row r="931" spans="1:24" ht="12.75" customHeight="1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</row>
    <row r="932" spans="1:24" ht="12.75" customHeight="1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</row>
    <row r="933" spans="1:24" ht="12.75" customHeight="1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</row>
    <row r="934" spans="1:24" ht="12.75" customHeight="1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</row>
    <row r="935" spans="1:24" ht="12.75" customHeight="1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</row>
    <row r="936" spans="1:24" ht="12.75" customHeight="1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</row>
    <row r="937" spans="1:24" ht="12.75" customHeight="1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</row>
    <row r="938" spans="1:24" ht="12.75" customHeight="1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</row>
    <row r="939" spans="1:24" ht="12.75" customHeight="1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</row>
    <row r="940" spans="1:24" ht="12.75" customHeight="1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</row>
    <row r="941" spans="1:24" ht="12.75" customHeight="1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</row>
    <row r="942" spans="1:24" ht="12.75" customHeight="1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</row>
    <row r="943" spans="1:24" ht="12.75" customHeight="1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</row>
    <row r="944" spans="1:24" ht="12.75" customHeight="1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</row>
    <row r="945" spans="1:24" ht="12.75" customHeight="1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</row>
    <row r="946" spans="1:24" ht="12.75" customHeight="1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</row>
    <row r="947" spans="1:24" ht="12.75" customHeight="1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</row>
    <row r="948" spans="1:24" ht="12.75" customHeight="1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</row>
    <row r="949" spans="1:24" ht="12.75" customHeight="1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</row>
    <row r="950" spans="1:24" ht="12.75" customHeight="1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</row>
    <row r="951" spans="1:24" ht="12.75" customHeight="1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</row>
    <row r="952" spans="1:24" ht="12.75" customHeight="1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</row>
    <row r="953" spans="1:24" ht="12.75" customHeight="1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</row>
    <row r="954" spans="1:24" ht="12.75" customHeight="1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</row>
    <row r="955" spans="1:24" ht="12.75" customHeight="1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</row>
    <row r="956" spans="1:24" ht="12.75" customHeight="1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</row>
    <row r="957" spans="1:24" ht="12.75" customHeight="1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</row>
    <row r="958" spans="1:24" ht="12.75" customHeight="1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</row>
    <row r="959" spans="1:24" ht="12.75" customHeight="1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</row>
    <row r="960" spans="1:24" ht="12.75" customHeight="1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</row>
    <row r="961" spans="1:24" ht="12.75" customHeight="1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</row>
    <row r="962" spans="1:24" ht="12.75" customHeight="1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</row>
    <row r="963" spans="1:24" ht="12.75" customHeight="1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</row>
    <row r="964" spans="1:24" ht="12.75" customHeight="1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</row>
    <row r="965" spans="1:24" ht="12.75" customHeight="1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</row>
    <row r="966" spans="1:24" ht="12.75" customHeight="1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</row>
    <row r="967" spans="1:24" ht="12.75" customHeight="1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</row>
    <row r="968" spans="1:24" ht="12.75" customHeight="1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</row>
    <row r="969" spans="1:24" ht="12.75" customHeight="1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</row>
    <row r="970" spans="1:24" ht="12.75" customHeight="1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</row>
    <row r="971" spans="1:24" ht="12.75" customHeight="1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</row>
    <row r="972" spans="1:24" ht="12.75" customHeight="1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</row>
    <row r="973" spans="1:24" ht="12.75" customHeight="1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</row>
    <row r="974" spans="1:24" ht="12.75" customHeight="1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</row>
    <row r="975" spans="1:24" ht="12.75" customHeight="1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</row>
    <row r="976" spans="1:24" ht="12.75" customHeight="1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</row>
    <row r="977" spans="1:24" ht="12.75" customHeight="1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</row>
    <row r="978" spans="1:24" ht="12.75" customHeight="1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</row>
    <row r="979" spans="1:24" ht="12.75" customHeight="1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</row>
    <row r="980" spans="1:24" ht="12.75" customHeight="1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</row>
    <row r="981" spans="1:24" ht="12.75" customHeight="1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</row>
    <row r="982" spans="1:24" ht="12.75" customHeight="1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</row>
    <row r="983" spans="1:24" ht="12.75" customHeight="1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</row>
    <row r="984" spans="1:24" ht="12.75" customHeight="1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</row>
    <row r="985" spans="1:24" ht="12.75" customHeight="1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</row>
    <row r="986" spans="1:24" ht="12.75" customHeight="1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</row>
    <row r="987" spans="1:24" ht="12.75" customHeight="1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</row>
    <row r="988" spans="1:24" ht="12.75" customHeight="1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</row>
    <row r="989" spans="1:24" ht="12.75" customHeight="1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</row>
    <row r="990" spans="1:24" ht="12.75" customHeight="1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</row>
    <row r="991" spans="1:24" ht="12.75" customHeight="1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</row>
    <row r="992" spans="1:24" ht="12.75" customHeight="1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</row>
    <row r="993" spans="1:24" ht="12.75" customHeight="1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</row>
    <row r="994" spans="1:24" ht="12.75" customHeight="1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</row>
    <row r="995" spans="1:24" ht="12.75" customHeight="1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</row>
    <row r="996" spans="1:24" ht="12.75" customHeight="1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</row>
    <row r="997" spans="1:24" ht="12.75" customHeight="1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</row>
    <row r="998" spans="1:24" ht="12.75" customHeight="1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</row>
    <row r="999" spans="1:24" ht="12.75" customHeight="1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</row>
    <row r="1000" spans="1:24" ht="12.75" customHeight="1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</row>
  </sheetData>
  <mergeCells count="279">
    <mergeCell ref="C85:K85"/>
    <mergeCell ref="C86:C87"/>
    <mergeCell ref="D86:D87"/>
    <mergeCell ref="E86:E87"/>
    <mergeCell ref="F86:F87"/>
    <mergeCell ref="K86:K87"/>
    <mergeCell ref="J104:J105"/>
    <mergeCell ref="K104:K105"/>
    <mergeCell ref="D104:D105"/>
    <mergeCell ref="E104:E105"/>
    <mergeCell ref="F104:F105"/>
    <mergeCell ref="G104:G105"/>
    <mergeCell ref="H104:H105"/>
    <mergeCell ref="I104:I105"/>
    <mergeCell ref="F83:F84"/>
    <mergeCell ref="G83:G84"/>
    <mergeCell ref="H83:H84"/>
    <mergeCell ref="I83:I84"/>
    <mergeCell ref="J83:J84"/>
    <mergeCell ref="K83:K84"/>
    <mergeCell ref="C78:K78"/>
    <mergeCell ref="C79:K80"/>
    <mergeCell ref="E81:F81"/>
    <mergeCell ref="H81:I81"/>
    <mergeCell ref="J81:K81"/>
    <mergeCell ref="C82:K82"/>
    <mergeCell ref="C83:C84"/>
    <mergeCell ref="D83:D84"/>
    <mergeCell ref="E83:E84"/>
    <mergeCell ref="J69:J70"/>
    <mergeCell ref="K69:K70"/>
    <mergeCell ref="D69:D70"/>
    <mergeCell ref="E69:E70"/>
    <mergeCell ref="F69:F70"/>
    <mergeCell ref="G69:G70"/>
    <mergeCell ref="H69:H70"/>
    <mergeCell ref="I69:I70"/>
    <mergeCell ref="C71:K71"/>
    <mergeCell ref="I66:I67"/>
    <mergeCell ref="J66:J67"/>
    <mergeCell ref="K66:K67"/>
    <mergeCell ref="C68:K68"/>
    <mergeCell ref="C63:C64"/>
    <mergeCell ref="C66:C67"/>
    <mergeCell ref="D66:D67"/>
    <mergeCell ref="E66:E67"/>
    <mergeCell ref="F66:F67"/>
    <mergeCell ref="G66:G67"/>
    <mergeCell ref="H66:H67"/>
    <mergeCell ref="J63:J64"/>
    <mergeCell ref="K63:K64"/>
    <mergeCell ref="D63:D64"/>
    <mergeCell ref="E63:E64"/>
    <mergeCell ref="F63:F64"/>
    <mergeCell ref="G63:G64"/>
    <mergeCell ref="H63:H64"/>
    <mergeCell ref="I63:I64"/>
    <mergeCell ref="C65:K65"/>
    <mergeCell ref="C103:K103"/>
    <mergeCell ref="I107:I108"/>
    <mergeCell ref="J107:J108"/>
    <mergeCell ref="K107:K108"/>
    <mergeCell ref="C109:K109"/>
    <mergeCell ref="C110:I110"/>
    <mergeCell ref="C111:K111"/>
    <mergeCell ref="C112:I112"/>
    <mergeCell ref="C113:K113"/>
    <mergeCell ref="C104:C105"/>
    <mergeCell ref="C107:C108"/>
    <mergeCell ref="D107:D108"/>
    <mergeCell ref="E107:E108"/>
    <mergeCell ref="F107:F108"/>
    <mergeCell ref="G107:G108"/>
    <mergeCell ref="H107:H108"/>
    <mergeCell ref="C106:K106"/>
    <mergeCell ref="G86:G87"/>
    <mergeCell ref="H86:H87"/>
    <mergeCell ref="C88:K88"/>
    <mergeCell ref="D89:D90"/>
    <mergeCell ref="E89:E90"/>
    <mergeCell ref="F89:F90"/>
    <mergeCell ref="C91:K91"/>
    <mergeCell ref="C89:C90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I86:I87"/>
    <mergeCell ref="J86:J87"/>
    <mergeCell ref="C100:K100"/>
    <mergeCell ref="C98:C99"/>
    <mergeCell ref="C101:C102"/>
    <mergeCell ref="D101:D102"/>
    <mergeCell ref="E101:E102"/>
    <mergeCell ref="F101:F102"/>
    <mergeCell ref="G101:G102"/>
    <mergeCell ref="H101:H102"/>
    <mergeCell ref="I89:I90"/>
    <mergeCell ref="J89:J90"/>
    <mergeCell ref="C94:K94"/>
    <mergeCell ref="C95:I95"/>
    <mergeCell ref="C96:K96"/>
    <mergeCell ref="C97:K97"/>
    <mergeCell ref="J98:J99"/>
    <mergeCell ref="K98:K99"/>
    <mergeCell ref="I101:I102"/>
    <mergeCell ref="J101:J102"/>
    <mergeCell ref="K101:K102"/>
    <mergeCell ref="G89:G90"/>
    <mergeCell ref="H89:H90"/>
    <mergeCell ref="K89:K90"/>
    <mergeCell ref="D98:D99"/>
    <mergeCell ref="E98:E99"/>
    <mergeCell ref="F98:F99"/>
    <mergeCell ref="G98:G99"/>
    <mergeCell ref="H98:H99"/>
    <mergeCell ref="I98:I99"/>
    <mergeCell ref="C74:K74"/>
    <mergeCell ref="C75:I75"/>
    <mergeCell ref="C76:K76"/>
    <mergeCell ref="C77:I77"/>
    <mergeCell ref="G48:G49"/>
    <mergeCell ref="H48:H49"/>
    <mergeCell ref="I48:I49"/>
    <mergeCell ref="J48:J49"/>
    <mergeCell ref="K48:K49"/>
    <mergeCell ref="C50:K50"/>
    <mergeCell ref="C48:C49"/>
    <mergeCell ref="D48:D49"/>
    <mergeCell ref="H51:H52"/>
    <mergeCell ref="I51:I52"/>
    <mergeCell ref="J51:J52"/>
    <mergeCell ref="K51:K52"/>
    <mergeCell ref="C53:K53"/>
    <mergeCell ref="E48:E49"/>
    <mergeCell ref="F48:F49"/>
    <mergeCell ref="C51:C52"/>
    <mergeCell ref="D51:D52"/>
    <mergeCell ref="E51:E52"/>
    <mergeCell ref="F51:F52"/>
    <mergeCell ref="G51:G52"/>
    <mergeCell ref="C56:K56"/>
    <mergeCell ref="C69:C70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C59:K59"/>
    <mergeCell ref="C60:I60"/>
    <mergeCell ref="C61:K61"/>
    <mergeCell ref="C62:K62"/>
    <mergeCell ref="C39:K39"/>
    <mergeCell ref="C40:I40"/>
    <mergeCell ref="C41:K41"/>
    <mergeCell ref="C42:I42"/>
    <mergeCell ref="C43:K43"/>
    <mergeCell ref="J54:J55"/>
    <mergeCell ref="K54:K55"/>
    <mergeCell ref="D54:D55"/>
    <mergeCell ref="E54:E55"/>
    <mergeCell ref="F54:F55"/>
    <mergeCell ref="G54:G55"/>
    <mergeCell ref="H54:H55"/>
    <mergeCell ref="I54:I55"/>
    <mergeCell ref="C44:K45"/>
    <mergeCell ref="E46:F46"/>
    <mergeCell ref="H46:I46"/>
    <mergeCell ref="J46:K46"/>
    <mergeCell ref="C47:K47"/>
    <mergeCell ref="C54:C55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I37:I38"/>
    <mergeCell ref="J37:J38"/>
    <mergeCell ref="G34:G35"/>
    <mergeCell ref="H34:H35"/>
    <mergeCell ref="C36:K36"/>
    <mergeCell ref="C37:C38"/>
    <mergeCell ref="D37:D38"/>
    <mergeCell ref="E37:E38"/>
    <mergeCell ref="F37:F38"/>
    <mergeCell ref="K37:K38"/>
    <mergeCell ref="G37:G38"/>
    <mergeCell ref="H37:H38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1:I32"/>
    <mergeCell ref="J31:J32"/>
    <mergeCell ref="D28:D29"/>
    <mergeCell ref="E28:E29"/>
    <mergeCell ref="C30:K30"/>
    <mergeCell ref="C31:C32"/>
    <mergeCell ref="D31:D32"/>
    <mergeCell ref="E31:E32"/>
    <mergeCell ref="F31:F32"/>
    <mergeCell ref="K31:K32"/>
    <mergeCell ref="F28:F29"/>
    <mergeCell ref="G28:G29"/>
    <mergeCell ref="H28:H29"/>
    <mergeCell ref="I28:I29"/>
    <mergeCell ref="J28:J29"/>
    <mergeCell ref="K28:K29"/>
    <mergeCell ref="I22:I23"/>
    <mergeCell ref="J22:J23"/>
    <mergeCell ref="C24:K24"/>
    <mergeCell ref="C25:I25"/>
    <mergeCell ref="C26:K26"/>
    <mergeCell ref="C27:K27"/>
    <mergeCell ref="C28:C29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J19:J20"/>
    <mergeCell ref="K19:K20"/>
  </mergeCells>
  <pageMargins left="0.7" right="0.7" top="0.75" bottom="0.75" header="0" footer="0"/>
  <pageSetup paperSize="9" scale="4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topLeftCell="B68" workbookViewId="0">
      <selection activeCell="C1" sqref="C1:M78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1" width="5.5703125" customWidth="1"/>
    <col min="12" max="16" width="9.140625" customWidth="1"/>
    <col min="17" max="24" width="8" customWidth="1"/>
  </cols>
  <sheetData>
    <row r="1" spans="1:24" ht="12.75" customHeight="1" x14ac:dyDescent="0.2">
      <c r="A1" s="95"/>
      <c r="B1" s="95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2.75" customHeight="1" x14ac:dyDescent="0.2">
      <c r="A2" s="95"/>
      <c r="B2" s="95"/>
      <c r="C2" s="131"/>
      <c r="D2" s="131"/>
      <c r="E2" s="131"/>
      <c r="F2" s="131"/>
      <c r="G2" s="131"/>
      <c r="H2" s="131"/>
      <c r="I2" s="131"/>
      <c r="J2" s="131"/>
      <c r="K2" s="131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12.75" customHeight="1" x14ac:dyDescent="0.2">
      <c r="A3" s="95"/>
      <c r="B3" s="95"/>
      <c r="C3" s="131"/>
      <c r="D3" s="131"/>
      <c r="E3" s="131"/>
      <c r="F3" s="131"/>
      <c r="G3" s="131"/>
      <c r="H3" s="131"/>
      <c r="I3" s="131"/>
      <c r="J3" s="131"/>
      <c r="K3" s="131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 spans="1:24" ht="12.75" customHeigh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</row>
    <row r="5" spans="1:24" ht="12.75" customHeight="1" x14ac:dyDescent="0.2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</row>
    <row r="6" spans="1:24" ht="19.5" customHeight="1" x14ac:dyDescent="0.2">
      <c r="A6" s="95"/>
      <c r="B6" s="95"/>
      <c r="C6" s="180" t="s">
        <v>265</v>
      </c>
      <c r="D6" s="125"/>
      <c r="E6" s="125"/>
      <c r="F6" s="125"/>
      <c r="G6" s="125"/>
      <c r="H6" s="125"/>
      <c r="I6" s="125"/>
      <c r="J6" s="125"/>
      <c r="K6" s="126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4" ht="4.5" customHeight="1" x14ac:dyDescent="0.2">
      <c r="A7" s="95"/>
      <c r="B7" s="95"/>
      <c r="C7" s="188"/>
      <c r="D7" s="163"/>
      <c r="E7" s="163"/>
      <c r="F7" s="163"/>
      <c r="G7" s="163"/>
      <c r="H7" s="163"/>
      <c r="I7" s="163"/>
      <c r="J7" s="163"/>
      <c r="K7" s="164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4" ht="4.5" customHeight="1" x14ac:dyDescent="0.2">
      <c r="A8" s="95"/>
      <c r="B8" s="95"/>
      <c r="C8" s="165"/>
      <c r="D8" s="166"/>
      <c r="E8" s="166"/>
      <c r="F8" s="166"/>
      <c r="G8" s="166"/>
      <c r="H8" s="166"/>
      <c r="I8" s="166"/>
      <c r="J8" s="166"/>
      <c r="K8" s="167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4" ht="12" customHeight="1" x14ac:dyDescent="0.2">
      <c r="A9" s="95"/>
      <c r="B9" s="95"/>
      <c r="C9" s="162" t="s">
        <v>190</v>
      </c>
      <c r="D9" s="163"/>
      <c r="E9" s="163"/>
      <c r="F9" s="163"/>
      <c r="G9" s="163"/>
      <c r="H9" s="163"/>
      <c r="I9" s="163"/>
      <c r="J9" s="163"/>
      <c r="K9" s="164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</row>
    <row r="10" spans="1:24" ht="12" customHeight="1" x14ac:dyDescent="0.2">
      <c r="A10" s="95"/>
      <c r="B10" s="95"/>
      <c r="C10" s="165"/>
      <c r="D10" s="166"/>
      <c r="E10" s="166"/>
      <c r="F10" s="166"/>
      <c r="G10" s="166"/>
      <c r="H10" s="166"/>
      <c r="I10" s="166"/>
      <c r="J10" s="166"/>
      <c r="K10" s="167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2" customHeight="1" x14ac:dyDescent="0.2">
      <c r="A11" s="95"/>
      <c r="B11" s="95"/>
      <c r="C11" s="96" t="s">
        <v>191</v>
      </c>
      <c r="D11" s="96" t="s">
        <v>192</v>
      </c>
      <c r="E11" s="169" t="s">
        <v>219</v>
      </c>
      <c r="F11" s="126"/>
      <c r="G11" s="96" t="s">
        <v>194</v>
      </c>
      <c r="H11" s="169" t="s">
        <v>266</v>
      </c>
      <c r="I11" s="126"/>
      <c r="J11" s="169" t="s">
        <v>196</v>
      </c>
      <c r="K11" s="126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2.75" customHeight="1" x14ac:dyDescent="0.2">
      <c r="A12" s="95"/>
      <c r="B12" s="95"/>
      <c r="C12" s="189"/>
      <c r="D12" s="125"/>
      <c r="E12" s="125"/>
      <c r="F12" s="125"/>
      <c r="G12" s="125"/>
      <c r="H12" s="125"/>
      <c r="I12" s="125"/>
      <c r="J12" s="125"/>
      <c r="K12" s="126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12.75" customHeight="1" x14ac:dyDescent="0.2">
      <c r="A13" s="95"/>
      <c r="B13" s="95"/>
      <c r="C13" s="170" t="s">
        <v>197</v>
      </c>
      <c r="D13" s="158" t="s">
        <v>207</v>
      </c>
      <c r="E13" s="157" t="s">
        <v>66</v>
      </c>
      <c r="F13" s="157" t="s">
        <v>73</v>
      </c>
      <c r="G13" s="160" t="s">
        <v>194</v>
      </c>
      <c r="H13" s="157" t="s">
        <v>63</v>
      </c>
      <c r="I13" s="157" t="s">
        <v>77</v>
      </c>
      <c r="J13" s="157">
        <v>7</v>
      </c>
      <c r="K13" s="157">
        <v>11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12.75" customHeight="1" x14ac:dyDescent="0.2">
      <c r="A14" s="95"/>
      <c r="B14" s="95"/>
      <c r="C14" s="141"/>
      <c r="D14" s="141"/>
      <c r="E14" s="141"/>
      <c r="F14" s="141"/>
      <c r="G14" s="141"/>
      <c r="H14" s="141"/>
      <c r="I14" s="141"/>
      <c r="J14" s="141"/>
      <c r="K14" s="141"/>
      <c r="L14" s="183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12.75" customHeight="1" x14ac:dyDescent="0.2">
      <c r="A15" s="95"/>
      <c r="B15" s="95"/>
      <c r="C15" s="161"/>
      <c r="D15" s="125"/>
      <c r="E15" s="125"/>
      <c r="F15" s="125"/>
      <c r="G15" s="125"/>
      <c r="H15" s="125"/>
      <c r="I15" s="125"/>
      <c r="J15" s="125"/>
      <c r="K15" s="126"/>
      <c r="L15" s="131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12.75" customHeight="1" x14ac:dyDescent="0.2">
      <c r="A16" s="95"/>
      <c r="B16" s="95"/>
      <c r="C16" s="170" t="s">
        <v>199</v>
      </c>
      <c r="D16" s="158" t="s">
        <v>208</v>
      </c>
      <c r="E16" s="157" t="s">
        <v>106</v>
      </c>
      <c r="F16" s="157" t="s">
        <v>112</v>
      </c>
      <c r="G16" s="160" t="s">
        <v>194</v>
      </c>
      <c r="H16" s="157" t="s">
        <v>110</v>
      </c>
      <c r="I16" s="157" t="s">
        <v>116</v>
      </c>
      <c r="J16" s="157">
        <v>9</v>
      </c>
      <c r="K16" s="157">
        <v>9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12.75" customHeight="1" x14ac:dyDescent="0.2">
      <c r="A17" s="95"/>
      <c r="B17" s="95"/>
      <c r="C17" s="141"/>
      <c r="D17" s="141"/>
      <c r="E17" s="141"/>
      <c r="F17" s="141"/>
      <c r="G17" s="141"/>
      <c r="H17" s="141"/>
      <c r="I17" s="141"/>
      <c r="J17" s="141"/>
      <c r="K17" s="141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12.75" customHeight="1" x14ac:dyDescent="0.2">
      <c r="A18" s="95"/>
      <c r="B18" s="95"/>
      <c r="C18" s="161"/>
      <c r="D18" s="125"/>
      <c r="E18" s="125"/>
      <c r="F18" s="125"/>
      <c r="G18" s="125"/>
      <c r="H18" s="125"/>
      <c r="I18" s="125"/>
      <c r="J18" s="125"/>
      <c r="K18" s="126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12.75" customHeight="1" x14ac:dyDescent="0.2">
      <c r="A19" s="95"/>
      <c r="B19" s="95"/>
      <c r="C19" s="170" t="s">
        <v>201</v>
      </c>
      <c r="D19" s="158" t="s">
        <v>198</v>
      </c>
      <c r="E19" s="157" t="s">
        <v>85</v>
      </c>
      <c r="F19" s="157" t="s">
        <v>92</v>
      </c>
      <c r="G19" s="160" t="s">
        <v>194</v>
      </c>
      <c r="H19" s="157" t="s">
        <v>222</v>
      </c>
      <c r="I19" s="157" t="s">
        <v>96</v>
      </c>
      <c r="J19" s="157">
        <v>14</v>
      </c>
      <c r="K19" s="157">
        <v>5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12.75" customHeight="1" x14ac:dyDescent="0.2">
      <c r="A20" s="95"/>
      <c r="B20" s="95"/>
      <c r="C20" s="141"/>
      <c r="D20" s="141"/>
      <c r="E20" s="141"/>
      <c r="F20" s="141"/>
      <c r="G20" s="141"/>
      <c r="H20" s="141"/>
      <c r="I20" s="141"/>
      <c r="J20" s="141"/>
      <c r="K20" s="14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12.75" customHeight="1" x14ac:dyDescent="0.2">
      <c r="A21" s="95"/>
      <c r="B21" s="95"/>
      <c r="C21" s="161"/>
      <c r="D21" s="125"/>
      <c r="E21" s="125"/>
      <c r="F21" s="125"/>
      <c r="G21" s="125"/>
      <c r="H21" s="125"/>
      <c r="I21" s="125"/>
      <c r="J21" s="125"/>
      <c r="K21" s="126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12.75" customHeight="1" x14ac:dyDescent="0.2">
      <c r="A22" s="95"/>
      <c r="B22" s="95"/>
      <c r="C22" s="170" t="s">
        <v>197</v>
      </c>
      <c r="D22" s="171" t="s">
        <v>203</v>
      </c>
      <c r="E22" s="157" t="s">
        <v>39</v>
      </c>
      <c r="F22" s="157" t="s">
        <v>226</v>
      </c>
      <c r="G22" s="160" t="s">
        <v>194</v>
      </c>
      <c r="H22" s="157" t="s">
        <v>43</v>
      </c>
      <c r="I22" s="157" t="s">
        <v>50</v>
      </c>
      <c r="J22" s="157">
        <v>10</v>
      </c>
      <c r="K22" s="157">
        <v>8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ht="12.75" customHeight="1" x14ac:dyDescent="0.2">
      <c r="A23" s="95"/>
      <c r="B23" s="95"/>
      <c r="C23" s="141"/>
      <c r="D23" s="141"/>
      <c r="E23" s="141"/>
      <c r="F23" s="141"/>
      <c r="G23" s="141"/>
      <c r="H23" s="141"/>
      <c r="I23" s="141"/>
      <c r="J23" s="141"/>
      <c r="K23" s="141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ht="12.75" customHeight="1" x14ac:dyDescent="0.2">
      <c r="A24" s="95"/>
      <c r="B24" s="95"/>
      <c r="C24" s="161"/>
      <c r="D24" s="125"/>
      <c r="E24" s="125"/>
      <c r="F24" s="125"/>
      <c r="G24" s="125"/>
      <c r="H24" s="125"/>
      <c r="I24" s="125"/>
      <c r="J24" s="125"/>
      <c r="K24" s="126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</row>
    <row r="25" spans="1:24" ht="12.75" customHeight="1" x14ac:dyDescent="0.2">
      <c r="A25" s="95"/>
      <c r="B25" s="95"/>
      <c r="C25" s="172" t="s">
        <v>229</v>
      </c>
      <c r="D25" s="125"/>
      <c r="E25" s="125"/>
      <c r="F25" s="125"/>
      <c r="G25" s="125"/>
      <c r="H25" s="125"/>
      <c r="I25" s="126"/>
      <c r="J25" s="103">
        <f t="shared" ref="J25:K25" si="0">SUM(J13:J23)</f>
        <v>40</v>
      </c>
      <c r="K25" s="103">
        <f t="shared" si="0"/>
        <v>33</v>
      </c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</row>
    <row r="26" spans="1:24" ht="12.75" customHeight="1" x14ac:dyDescent="0.2">
      <c r="A26" s="95"/>
      <c r="B26" s="95"/>
      <c r="C26" s="161"/>
      <c r="D26" s="125"/>
      <c r="E26" s="125"/>
      <c r="F26" s="125"/>
      <c r="G26" s="125"/>
      <c r="H26" s="125"/>
      <c r="I26" s="125"/>
      <c r="J26" s="125"/>
      <c r="K26" s="126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</row>
    <row r="27" spans="1:24" ht="12.75" customHeight="1" x14ac:dyDescent="0.2">
      <c r="A27" s="95"/>
      <c r="B27" s="95"/>
      <c r="C27" s="179"/>
      <c r="D27" s="125"/>
      <c r="E27" s="125"/>
      <c r="F27" s="125"/>
      <c r="G27" s="125"/>
      <c r="H27" s="125"/>
      <c r="I27" s="125"/>
      <c r="J27" s="125"/>
      <c r="K27" s="126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</row>
    <row r="28" spans="1:24" ht="12.75" customHeight="1" x14ac:dyDescent="0.2">
      <c r="A28" s="95"/>
      <c r="B28" s="95"/>
      <c r="C28" s="170" t="s">
        <v>197</v>
      </c>
      <c r="D28" s="158" t="s">
        <v>200</v>
      </c>
      <c r="E28" s="157" t="s">
        <v>153</v>
      </c>
      <c r="F28" s="157" t="s">
        <v>159</v>
      </c>
      <c r="G28" s="160" t="s">
        <v>194</v>
      </c>
      <c r="H28" s="157" t="s">
        <v>267</v>
      </c>
      <c r="I28" s="157" t="s">
        <v>157</v>
      </c>
      <c r="J28" s="157">
        <v>8</v>
      </c>
      <c r="K28" s="157">
        <v>10</v>
      </c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</row>
    <row r="29" spans="1:24" ht="12.75" customHeight="1" x14ac:dyDescent="0.2">
      <c r="A29" s="95"/>
      <c r="B29" s="95"/>
      <c r="C29" s="141"/>
      <c r="D29" s="141"/>
      <c r="E29" s="141"/>
      <c r="F29" s="141"/>
      <c r="G29" s="141"/>
      <c r="H29" s="141"/>
      <c r="I29" s="141"/>
      <c r="J29" s="141"/>
      <c r="K29" s="14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</row>
    <row r="30" spans="1:24" ht="12.75" customHeight="1" x14ac:dyDescent="0.2">
      <c r="A30" s="95"/>
      <c r="B30" s="95"/>
      <c r="C30" s="161"/>
      <c r="D30" s="125"/>
      <c r="E30" s="125"/>
      <c r="F30" s="125"/>
      <c r="G30" s="125"/>
      <c r="H30" s="125"/>
      <c r="I30" s="125"/>
      <c r="J30" s="125"/>
      <c r="K30" s="126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</row>
    <row r="31" spans="1:24" ht="12.75" customHeight="1" x14ac:dyDescent="0.2">
      <c r="A31" s="95"/>
      <c r="B31" s="95"/>
      <c r="C31" s="170" t="s">
        <v>197</v>
      </c>
      <c r="D31" s="158" t="s">
        <v>206</v>
      </c>
      <c r="E31" s="159" t="s">
        <v>124</v>
      </c>
      <c r="F31" s="159" t="s">
        <v>129</v>
      </c>
      <c r="G31" s="160" t="s">
        <v>194</v>
      </c>
      <c r="H31" s="159" t="s">
        <v>14</v>
      </c>
      <c r="I31" s="159" t="s">
        <v>138</v>
      </c>
      <c r="J31" s="157">
        <v>6</v>
      </c>
      <c r="K31" s="157">
        <v>12</v>
      </c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ht="12.75" customHeight="1" x14ac:dyDescent="0.2">
      <c r="A32" s="95"/>
      <c r="B32" s="95"/>
      <c r="C32" s="141"/>
      <c r="D32" s="141"/>
      <c r="E32" s="141"/>
      <c r="F32" s="141"/>
      <c r="G32" s="141"/>
      <c r="H32" s="141"/>
      <c r="I32" s="141"/>
      <c r="J32" s="141"/>
      <c r="K32" s="141"/>
      <c r="L32" s="11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</row>
    <row r="33" spans="1:24" ht="12.75" customHeight="1" x14ac:dyDescent="0.2">
      <c r="A33" s="95"/>
      <c r="B33" s="95"/>
      <c r="C33" s="161"/>
      <c r="D33" s="125"/>
      <c r="E33" s="125"/>
      <c r="F33" s="125"/>
      <c r="G33" s="125"/>
      <c r="H33" s="125"/>
      <c r="I33" s="125"/>
      <c r="J33" s="125"/>
      <c r="K33" s="126"/>
      <c r="L33" s="116"/>
      <c r="M33" s="95"/>
      <c r="N33" s="95"/>
      <c r="O33" s="95"/>
      <c r="P33" s="95" t="s">
        <v>224</v>
      </c>
      <c r="Q33" s="95"/>
      <c r="R33" s="95"/>
      <c r="S33" s="95"/>
      <c r="T33" s="95"/>
      <c r="U33" s="95"/>
      <c r="V33" s="95"/>
      <c r="W33" s="95"/>
      <c r="X33" s="95"/>
    </row>
    <row r="34" spans="1:24" ht="12.75" customHeight="1" x14ac:dyDescent="0.2">
      <c r="A34" s="95"/>
      <c r="B34" s="95"/>
      <c r="C34" s="170" t="s">
        <v>199</v>
      </c>
      <c r="D34" s="158" t="s">
        <v>209</v>
      </c>
      <c r="E34" s="159" t="s">
        <v>80</v>
      </c>
      <c r="F34" s="159" t="s">
        <v>268</v>
      </c>
      <c r="G34" s="160" t="s">
        <v>194</v>
      </c>
      <c r="H34" s="159" t="s">
        <v>70</v>
      </c>
      <c r="I34" s="159" t="s">
        <v>269</v>
      </c>
      <c r="J34" s="157">
        <v>10</v>
      </c>
      <c r="K34" s="157">
        <v>8</v>
      </c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</row>
    <row r="35" spans="1:24" ht="12.75" customHeight="1" x14ac:dyDescent="0.2">
      <c r="A35" s="95"/>
      <c r="B35" s="95"/>
      <c r="C35" s="141"/>
      <c r="D35" s="141"/>
      <c r="E35" s="141"/>
      <c r="F35" s="141"/>
      <c r="G35" s="141"/>
      <c r="H35" s="141"/>
      <c r="I35" s="141"/>
      <c r="J35" s="141"/>
      <c r="K35" s="141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</row>
    <row r="36" spans="1:24" ht="12.75" customHeight="1" x14ac:dyDescent="0.2">
      <c r="A36" s="95"/>
      <c r="B36" s="95"/>
      <c r="C36" s="161"/>
      <c r="D36" s="125"/>
      <c r="E36" s="125"/>
      <c r="F36" s="125"/>
      <c r="G36" s="125"/>
      <c r="H36" s="125"/>
      <c r="I36" s="125"/>
      <c r="J36" s="125"/>
      <c r="K36" s="126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</row>
    <row r="37" spans="1:24" ht="12.75" customHeight="1" x14ac:dyDescent="0.2">
      <c r="A37" s="95"/>
      <c r="B37" s="95"/>
      <c r="C37" s="170" t="s">
        <v>201</v>
      </c>
      <c r="D37" s="171" t="s">
        <v>202</v>
      </c>
      <c r="E37" s="157" t="s">
        <v>18</v>
      </c>
      <c r="F37" s="157" t="s">
        <v>25</v>
      </c>
      <c r="G37" s="160" t="s">
        <v>194</v>
      </c>
      <c r="H37" s="157" t="s">
        <v>270</v>
      </c>
      <c r="I37" s="157" t="s">
        <v>36</v>
      </c>
      <c r="J37" s="157">
        <v>9</v>
      </c>
      <c r="K37" s="157">
        <v>9</v>
      </c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1:24" ht="12.75" customHeight="1" x14ac:dyDescent="0.2">
      <c r="A38" s="95"/>
      <c r="B38" s="95"/>
      <c r="C38" s="141"/>
      <c r="D38" s="141"/>
      <c r="E38" s="141"/>
      <c r="F38" s="141"/>
      <c r="G38" s="141"/>
      <c r="H38" s="141"/>
      <c r="I38" s="141"/>
      <c r="J38" s="141"/>
      <c r="K38" s="141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</row>
    <row r="39" spans="1:24" ht="12.75" customHeight="1" x14ac:dyDescent="0.2">
      <c r="A39" s="95"/>
      <c r="B39" s="95"/>
      <c r="C39" s="161"/>
      <c r="D39" s="125"/>
      <c r="E39" s="125"/>
      <c r="F39" s="125"/>
      <c r="G39" s="125"/>
      <c r="H39" s="125"/>
      <c r="I39" s="125"/>
      <c r="J39" s="125"/>
      <c r="K39" s="126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:24" ht="12.75" customHeight="1" x14ac:dyDescent="0.2">
      <c r="A40" s="95"/>
      <c r="B40" s="95"/>
      <c r="C40" s="172" t="s">
        <v>271</v>
      </c>
      <c r="D40" s="125"/>
      <c r="E40" s="125"/>
      <c r="F40" s="125"/>
      <c r="G40" s="125"/>
      <c r="H40" s="125"/>
      <c r="I40" s="126"/>
      <c r="J40" s="103">
        <f t="shared" ref="J40:K40" si="1">SUM(J28:J38)</f>
        <v>33</v>
      </c>
      <c r="K40" s="103">
        <f t="shared" si="1"/>
        <v>39</v>
      </c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:24" ht="12.75" customHeight="1" x14ac:dyDescent="0.2">
      <c r="A41" s="95"/>
      <c r="B41" s="95"/>
      <c r="C41" s="161"/>
      <c r="D41" s="125"/>
      <c r="E41" s="125"/>
      <c r="F41" s="125"/>
      <c r="G41" s="125"/>
      <c r="H41" s="125"/>
      <c r="I41" s="125"/>
      <c r="J41" s="125"/>
      <c r="K41" s="126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:24" ht="12.75" customHeight="1" x14ac:dyDescent="0.2">
      <c r="A42" s="95"/>
      <c r="B42" s="95"/>
      <c r="C42" s="179" t="s">
        <v>231</v>
      </c>
      <c r="D42" s="125"/>
      <c r="E42" s="125"/>
      <c r="F42" s="125"/>
      <c r="G42" s="125"/>
      <c r="H42" s="125"/>
      <c r="I42" s="126"/>
      <c r="J42" s="104">
        <f t="shared" ref="J42:K42" si="2">J40+J25</f>
        <v>73</v>
      </c>
      <c r="K42" s="104">
        <f t="shared" si="2"/>
        <v>72</v>
      </c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:24" ht="12.75" customHeight="1" x14ac:dyDescent="0.2">
      <c r="A43" s="95"/>
      <c r="B43" s="95"/>
      <c r="C43" s="161"/>
      <c r="D43" s="125"/>
      <c r="E43" s="125"/>
      <c r="F43" s="125"/>
      <c r="G43" s="125"/>
      <c r="H43" s="125"/>
      <c r="I43" s="125"/>
      <c r="J43" s="125"/>
      <c r="K43" s="126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</row>
    <row r="44" spans="1:24" ht="12.75" customHeight="1" x14ac:dyDescent="0.2">
      <c r="A44" s="95"/>
      <c r="B44" s="95"/>
      <c r="C44" s="162" t="s">
        <v>212</v>
      </c>
      <c r="D44" s="163"/>
      <c r="E44" s="163"/>
      <c r="F44" s="163"/>
      <c r="G44" s="163"/>
      <c r="H44" s="163"/>
      <c r="I44" s="163"/>
      <c r="J44" s="163"/>
      <c r="K44" s="164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</row>
    <row r="45" spans="1:24" ht="12.75" customHeight="1" x14ac:dyDescent="0.2">
      <c r="A45" s="95"/>
      <c r="B45" s="95"/>
      <c r="C45" s="165"/>
      <c r="D45" s="166"/>
      <c r="E45" s="166"/>
      <c r="F45" s="166"/>
      <c r="G45" s="166"/>
      <c r="H45" s="166"/>
      <c r="I45" s="166"/>
      <c r="J45" s="166"/>
      <c r="K45" s="167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</row>
    <row r="46" spans="1:24" ht="12.75" customHeight="1" x14ac:dyDescent="0.2">
      <c r="A46" s="95"/>
      <c r="B46" s="95"/>
      <c r="C46" s="96" t="s">
        <v>191</v>
      </c>
      <c r="D46" s="96" t="s">
        <v>192</v>
      </c>
      <c r="E46" s="169" t="s">
        <v>193</v>
      </c>
      <c r="F46" s="126"/>
      <c r="G46" s="96" t="s">
        <v>194</v>
      </c>
      <c r="H46" s="169" t="s">
        <v>214</v>
      </c>
      <c r="I46" s="126"/>
      <c r="J46" s="169" t="s">
        <v>196</v>
      </c>
      <c r="K46" s="126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</row>
    <row r="47" spans="1:24" ht="12.75" customHeight="1" x14ac:dyDescent="0.2">
      <c r="A47" s="95"/>
      <c r="B47" s="95"/>
      <c r="C47" s="189"/>
      <c r="D47" s="125"/>
      <c r="E47" s="125"/>
      <c r="F47" s="125"/>
      <c r="G47" s="125"/>
      <c r="H47" s="125"/>
      <c r="I47" s="125"/>
      <c r="J47" s="125"/>
      <c r="K47" s="126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</row>
    <row r="48" spans="1:24" ht="12.75" customHeight="1" x14ac:dyDescent="0.2">
      <c r="A48" s="95"/>
      <c r="B48" s="95"/>
      <c r="C48" s="170" t="s">
        <v>197</v>
      </c>
      <c r="D48" s="158" t="s">
        <v>200</v>
      </c>
      <c r="E48" s="159" t="s">
        <v>146</v>
      </c>
      <c r="F48" s="159" t="s">
        <v>272</v>
      </c>
      <c r="G48" s="160" t="s">
        <v>194</v>
      </c>
      <c r="H48" s="159" t="s">
        <v>156</v>
      </c>
      <c r="I48" s="159" t="s">
        <v>150</v>
      </c>
      <c r="J48" s="157">
        <v>9</v>
      </c>
      <c r="K48" s="157">
        <v>9</v>
      </c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</row>
    <row r="49" spans="1:24" ht="12.75" customHeight="1" x14ac:dyDescent="0.2">
      <c r="A49" s="95"/>
      <c r="B49" s="95"/>
      <c r="C49" s="141"/>
      <c r="D49" s="141"/>
      <c r="E49" s="141"/>
      <c r="F49" s="141"/>
      <c r="G49" s="141"/>
      <c r="H49" s="141"/>
      <c r="I49" s="141"/>
      <c r="J49" s="141"/>
      <c r="K49" s="141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50" spans="1:24" ht="12.75" customHeight="1" x14ac:dyDescent="0.2">
      <c r="A50" s="95"/>
      <c r="B50" s="95"/>
      <c r="C50" s="161"/>
      <c r="D50" s="125"/>
      <c r="E50" s="125"/>
      <c r="F50" s="125"/>
      <c r="G50" s="125"/>
      <c r="H50" s="125"/>
      <c r="I50" s="125"/>
      <c r="J50" s="125"/>
      <c r="K50" s="126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</row>
    <row r="51" spans="1:24" ht="12.75" customHeight="1" x14ac:dyDescent="0.2">
      <c r="A51" s="95"/>
      <c r="B51" s="95"/>
      <c r="C51" s="170" t="s">
        <v>197</v>
      </c>
      <c r="D51" s="158" t="s">
        <v>206</v>
      </c>
      <c r="E51" s="159" t="s">
        <v>123</v>
      </c>
      <c r="F51" s="159" t="s">
        <v>128</v>
      </c>
      <c r="G51" s="160" t="s">
        <v>194</v>
      </c>
      <c r="H51" s="159" t="s">
        <v>127</v>
      </c>
      <c r="I51" s="159" t="s">
        <v>132</v>
      </c>
      <c r="J51" s="157">
        <v>6</v>
      </c>
      <c r="K51" s="157">
        <v>12</v>
      </c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</row>
    <row r="52" spans="1:24" ht="12.75" customHeight="1" x14ac:dyDescent="0.2">
      <c r="A52" s="95"/>
      <c r="B52" s="95"/>
      <c r="C52" s="141"/>
      <c r="D52" s="141"/>
      <c r="E52" s="141"/>
      <c r="F52" s="141"/>
      <c r="G52" s="141"/>
      <c r="H52" s="141"/>
      <c r="I52" s="141"/>
      <c r="J52" s="141"/>
      <c r="K52" s="141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</row>
    <row r="53" spans="1:24" ht="12.75" customHeight="1" x14ac:dyDescent="0.2">
      <c r="A53" s="95"/>
      <c r="B53" s="95"/>
      <c r="C53" s="161"/>
      <c r="D53" s="125"/>
      <c r="E53" s="125"/>
      <c r="F53" s="125"/>
      <c r="G53" s="125"/>
      <c r="H53" s="125"/>
      <c r="I53" s="125"/>
      <c r="J53" s="125"/>
      <c r="K53" s="126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</row>
    <row r="54" spans="1:24" ht="12.75" customHeight="1" x14ac:dyDescent="0.2">
      <c r="A54" s="95"/>
      <c r="B54" s="95"/>
      <c r="C54" s="170" t="s">
        <v>199</v>
      </c>
      <c r="D54" s="158" t="s">
        <v>207</v>
      </c>
      <c r="E54" s="159" t="s">
        <v>59</v>
      </c>
      <c r="F54" s="159" t="s">
        <v>72</v>
      </c>
      <c r="G54" s="160" t="s">
        <v>194</v>
      </c>
      <c r="H54" s="159" t="s">
        <v>62</v>
      </c>
      <c r="I54" s="159" t="s">
        <v>13</v>
      </c>
      <c r="J54" s="157">
        <v>8</v>
      </c>
      <c r="K54" s="157">
        <v>10</v>
      </c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</row>
    <row r="55" spans="1:24" ht="12.75" customHeight="1" x14ac:dyDescent="0.2">
      <c r="A55" s="95"/>
      <c r="B55" s="95"/>
      <c r="C55" s="141"/>
      <c r="D55" s="141"/>
      <c r="E55" s="141"/>
      <c r="F55" s="141"/>
      <c r="G55" s="141"/>
      <c r="H55" s="141"/>
      <c r="I55" s="141"/>
      <c r="J55" s="141"/>
      <c r="K55" s="141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</row>
    <row r="56" spans="1:24" ht="12.75" customHeight="1" x14ac:dyDescent="0.2">
      <c r="A56" s="95"/>
      <c r="B56" s="95"/>
      <c r="C56" s="161"/>
      <c r="D56" s="125"/>
      <c r="E56" s="125"/>
      <c r="F56" s="125"/>
      <c r="G56" s="125"/>
      <c r="H56" s="125"/>
      <c r="I56" s="125"/>
      <c r="J56" s="125"/>
      <c r="K56" s="126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</row>
    <row r="57" spans="1:24" ht="12.75" customHeight="1" x14ac:dyDescent="0.2">
      <c r="A57" s="95"/>
      <c r="B57" s="95"/>
      <c r="C57" s="170" t="s">
        <v>199</v>
      </c>
      <c r="D57" s="171" t="s">
        <v>202</v>
      </c>
      <c r="E57" s="159" t="s">
        <v>17</v>
      </c>
      <c r="F57" s="159" t="s">
        <v>31</v>
      </c>
      <c r="G57" s="160" t="s">
        <v>194</v>
      </c>
      <c r="H57" s="159" t="s">
        <v>21</v>
      </c>
      <c r="I57" s="159" t="s">
        <v>28</v>
      </c>
      <c r="J57" s="157">
        <v>8</v>
      </c>
      <c r="K57" s="157">
        <v>10</v>
      </c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</row>
    <row r="58" spans="1:24" ht="12.75" customHeight="1" x14ac:dyDescent="0.2">
      <c r="A58" s="95"/>
      <c r="B58" s="95"/>
      <c r="C58" s="141"/>
      <c r="D58" s="141"/>
      <c r="E58" s="141"/>
      <c r="F58" s="141"/>
      <c r="G58" s="141"/>
      <c r="H58" s="141"/>
      <c r="I58" s="141"/>
      <c r="J58" s="141"/>
      <c r="K58" s="141"/>
      <c r="L58" s="183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</row>
    <row r="59" spans="1:24" ht="12.75" customHeight="1" x14ac:dyDescent="0.2">
      <c r="A59" s="95"/>
      <c r="B59" s="95"/>
      <c r="C59" s="161"/>
      <c r="D59" s="125"/>
      <c r="E59" s="125"/>
      <c r="F59" s="125"/>
      <c r="G59" s="125"/>
      <c r="H59" s="125"/>
      <c r="I59" s="125"/>
      <c r="J59" s="125"/>
      <c r="K59" s="126"/>
      <c r="L59" s="131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</row>
    <row r="60" spans="1:24" ht="12.75" customHeight="1" x14ac:dyDescent="0.2">
      <c r="A60" s="95"/>
      <c r="B60" s="95"/>
      <c r="C60" s="172" t="s">
        <v>229</v>
      </c>
      <c r="D60" s="125"/>
      <c r="E60" s="125"/>
      <c r="F60" s="125"/>
      <c r="G60" s="125"/>
      <c r="H60" s="125"/>
      <c r="I60" s="126"/>
      <c r="J60" s="103">
        <f t="shared" ref="J60:K60" si="3">SUM(J48:J58)</f>
        <v>31</v>
      </c>
      <c r="K60" s="103">
        <f t="shared" si="3"/>
        <v>41</v>
      </c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</row>
    <row r="61" spans="1:24" ht="12.75" customHeight="1" x14ac:dyDescent="0.2">
      <c r="A61" s="95"/>
      <c r="B61" s="95"/>
      <c r="C61" s="161"/>
      <c r="D61" s="125"/>
      <c r="E61" s="125"/>
      <c r="F61" s="125"/>
      <c r="G61" s="125"/>
      <c r="H61" s="125"/>
      <c r="I61" s="125"/>
      <c r="J61" s="125"/>
      <c r="K61" s="126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</row>
    <row r="62" spans="1:24" ht="12.75" customHeight="1" x14ac:dyDescent="0.2">
      <c r="A62" s="95"/>
      <c r="B62" s="95"/>
      <c r="C62" s="179"/>
      <c r="D62" s="125"/>
      <c r="E62" s="125"/>
      <c r="F62" s="125"/>
      <c r="G62" s="125"/>
      <c r="H62" s="125"/>
      <c r="I62" s="125"/>
      <c r="J62" s="125"/>
      <c r="K62" s="126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</row>
    <row r="63" spans="1:24" ht="12.75" customHeight="1" x14ac:dyDescent="0.2">
      <c r="A63" s="95"/>
      <c r="B63" s="95"/>
      <c r="C63" s="170" t="s">
        <v>197</v>
      </c>
      <c r="D63" s="158" t="s">
        <v>208</v>
      </c>
      <c r="E63" s="159" t="s">
        <v>105</v>
      </c>
      <c r="F63" s="159" t="s">
        <v>117</v>
      </c>
      <c r="G63" s="160" t="s">
        <v>194</v>
      </c>
      <c r="H63" s="159" t="s">
        <v>109</v>
      </c>
      <c r="I63" s="159" t="s">
        <v>115</v>
      </c>
      <c r="J63" s="157">
        <v>12</v>
      </c>
      <c r="K63" s="157">
        <v>6</v>
      </c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</row>
    <row r="64" spans="1:24" ht="12.75" customHeight="1" x14ac:dyDescent="0.2">
      <c r="A64" s="95"/>
      <c r="B64" s="95"/>
      <c r="C64" s="141"/>
      <c r="D64" s="141"/>
      <c r="E64" s="141"/>
      <c r="F64" s="141"/>
      <c r="G64" s="141"/>
      <c r="H64" s="141"/>
      <c r="I64" s="141"/>
      <c r="J64" s="141"/>
      <c r="K64" s="141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</row>
    <row r="65" spans="1:24" ht="12.75" customHeight="1" x14ac:dyDescent="0.2">
      <c r="A65" s="95"/>
      <c r="B65" s="95"/>
      <c r="C65" s="161"/>
      <c r="D65" s="125"/>
      <c r="E65" s="125"/>
      <c r="F65" s="125"/>
      <c r="G65" s="125"/>
      <c r="H65" s="125"/>
      <c r="I65" s="125"/>
      <c r="J65" s="125"/>
      <c r="K65" s="126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</row>
    <row r="66" spans="1:24" ht="12.75" customHeight="1" x14ac:dyDescent="0.2">
      <c r="A66" s="95"/>
      <c r="B66" s="95"/>
      <c r="C66" s="170" t="s">
        <v>197</v>
      </c>
      <c r="D66" s="158" t="s">
        <v>203</v>
      </c>
      <c r="E66" s="159" t="s">
        <v>273</v>
      </c>
      <c r="F66" s="159" t="s">
        <v>52</v>
      </c>
      <c r="G66" s="160" t="s">
        <v>194</v>
      </c>
      <c r="H66" s="159" t="s">
        <v>42</v>
      </c>
      <c r="I66" s="159" t="s">
        <v>49</v>
      </c>
      <c r="J66" s="157">
        <v>10</v>
      </c>
      <c r="K66" s="157">
        <v>8</v>
      </c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</row>
    <row r="67" spans="1:24" ht="12.75" customHeight="1" x14ac:dyDescent="0.2">
      <c r="A67" s="95"/>
      <c r="B67" s="95"/>
      <c r="C67" s="141"/>
      <c r="D67" s="141"/>
      <c r="E67" s="141"/>
      <c r="F67" s="141"/>
      <c r="G67" s="141"/>
      <c r="H67" s="141"/>
      <c r="I67" s="141"/>
      <c r="J67" s="141"/>
      <c r="K67" s="141"/>
      <c r="L67" s="11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</row>
    <row r="68" spans="1:24" ht="12.75" customHeight="1" x14ac:dyDescent="0.2">
      <c r="A68" s="95"/>
      <c r="B68" s="95"/>
      <c r="C68" s="161"/>
      <c r="D68" s="125"/>
      <c r="E68" s="125"/>
      <c r="F68" s="125"/>
      <c r="G68" s="125"/>
      <c r="H68" s="125"/>
      <c r="I68" s="125"/>
      <c r="J68" s="125"/>
      <c r="K68" s="126"/>
      <c r="L68" s="116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</row>
    <row r="69" spans="1:24" ht="12.75" customHeight="1" x14ac:dyDescent="0.2">
      <c r="A69" s="95"/>
      <c r="B69" s="95"/>
      <c r="C69" s="170" t="s">
        <v>199</v>
      </c>
      <c r="D69" s="158" t="s">
        <v>209</v>
      </c>
      <c r="E69" s="159" t="s">
        <v>65</v>
      </c>
      <c r="F69" s="159" t="s">
        <v>140</v>
      </c>
      <c r="G69" s="160" t="s">
        <v>194</v>
      </c>
      <c r="H69" s="159" t="s">
        <v>69</v>
      </c>
      <c r="I69" s="159" t="s">
        <v>144</v>
      </c>
      <c r="J69" s="157">
        <v>14</v>
      </c>
      <c r="K69" s="157">
        <v>4</v>
      </c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</row>
    <row r="70" spans="1:24" ht="12.75" customHeight="1" x14ac:dyDescent="0.2">
      <c r="A70" s="95"/>
      <c r="B70" s="95"/>
      <c r="C70" s="141"/>
      <c r="D70" s="141"/>
      <c r="E70" s="141"/>
      <c r="F70" s="141"/>
      <c r="G70" s="141"/>
      <c r="H70" s="141"/>
      <c r="I70" s="141"/>
      <c r="J70" s="141"/>
      <c r="K70" s="141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</row>
    <row r="71" spans="1:24" ht="12.75" customHeight="1" x14ac:dyDescent="0.2">
      <c r="A71" s="95"/>
      <c r="B71" s="95"/>
      <c r="C71" s="161"/>
      <c r="D71" s="125"/>
      <c r="E71" s="125"/>
      <c r="F71" s="125"/>
      <c r="G71" s="125"/>
      <c r="H71" s="125"/>
      <c r="I71" s="125"/>
      <c r="J71" s="125"/>
      <c r="K71" s="126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</row>
    <row r="72" spans="1:24" ht="12.75" customHeight="1" x14ac:dyDescent="0.2">
      <c r="A72" s="95"/>
      <c r="B72" s="95"/>
      <c r="C72" s="170" t="s">
        <v>201</v>
      </c>
      <c r="D72" s="171" t="s">
        <v>198</v>
      </c>
      <c r="E72" s="159" t="s">
        <v>84</v>
      </c>
      <c r="F72" s="159" t="s">
        <v>91</v>
      </c>
      <c r="G72" s="160" t="s">
        <v>194</v>
      </c>
      <c r="H72" s="159" t="s">
        <v>274</v>
      </c>
      <c r="I72" s="159" t="s">
        <v>95</v>
      </c>
      <c r="J72" s="157">
        <v>10</v>
      </c>
      <c r="K72" s="157">
        <v>9</v>
      </c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</row>
    <row r="73" spans="1:24" ht="12.75" customHeight="1" x14ac:dyDescent="0.2">
      <c r="A73" s="95"/>
      <c r="B73" s="95"/>
      <c r="C73" s="141"/>
      <c r="D73" s="141"/>
      <c r="E73" s="141"/>
      <c r="F73" s="141"/>
      <c r="G73" s="141"/>
      <c r="H73" s="141"/>
      <c r="I73" s="141"/>
      <c r="J73" s="141"/>
      <c r="K73" s="141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</row>
    <row r="74" spans="1:24" ht="12.75" customHeight="1" x14ac:dyDescent="0.2">
      <c r="A74" s="95"/>
      <c r="B74" s="95"/>
      <c r="C74" s="161"/>
      <c r="D74" s="125"/>
      <c r="E74" s="125"/>
      <c r="F74" s="125"/>
      <c r="G74" s="125"/>
      <c r="H74" s="125"/>
      <c r="I74" s="125"/>
      <c r="J74" s="125"/>
      <c r="K74" s="126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</row>
    <row r="75" spans="1:24" ht="12.75" customHeight="1" x14ac:dyDescent="0.2">
      <c r="A75" s="95"/>
      <c r="B75" s="95"/>
      <c r="C75" s="172" t="s">
        <v>271</v>
      </c>
      <c r="D75" s="125"/>
      <c r="E75" s="125"/>
      <c r="F75" s="125"/>
      <c r="G75" s="125"/>
      <c r="H75" s="125"/>
      <c r="I75" s="126"/>
      <c r="J75" s="103">
        <f t="shared" ref="J75:K75" si="4">SUM(J63:J73)</f>
        <v>46</v>
      </c>
      <c r="K75" s="103">
        <f t="shared" si="4"/>
        <v>27</v>
      </c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</row>
    <row r="76" spans="1:24" ht="12.75" customHeight="1" x14ac:dyDescent="0.2">
      <c r="A76" s="95"/>
      <c r="B76" s="95"/>
      <c r="C76" s="161"/>
      <c r="D76" s="125"/>
      <c r="E76" s="125"/>
      <c r="F76" s="125"/>
      <c r="G76" s="125"/>
      <c r="H76" s="125"/>
      <c r="I76" s="125"/>
      <c r="J76" s="125"/>
      <c r="K76" s="126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</row>
    <row r="77" spans="1:24" ht="12.75" customHeight="1" x14ac:dyDescent="0.2">
      <c r="A77" s="95"/>
      <c r="B77" s="95"/>
      <c r="C77" s="179" t="s">
        <v>231</v>
      </c>
      <c r="D77" s="125"/>
      <c r="E77" s="125"/>
      <c r="F77" s="125"/>
      <c r="G77" s="125"/>
      <c r="H77" s="125"/>
      <c r="I77" s="126"/>
      <c r="J77" s="104">
        <f t="shared" ref="J77:K77" si="5">J75+J60</f>
        <v>77</v>
      </c>
      <c r="K77" s="104">
        <f t="shared" si="5"/>
        <v>68</v>
      </c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</row>
    <row r="78" spans="1:24" ht="12.75" customHeight="1" x14ac:dyDescent="0.2">
      <c r="A78" s="95"/>
      <c r="B78" s="95"/>
      <c r="C78" s="161"/>
      <c r="D78" s="125"/>
      <c r="E78" s="125"/>
      <c r="F78" s="125"/>
      <c r="G78" s="125"/>
      <c r="H78" s="125"/>
      <c r="I78" s="125"/>
      <c r="J78" s="125"/>
      <c r="K78" s="126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  <row r="79" spans="1:24" ht="12.75" customHeight="1" x14ac:dyDescent="0.2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</row>
    <row r="80" spans="1:24" ht="12.75" customHeight="1" x14ac:dyDescent="0.2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</row>
    <row r="81" spans="1:24" ht="12.75" customHeight="1" x14ac:dyDescent="0.2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</row>
    <row r="82" spans="1:24" ht="12.75" customHeight="1" x14ac:dyDescent="0.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</row>
    <row r="83" spans="1:24" ht="12.75" customHeight="1" x14ac:dyDescent="0.2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</row>
    <row r="84" spans="1:24" ht="12.75" customHeight="1" x14ac:dyDescent="0.2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</row>
    <row r="85" spans="1:24" ht="12.75" customHeight="1" x14ac:dyDescent="0.2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</row>
    <row r="86" spans="1:24" ht="12.75" customHeight="1" x14ac:dyDescent="0.2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</row>
    <row r="87" spans="1:24" ht="12.75" customHeight="1" x14ac:dyDescent="0.2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</row>
    <row r="88" spans="1:24" ht="12.75" customHeight="1" x14ac:dyDescent="0.2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</row>
    <row r="89" spans="1:24" ht="12.75" customHeight="1" x14ac:dyDescent="0.2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</row>
    <row r="90" spans="1:24" ht="12.75" customHeight="1" x14ac:dyDescent="0.2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</row>
    <row r="91" spans="1:24" ht="12.75" customHeight="1" x14ac:dyDescent="0.2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</row>
    <row r="92" spans="1:24" ht="12.75" customHeight="1" x14ac:dyDescent="0.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</row>
    <row r="93" spans="1:24" ht="12.75" customHeight="1" x14ac:dyDescent="0.2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</row>
    <row r="94" spans="1:24" ht="12.75" customHeight="1" x14ac:dyDescent="0.2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</row>
    <row r="95" spans="1:24" ht="12.75" customHeight="1" x14ac:dyDescent="0.2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</row>
    <row r="96" spans="1:24" ht="12.75" customHeight="1" x14ac:dyDescent="0.2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</row>
    <row r="97" spans="1:24" ht="12.75" customHeight="1" x14ac:dyDescent="0.2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</row>
    <row r="98" spans="1:24" ht="12.75" customHeight="1" x14ac:dyDescent="0.2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</row>
    <row r="99" spans="1:24" ht="12.75" customHeight="1" x14ac:dyDescent="0.2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</row>
    <row r="100" spans="1:24" ht="12.75" customHeight="1" x14ac:dyDescent="0.2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</row>
    <row r="101" spans="1:24" ht="12.75" customHeight="1" x14ac:dyDescent="0.2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</row>
    <row r="102" spans="1:24" ht="12.75" customHeight="1" x14ac:dyDescent="0.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</row>
    <row r="103" spans="1:24" ht="12.75" customHeight="1" x14ac:dyDescent="0.2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</row>
    <row r="104" spans="1:24" ht="12.75" customHeight="1" x14ac:dyDescent="0.2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</row>
    <row r="105" spans="1:24" ht="12.75" customHeight="1" x14ac:dyDescent="0.2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</row>
    <row r="106" spans="1:24" ht="12.75" customHeight="1" x14ac:dyDescent="0.2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</row>
    <row r="107" spans="1:24" ht="12.75" customHeight="1" x14ac:dyDescent="0.2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</row>
    <row r="108" spans="1:24" ht="12.75" customHeight="1" x14ac:dyDescent="0.2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</row>
    <row r="109" spans="1:24" ht="12.75" customHeight="1" x14ac:dyDescent="0.2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</row>
    <row r="110" spans="1:24" ht="12.75" customHeight="1" x14ac:dyDescent="0.2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</row>
    <row r="111" spans="1:24" ht="12.75" customHeight="1" x14ac:dyDescent="0.2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</row>
    <row r="112" spans="1:24" ht="12.75" customHeight="1" x14ac:dyDescent="0.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</row>
    <row r="113" spans="1:24" ht="12.75" customHeight="1" x14ac:dyDescent="0.2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</row>
    <row r="114" spans="1:24" ht="12.75" customHeight="1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</row>
    <row r="115" spans="1:24" ht="12.75" customHeight="1" x14ac:dyDescent="0.2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</row>
    <row r="116" spans="1:24" ht="12.75" customHeight="1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</row>
    <row r="117" spans="1:24" ht="12.75" customHeight="1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</row>
    <row r="118" spans="1:24" ht="12.75" customHeight="1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</row>
    <row r="119" spans="1:24" ht="12.75" customHeight="1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</row>
    <row r="120" spans="1:24" ht="12.75" customHeight="1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</row>
    <row r="121" spans="1:24" ht="12.75" customHeight="1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</row>
    <row r="122" spans="1:24" ht="12.75" customHeight="1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</row>
    <row r="123" spans="1:24" ht="12.75" customHeight="1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</row>
    <row r="124" spans="1:24" ht="12.75" customHeight="1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</row>
    <row r="125" spans="1:24" ht="12.75" customHeight="1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</row>
    <row r="126" spans="1:24" ht="12.75" customHeight="1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</row>
    <row r="127" spans="1:24" ht="12.75" customHeight="1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</row>
    <row r="128" spans="1:24" ht="12.75" customHeight="1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</row>
    <row r="129" spans="1:24" ht="12.75" customHeight="1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</row>
    <row r="130" spans="1:24" ht="12.75" customHeight="1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</row>
    <row r="131" spans="1:24" ht="12.75" customHeight="1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</row>
    <row r="132" spans="1:24" ht="12.75" customHeight="1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</row>
    <row r="133" spans="1:24" ht="12.75" customHeight="1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</row>
    <row r="134" spans="1:24" ht="12.75" customHeight="1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</row>
    <row r="135" spans="1:24" ht="12.75" customHeight="1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</row>
    <row r="136" spans="1:24" ht="12.75" customHeight="1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</row>
    <row r="137" spans="1:24" ht="12.75" customHeight="1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</row>
    <row r="138" spans="1:24" ht="12.75" customHeight="1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</row>
    <row r="139" spans="1:24" ht="12.75" customHeight="1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</row>
    <row r="140" spans="1:24" ht="12.75" customHeight="1" x14ac:dyDescent="0.2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</row>
    <row r="141" spans="1:24" ht="12.75" customHeight="1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</row>
    <row r="142" spans="1:24" ht="12.75" customHeight="1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</row>
    <row r="143" spans="1:24" ht="12.75" customHeight="1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</row>
    <row r="144" spans="1:24" ht="12.75" customHeight="1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</row>
    <row r="145" spans="1:24" ht="12.75" customHeight="1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</row>
    <row r="146" spans="1:24" ht="12.75" customHeight="1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</row>
    <row r="147" spans="1:24" ht="12.75" customHeight="1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</row>
    <row r="148" spans="1:24" ht="12.75" customHeight="1" x14ac:dyDescent="0.2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</row>
    <row r="149" spans="1:24" ht="12.75" customHeight="1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</row>
    <row r="150" spans="1:24" ht="12.75" customHeight="1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</row>
    <row r="151" spans="1:24" ht="12.75" customHeight="1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</row>
    <row r="152" spans="1:24" ht="12.75" customHeight="1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</row>
    <row r="153" spans="1:24" ht="12.75" customHeight="1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</row>
    <row r="154" spans="1:24" ht="12.75" customHeight="1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</row>
    <row r="155" spans="1:24" ht="12.75" customHeight="1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</row>
    <row r="156" spans="1:24" ht="12.75" customHeight="1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</row>
    <row r="157" spans="1:24" ht="12.75" customHeight="1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</row>
    <row r="158" spans="1:24" ht="12.75" customHeight="1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</row>
    <row r="159" spans="1:24" ht="12.75" customHeight="1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</row>
    <row r="160" spans="1:24" ht="12.75" customHeight="1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</row>
    <row r="161" spans="1:24" ht="12.75" customHeight="1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</row>
    <row r="162" spans="1:24" ht="12.75" customHeight="1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</row>
    <row r="163" spans="1:24" ht="12.75" customHeight="1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</row>
    <row r="164" spans="1:24" ht="12.75" customHeight="1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</row>
    <row r="165" spans="1:24" ht="12.75" customHeight="1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</row>
    <row r="166" spans="1:24" ht="12.75" customHeight="1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</row>
    <row r="167" spans="1:24" ht="12.75" customHeight="1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</row>
    <row r="168" spans="1:24" ht="12.75" customHeight="1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</row>
    <row r="169" spans="1:24" ht="12.75" customHeight="1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</row>
    <row r="170" spans="1:24" ht="12.75" customHeight="1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</row>
    <row r="171" spans="1:24" ht="12.75" customHeight="1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</row>
    <row r="172" spans="1:24" ht="12.75" customHeight="1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</row>
    <row r="173" spans="1:24" ht="12.75" customHeight="1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</row>
    <row r="174" spans="1:24" ht="12.75" customHeight="1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</row>
    <row r="175" spans="1:24" ht="12.75" customHeight="1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</row>
    <row r="176" spans="1:24" ht="12.75" customHeight="1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</row>
    <row r="177" spans="1:24" ht="12.75" customHeight="1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</row>
    <row r="178" spans="1:24" ht="12.75" customHeight="1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</row>
    <row r="179" spans="1:24" ht="12.75" customHeight="1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</row>
    <row r="180" spans="1:24" ht="12.75" customHeight="1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</row>
    <row r="181" spans="1:24" ht="12.75" customHeight="1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</row>
    <row r="182" spans="1:24" ht="12.75" customHeight="1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</row>
    <row r="183" spans="1:24" ht="12.75" customHeight="1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</row>
    <row r="184" spans="1:24" ht="12.75" customHeight="1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</row>
    <row r="185" spans="1:24" ht="12.75" customHeight="1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</row>
    <row r="186" spans="1:24" ht="12.75" customHeight="1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</row>
    <row r="187" spans="1:24" ht="12.75" customHeight="1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</row>
    <row r="188" spans="1:24" ht="12.75" customHeight="1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</row>
    <row r="189" spans="1:24" ht="12.75" customHeight="1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</row>
    <row r="190" spans="1:24" ht="12.75" customHeight="1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</row>
    <row r="191" spans="1:24" ht="12.75" customHeight="1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</row>
    <row r="192" spans="1:24" ht="12.75" customHeight="1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</row>
    <row r="193" spans="1:24" ht="12.75" customHeight="1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</row>
    <row r="194" spans="1:24" ht="12.75" customHeight="1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</row>
    <row r="195" spans="1:24" ht="12.75" customHeight="1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</row>
    <row r="196" spans="1:24" ht="12.75" customHeight="1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</row>
    <row r="197" spans="1:24" ht="12.75" customHeight="1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</row>
    <row r="198" spans="1:24" ht="12.75" customHeight="1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</row>
    <row r="199" spans="1:24" ht="12.75" customHeight="1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</row>
    <row r="200" spans="1:24" ht="12.75" customHeight="1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</row>
    <row r="201" spans="1:24" ht="12.75" customHeight="1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</row>
    <row r="202" spans="1:24" ht="12.75" customHeight="1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</row>
    <row r="203" spans="1:24" ht="12.75" customHeight="1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</row>
    <row r="204" spans="1:24" ht="12.75" customHeight="1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</row>
    <row r="205" spans="1:24" ht="12.75" customHeight="1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</row>
    <row r="206" spans="1:24" ht="12.75" customHeight="1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</row>
    <row r="207" spans="1:24" ht="12.75" customHeight="1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</row>
    <row r="208" spans="1:24" ht="12.75" customHeight="1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</row>
    <row r="209" spans="1:24" ht="12.75" customHeight="1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</row>
    <row r="210" spans="1:24" ht="12.75" customHeight="1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</row>
    <row r="211" spans="1:24" ht="12.75" customHeight="1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</row>
    <row r="212" spans="1:24" ht="12.75" customHeight="1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</row>
    <row r="213" spans="1:24" ht="12.75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</row>
    <row r="214" spans="1:24" ht="12.75" customHeight="1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</row>
    <row r="215" spans="1:24" ht="12.75" customHeight="1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</row>
    <row r="216" spans="1:24" ht="12.75" customHeight="1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</row>
    <row r="217" spans="1:24" ht="12.75" customHeight="1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</row>
    <row r="218" spans="1:24" ht="12.75" customHeight="1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</row>
    <row r="219" spans="1:24" ht="12.75" customHeight="1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</row>
    <row r="220" spans="1:24" ht="12.75" customHeight="1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</row>
    <row r="221" spans="1:24" ht="12.75" customHeight="1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</row>
    <row r="222" spans="1:24" ht="12.75" customHeight="1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</row>
    <row r="223" spans="1:24" ht="12.75" customHeight="1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</row>
    <row r="224" spans="1:24" ht="12.75" customHeight="1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</row>
    <row r="225" spans="1:24" ht="12.75" customHeight="1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</row>
    <row r="226" spans="1:24" ht="12.75" customHeight="1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</row>
    <row r="227" spans="1:24" ht="12.75" customHeight="1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</row>
    <row r="228" spans="1:24" ht="12.75" customHeight="1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</row>
    <row r="229" spans="1:24" ht="12.75" customHeight="1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</row>
    <row r="230" spans="1:24" ht="12.75" customHeight="1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</row>
    <row r="231" spans="1:24" ht="12.75" customHeight="1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</row>
    <row r="232" spans="1:24" ht="12.75" customHeight="1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</row>
    <row r="233" spans="1:24" ht="12.75" customHeight="1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</row>
    <row r="234" spans="1:24" ht="12.75" customHeight="1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</row>
    <row r="235" spans="1:24" ht="12.75" customHeight="1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</row>
    <row r="236" spans="1:24" ht="12.75" customHeight="1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</row>
    <row r="237" spans="1:24" ht="12.75" customHeight="1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</row>
    <row r="238" spans="1:24" ht="12.75" customHeight="1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</row>
    <row r="239" spans="1:24" ht="12.75" customHeight="1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</row>
    <row r="240" spans="1:24" ht="12.75" customHeight="1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</row>
    <row r="241" spans="1:24" ht="12.75" customHeight="1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</row>
    <row r="242" spans="1:24" ht="12.75" customHeigh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</row>
    <row r="243" spans="1:24" ht="12.75" customHeight="1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</row>
    <row r="244" spans="1:24" ht="12.75" customHeight="1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</row>
    <row r="245" spans="1:24" ht="12.75" customHeight="1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</row>
    <row r="246" spans="1:24" ht="12.75" customHeight="1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</row>
    <row r="247" spans="1:24" ht="12.75" customHeight="1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</row>
    <row r="248" spans="1:24" ht="12.75" customHeight="1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</row>
    <row r="249" spans="1:24" ht="12.75" customHeight="1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</row>
    <row r="250" spans="1:24" ht="12.75" customHeight="1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</row>
    <row r="251" spans="1:24" ht="12.75" customHeight="1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</row>
    <row r="252" spans="1:24" ht="12.75" customHeight="1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</row>
    <row r="253" spans="1:24" ht="12.75" customHeight="1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</row>
    <row r="254" spans="1:24" ht="12.75" customHeight="1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</row>
    <row r="255" spans="1:24" ht="12.75" customHeight="1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</row>
    <row r="256" spans="1:24" ht="12.7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</row>
    <row r="257" spans="1:24" ht="12.75" customHeight="1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</row>
    <row r="258" spans="1:24" ht="12.75" customHeight="1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</row>
    <row r="259" spans="1:24" ht="12.75" customHeight="1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</row>
    <row r="260" spans="1:24" ht="12.75" customHeight="1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</row>
    <row r="261" spans="1:24" ht="12.75" customHeight="1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</row>
    <row r="262" spans="1:24" ht="12.75" customHeight="1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</row>
    <row r="263" spans="1:24" ht="12.75" customHeight="1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</row>
    <row r="264" spans="1:24" ht="12.75" customHeight="1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</row>
    <row r="265" spans="1:24" ht="12.75" customHeight="1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</row>
    <row r="266" spans="1:24" ht="12.75" customHeight="1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</row>
    <row r="267" spans="1:24" ht="12.75" customHeight="1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</row>
    <row r="268" spans="1:24" ht="12.75" customHeight="1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</row>
    <row r="269" spans="1:24" ht="12.75" customHeight="1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</row>
    <row r="270" spans="1:24" ht="12.75" customHeight="1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</row>
    <row r="271" spans="1:24" ht="12.75" customHeight="1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</row>
    <row r="272" spans="1:24" ht="12.75" customHeight="1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</row>
    <row r="273" spans="1:24" ht="12.75" customHeight="1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</row>
    <row r="274" spans="1:24" ht="12.75" customHeight="1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</row>
    <row r="275" spans="1:24" ht="12.75" customHeight="1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</row>
    <row r="276" spans="1:24" ht="12.75" customHeight="1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</row>
    <row r="277" spans="1:24" ht="12.75" customHeight="1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</row>
    <row r="278" spans="1:24" ht="12.75" customHeight="1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</row>
    <row r="279" spans="1:24" ht="12.75" customHeight="1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</row>
    <row r="280" spans="1:24" ht="12.75" customHeight="1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</row>
    <row r="281" spans="1:24" ht="12.75" customHeight="1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</row>
    <row r="282" spans="1:24" ht="12.75" customHeight="1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</row>
    <row r="283" spans="1:24" ht="12.75" customHeight="1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pans="1:24" ht="12.75" customHeight="1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pans="1:24" ht="12.75" customHeight="1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pans="1:24" ht="12.75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pans="1:24" ht="12.75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pans="1:24" ht="12.75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pans="1:24" ht="12.75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pans="1:24" ht="12.75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pans="1:24" ht="12.75" customHeight="1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pans="1:24" ht="12.75" customHeight="1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pans="1:24" ht="12.75" customHeight="1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pans="1:24" ht="12.75" customHeight="1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pans="1:24" ht="12.75" customHeight="1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pans="1:24" ht="12.75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pans="1:24" ht="12.75" customHeight="1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pans="1:24" ht="12.75" customHeight="1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pans="1:24" ht="12.75" customHeight="1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pans="1:24" ht="12.75" customHeight="1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pans="1:24" ht="12.75" customHeight="1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pans="1:24" ht="12.75" customHeight="1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pans="1:24" ht="12.75" customHeight="1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pans="1:24" ht="12.75" customHeight="1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pans="1:24" ht="12.75" customHeight="1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pans="1:24" ht="12.75" customHeight="1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pans="1:24" ht="12.75" customHeight="1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pans="1:24" ht="12.75" customHeight="1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pans="1:24" ht="12.75" customHeight="1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pans="1:24" ht="12.75" customHeight="1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pans="1:24" ht="12.75" customHeight="1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pans="1:24" ht="12.75" customHeight="1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pans="1:24" ht="12.75" customHeight="1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pans="1:24" ht="12.75" customHeight="1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pans="1:24" ht="12.75" customHeight="1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pans="1:24" ht="12.75" customHeight="1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pans="1:24" ht="12.75" customHeight="1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pans="1:24" ht="12.75" customHeight="1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pans="1:24" ht="12.75" customHeight="1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pans="1:24" ht="12.75" customHeight="1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pans="1:24" ht="12.75" customHeight="1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pans="1:24" ht="12.75" customHeight="1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pans="1:24" ht="12.75" customHeight="1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pans="1:24" ht="12.75" customHeight="1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pans="1:24" ht="12.75" customHeight="1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pans="1:24" ht="12.75" customHeight="1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pans="1:24" ht="12.75" customHeight="1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pans="1:24" ht="12.75" customHeight="1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pans="1:24" ht="12.75" customHeight="1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pans="1:24" ht="12.75" customHeight="1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pans="1:24" ht="12.75" customHeight="1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pans="1:24" ht="12.75" customHeight="1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pans="1:24" ht="12.75" customHeight="1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pans="1:24" ht="12.75" customHeight="1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pans="1:24" ht="12.75" customHeight="1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pans="1:24" ht="12.75" customHeight="1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pans="1:24" ht="12.75" customHeight="1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pans="1:24" ht="12.75" customHeight="1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pans="1:24" ht="12.75" customHeight="1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pans="1:24" ht="12.75" customHeight="1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pans="1:24" ht="12.75" customHeight="1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pans="1:24" ht="12.75" customHeight="1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pans="1:24" ht="12.75" customHeight="1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pans="1:24" ht="12.75" customHeight="1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pans="1:24" ht="12.75" customHeight="1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pans="1:24" ht="12.75" customHeight="1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pans="1:24" ht="12.75" customHeight="1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</row>
    <row r="348" spans="1:24" ht="12.75" customHeight="1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</row>
    <row r="349" spans="1:24" ht="12.75" customHeight="1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</row>
    <row r="350" spans="1:24" ht="12.75" customHeight="1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</row>
    <row r="351" spans="1:24" ht="12.75" customHeight="1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pans="1:24" ht="12.75" customHeight="1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pans="1:24" ht="12.75" customHeight="1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pans="1:24" ht="12.75" customHeight="1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pans="1:24" ht="12.75" customHeight="1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</row>
    <row r="356" spans="1:24" ht="12.75" customHeight="1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</row>
    <row r="357" spans="1:24" ht="12.75" customHeight="1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</row>
    <row r="358" spans="1:24" ht="12.75" customHeight="1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</row>
    <row r="359" spans="1:24" ht="12.75" customHeight="1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</row>
    <row r="360" spans="1:24" ht="12.75" customHeight="1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</row>
    <row r="361" spans="1:24" ht="12.75" customHeight="1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</row>
    <row r="362" spans="1:24" ht="12.75" customHeight="1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</row>
    <row r="363" spans="1:24" ht="12.75" customHeight="1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</row>
    <row r="364" spans="1:24" ht="12.75" customHeight="1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</row>
    <row r="365" spans="1:24" ht="12.75" customHeight="1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</row>
    <row r="366" spans="1:24" ht="12.75" customHeight="1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</row>
    <row r="367" spans="1:24" ht="12.75" customHeight="1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</row>
    <row r="368" spans="1:24" ht="12.75" customHeight="1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</row>
    <row r="369" spans="1:24" ht="12.75" customHeight="1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</row>
    <row r="370" spans="1:24" ht="12.75" customHeight="1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</row>
    <row r="371" spans="1:24" ht="12.75" customHeight="1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</row>
    <row r="372" spans="1:24" ht="12.75" customHeight="1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</row>
    <row r="373" spans="1:24" ht="12.75" customHeight="1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</row>
    <row r="374" spans="1:24" ht="12.75" customHeight="1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</row>
    <row r="375" spans="1:24" ht="12.75" customHeight="1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</row>
    <row r="376" spans="1:24" ht="12.75" customHeight="1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</row>
    <row r="377" spans="1:24" ht="12.75" customHeight="1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</row>
    <row r="378" spans="1:24" ht="12.75" customHeight="1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</row>
    <row r="379" spans="1:24" ht="12.75" customHeight="1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</row>
    <row r="380" spans="1:24" ht="12.75" customHeight="1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</row>
    <row r="381" spans="1:24" ht="12.75" customHeight="1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</row>
    <row r="382" spans="1:24" ht="12.75" customHeight="1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</row>
    <row r="383" spans="1:24" ht="12.75" customHeight="1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</row>
    <row r="384" spans="1:24" ht="12.75" customHeight="1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</row>
    <row r="385" spans="1:24" ht="12.75" customHeight="1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</row>
    <row r="386" spans="1:24" ht="12.75" customHeight="1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</row>
    <row r="387" spans="1:24" ht="12.75" customHeight="1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</row>
    <row r="388" spans="1:24" ht="12.75" customHeight="1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</row>
    <row r="389" spans="1:24" ht="12.75" customHeight="1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</row>
    <row r="390" spans="1:24" ht="12.75" customHeight="1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</row>
    <row r="391" spans="1:24" ht="12.75" customHeight="1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</row>
    <row r="392" spans="1:24" ht="12.75" customHeight="1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</row>
    <row r="393" spans="1:24" ht="12.75" customHeight="1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</row>
    <row r="394" spans="1:24" ht="12.75" customHeight="1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</row>
    <row r="395" spans="1:24" ht="12.75" customHeight="1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</row>
    <row r="396" spans="1:24" ht="12.75" customHeight="1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</row>
    <row r="397" spans="1:24" ht="12.75" customHeight="1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</row>
    <row r="398" spans="1:24" ht="12.75" customHeight="1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</row>
    <row r="399" spans="1:24" ht="12.75" customHeight="1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</row>
    <row r="400" spans="1:24" ht="12.75" customHeight="1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</row>
    <row r="401" spans="1:24" ht="12.75" customHeight="1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</row>
    <row r="402" spans="1:24" ht="12.75" customHeight="1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</row>
    <row r="403" spans="1:24" ht="12.75" customHeight="1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</row>
    <row r="404" spans="1:24" ht="12.75" customHeight="1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</row>
    <row r="405" spans="1:24" ht="12.75" customHeight="1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</row>
    <row r="406" spans="1:24" ht="12.75" customHeight="1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</row>
    <row r="407" spans="1:24" ht="12.75" customHeight="1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</row>
    <row r="408" spans="1:24" ht="12.75" customHeight="1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</row>
    <row r="409" spans="1:24" ht="12.75" customHeight="1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</row>
    <row r="410" spans="1:24" ht="12.75" customHeight="1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</row>
    <row r="411" spans="1:24" ht="12.75" customHeight="1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</row>
    <row r="412" spans="1:24" ht="12.75" customHeight="1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</row>
    <row r="413" spans="1:24" ht="12.75" customHeight="1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</row>
    <row r="414" spans="1:24" ht="12.75" customHeight="1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</row>
    <row r="415" spans="1:24" ht="12.75" customHeight="1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</row>
    <row r="416" spans="1:24" ht="12.75" customHeight="1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</row>
    <row r="417" spans="1:24" ht="12.75" customHeight="1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</row>
    <row r="418" spans="1:24" ht="12.75" customHeight="1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</row>
    <row r="419" spans="1:24" ht="12.75" customHeight="1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</row>
    <row r="420" spans="1:24" ht="12.75" customHeight="1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</row>
    <row r="421" spans="1:24" ht="12.75" customHeight="1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</row>
    <row r="422" spans="1:24" ht="12.75" customHeight="1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</row>
    <row r="423" spans="1:24" ht="12.75" customHeight="1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</row>
    <row r="424" spans="1:24" ht="12.75" customHeight="1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</row>
    <row r="425" spans="1:24" ht="12.75" customHeight="1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</row>
    <row r="426" spans="1:24" ht="12.75" customHeight="1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</row>
    <row r="427" spans="1:24" ht="12.75" customHeight="1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</row>
    <row r="428" spans="1:24" ht="12.75" customHeight="1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</row>
    <row r="429" spans="1:24" ht="12.75" customHeight="1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</row>
    <row r="430" spans="1:24" ht="12.75" customHeight="1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</row>
    <row r="431" spans="1:24" ht="12.75" customHeight="1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</row>
    <row r="432" spans="1:24" ht="12.75" customHeight="1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</row>
    <row r="433" spans="1:24" ht="12.75" customHeight="1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</row>
    <row r="434" spans="1:24" ht="12.75" customHeight="1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</row>
    <row r="435" spans="1:24" ht="12.75" customHeight="1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</row>
    <row r="436" spans="1:24" ht="12.75" customHeight="1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</row>
    <row r="437" spans="1:24" ht="12.75" customHeight="1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</row>
    <row r="438" spans="1:24" ht="12.75" customHeight="1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</row>
    <row r="439" spans="1:24" ht="12.75" customHeight="1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</row>
    <row r="440" spans="1:24" ht="12.75" customHeight="1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</row>
    <row r="441" spans="1:24" ht="12.75" customHeight="1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</row>
    <row r="442" spans="1:24" ht="12.75" customHeight="1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</row>
    <row r="443" spans="1:24" ht="12.75" customHeight="1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</row>
    <row r="444" spans="1:24" ht="12.75" customHeight="1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</row>
    <row r="445" spans="1:24" ht="12.75" customHeight="1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</row>
    <row r="446" spans="1:24" ht="12.75" customHeight="1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</row>
    <row r="447" spans="1:24" ht="12.75" customHeight="1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</row>
    <row r="448" spans="1:24" ht="12.75" customHeight="1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</row>
    <row r="449" spans="1:24" ht="12.75" customHeight="1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</row>
    <row r="450" spans="1:24" ht="12.75" customHeight="1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</row>
    <row r="451" spans="1:24" ht="12.75" customHeight="1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</row>
    <row r="452" spans="1:24" ht="12.75" customHeight="1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</row>
    <row r="453" spans="1:24" ht="12.75" customHeight="1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</row>
    <row r="454" spans="1:24" ht="12.75" customHeight="1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</row>
    <row r="455" spans="1:24" ht="12.75" customHeight="1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</row>
    <row r="456" spans="1:24" ht="12.75" customHeight="1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</row>
    <row r="457" spans="1:24" ht="12.75" customHeight="1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</row>
    <row r="458" spans="1:24" ht="12.75" customHeight="1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</row>
    <row r="459" spans="1:24" ht="12.75" customHeight="1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</row>
    <row r="460" spans="1:24" ht="12.75" customHeight="1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</row>
    <row r="461" spans="1:24" ht="12.75" customHeight="1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</row>
    <row r="462" spans="1:24" ht="12.75" customHeight="1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</row>
    <row r="463" spans="1:24" ht="12.75" customHeight="1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</row>
    <row r="464" spans="1:24" ht="12.75" customHeight="1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</row>
    <row r="465" spans="1:24" ht="12.75" customHeight="1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</row>
    <row r="466" spans="1:24" ht="12.75" customHeight="1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</row>
    <row r="467" spans="1:24" ht="12.75" customHeight="1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</row>
    <row r="468" spans="1:24" ht="12.75" customHeight="1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</row>
    <row r="469" spans="1:24" ht="12.75" customHeight="1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</row>
    <row r="470" spans="1:24" ht="12.75" customHeight="1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</row>
    <row r="471" spans="1:24" ht="12.75" customHeight="1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</row>
    <row r="472" spans="1:24" ht="12.75" customHeight="1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</row>
    <row r="473" spans="1:24" ht="12.75" customHeight="1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</row>
    <row r="474" spans="1:24" ht="12.75" customHeight="1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</row>
    <row r="475" spans="1:24" ht="12.75" customHeight="1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</row>
    <row r="476" spans="1:24" ht="12.75" customHeight="1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</row>
    <row r="477" spans="1:24" ht="12.75" customHeight="1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</row>
    <row r="478" spans="1:24" ht="12.75" customHeight="1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</row>
    <row r="479" spans="1:24" ht="12.75" customHeight="1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</row>
    <row r="480" spans="1:24" ht="12.75" customHeight="1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</row>
    <row r="481" spans="1:24" ht="12.75" customHeight="1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</row>
    <row r="482" spans="1:24" ht="12.75" customHeight="1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</row>
    <row r="483" spans="1:24" ht="12.75" customHeight="1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</row>
    <row r="484" spans="1:24" ht="12.75" customHeight="1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</row>
    <row r="485" spans="1:24" ht="12.75" customHeight="1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</row>
    <row r="486" spans="1:24" ht="12.75" customHeight="1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</row>
    <row r="487" spans="1:24" ht="12.75" customHeight="1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</row>
    <row r="488" spans="1:24" ht="12.75" customHeight="1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</row>
    <row r="489" spans="1:24" ht="12.75" customHeight="1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</row>
    <row r="490" spans="1:24" ht="12.75" customHeight="1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</row>
    <row r="491" spans="1:24" ht="12.75" customHeight="1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</row>
    <row r="492" spans="1:24" ht="12.75" customHeight="1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</row>
    <row r="493" spans="1:24" ht="12.75" customHeight="1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</row>
    <row r="494" spans="1:24" ht="12.75" customHeight="1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</row>
    <row r="495" spans="1:24" ht="12.75" customHeight="1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</row>
    <row r="496" spans="1:24" ht="12.75" customHeight="1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</row>
    <row r="497" spans="1:24" ht="12.75" customHeight="1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</row>
    <row r="498" spans="1:24" ht="12.75" customHeight="1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</row>
    <row r="499" spans="1:24" ht="12.75" customHeight="1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</row>
    <row r="500" spans="1:24" ht="12.75" customHeight="1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</row>
    <row r="501" spans="1:24" ht="12.75" customHeight="1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</row>
    <row r="502" spans="1:24" ht="12.75" customHeight="1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</row>
    <row r="503" spans="1:24" ht="12.75" customHeight="1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</row>
    <row r="504" spans="1:24" ht="12.75" customHeight="1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</row>
    <row r="505" spans="1:24" ht="12.75" customHeight="1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pans="1:24" ht="12.75" customHeight="1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pans="1:24" ht="12.75" customHeight="1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pans="1:24" ht="12.75" customHeight="1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pans="1:24" ht="12.75" customHeight="1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pans="1:24" ht="12.75" customHeight="1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pans="1:24" ht="12.75" customHeight="1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pans="1:24" ht="12.75" customHeight="1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pans="1:24" ht="12.75" customHeight="1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pans="1:24" ht="12.75" customHeight="1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pans="1:24" ht="12.75" customHeight="1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pans="1:24" ht="12.75" customHeight="1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pans="1:24" ht="12.75" customHeight="1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pans="1:24" ht="12.75" customHeight="1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pans="1:24" ht="12.75" customHeight="1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pans="1:24" ht="12.75" customHeight="1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</row>
    <row r="521" spans="1:24" ht="12.75" customHeight="1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</row>
    <row r="522" spans="1:24" ht="12.75" customHeight="1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</row>
    <row r="523" spans="1:24" ht="12.75" customHeight="1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</row>
    <row r="524" spans="1:24" ht="12.75" customHeight="1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</row>
    <row r="525" spans="1:24" ht="12.75" customHeight="1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</row>
    <row r="526" spans="1:24" ht="12.75" customHeight="1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</row>
    <row r="527" spans="1:24" ht="12.75" customHeight="1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</row>
    <row r="528" spans="1:24" ht="12.75" customHeight="1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</row>
    <row r="529" spans="1:24" ht="12.75" customHeight="1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</row>
    <row r="530" spans="1:24" ht="12.75" customHeight="1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pans="1:24" ht="12.75" customHeight="1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pans="1:24" ht="12.75" customHeight="1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pans="1:24" ht="12.75" customHeight="1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pans="1:24" ht="12.75" customHeight="1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pans="1:24" ht="12.75" customHeight="1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pans="1:24" ht="12.75" customHeight="1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pans="1:24" ht="12.75" customHeight="1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pans="1:24" ht="12.75" customHeight="1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pans="1:24" ht="12.75" customHeight="1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pans="1:24" ht="12.75" customHeight="1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pans="1:24" ht="12.75" customHeight="1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pans="1:24" ht="12.75" customHeight="1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pans="1:24" ht="12.75" customHeight="1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pans="1:24" ht="12.75" customHeight="1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pans="1:24" ht="12.75" customHeight="1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</row>
    <row r="546" spans="1:24" ht="12.75" customHeight="1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</row>
    <row r="547" spans="1:24" ht="12.75" customHeight="1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</row>
    <row r="548" spans="1:24" ht="12.75" customHeight="1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</row>
    <row r="549" spans="1:24" ht="12.75" customHeight="1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</row>
    <row r="550" spans="1:24" ht="12.75" customHeight="1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</row>
    <row r="551" spans="1:24" ht="12.75" customHeight="1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</row>
    <row r="552" spans="1:24" ht="12.75" customHeight="1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</row>
    <row r="553" spans="1:24" ht="12.75" customHeight="1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</row>
    <row r="554" spans="1:24" ht="12.75" customHeight="1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</row>
    <row r="555" spans="1:24" ht="12.75" customHeight="1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</row>
    <row r="556" spans="1:24" ht="12.75" customHeight="1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</row>
    <row r="557" spans="1:24" ht="12.75" customHeight="1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</row>
    <row r="558" spans="1:24" ht="12.75" customHeight="1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</row>
    <row r="559" spans="1:24" ht="12.75" customHeight="1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</row>
    <row r="560" spans="1:24" ht="12.75" customHeight="1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</row>
    <row r="561" spans="1:24" ht="12.75" customHeight="1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</row>
    <row r="562" spans="1:24" ht="12.75" customHeight="1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</row>
    <row r="563" spans="1:24" ht="12.75" customHeight="1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</row>
    <row r="564" spans="1:24" ht="12.75" customHeight="1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</row>
    <row r="565" spans="1:24" ht="12.75" customHeight="1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</row>
    <row r="566" spans="1:24" ht="12.75" customHeight="1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</row>
    <row r="567" spans="1:24" ht="12.75" customHeight="1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</row>
    <row r="568" spans="1:24" ht="12.75" customHeight="1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</row>
    <row r="569" spans="1:24" ht="12.75" customHeight="1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</row>
    <row r="570" spans="1:24" ht="12.75" customHeight="1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</row>
    <row r="571" spans="1:24" ht="12.75" customHeight="1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</row>
    <row r="572" spans="1:24" ht="12.75" customHeight="1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</row>
    <row r="573" spans="1:24" ht="12.75" customHeight="1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</row>
    <row r="574" spans="1:24" ht="12.75" customHeight="1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</row>
    <row r="575" spans="1:24" ht="12.75" customHeight="1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</row>
    <row r="576" spans="1:24" ht="12.75" customHeight="1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</row>
    <row r="577" spans="1:24" ht="12.75" customHeight="1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</row>
    <row r="578" spans="1:24" ht="12.75" customHeight="1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</row>
    <row r="579" spans="1:24" ht="12.75" customHeight="1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</row>
    <row r="580" spans="1:24" ht="12.75" customHeight="1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</row>
    <row r="581" spans="1:24" ht="12.75" customHeight="1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</row>
    <row r="582" spans="1:24" ht="12.75" customHeight="1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</row>
    <row r="583" spans="1:24" ht="12.75" customHeight="1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</row>
    <row r="584" spans="1:24" ht="12.75" customHeight="1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</row>
    <row r="585" spans="1:24" ht="12.75" customHeight="1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</row>
    <row r="586" spans="1:24" ht="12.75" customHeight="1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</row>
    <row r="587" spans="1:24" ht="12.75" customHeight="1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</row>
    <row r="588" spans="1:24" ht="12.75" customHeight="1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</row>
    <row r="589" spans="1:24" ht="12.75" customHeight="1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</row>
    <row r="590" spans="1:24" ht="12.75" customHeight="1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</row>
    <row r="591" spans="1:24" ht="12.75" customHeight="1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</row>
    <row r="592" spans="1:24" ht="12.75" customHeight="1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</row>
    <row r="593" spans="1:24" ht="12.75" customHeight="1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</row>
    <row r="594" spans="1:24" ht="12.75" customHeight="1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</row>
    <row r="595" spans="1:24" ht="12.75" customHeight="1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</row>
    <row r="596" spans="1:24" ht="12.75" customHeight="1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</row>
    <row r="597" spans="1:24" ht="12.75" customHeight="1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</row>
    <row r="598" spans="1:24" ht="12.75" customHeight="1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</row>
    <row r="599" spans="1:24" ht="12.75" customHeight="1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</row>
    <row r="600" spans="1:24" ht="12.75" customHeight="1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</row>
    <row r="601" spans="1:24" ht="12.75" customHeight="1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</row>
    <row r="602" spans="1:24" ht="12.75" customHeight="1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</row>
    <row r="603" spans="1:24" ht="12.75" customHeight="1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</row>
    <row r="604" spans="1:24" ht="12.75" customHeight="1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</row>
    <row r="605" spans="1:24" ht="12.75" customHeight="1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</row>
    <row r="606" spans="1:24" ht="12.75" customHeight="1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</row>
    <row r="607" spans="1:24" ht="12.75" customHeight="1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</row>
    <row r="608" spans="1:24" ht="12.75" customHeight="1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</row>
    <row r="609" spans="1:24" ht="12.75" customHeight="1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</row>
    <row r="610" spans="1:24" ht="12.75" customHeight="1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</row>
    <row r="611" spans="1:24" ht="12.75" customHeight="1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</row>
    <row r="612" spans="1:24" ht="12.75" customHeight="1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</row>
    <row r="613" spans="1:24" ht="12.75" customHeight="1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</row>
    <row r="614" spans="1:24" ht="12.75" customHeight="1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</row>
    <row r="615" spans="1:24" ht="12.75" customHeight="1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</row>
    <row r="616" spans="1:24" ht="12.75" customHeight="1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</row>
    <row r="617" spans="1:24" ht="12.75" customHeight="1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</row>
    <row r="618" spans="1:24" ht="12.75" customHeight="1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</row>
    <row r="619" spans="1:24" ht="12.75" customHeight="1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</row>
    <row r="620" spans="1:24" ht="12.75" customHeight="1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</row>
    <row r="621" spans="1:24" ht="12.75" customHeight="1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</row>
    <row r="622" spans="1:24" ht="12.75" customHeight="1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</row>
    <row r="623" spans="1:24" ht="12.75" customHeight="1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</row>
    <row r="624" spans="1:24" ht="12.75" customHeight="1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</row>
    <row r="625" spans="1:24" ht="12.75" customHeight="1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</row>
    <row r="626" spans="1:24" ht="12.75" customHeight="1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</row>
    <row r="627" spans="1:24" ht="12.75" customHeight="1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</row>
    <row r="628" spans="1:24" ht="12.75" customHeight="1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</row>
    <row r="629" spans="1:24" ht="12.75" customHeight="1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</row>
    <row r="630" spans="1:24" ht="12.75" customHeight="1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</row>
    <row r="631" spans="1:24" ht="12.75" customHeight="1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</row>
    <row r="632" spans="1:24" ht="12.75" customHeight="1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</row>
    <row r="633" spans="1:24" ht="12.75" customHeight="1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</row>
    <row r="634" spans="1:24" ht="12.75" customHeight="1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</row>
    <row r="635" spans="1:24" ht="12.75" customHeight="1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</row>
    <row r="636" spans="1:24" ht="12.75" customHeight="1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</row>
    <row r="637" spans="1:24" ht="12.75" customHeight="1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</row>
    <row r="638" spans="1:24" ht="12.75" customHeight="1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</row>
    <row r="639" spans="1:24" ht="12.75" customHeight="1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</row>
    <row r="640" spans="1:24" ht="12.75" customHeight="1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</row>
    <row r="641" spans="1:24" ht="12.75" customHeight="1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</row>
    <row r="642" spans="1:24" ht="12.75" customHeight="1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</row>
    <row r="643" spans="1:24" ht="12.75" customHeight="1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</row>
    <row r="644" spans="1:24" ht="12.75" customHeight="1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</row>
    <row r="645" spans="1:24" ht="12.75" customHeight="1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</row>
    <row r="646" spans="1:24" ht="12.75" customHeight="1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</row>
    <row r="647" spans="1:24" ht="12.75" customHeight="1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</row>
    <row r="648" spans="1:24" ht="12.75" customHeight="1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</row>
    <row r="649" spans="1:24" ht="12.75" customHeight="1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</row>
    <row r="650" spans="1:24" ht="12.75" customHeight="1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</row>
    <row r="651" spans="1:24" ht="12.75" customHeight="1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</row>
    <row r="652" spans="1:24" ht="12.75" customHeight="1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</row>
    <row r="653" spans="1:24" ht="12.75" customHeight="1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</row>
    <row r="654" spans="1:24" ht="12.75" customHeight="1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</row>
    <row r="655" spans="1:24" ht="12.75" customHeight="1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</row>
    <row r="656" spans="1:24" ht="12.75" customHeight="1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</row>
    <row r="657" spans="1:24" ht="12.75" customHeight="1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</row>
    <row r="658" spans="1:24" ht="12.75" customHeight="1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</row>
    <row r="659" spans="1:24" ht="12.75" customHeight="1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</row>
    <row r="660" spans="1:24" ht="12.75" customHeight="1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</row>
    <row r="661" spans="1:24" ht="12.75" customHeight="1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</row>
    <row r="662" spans="1:24" ht="12.75" customHeight="1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</row>
    <row r="663" spans="1:24" ht="12.75" customHeight="1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</row>
    <row r="664" spans="1:24" ht="12.75" customHeight="1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</row>
    <row r="665" spans="1:24" ht="12.75" customHeight="1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</row>
    <row r="666" spans="1:24" ht="12.75" customHeight="1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</row>
    <row r="667" spans="1:24" ht="12.75" customHeight="1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</row>
    <row r="668" spans="1:24" ht="12.75" customHeight="1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</row>
    <row r="669" spans="1:24" ht="12.75" customHeight="1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</row>
    <row r="670" spans="1:24" ht="12.75" customHeight="1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</row>
    <row r="671" spans="1:24" ht="12.75" customHeight="1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</row>
    <row r="672" spans="1:24" ht="12.75" customHeight="1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</row>
    <row r="673" spans="1:24" ht="12.75" customHeight="1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</row>
    <row r="674" spans="1:24" ht="12.75" customHeight="1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</row>
    <row r="675" spans="1:24" ht="12.75" customHeight="1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</row>
    <row r="676" spans="1:24" ht="12.75" customHeight="1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</row>
    <row r="677" spans="1:24" ht="12.75" customHeight="1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</row>
    <row r="678" spans="1:24" ht="12.75" customHeight="1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</row>
    <row r="679" spans="1:24" ht="12.75" customHeight="1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</row>
    <row r="680" spans="1:24" ht="12.75" customHeight="1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</row>
    <row r="681" spans="1:24" ht="12.75" customHeight="1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</row>
    <row r="682" spans="1:24" ht="12.75" customHeight="1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</row>
    <row r="683" spans="1:24" ht="12.75" customHeight="1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</row>
    <row r="684" spans="1:24" ht="12.75" customHeight="1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</row>
    <row r="685" spans="1:24" ht="12.75" customHeight="1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</row>
    <row r="686" spans="1:24" ht="12.75" customHeight="1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</row>
    <row r="687" spans="1:24" ht="12.75" customHeight="1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</row>
    <row r="688" spans="1:24" ht="12.75" customHeight="1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</row>
    <row r="689" spans="1:24" ht="12.75" customHeight="1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</row>
    <row r="690" spans="1:24" ht="12.75" customHeight="1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</row>
    <row r="691" spans="1:24" ht="12.75" customHeight="1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</row>
    <row r="692" spans="1:24" ht="12.75" customHeight="1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</row>
    <row r="693" spans="1:24" ht="12.75" customHeight="1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</row>
    <row r="694" spans="1:24" ht="12.75" customHeight="1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</row>
    <row r="695" spans="1:24" ht="12.75" customHeight="1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</row>
    <row r="696" spans="1:24" ht="12.75" customHeight="1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</row>
    <row r="697" spans="1:24" ht="12.75" customHeight="1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</row>
    <row r="698" spans="1:24" ht="12.75" customHeight="1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</row>
    <row r="699" spans="1:24" ht="12.75" customHeight="1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</row>
    <row r="700" spans="1:24" ht="12.75" customHeight="1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</row>
    <row r="701" spans="1:24" ht="12.75" customHeight="1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</row>
    <row r="702" spans="1:24" ht="12.75" customHeight="1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</row>
    <row r="703" spans="1:24" ht="12.75" customHeight="1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</row>
    <row r="704" spans="1:24" ht="12.75" customHeight="1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</row>
    <row r="705" spans="1:24" ht="12.75" customHeight="1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</row>
    <row r="706" spans="1:24" ht="12.75" customHeight="1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</row>
    <row r="707" spans="1:24" ht="12.75" customHeight="1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</row>
    <row r="708" spans="1:24" ht="12.75" customHeight="1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</row>
    <row r="709" spans="1:24" ht="12.75" customHeight="1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</row>
    <row r="710" spans="1:24" ht="12.75" customHeight="1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</row>
    <row r="711" spans="1:24" ht="12.75" customHeight="1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</row>
    <row r="712" spans="1:24" ht="12.75" customHeight="1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</row>
    <row r="713" spans="1:24" ht="12.75" customHeight="1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</row>
    <row r="714" spans="1:24" ht="12.75" customHeight="1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</row>
    <row r="715" spans="1:24" ht="12.75" customHeight="1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</row>
    <row r="716" spans="1:24" ht="12.75" customHeight="1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</row>
    <row r="717" spans="1:24" ht="12.75" customHeight="1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</row>
    <row r="718" spans="1:24" ht="12.75" customHeight="1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</row>
    <row r="719" spans="1:24" ht="12.75" customHeight="1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</row>
    <row r="720" spans="1:24" ht="12.75" customHeight="1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</row>
    <row r="721" spans="1:24" ht="12.75" customHeight="1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</row>
    <row r="722" spans="1:24" ht="12.75" customHeight="1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</row>
    <row r="723" spans="1:24" ht="12.75" customHeight="1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</row>
    <row r="724" spans="1:24" ht="12.75" customHeight="1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</row>
    <row r="725" spans="1:24" ht="12.75" customHeight="1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</row>
    <row r="726" spans="1:24" ht="12.75" customHeight="1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</row>
    <row r="727" spans="1:24" ht="12.75" customHeight="1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</row>
    <row r="728" spans="1:24" ht="12.75" customHeight="1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</row>
    <row r="729" spans="1:24" ht="12.75" customHeight="1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</row>
    <row r="730" spans="1:24" ht="12.75" customHeight="1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</row>
    <row r="731" spans="1:24" ht="12.75" customHeight="1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</row>
    <row r="732" spans="1:24" ht="12.75" customHeight="1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</row>
    <row r="733" spans="1:24" ht="12.75" customHeight="1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</row>
    <row r="734" spans="1:24" ht="12.75" customHeight="1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</row>
    <row r="735" spans="1:24" ht="12.75" customHeight="1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</row>
    <row r="736" spans="1:24" ht="12.75" customHeight="1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</row>
    <row r="737" spans="1:24" ht="12.75" customHeight="1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</row>
    <row r="738" spans="1:24" ht="12.75" customHeight="1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</row>
    <row r="739" spans="1:24" ht="12.75" customHeight="1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</row>
    <row r="740" spans="1:24" ht="12.75" customHeight="1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</row>
    <row r="741" spans="1:24" ht="12.75" customHeight="1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</row>
    <row r="742" spans="1:24" ht="12.75" customHeight="1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</row>
    <row r="743" spans="1:24" ht="12.75" customHeight="1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</row>
    <row r="744" spans="1:24" ht="12.75" customHeight="1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</row>
    <row r="745" spans="1:24" ht="12.75" customHeight="1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</row>
    <row r="746" spans="1:24" ht="12.75" customHeight="1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</row>
    <row r="747" spans="1:24" ht="12.75" customHeight="1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</row>
    <row r="748" spans="1:24" ht="12.75" customHeight="1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</row>
    <row r="749" spans="1:24" ht="12.75" customHeight="1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</row>
    <row r="750" spans="1:24" ht="12.75" customHeight="1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</row>
    <row r="751" spans="1:24" ht="12.75" customHeight="1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</row>
    <row r="752" spans="1:24" ht="12.75" customHeight="1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</row>
    <row r="753" spans="1:24" ht="12.75" customHeight="1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</row>
    <row r="754" spans="1:24" ht="12.75" customHeight="1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</row>
    <row r="755" spans="1:24" ht="12.75" customHeight="1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</row>
    <row r="756" spans="1:24" ht="12.75" customHeight="1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</row>
    <row r="757" spans="1:24" ht="12.75" customHeight="1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</row>
    <row r="758" spans="1:24" ht="12.75" customHeight="1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</row>
    <row r="759" spans="1:24" ht="12.75" customHeight="1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</row>
    <row r="760" spans="1:24" ht="12.75" customHeight="1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</row>
    <row r="761" spans="1:24" ht="12.75" customHeight="1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</row>
    <row r="762" spans="1:24" ht="12.75" customHeight="1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</row>
    <row r="763" spans="1:24" ht="12.75" customHeight="1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</row>
    <row r="764" spans="1:24" ht="12.75" customHeight="1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</row>
    <row r="765" spans="1:24" ht="12.75" customHeight="1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</row>
    <row r="766" spans="1:24" ht="12.75" customHeight="1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</row>
    <row r="767" spans="1:24" ht="12.75" customHeight="1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</row>
    <row r="768" spans="1:24" ht="12.75" customHeight="1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</row>
    <row r="769" spans="1:24" ht="12.75" customHeight="1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</row>
    <row r="770" spans="1:24" ht="12.75" customHeight="1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</row>
    <row r="771" spans="1:24" ht="12.75" customHeight="1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</row>
    <row r="772" spans="1:24" ht="12.75" customHeight="1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</row>
    <row r="773" spans="1:24" ht="12.75" customHeight="1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</row>
    <row r="774" spans="1:24" ht="12.75" customHeight="1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</row>
    <row r="775" spans="1:24" ht="12.75" customHeight="1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</row>
    <row r="776" spans="1:24" ht="12.75" customHeight="1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</row>
    <row r="777" spans="1:24" ht="12.75" customHeight="1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</row>
    <row r="778" spans="1:24" ht="12.75" customHeight="1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</row>
    <row r="779" spans="1:24" ht="12.75" customHeight="1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</row>
    <row r="780" spans="1:24" ht="12.75" customHeight="1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</row>
    <row r="781" spans="1:24" ht="12.75" customHeight="1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</row>
    <row r="782" spans="1:24" ht="12.75" customHeight="1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</row>
    <row r="783" spans="1:24" ht="12.75" customHeight="1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</row>
    <row r="784" spans="1:24" ht="12.75" customHeight="1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</row>
    <row r="785" spans="1:24" ht="12.75" customHeight="1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</row>
    <row r="786" spans="1:24" ht="12.75" customHeight="1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</row>
    <row r="787" spans="1:24" ht="12.75" customHeight="1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</row>
    <row r="788" spans="1:24" ht="12.75" customHeight="1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</row>
    <row r="789" spans="1:24" ht="12.75" customHeight="1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</row>
    <row r="790" spans="1:24" ht="12.75" customHeight="1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</row>
    <row r="791" spans="1:24" ht="12.75" customHeight="1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</row>
    <row r="792" spans="1:24" ht="12.75" customHeight="1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</row>
    <row r="793" spans="1:24" ht="12.75" customHeight="1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</row>
    <row r="794" spans="1:24" ht="12.75" customHeight="1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</row>
    <row r="795" spans="1:24" ht="12.75" customHeight="1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</row>
    <row r="796" spans="1:24" ht="12.75" customHeight="1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</row>
    <row r="797" spans="1:24" ht="12.75" customHeight="1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</row>
    <row r="798" spans="1:24" ht="12.75" customHeight="1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</row>
    <row r="799" spans="1:24" ht="12.75" customHeight="1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</row>
    <row r="800" spans="1:24" ht="12.75" customHeight="1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</row>
    <row r="801" spans="1:24" ht="12.75" customHeight="1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</row>
    <row r="802" spans="1:24" ht="12.75" customHeight="1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</row>
    <row r="803" spans="1:24" ht="12.75" customHeight="1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</row>
    <row r="804" spans="1:24" ht="12.75" customHeight="1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</row>
    <row r="805" spans="1:24" ht="12.75" customHeight="1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</row>
    <row r="806" spans="1:24" ht="12.75" customHeight="1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</row>
    <row r="807" spans="1:24" ht="12.75" customHeight="1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</row>
    <row r="808" spans="1:24" ht="12.75" customHeight="1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</row>
    <row r="809" spans="1:24" ht="12.75" customHeight="1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</row>
    <row r="810" spans="1:24" ht="12.75" customHeight="1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</row>
    <row r="811" spans="1:24" ht="12.75" customHeight="1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</row>
    <row r="812" spans="1:24" ht="12.75" customHeight="1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</row>
    <row r="813" spans="1:24" ht="12.75" customHeight="1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</row>
    <row r="814" spans="1:24" ht="12.75" customHeight="1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</row>
    <row r="815" spans="1:24" ht="12.75" customHeight="1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</row>
    <row r="816" spans="1:24" ht="12.75" customHeight="1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</row>
    <row r="817" spans="1:24" ht="12.75" customHeight="1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</row>
    <row r="818" spans="1:24" ht="12.75" customHeight="1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</row>
    <row r="819" spans="1:24" ht="12.75" customHeight="1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</row>
    <row r="820" spans="1:24" ht="12.75" customHeight="1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</row>
    <row r="821" spans="1:24" ht="12.75" customHeight="1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</row>
    <row r="822" spans="1:24" ht="12.75" customHeight="1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</row>
    <row r="823" spans="1:24" ht="12.75" customHeight="1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</row>
    <row r="824" spans="1:24" ht="12.75" customHeight="1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</row>
    <row r="825" spans="1:24" ht="12.75" customHeight="1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</row>
    <row r="826" spans="1:24" ht="12.75" customHeight="1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</row>
    <row r="827" spans="1:24" ht="12.75" customHeight="1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</row>
    <row r="828" spans="1:24" ht="12.75" customHeight="1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</row>
    <row r="829" spans="1:24" ht="12.75" customHeight="1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</row>
    <row r="830" spans="1:24" ht="12.75" customHeight="1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</row>
    <row r="831" spans="1:24" ht="12.75" customHeight="1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</row>
    <row r="832" spans="1:24" ht="12.75" customHeight="1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</row>
    <row r="833" spans="1:24" ht="12.75" customHeight="1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</row>
    <row r="834" spans="1:24" ht="12.75" customHeight="1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</row>
    <row r="835" spans="1:24" ht="12.75" customHeight="1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</row>
    <row r="836" spans="1:24" ht="12.75" customHeight="1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</row>
    <row r="837" spans="1:24" ht="12.75" customHeight="1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</row>
    <row r="838" spans="1:24" ht="12.75" customHeight="1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</row>
    <row r="839" spans="1:24" ht="12.75" customHeight="1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</row>
    <row r="840" spans="1:24" ht="12.75" customHeight="1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</row>
    <row r="841" spans="1:24" ht="12.75" customHeight="1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</row>
    <row r="842" spans="1:24" ht="12.75" customHeight="1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</row>
    <row r="843" spans="1:24" ht="12.75" customHeight="1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</row>
    <row r="844" spans="1:24" ht="12.75" customHeight="1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</row>
    <row r="845" spans="1:24" ht="12.75" customHeight="1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</row>
    <row r="846" spans="1:24" ht="12.75" customHeight="1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</row>
    <row r="847" spans="1:24" ht="12.75" customHeight="1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</row>
    <row r="848" spans="1:24" ht="12.75" customHeight="1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</row>
    <row r="849" spans="1:24" ht="12.75" customHeight="1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</row>
    <row r="850" spans="1:24" ht="12.75" customHeight="1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</row>
    <row r="851" spans="1:24" ht="12.75" customHeight="1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</row>
    <row r="852" spans="1:24" ht="12.75" customHeight="1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</row>
    <row r="853" spans="1:24" ht="12.75" customHeight="1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</row>
    <row r="854" spans="1:24" ht="12.75" customHeight="1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</row>
    <row r="855" spans="1:24" ht="12.75" customHeight="1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</row>
    <row r="856" spans="1:24" ht="12.75" customHeight="1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</row>
    <row r="857" spans="1:24" ht="12.75" customHeight="1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</row>
    <row r="858" spans="1:24" ht="12.75" customHeight="1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</row>
    <row r="859" spans="1:24" ht="12.75" customHeight="1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</row>
    <row r="860" spans="1:24" ht="12.75" customHeight="1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</row>
    <row r="861" spans="1:24" ht="12.75" customHeight="1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</row>
    <row r="862" spans="1:24" ht="12.75" customHeight="1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</row>
    <row r="863" spans="1:24" ht="12.75" customHeight="1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</row>
    <row r="864" spans="1:24" ht="12.75" customHeight="1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</row>
    <row r="865" spans="1:24" ht="12.75" customHeight="1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</row>
    <row r="866" spans="1:24" ht="12.75" customHeight="1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</row>
    <row r="867" spans="1:24" ht="12.75" customHeight="1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</row>
    <row r="868" spans="1:24" ht="12.75" customHeight="1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</row>
    <row r="869" spans="1:24" ht="12.75" customHeight="1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</row>
    <row r="870" spans="1:24" ht="12.75" customHeight="1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</row>
    <row r="871" spans="1:24" ht="12.75" customHeight="1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</row>
    <row r="872" spans="1:24" ht="12.75" customHeight="1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</row>
    <row r="873" spans="1:24" ht="12.75" customHeight="1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</row>
    <row r="874" spans="1:24" ht="12.75" customHeight="1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</row>
    <row r="875" spans="1:24" ht="12.75" customHeight="1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</row>
    <row r="876" spans="1:24" ht="12.75" customHeight="1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</row>
    <row r="877" spans="1:24" ht="12.75" customHeight="1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</row>
    <row r="878" spans="1:24" ht="12.75" customHeight="1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</row>
    <row r="879" spans="1:24" ht="12.75" customHeight="1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</row>
    <row r="880" spans="1:24" ht="12.75" customHeight="1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</row>
    <row r="881" spans="1:24" ht="12.75" customHeight="1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</row>
    <row r="882" spans="1:24" ht="12.75" customHeight="1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</row>
    <row r="883" spans="1:24" ht="12.75" customHeight="1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</row>
    <row r="884" spans="1:24" ht="12.75" customHeight="1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</row>
    <row r="885" spans="1:24" ht="12.75" customHeight="1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</row>
    <row r="886" spans="1:24" ht="12.75" customHeight="1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</row>
    <row r="887" spans="1:24" ht="12.75" customHeight="1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</row>
    <row r="888" spans="1:24" ht="12.75" customHeight="1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</row>
    <row r="889" spans="1:24" ht="12.75" customHeight="1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</row>
    <row r="890" spans="1:24" ht="12.75" customHeight="1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</row>
    <row r="891" spans="1:24" ht="12.75" customHeight="1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</row>
    <row r="892" spans="1:24" ht="12.75" customHeight="1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</row>
    <row r="893" spans="1:24" ht="12.75" customHeight="1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</row>
    <row r="894" spans="1:24" ht="12.75" customHeight="1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</row>
    <row r="895" spans="1:24" ht="12.75" customHeight="1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</row>
    <row r="896" spans="1:24" ht="12.75" customHeight="1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</row>
    <row r="897" spans="1:24" ht="12.75" customHeight="1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</row>
    <row r="898" spans="1:24" ht="12.75" customHeight="1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</row>
    <row r="899" spans="1:24" ht="12.75" customHeight="1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</row>
    <row r="900" spans="1:24" ht="12.75" customHeight="1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</row>
    <row r="901" spans="1:24" ht="12.75" customHeight="1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</row>
    <row r="902" spans="1:24" ht="12.75" customHeight="1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</row>
    <row r="903" spans="1:24" ht="12.75" customHeight="1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</row>
    <row r="904" spans="1:24" ht="12.75" customHeight="1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</row>
    <row r="905" spans="1:24" ht="12.75" customHeight="1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</row>
    <row r="906" spans="1:24" ht="12.75" customHeight="1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</row>
    <row r="907" spans="1:24" ht="12.75" customHeight="1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</row>
    <row r="908" spans="1:24" ht="12.75" customHeight="1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</row>
    <row r="909" spans="1:24" ht="12.75" customHeight="1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</row>
    <row r="910" spans="1:24" ht="12.75" customHeight="1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</row>
    <row r="911" spans="1:24" ht="12.75" customHeight="1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</row>
    <row r="912" spans="1:24" ht="12.75" customHeight="1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</row>
    <row r="913" spans="1:24" ht="12.75" customHeight="1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</row>
    <row r="914" spans="1:24" ht="12.75" customHeight="1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</row>
    <row r="915" spans="1:24" ht="12.75" customHeight="1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</row>
    <row r="916" spans="1:24" ht="12.75" customHeight="1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</row>
    <row r="917" spans="1:24" ht="12.75" customHeight="1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</row>
    <row r="918" spans="1:24" ht="12.75" customHeight="1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</row>
    <row r="919" spans="1:24" ht="12.75" customHeight="1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</row>
    <row r="920" spans="1:24" ht="12.75" customHeight="1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</row>
    <row r="921" spans="1:24" ht="12.75" customHeight="1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</row>
    <row r="922" spans="1:24" ht="12.75" customHeight="1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</row>
    <row r="923" spans="1:24" ht="12.75" customHeight="1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</row>
    <row r="924" spans="1:24" ht="12.75" customHeight="1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</row>
    <row r="925" spans="1:24" ht="12.75" customHeight="1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</row>
    <row r="926" spans="1:24" ht="12.75" customHeight="1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</row>
    <row r="927" spans="1:24" ht="12.75" customHeight="1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</row>
    <row r="928" spans="1:24" ht="12.75" customHeight="1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</row>
    <row r="929" spans="1:24" ht="12.75" customHeight="1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</row>
    <row r="930" spans="1:24" ht="12.75" customHeight="1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</row>
    <row r="931" spans="1:24" ht="12.75" customHeight="1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</row>
    <row r="932" spans="1:24" ht="12.75" customHeight="1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</row>
    <row r="933" spans="1:24" ht="12.75" customHeight="1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</row>
    <row r="934" spans="1:24" ht="12.75" customHeight="1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</row>
    <row r="935" spans="1:24" ht="12.75" customHeight="1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</row>
    <row r="936" spans="1:24" ht="12.75" customHeight="1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</row>
    <row r="937" spans="1:24" ht="12.75" customHeight="1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</row>
    <row r="938" spans="1:24" ht="12.75" customHeight="1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</row>
    <row r="939" spans="1:24" ht="12.75" customHeight="1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</row>
    <row r="940" spans="1:24" ht="12.75" customHeight="1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</row>
    <row r="941" spans="1:24" ht="12.75" customHeight="1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</row>
    <row r="942" spans="1:24" ht="12.75" customHeight="1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</row>
    <row r="943" spans="1:24" ht="12.75" customHeight="1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</row>
    <row r="944" spans="1:24" ht="12.75" customHeight="1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</row>
    <row r="945" spans="1:24" ht="12.75" customHeight="1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</row>
    <row r="946" spans="1:24" ht="12.75" customHeight="1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</row>
    <row r="947" spans="1:24" ht="12.75" customHeight="1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</row>
    <row r="948" spans="1:24" ht="12.75" customHeight="1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</row>
    <row r="949" spans="1:24" ht="12.75" customHeight="1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</row>
    <row r="950" spans="1:24" ht="12.75" customHeight="1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</row>
    <row r="951" spans="1:24" ht="12.75" customHeight="1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</row>
    <row r="952" spans="1:24" ht="12.75" customHeight="1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</row>
    <row r="953" spans="1:24" ht="12.75" customHeight="1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</row>
    <row r="954" spans="1:24" ht="12.75" customHeight="1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</row>
    <row r="955" spans="1:24" ht="12.75" customHeight="1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</row>
    <row r="956" spans="1:24" ht="12.75" customHeight="1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</row>
    <row r="957" spans="1:24" ht="12.75" customHeight="1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</row>
    <row r="958" spans="1:24" ht="12.75" customHeight="1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</row>
    <row r="959" spans="1:24" ht="12.75" customHeight="1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</row>
    <row r="960" spans="1:24" ht="12.75" customHeight="1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</row>
    <row r="961" spans="1:24" ht="12.75" customHeight="1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</row>
    <row r="962" spans="1:24" ht="12.75" customHeight="1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</row>
    <row r="963" spans="1:24" ht="12.75" customHeight="1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</row>
    <row r="964" spans="1:24" ht="12.75" customHeight="1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</row>
    <row r="965" spans="1:24" ht="12.75" customHeight="1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</row>
    <row r="966" spans="1:24" ht="12.75" customHeight="1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</row>
    <row r="967" spans="1:24" ht="12.75" customHeight="1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</row>
    <row r="968" spans="1:24" ht="12.75" customHeight="1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</row>
    <row r="969" spans="1:24" ht="12.75" customHeight="1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</row>
    <row r="970" spans="1:24" ht="12.75" customHeight="1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</row>
    <row r="971" spans="1:24" ht="12.75" customHeight="1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</row>
    <row r="972" spans="1:24" ht="12.75" customHeight="1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</row>
    <row r="973" spans="1:24" ht="12.75" customHeight="1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</row>
    <row r="974" spans="1:24" ht="12.75" customHeight="1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</row>
    <row r="975" spans="1:24" ht="12.75" customHeight="1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</row>
    <row r="976" spans="1:24" ht="12.75" customHeight="1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</row>
    <row r="977" spans="1:24" ht="12.75" customHeight="1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</row>
    <row r="978" spans="1:24" ht="12.75" customHeight="1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</row>
    <row r="979" spans="1:24" ht="12.75" customHeight="1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</row>
    <row r="980" spans="1:24" ht="12.75" customHeight="1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</row>
    <row r="981" spans="1:24" ht="12.75" customHeight="1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</row>
    <row r="982" spans="1:24" ht="12.75" customHeight="1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</row>
    <row r="983" spans="1:24" ht="12.75" customHeight="1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</row>
    <row r="984" spans="1:24" ht="12.75" customHeight="1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</row>
    <row r="985" spans="1:24" ht="12.75" customHeight="1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</row>
    <row r="986" spans="1:24" ht="12.75" customHeight="1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</row>
    <row r="987" spans="1:24" ht="12.75" customHeight="1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</row>
    <row r="988" spans="1:24" ht="12.75" customHeight="1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</row>
    <row r="989" spans="1:24" ht="12.75" customHeight="1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</row>
    <row r="990" spans="1:24" ht="12.75" customHeight="1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</row>
    <row r="991" spans="1:24" ht="12.75" customHeight="1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</row>
    <row r="992" spans="1:24" ht="12.75" customHeight="1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</row>
    <row r="993" spans="1:24" ht="12.75" customHeight="1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</row>
    <row r="994" spans="1:24" ht="12.75" customHeight="1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</row>
    <row r="995" spans="1:24" ht="12.75" customHeight="1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</row>
    <row r="996" spans="1:24" ht="12.75" customHeight="1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</row>
    <row r="997" spans="1:24" ht="12.75" customHeight="1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</row>
    <row r="998" spans="1:24" ht="12.75" customHeight="1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</row>
    <row r="999" spans="1:24" ht="12.75" customHeight="1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</row>
    <row r="1000" spans="1:24" ht="12.75" customHeight="1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</row>
  </sheetData>
  <mergeCells count="189">
    <mergeCell ref="C53:K53"/>
    <mergeCell ref="C54:C55"/>
    <mergeCell ref="D54:D55"/>
    <mergeCell ref="E54:E55"/>
    <mergeCell ref="F54:F55"/>
    <mergeCell ref="K54:K55"/>
    <mergeCell ref="J69:J70"/>
    <mergeCell ref="K69:K70"/>
    <mergeCell ref="D69:D70"/>
    <mergeCell ref="E69:E70"/>
    <mergeCell ref="F69:F70"/>
    <mergeCell ref="G69:G70"/>
    <mergeCell ref="H69:H70"/>
    <mergeCell ref="I69:I70"/>
    <mergeCell ref="I51:I52"/>
    <mergeCell ref="J51:J52"/>
    <mergeCell ref="D48:D49"/>
    <mergeCell ref="E48:E49"/>
    <mergeCell ref="C50:K50"/>
    <mergeCell ref="C51:C52"/>
    <mergeCell ref="D51:D52"/>
    <mergeCell ref="E51:E52"/>
    <mergeCell ref="F51:F52"/>
    <mergeCell ref="K51:K52"/>
    <mergeCell ref="G51:G52"/>
    <mergeCell ref="H51:H52"/>
    <mergeCell ref="K34:K35"/>
    <mergeCell ref="D34:D35"/>
    <mergeCell ref="E34:E35"/>
    <mergeCell ref="F34:F35"/>
    <mergeCell ref="G34:G35"/>
    <mergeCell ref="H34:H35"/>
    <mergeCell ref="I34:I35"/>
    <mergeCell ref="C36:K36"/>
    <mergeCell ref="F48:F49"/>
    <mergeCell ref="G48:G49"/>
    <mergeCell ref="H48:H49"/>
    <mergeCell ref="I48:I49"/>
    <mergeCell ref="J48:J49"/>
    <mergeCell ref="K48:K49"/>
    <mergeCell ref="C43:K43"/>
    <mergeCell ref="C44:K45"/>
    <mergeCell ref="E46:F46"/>
    <mergeCell ref="H46:I46"/>
    <mergeCell ref="J46:K46"/>
    <mergeCell ref="C47:K47"/>
    <mergeCell ref="C48:C49"/>
    <mergeCell ref="C24:K24"/>
    <mergeCell ref="C25:I25"/>
    <mergeCell ref="C26:K26"/>
    <mergeCell ref="C27:K27"/>
    <mergeCell ref="D28:D29"/>
    <mergeCell ref="E28:E29"/>
    <mergeCell ref="C30:K30"/>
    <mergeCell ref="C28:C29"/>
    <mergeCell ref="C31:C32"/>
    <mergeCell ref="D31:D32"/>
    <mergeCell ref="E31:E32"/>
    <mergeCell ref="F31:F32"/>
    <mergeCell ref="G31:G32"/>
    <mergeCell ref="H31:H32"/>
    <mergeCell ref="I19:I20"/>
    <mergeCell ref="J19:J20"/>
    <mergeCell ref="K19:K20"/>
    <mergeCell ref="C21:K21"/>
    <mergeCell ref="C16:C17"/>
    <mergeCell ref="C19:C20"/>
    <mergeCell ref="D19:D20"/>
    <mergeCell ref="E19:E20"/>
    <mergeCell ref="F19:F20"/>
    <mergeCell ref="G19:G20"/>
    <mergeCell ref="H19:H20"/>
    <mergeCell ref="J16:J17"/>
    <mergeCell ref="K16:K17"/>
    <mergeCell ref="D16:D17"/>
    <mergeCell ref="E16:E17"/>
    <mergeCell ref="F16:F17"/>
    <mergeCell ref="G16:G17"/>
    <mergeCell ref="H16:H17"/>
    <mergeCell ref="I16:I17"/>
    <mergeCell ref="C18:K18"/>
    <mergeCell ref="L14:L15"/>
    <mergeCell ref="C15:K15"/>
    <mergeCell ref="E11:F11"/>
    <mergeCell ref="C13:C14"/>
    <mergeCell ref="D13:D14"/>
    <mergeCell ref="E13:E14"/>
    <mergeCell ref="F13:F14"/>
    <mergeCell ref="G13:G14"/>
    <mergeCell ref="H13:H14"/>
    <mergeCell ref="C1:K3"/>
    <mergeCell ref="C6:K6"/>
    <mergeCell ref="C7:K8"/>
    <mergeCell ref="C9:K10"/>
    <mergeCell ref="H11:I11"/>
    <mergeCell ref="J11:K11"/>
    <mergeCell ref="C12:K12"/>
    <mergeCell ref="I13:I14"/>
    <mergeCell ref="J13:J14"/>
    <mergeCell ref="K13:K14"/>
    <mergeCell ref="C68:K68"/>
    <mergeCell ref="I72:I73"/>
    <mergeCell ref="J72:J73"/>
    <mergeCell ref="K72:K73"/>
    <mergeCell ref="C74:K74"/>
    <mergeCell ref="C75:I75"/>
    <mergeCell ref="C76:K76"/>
    <mergeCell ref="C77:I77"/>
    <mergeCell ref="C78:K78"/>
    <mergeCell ref="C69:C70"/>
    <mergeCell ref="C72:C73"/>
    <mergeCell ref="D72:D73"/>
    <mergeCell ref="E72:E73"/>
    <mergeCell ref="F72:F73"/>
    <mergeCell ref="G72:G73"/>
    <mergeCell ref="H72:H73"/>
    <mergeCell ref="C71:K71"/>
    <mergeCell ref="L58:L59"/>
    <mergeCell ref="G54:G55"/>
    <mergeCell ref="H54:H55"/>
    <mergeCell ref="C56:K56"/>
    <mergeCell ref="C57:C58"/>
    <mergeCell ref="D57:D58"/>
    <mergeCell ref="E57:E58"/>
    <mergeCell ref="F57:F58"/>
    <mergeCell ref="F63:F64"/>
    <mergeCell ref="G63:G64"/>
    <mergeCell ref="H63:H64"/>
    <mergeCell ref="I63:I64"/>
    <mergeCell ref="J63:J64"/>
    <mergeCell ref="K63:K64"/>
    <mergeCell ref="I54:I55"/>
    <mergeCell ref="J54:J55"/>
    <mergeCell ref="C65:K65"/>
    <mergeCell ref="C63:C64"/>
    <mergeCell ref="C66:C67"/>
    <mergeCell ref="D66:D67"/>
    <mergeCell ref="E66:E67"/>
    <mergeCell ref="F66:F67"/>
    <mergeCell ref="G66:G67"/>
    <mergeCell ref="H66:H67"/>
    <mergeCell ref="I57:I58"/>
    <mergeCell ref="J57:J58"/>
    <mergeCell ref="I66:I67"/>
    <mergeCell ref="J66:J67"/>
    <mergeCell ref="K66:K67"/>
    <mergeCell ref="G57:G58"/>
    <mergeCell ref="H57:H58"/>
    <mergeCell ref="K57:K58"/>
    <mergeCell ref="C59:K59"/>
    <mergeCell ref="C60:I60"/>
    <mergeCell ref="C61:K61"/>
    <mergeCell ref="C62:K62"/>
    <mergeCell ref="D63:D64"/>
    <mergeCell ref="E63:E64"/>
    <mergeCell ref="K37:K38"/>
    <mergeCell ref="C39:K39"/>
    <mergeCell ref="C40:I40"/>
    <mergeCell ref="C41:K41"/>
    <mergeCell ref="C42:I42"/>
    <mergeCell ref="J22:J23"/>
    <mergeCell ref="K22:K23"/>
    <mergeCell ref="C22:C23"/>
    <mergeCell ref="D22:D23"/>
    <mergeCell ref="E22:E23"/>
    <mergeCell ref="F22:F23"/>
    <mergeCell ref="G22:G23"/>
    <mergeCell ref="H22:H23"/>
    <mergeCell ref="I22:I23"/>
    <mergeCell ref="F28:F29"/>
    <mergeCell ref="G28:G29"/>
    <mergeCell ref="H28:H29"/>
    <mergeCell ref="I28:I29"/>
    <mergeCell ref="J28:J29"/>
    <mergeCell ref="K28:K29"/>
    <mergeCell ref="I31:I32"/>
    <mergeCell ref="J31:J32"/>
    <mergeCell ref="K31:K32"/>
    <mergeCell ref="C33:K33"/>
    <mergeCell ref="C34:C35"/>
    <mergeCell ref="C37:C38"/>
    <mergeCell ref="D37:D38"/>
    <mergeCell ref="E37:E38"/>
    <mergeCell ref="F37:F38"/>
    <mergeCell ref="G37:G38"/>
    <mergeCell ref="H37:H38"/>
    <mergeCell ref="I37:I38"/>
    <mergeCell ref="J37:J38"/>
    <mergeCell ref="J34:J35"/>
  </mergeCells>
  <pageMargins left="0.7" right="0.7" top="0.75" bottom="0.75" header="0" footer="0"/>
  <pageSetup paperSize="9" scale="5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tabSelected="1" topLeftCell="B26" workbookViewId="0">
      <selection activeCell="C1" sqref="C1:M42"/>
    </sheetView>
  </sheetViews>
  <sheetFormatPr defaultColWidth="12.5703125" defaultRowHeight="15" customHeight="1" x14ac:dyDescent="0.2"/>
  <cols>
    <col min="1" max="1" width="2.5703125" hidden="1" customWidth="1"/>
    <col min="2" max="2" width="2.5703125" customWidth="1"/>
    <col min="3" max="3" width="8.42578125" customWidth="1"/>
    <col min="4" max="4" width="7.42578125" customWidth="1"/>
    <col min="5" max="6" width="21.5703125" customWidth="1"/>
    <col min="7" max="7" width="4.85546875" customWidth="1"/>
    <col min="8" max="9" width="21.5703125" customWidth="1"/>
    <col min="10" max="11" width="5.5703125" customWidth="1"/>
    <col min="12" max="15" width="9.140625" customWidth="1"/>
    <col min="16" max="24" width="8" customWidth="1"/>
  </cols>
  <sheetData>
    <row r="1" spans="1:24" ht="12.75" customHeight="1" x14ac:dyDescent="0.2">
      <c r="A1" s="95"/>
      <c r="B1" s="95"/>
      <c r="C1" s="139" t="s">
        <v>1</v>
      </c>
      <c r="D1" s="131"/>
      <c r="E1" s="131"/>
      <c r="F1" s="131"/>
      <c r="G1" s="131"/>
      <c r="H1" s="131"/>
      <c r="I1" s="131"/>
      <c r="J1" s="131"/>
      <c r="K1" s="131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2.75" customHeight="1" x14ac:dyDescent="0.2">
      <c r="A2" s="95"/>
      <c r="B2" s="95"/>
      <c r="C2" s="131"/>
      <c r="D2" s="131"/>
      <c r="E2" s="131"/>
      <c r="F2" s="131"/>
      <c r="G2" s="131"/>
      <c r="H2" s="131"/>
      <c r="I2" s="131"/>
      <c r="J2" s="131"/>
      <c r="K2" s="131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12.75" customHeight="1" x14ac:dyDescent="0.2">
      <c r="A3" s="95"/>
      <c r="B3" s="95"/>
      <c r="C3" s="131"/>
      <c r="D3" s="131"/>
      <c r="E3" s="131"/>
      <c r="F3" s="131"/>
      <c r="G3" s="131"/>
      <c r="H3" s="131"/>
      <c r="I3" s="131"/>
      <c r="J3" s="131"/>
      <c r="K3" s="131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</row>
    <row r="4" spans="1:24" ht="12.75" customHeight="1" x14ac:dyDescent="0.2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</row>
    <row r="5" spans="1:24" ht="13.5" customHeight="1" x14ac:dyDescent="0.2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</row>
    <row r="6" spans="1:24" ht="19.5" customHeight="1" x14ac:dyDescent="0.2">
      <c r="A6" s="95"/>
      <c r="B6" s="95"/>
      <c r="C6" s="205" t="s">
        <v>275</v>
      </c>
      <c r="D6" s="150"/>
      <c r="E6" s="150"/>
      <c r="F6" s="150"/>
      <c r="G6" s="150"/>
      <c r="H6" s="150"/>
      <c r="I6" s="150"/>
      <c r="J6" s="150"/>
      <c r="K6" s="151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</row>
    <row r="7" spans="1:24" ht="4.5" customHeight="1" x14ac:dyDescent="0.2">
      <c r="A7" s="95"/>
      <c r="B7" s="95"/>
      <c r="C7" s="206"/>
      <c r="D7" s="163"/>
      <c r="E7" s="163"/>
      <c r="F7" s="163"/>
      <c r="G7" s="163"/>
      <c r="H7" s="163"/>
      <c r="I7" s="163"/>
      <c r="J7" s="163"/>
      <c r="K7" s="207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</row>
    <row r="8" spans="1:24" ht="4.5" customHeight="1" x14ac:dyDescent="0.2">
      <c r="A8" s="95"/>
      <c r="B8" s="95"/>
      <c r="C8" s="208"/>
      <c r="D8" s="166"/>
      <c r="E8" s="166"/>
      <c r="F8" s="166"/>
      <c r="G8" s="166"/>
      <c r="H8" s="166"/>
      <c r="I8" s="166"/>
      <c r="J8" s="166"/>
      <c r="K8" s="209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</row>
    <row r="9" spans="1:24" ht="12.75" customHeight="1" x14ac:dyDescent="0.2">
      <c r="A9" s="95"/>
      <c r="B9" s="95"/>
      <c r="C9" s="210"/>
      <c r="D9" s="163"/>
      <c r="E9" s="163"/>
      <c r="F9" s="163"/>
      <c r="G9" s="163"/>
      <c r="H9" s="163"/>
      <c r="I9" s="163"/>
      <c r="J9" s="163"/>
      <c r="K9" s="207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</row>
    <row r="10" spans="1:24" ht="12.75" customHeight="1" x14ac:dyDescent="0.2">
      <c r="A10" s="95"/>
      <c r="B10" s="95"/>
      <c r="C10" s="208"/>
      <c r="D10" s="166"/>
      <c r="E10" s="166"/>
      <c r="F10" s="166"/>
      <c r="G10" s="166"/>
      <c r="H10" s="166"/>
      <c r="I10" s="166"/>
      <c r="J10" s="166"/>
      <c r="K10" s="209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9.5" customHeight="1" x14ac:dyDescent="0.2">
      <c r="A11" s="95"/>
      <c r="B11" s="95"/>
      <c r="C11" s="117" t="s">
        <v>191</v>
      </c>
      <c r="D11" s="96" t="s">
        <v>192</v>
      </c>
      <c r="E11" s="169" t="s">
        <v>193</v>
      </c>
      <c r="F11" s="126"/>
      <c r="G11" s="96" t="s">
        <v>194</v>
      </c>
      <c r="H11" s="169" t="s">
        <v>276</v>
      </c>
      <c r="I11" s="126"/>
      <c r="J11" s="169" t="s">
        <v>196</v>
      </c>
      <c r="K11" s="126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2.75" customHeight="1" x14ac:dyDescent="0.2">
      <c r="A12" s="95"/>
      <c r="B12" s="95"/>
      <c r="C12" s="211"/>
      <c r="D12" s="131"/>
      <c r="E12" s="131"/>
      <c r="F12" s="131"/>
      <c r="G12" s="131"/>
      <c r="H12" s="131"/>
      <c r="I12" s="131"/>
      <c r="J12" s="131"/>
      <c r="K12" s="212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12" customHeight="1" x14ac:dyDescent="0.2">
      <c r="A13" s="95"/>
      <c r="B13" s="95"/>
      <c r="C13" s="195" t="s">
        <v>277</v>
      </c>
      <c r="D13" s="158" t="s">
        <v>202</v>
      </c>
      <c r="E13" s="157" t="s">
        <v>17</v>
      </c>
      <c r="F13" s="157" t="s">
        <v>31</v>
      </c>
      <c r="G13" s="160" t="s">
        <v>194</v>
      </c>
      <c r="H13" s="157" t="s">
        <v>18</v>
      </c>
      <c r="I13" s="157" t="s">
        <v>25</v>
      </c>
      <c r="J13" s="198">
        <v>7</v>
      </c>
      <c r="K13" s="197">
        <v>11</v>
      </c>
      <c r="L13" s="11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12" customHeight="1" x14ac:dyDescent="0.2">
      <c r="A14" s="95"/>
      <c r="B14" s="95"/>
      <c r="C14" s="196"/>
      <c r="D14" s="141"/>
      <c r="E14" s="141"/>
      <c r="F14" s="141"/>
      <c r="G14" s="141"/>
      <c r="H14" s="141"/>
      <c r="I14" s="141"/>
      <c r="J14" s="199"/>
      <c r="K14" s="167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12" customHeight="1" x14ac:dyDescent="0.2">
      <c r="A15" s="95"/>
      <c r="B15" s="95"/>
      <c r="C15" s="194"/>
      <c r="D15" s="125"/>
      <c r="E15" s="125"/>
      <c r="F15" s="125"/>
      <c r="G15" s="125"/>
      <c r="H15" s="125"/>
      <c r="I15" s="125"/>
      <c r="J15" s="125"/>
      <c r="K15" s="13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12" customHeight="1" x14ac:dyDescent="0.2">
      <c r="A16" s="95"/>
      <c r="B16" s="95"/>
      <c r="C16" s="195" t="s">
        <v>277</v>
      </c>
      <c r="D16" s="158" t="s">
        <v>278</v>
      </c>
      <c r="E16" s="157" t="s">
        <v>279</v>
      </c>
      <c r="F16" s="157" t="s">
        <v>140</v>
      </c>
      <c r="G16" s="160" t="s">
        <v>194</v>
      </c>
      <c r="H16" s="157" t="s">
        <v>124</v>
      </c>
      <c r="I16" s="157" t="s">
        <v>10</v>
      </c>
      <c r="J16" s="198">
        <v>5</v>
      </c>
      <c r="K16" s="197">
        <v>13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12" customHeight="1" x14ac:dyDescent="0.2">
      <c r="A17" s="95"/>
      <c r="B17" s="95"/>
      <c r="C17" s="196"/>
      <c r="D17" s="141"/>
      <c r="E17" s="141"/>
      <c r="F17" s="141"/>
      <c r="G17" s="141"/>
      <c r="H17" s="141"/>
      <c r="I17" s="141"/>
      <c r="J17" s="199"/>
      <c r="K17" s="167"/>
      <c r="L17" s="118"/>
      <c r="M17" s="95"/>
      <c r="N17" s="95" t="s">
        <v>224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12" customHeight="1" x14ac:dyDescent="0.2">
      <c r="A18" s="95"/>
      <c r="B18" s="95"/>
      <c r="C18" s="194"/>
      <c r="D18" s="125"/>
      <c r="E18" s="125"/>
      <c r="F18" s="125"/>
      <c r="G18" s="125"/>
      <c r="H18" s="125"/>
      <c r="I18" s="125"/>
      <c r="J18" s="125"/>
      <c r="K18" s="13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12" customHeight="1" x14ac:dyDescent="0.2">
      <c r="A19" s="95"/>
      <c r="B19" s="95"/>
      <c r="C19" s="195" t="s">
        <v>277</v>
      </c>
      <c r="D19" s="158" t="s">
        <v>198</v>
      </c>
      <c r="E19" s="157" t="s">
        <v>84</v>
      </c>
      <c r="F19" s="157" t="s">
        <v>91</v>
      </c>
      <c r="G19" s="160" t="s">
        <v>194</v>
      </c>
      <c r="H19" s="157" t="s">
        <v>280</v>
      </c>
      <c r="I19" s="157" t="s">
        <v>99</v>
      </c>
      <c r="J19" s="198">
        <v>14</v>
      </c>
      <c r="K19" s="197">
        <v>4</v>
      </c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12" customHeight="1" x14ac:dyDescent="0.2">
      <c r="A20" s="95"/>
      <c r="B20" s="95"/>
      <c r="C20" s="196"/>
      <c r="D20" s="141"/>
      <c r="E20" s="141"/>
      <c r="F20" s="141"/>
      <c r="G20" s="141"/>
      <c r="H20" s="141"/>
      <c r="I20" s="141"/>
      <c r="J20" s="199"/>
      <c r="K20" s="167"/>
      <c r="L20" s="118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12" customHeight="1" x14ac:dyDescent="0.2">
      <c r="A21" s="95"/>
      <c r="B21" s="95"/>
      <c r="C21" s="194"/>
      <c r="D21" s="125"/>
      <c r="E21" s="125"/>
      <c r="F21" s="125"/>
      <c r="G21" s="125"/>
      <c r="H21" s="125"/>
      <c r="I21" s="125"/>
      <c r="J21" s="125"/>
      <c r="K21" s="13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12" customHeight="1" x14ac:dyDescent="0.2">
      <c r="A22" s="95"/>
      <c r="B22" s="95"/>
      <c r="C22" s="195" t="s">
        <v>277</v>
      </c>
      <c r="D22" s="158" t="s">
        <v>207</v>
      </c>
      <c r="E22" s="157" t="s">
        <v>65</v>
      </c>
      <c r="F22" s="157" t="s">
        <v>72</v>
      </c>
      <c r="G22" s="160" t="s">
        <v>194</v>
      </c>
      <c r="H22" s="157" t="s">
        <v>66</v>
      </c>
      <c r="I22" s="157" t="s">
        <v>73</v>
      </c>
      <c r="J22" s="198">
        <v>8</v>
      </c>
      <c r="K22" s="197">
        <v>10</v>
      </c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ht="12" customHeight="1" x14ac:dyDescent="0.2">
      <c r="A23" s="95"/>
      <c r="B23" s="95"/>
      <c r="C23" s="196"/>
      <c r="D23" s="141"/>
      <c r="E23" s="141"/>
      <c r="F23" s="141"/>
      <c r="G23" s="141"/>
      <c r="H23" s="141"/>
      <c r="I23" s="141"/>
      <c r="J23" s="199"/>
      <c r="K23" s="167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ht="12" customHeight="1" x14ac:dyDescent="0.2">
      <c r="A24" s="95"/>
      <c r="B24" s="95"/>
      <c r="C24" s="194"/>
      <c r="D24" s="125"/>
      <c r="E24" s="125"/>
      <c r="F24" s="125"/>
      <c r="G24" s="125"/>
      <c r="H24" s="125"/>
      <c r="I24" s="125"/>
      <c r="J24" s="125"/>
      <c r="K24" s="13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</row>
    <row r="25" spans="1:24" ht="12" customHeight="1" x14ac:dyDescent="0.2">
      <c r="A25" s="95"/>
      <c r="B25" s="95"/>
      <c r="C25" s="195" t="s">
        <v>277</v>
      </c>
      <c r="D25" s="158" t="s">
        <v>209</v>
      </c>
      <c r="E25" s="157" t="s">
        <v>59</v>
      </c>
      <c r="F25" s="157" t="s">
        <v>123</v>
      </c>
      <c r="G25" s="160" t="s">
        <v>194</v>
      </c>
      <c r="H25" s="157" t="s">
        <v>80</v>
      </c>
      <c r="I25" s="157" t="s">
        <v>129</v>
      </c>
      <c r="J25" s="198">
        <v>9</v>
      </c>
      <c r="K25" s="197">
        <v>10</v>
      </c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</row>
    <row r="26" spans="1:24" ht="12" customHeight="1" x14ac:dyDescent="0.2">
      <c r="A26" s="95"/>
      <c r="B26" s="95"/>
      <c r="C26" s="196"/>
      <c r="D26" s="141"/>
      <c r="E26" s="141"/>
      <c r="F26" s="141"/>
      <c r="G26" s="141"/>
      <c r="H26" s="141"/>
      <c r="I26" s="141"/>
      <c r="J26" s="199"/>
      <c r="K26" s="167"/>
      <c r="L26" s="115"/>
      <c r="M26" s="95"/>
      <c r="N26" s="95"/>
      <c r="O26" s="95" t="s">
        <v>224</v>
      </c>
      <c r="P26" s="95"/>
      <c r="Q26" s="95"/>
      <c r="R26" s="95"/>
      <c r="S26" s="95"/>
      <c r="T26" s="95"/>
      <c r="U26" s="95"/>
      <c r="V26" s="95"/>
      <c r="W26" s="95"/>
      <c r="X26" s="95"/>
    </row>
    <row r="27" spans="1:24" ht="12" customHeight="1" x14ac:dyDescent="0.2">
      <c r="A27" s="95"/>
      <c r="B27" s="95"/>
      <c r="C27" s="194"/>
      <c r="D27" s="125"/>
      <c r="E27" s="125"/>
      <c r="F27" s="125"/>
      <c r="G27" s="125"/>
      <c r="H27" s="125"/>
      <c r="I27" s="125"/>
      <c r="J27" s="125"/>
      <c r="K27" s="13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</row>
    <row r="28" spans="1:24" ht="12" customHeight="1" x14ac:dyDescent="0.2">
      <c r="A28" s="95"/>
      <c r="B28" s="95"/>
      <c r="C28" s="195" t="s">
        <v>281</v>
      </c>
      <c r="D28" s="158" t="s">
        <v>203</v>
      </c>
      <c r="E28" s="157" t="s">
        <v>38</v>
      </c>
      <c r="F28" s="157" t="s">
        <v>52</v>
      </c>
      <c r="G28" s="160" t="s">
        <v>194</v>
      </c>
      <c r="H28" s="157" t="s">
        <v>39</v>
      </c>
      <c r="I28" s="157" t="s">
        <v>46</v>
      </c>
      <c r="J28" s="198">
        <v>9</v>
      </c>
      <c r="K28" s="197">
        <v>9</v>
      </c>
      <c r="L28" s="95"/>
      <c r="M28" s="95"/>
      <c r="N28" s="95" t="s">
        <v>224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</row>
    <row r="29" spans="1:24" ht="12" customHeight="1" x14ac:dyDescent="0.2">
      <c r="A29" s="95"/>
      <c r="B29" s="95"/>
      <c r="C29" s="196"/>
      <c r="D29" s="141"/>
      <c r="E29" s="141"/>
      <c r="F29" s="141"/>
      <c r="G29" s="141"/>
      <c r="H29" s="141"/>
      <c r="I29" s="141"/>
      <c r="J29" s="199"/>
      <c r="K29" s="167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</row>
    <row r="30" spans="1:24" ht="12" customHeight="1" x14ac:dyDescent="0.2">
      <c r="A30" s="95"/>
      <c r="B30" s="95"/>
      <c r="C30" s="194"/>
      <c r="D30" s="125"/>
      <c r="E30" s="125"/>
      <c r="F30" s="125"/>
      <c r="G30" s="125"/>
      <c r="H30" s="125"/>
      <c r="I30" s="125"/>
      <c r="J30" s="125"/>
      <c r="K30" s="13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</row>
    <row r="31" spans="1:24" ht="12" customHeight="1" x14ac:dyDescent="0.2">
      <c r="A31" s="95"/>
      <c r="B31" s="95"/>
      <c r="C31" s="195" t="s">
        <v>281</v>
      </c>
      <c r="D31" s="158" t="s">
        <v>282</v>
      </c>
      <c r="E31" s="159" t="s">
        <v>152</v>
      </c>
      <c r="F31" s="159" t="s">
        <v>158</v>
      </c>
      <c r="G31" s="160" t="s">
        <v>194</v>
      </c>
      <c r="H31" s="159" t="s">
        <v>147</v>
      </c>
      <c r="I31" s="159" t="s">
        <v>153</v>
      </c>
      <c r="J31" s="200">
        <v>7</v>
      </c>
      <c r="K31" s="197">
        <v>11</v>
      </c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ht="12" customHeight="1" x14ac:dyDescent="0.2">
      <c r="A32" s="95"/>
      <c r="B32" s="95"/>
      <c r="C32" s="196"/>
      <c r="D32" s="141"/>
      <c r="E32" s="141"/>
      <c r="F32" s="141"/>
      <c r="G32" s="141"/>
      <c r="H32" s="141"/>
      <c r="I32" s="141"/>
      <c r="J32" s="201"/>
      <c r="K32" s="167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</row>
    <row r="33" spans="1:24" ht="12.75" customHeight="1" x14ac:dyDescent="0.2">
      <c r="A33" s="95"/>
      <c r="B33" s="95"/>
      <c r="C33" s="194"/>
      <c r="D33" s="125"/>
      <c r="E33" s="125"/>
      <c r="F33" s="125"/>
      <c r="G33" s="125"/>
      <c r="H33" s="125"/>
      <c r="I33" s="125"/>
      <c r="J33" s="125"/>
      <c r="K33" s="13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</row>
    <row r="34" spans="1:24" ht="12.75" customHeight="1" x14ac:dyDescent="0.2">
      <c r="A34" s="95"/>
      <c r="B34" s="95"/>
      <c r="C34" s="195" t="s">
        <v>281</v>
      </c>
      <c r="D34" s="203" t="s">
        <v>283</v>
      </c>
      <c r="E34" s="204" t="s">
        <v>105</v>
      </c>
      <c r="F34" s="204" t="s">
        <v>117</v>
      </c>
      <c r="G34" s="203" t="s">
        <v>194</v>
      </c>
      <c r="H34" s="204" t="s">
        <v>112</v>
      </c>
      <c r="I34" s="202" t="s">
        <v>118</v>
      </c>
      <c r="J34" s="200">
        <v>12</v>
      </c>
      <c r="K34" s="197">
        <v>6</v>
      </c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</row>
    <row r="35" spans="1:24" ht="12.75" customHeight="1" x14ac:dyDescent="0.2">
      <c r="A35" s="95"/>
      <c r="B35" s="95"/>
      <c r="C35" s="196"/>
      <c r="D35" s="141"/>
      <c r="E35" s="141"/>
      <c r="F35" s="141"/>
      <c r="G35" s="141"/>
      <c r="H35" s="141"/>
      <c r="I35" s="165"/>
      <c r="J35" s="201"/>
      <c r="K35" s="167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</row>
    <row r="36" spans="1:24" ht="12.75" customHeight="1" x14ac:dyDescent="0.2">
      <c r="A36" s="95"/>
      <c r="B36" s="95"/>
      <c r="C36" s="119"/>
      <c r="D36" s="120"/>
      <c r="E36" s="120"/>
      <c r="F36" s="120"/>
      <c r="G36" s="120"/>
      <c r="H36" s="120"/>
      <c r="I36" s="120"/>
      <c r="J36" s="121"/>
      <c r="K36" s="122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</row>
    <row r="37" spans="1:24" ht="12.75" customHeight="1" x14ac:dyDescent="0.2">
      <c r="A37" s="95"/>
      <c r="B37" s="95"/>
      <c r="C37" s="195" t="s">
        <v>281</v>
      </c>
      <c r="D37" s="158"/>
      <c r="E37" s="157"/>
      <c r="F37" s="157"/>
      <c r="G37" s="160" t="s">
        <v>194</v>
      </c>
      <c r="H37" s="157"/>
      <c r="I37" s="157"/>
      <c r="J37" s="198"/>
      <c r="K37" s="197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</row>
    <row r="38" spans="1:24" ht="12.75" customHeight="1" x14ac:dyDescent="0.2">
      <c r="A38" s="95"/>
      <c r="B38" s="95"/>
      <c r="C38" s="196"/>
      <c r="D38" s="141"/>
      <c r="E38" s="141"/>
      <c r="F38" s="141"/>
      <c r="G38" s="141"/>
      <c r="H38" s="141"/>
      <c r="I38" s="141"/>
      <c r="J38" s="199"/>
      <c r="K38" s="167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</row>
    <row r="39" spans="1:24" ht="12.75" customHeight="1" x14ac:dyDescent="0.2">
      <c r="A39" s="95"/>
      <c r="B39" s="95"/>
      <c r="C39" s="194"/>
      <c r="D39" s="125"/>
      <c r="E39" s="125"/>
      <c r="F39" s="125"/>
      <c r="G39" s="125"/>
      <c r="H39" s="125"/>
      <c r="I39" s="125"/>
      <c r="J39" s="125"/>
      <c r="K39" s="13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:24" ht="15" customHeight="1" x14ac:dyDescent="0.2">
      <c r="A40" s="95"/>
      <c r="B40" s="95"/>
      <c r="C40" s="213" t="s">
        <v>284</v>
      </c>
      <c r="D40" s="125"/>
      <c r="E40" s="125"/>
      <c r="F40" s="125"/>
      <c r="G40" s="125"/>
      <c r="H40" s="125"/>
      <c r="I40" s="126"/>
      <c r="J40" s="123">
        <f t="shared" ref="J40:K40" si="0">SUM(J13+J16+J19+J22+J25+J28+J31+J34+J37)</f>
        <v>71</v>
      </c>
      <c r="K40" s="123">
        <f t="shared" si="0"/>
        <v>74</v>
      </c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:24" ht="13.5" customHeight="1" x14ac:dyDescent="0.2">
      <c r="A41" s="95"/>
      <c r="B41" s="95"/>
      <c r="C41" s="214"/>
      <c r="D41" s="128"/>
      <c r="E41" s="128"/>
      <c r="F41" s="128"/>
      <c r="G41" s="128"/>
      <c r="H41" s="128"/>
      <c r="I41" s="128"/>
      <c r="J41" s="128"/>
      <c r="K41" s="129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:24" ht="12.75" customHeight="1" x14ac:dyDescent="0.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:24" ht="12.75" customHeight="1" x14ac:dyDescent="0.2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</row>
    <row r="44" spans="1:24" ht="12.75" customHeight="1" x14ac:dyDescent="0.2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</row>
    <row r="45" spans="1:24" ht="12.75" customHeight="1" x14ac:dyDescent="0.2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</row>
    <row r="46" spans="1:24" ht="12.75" customHeight="1" x14ac:dyDescent="0.2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</row>
    <row r="47" spans="1:24" ht="12.75" customHeight="1" x14ac:dyDescent="0.2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</row>
    <row r="48" spans="1:24" ht="12.75" customHeight="1" x14ac:dyDescent="0.2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</row>
    <row r="49" spans="1:24" ht="12.75" customHeight="1" x14ac:dyDescent="0.2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</row>
    <row r="50" spans="1:24" ht="12.75" customHeight="1" x14ac:dyDescent="0.2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</row>
    <row r="51" spans="1:24" ht="12.75" customHeight="1" x14ac:dyDescent="0.2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</row>
    <row r="52" spans="1:24" ht="12.75" customHeight="1" x14ac:dyDescent="0.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</row>
    <row r="53" spans="1:24" ht="12.75" customHeight="1" x14ac:dyDescent="0.2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</row>
    <row r="54" spans="1:24" ht="12.75" customHeight="1" x14ac:dyDescent="0.2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</row>
    <row r="55" spans="1:24" ht="12.75" customHeight="1" x14ac:dyDescent="0.2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</row>
    <row r="56" spans="1:24" ht="12.75" customHeight="1" x14ac:dyDescent="0.2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</row>
    <row r="57" spans="1:24" ht="12.75" customHeight="1" x14ac:dyDescent="0.2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</row>
    <row r="58" spans="1:24" ht="12.75" customHeight="1" x14ac:dyDescent="0.2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</row>
    <row r="59" spans="1:24" ht="12.75" customHeight="1" x14ac:dyDescent="0.2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</row>
    <row r="60" spans="1:24" ht="12.75" customHeight="1" x14ac:dyDescent="0.2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</row>
    <row r="61" spans="1:24" ht="12.75" customHeight="1" x14ac:dyDescent="0.2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</row>
    <row r="62" spans="1:24" ht="12.75" customHeight="1" x14ac:dyDescent="0.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</row>
    <row r="63" spans="1:24" ht="12.75" customHeight="1" x14ac:dyDescent="0.2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</row>
    <row r="64" spans="1:24" ht="12.75" customHeight="1" x14ac:dyDescent="0.2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</row>
    <row r="65" spans="1:24" ht="12.75" customHeight="1" x14ac:dyDescent="0.2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</row>
    <row r="66" spans="1:24" ht="12.75" customHeight="1" x14ac:dyDescent="0.2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</row>
    <row r="67" spans="1:24" ht="12.75" customHeight="1" x14ac:dyDescent="0.2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</row>
    <row r="68" spans="1:24" ht="12.75" customHeight="1" x14ac:dyDescent="0.2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</row>
    <row r="69" spans="1:24" ht="12.75" customHeight="1" x14ac:dyDescent="0.2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</row>
    <row r="70" spans="1:24" ht="12.75" customHeight="1" x14ac:dyDescent="0.2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</row>
    <row r="71" spans="1:24" ht="12.75" customHeight="1" x14ac:dyDescent="0.2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</row>
    <row r="72" spans="1:24" ht="12.75" customHeight="1" x14ac:dyDescent="0.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</row>
    <row r="73" spans="1:24" ht="12.75" customHeight="1" x14ac:dyDescent="0.2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</row>
    <row r="74" spans="1:24" ht="12.75" customHeight="1" x14ac:dyDescent="0.2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</row>
    <row r="75" spans="1:24" ht="12.75" customHeight="1" x14ac:dyDescent="0.2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</row>
    <row r="76" spans="1:24" ht="12.75" customHeight="1" x14ac:dyDescent="0.2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</row>
    <row r="77" spans="1:24" ht="12.75" customHeight="1" x14ac:dyDescent="0.2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</row>
    <row r="78" spans="1:24" ht="12.75" customHeight="1" x14ac:dyDescent="0.2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  <row r="79" spans="1:24" ht="12.75" customHeight="1" x14ac:dyDescent="0.2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</row>
    <row r="80" spans="1:24" ht="12.75" customHeight="1" x14ac:dyDescent="0.2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</row>
    <row r="81" spans="1:24" ht="12.75" customHeight="1" x14ac:dyDescent="0.2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</row>
    <row r="82" spans="1:24" ht="12.75" customHeight="1" x14ac:dyDescent="0.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</row>
    <row r="83" spans="1:24" ht="12.75" customHeight="1" x14ac:dyDescent="0.2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</row>
    <row r="84" spans="1:24" ht="12.75" customHeight="1" x14ac:dyDescent="0.2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</row>
    <row r="85" spans="1:24" ht="12.75" customHeight="1" x14ac:dyDescent="0.2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</row>
    <row r="86" spans="1:24" ht="12.75" customHeight="1" x14ac:dyDescent="0.2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</row>
    <row r="87" spans="1:24" ht="12.75" customHeight="1" x14ac:dyDescent="0.2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</row>
    <row r="88" spans="1:24" ht="12.75" customHeight="1" x14ac:dyDescent="0.2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</row>
    <row r="89" spans="1:24" ht="12.75" customHeight="1" x14ac:dyDescent="0.2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</row>
    <row r="90" spans="1:24" ht="12.75" customHeight="1" x14ac:dyDescent="0.2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</row>
    <row r="91" spans="1:24" ht="12.75" customHeight="1" x14ac:dyDescent="0.2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</row>
    <row r="92" spans="1:24" ht="12.75" customHeight="1" x14ac:dyDescent="0.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</row>
    <row r="93" spans="1:24" ht="12.75" customHeight="1" x14ac:dyDescent="0.2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</row>
    <row r="94" spans="1:24" ht="12.75" customHeight="1" x14ac:dyDescent="0.2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</row>
    <row r="95" spans="1:24" ht="12.75" customHeight="1" x14ac:dyDescent="0.2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</row>
    <row r="96" spans="1:24" ht="12.75" customHeight="1" x14ac:dyDescent="0.2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</row>
    <row r="97" spans="1:24" ht="12.75" customHeight="1" x14ac:dyDescent="0.2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</row>
    <row r="98" spans="1:24" ht="12.75" customHeight="1" x14ac:dyDescent="0.2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</row>
    <row r="99" spans="1:24" ht="12.75" customHeight="1" x14ac:dyDescent="0.2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</row>
    <row r="100" spans="1:24" ht="12.75" customHeight="1" x14ac:dyDescent="0.2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</row>
    <row r="101" spans="1:24" ht="12.75" customHeight="1" x14ac:dyDescent="0.2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</row>
    <row r="102" spans="1:24" ht="12.75" customHeight="1" x14ac:dyDescent="0.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</row>
    <row r="103" spans="1:24" ht="12.75" customHeight="1" x14ac:dyDescent="0.2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</row>
    <row r="104" spans="1:24" ht="12.75" customHeight="1" x14ac:dyDescent="0.2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</row>
    <row r="105" spans="1:24" ht="12.75" customHeight="1" x14ac:dyDescent="0.2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</row>
    <row r="106" spans="1:24" ht="12.75" customHeight="1" x14ac:dyDescent="0.2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</row>
    <row r="107" spans="1:24" ht="12.75" customHeight="1" x14ac:dyDescent="0.2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</row>
    <row r="108" spans="1:24" ht="12.75" customHeight="1" x14ac:dyDescent="0.2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</row>
    <row r="109" spans="1:24" ht="12.75" customHeight="1" x14ac:dyDescent="0.2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</row>
    <row r="110" spans="1:24" ht="12.75" customHeight="1" x14ac:dyDescent="0.2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</row>
    <row r="111" spans="1:24" ht="12.75" customHeight="1" x14ac:dyDescent="0.2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</row>
    <row r="112" spans="1:24" ht="12.75" customHeight="1" x14ac:dyDescent="0.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</row>
    <row r="113" spans="1:24" ht="12.75" customHeight="1" x14ac:dyDescent="0.2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</row>
    <row r="114" spans="1:24" ht="12.75" customHeight="1" x14ac:dyDescent="0.2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</row>
    <row r="115" spans="1:24" ht="12.75" customHeight="1" x14ac:dyDescent="0.2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</row>
    <row r="116" spans="1:24" ht="12.75" customHeight="1" x14ac:dyDescent="0.2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</row>
    <row r="117" spans="1:24" ht="12.75" customHeight="1" x14ac:dyDescent="0.2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</row>
    <row r="118" spans="1:24" ht="12.75" customHeight="1" x14ac:dyDescent="0.2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</row>
    <row r="119" spans="1:24" ht="12.75" customHeight="1" x14ac:dyDescent="0.2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</row>
    <row r="120" spans="1:24" ht="12.75" customHeight="1" x14ac:dyDescent="0.2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</row>
    <row r="121" spans="1:24" ht="12.75" customHeight="1" x14ac:dyDescent="0.2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</row>
    <row r="122" spans="1:24" ht="12.75" customHeight="1" x14ac:dyDescent="0.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</row>
    <row r="123" spans="1:24" ht="12.75" customHeight="1" x14ac:dyDescent="0.2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</row>
    <row r="124" spans="1:24" ht="12.75" customHeight="1" x14ac:dyDescent="0.2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</row>
    <row r="125" spans="1:24" ht="12.75" customHeight="1" x14ac:dyDescent="0.2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</row>
    <row r="126" spans="1:24" ht="12.75" customHeight="1" x14ac:dyDescent="0.2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</row>
    <row r="127" spans="1:24" ht="12.75" customHeight="1" x14ac:dyDescent="0.2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</row>
    <row r="128" spans="1:24" ht="12.75" customHeight="1" x14ac:dyDescent="0.2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</row>
    <row r="129" spans="1:24" ht="12.75" customHeight="1" x14ac:dyDescent="0.2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</row>
    <row r="130" spans="1:24" ht="12.75" customHeight="1" x14ac:dyDescent="0.2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</row>
    <row r="131" spans="1:24" ht="12.75" customHeight="1" x14ac:dyDescent="0.2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</row>
    <row r="132" spans="1:24" ht="12.75" customHeight="1" x14ac:dyDescent="0.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</row>
    <row r="133" spans="1:24" ht="12.75" customHeight="1" x14ac:dyDescent="0.2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</row>
    <row r="134" spans="1:24" ht="12.75" customHeight="1" x14ac:dyDescent="0.2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</row>
    <row r="135" spans="1:24" ht="12.75" customHeight="1" x14ac:dyDescent="0.2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</row>
    <row r="136" spans="1:24" ht="12.75" customHeight="1" x14ac:dyDescent="0.2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</row>
    <row r="137" spans="1:24" ht="12.75" customHeight="1" x14ac:dyDescent="0.2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</row>
    <row r="138" spans="1:24" ht="12.75" customHeight="1" x14ac:dyDescent="0.2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</row>
    <row r="139" spans="1:24" ht="12.75" customHeight="1" x14ac:dyDescent="0.2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</row>
    <row r="140" spans="1:24" ht="12.75" customHeight="1" x14ac:dyDescent="0.2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</row>
    <row r="141" spans="1:24" ht="12.75" customHeight="1" x14ac:dyDescent="0.2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</row>
    <row r="142" spans="1:24" ht="12.75" customHeight="1" x14ac:dyDescent="0.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</row>
    <row r="143" spans="1:24" ht="12.75" customHeight="1" x14ac:dyDescent="0.2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</row>
    <row r="144" spans="1:24" ht="12.75" customHeight="1" x14ac:dyDescent="0.2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</row>
    <row r="145" spans="1:24" ht="12.75" customHeight="1" x14ac:dyDescent="0.2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</row>
    <row r="146" spans="1:24" ht="12.75" customHeight="1" x14ac:dyDescent="0.2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</row>
    <row r="147" spans="1:24" ht="12.75" customHeight="1" x14ac:dyDescent="0.2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</row>
    <row r="148" spans="1:24" ht="12.75" customHeight="1" x14ac:dyDescent="0.2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</row>
    <row r="149" spans="1:24" ht="12.75" customHeight="1" x14ac:dyDescent="0.2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</row>
    <row r="150" spans="1:24" ht="12.75" customHeight="1" x14ac:dyDescent="0.2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</row>
    <row r="151" spans="1:24" ht="12.75" customHeight="1" x14ac:dyDescent="0.2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</row>
    <row r="152" spans="1:24" ht="12.75" customHeight="1" x14ac:dyDescent="0.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</row>
    <row r="153" spans="1:24" ht="12.75" customHeight="1" x14ac:dyDescent="0.2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</row>
    <row r="154" spans="1:24" ht="12.75" customHeight="1" x14ac:dyDescent="0.2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</row>
    <row r="155" spans="1:24" ht="12.75" customHeight="1" x14ac:dyDescent="0.2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</row>
    <row r="156" spans="1:24" ht="12.75" customHeight="1" x14ac:dyDescent="0.2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</row>
    <row r="157" spans="1:24" ht="12.75" customHeight="1" x14ac:dyDescent="0.2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</row>
    <row r="158" spans="1:24" ht="12.75" customHeight="1" x14ac:dyDescent="0.2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</row>
    <row r="159" spans="1:24" ht="12.75" customHeight="1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</row>
    <row r="160" spans="1:24" ht="12.75" customHeight="1" x14ac:dyDescent="0.2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</row>
    <row r="161" spans="1:24" ht="12.75" customHeight="1" x14ac:dyDescent="0.2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</row>
    <row r="162" spans="1:24" ht="12.75" customHeight="1" x14ac:dyDescent="0.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</row>
    <row r="163" spans="1:24" ht="12.75" customHeight="1" x14ac:dyDescent="0.2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</row>
    <row r="164" spans="1:24" ht="12.75" customHeight="1" x14ac:dyDescent="0.2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</row>
    <row r="165" spans="1:24" ht="12.75" customHeight="1" x14ac:dyDescent="0.2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</row>
    <row r="166" spans="1:24" ht="12.75" customHeight="1" x14ac:dyDescent="0.2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</row>
    <row r="167" spans="1:24" ht="12.75" customHeight="1" x14ac:dyDescent="0.2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</row>
    <row r="168" spans="1:24" ht="12.75" customHeight="1" x14ac:dyDescent="0.2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</row>
    <row r="169" spans="1:24" ht="12.75" customHeight="1" x14ac:dyDescent="0.2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</row>
    <row r="170" spans="1:24" ht="12.75" customHeight="1" x14ac:dyDescent="0.2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</row>
    <row r="171" spans="1:24" ht="12.75" customHeight="1" x14ac:dyDescent="0.2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</row>
    <row r="172" spans="1:24" ht="12.75" customHeight="1" x14ac:dyDescent="0.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</row>
    <row r="173" spans="1:24" ht="12.75" customHeight="1" x14ac:dyDescent="0.2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</row>
    <row r="174" spans="1:24" ht="12.75" customHeight="1" x14ac:dyDescent="0.2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</row>
    <row r="175" spans="1:24" ht="12.75" customHeight="1" x14ac:dyDescent="0.2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</row>
    <row r="176" spans="1:24" ht="12.75" customHeight="1" x14ac:dyDescent="0.2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</row>
    <row r="177" spans="1:24" ht="12.75" customHeight="1" x14ac:dyDescent="0.2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</row>
    <row r="178" spans="1:24" ht="12.75" customHeight="1" x14ac:dyDescent="0.2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</row>
    <row r="179" spans="1:24" ht="12.75" customHeight="1" x14ac:dyDescent="0.2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</row>
    <row r="180" spans="1:24" ht="12.75" customHeight="1" x14ac:dyDescent="0.2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</row>
    <row r="181" spans="1:24" ht="12.75" customHeight="1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</row>
    <row r="182" spans="1:24" ht="12.75" customHeight="1" x14ac:dyDescent="0.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</row>
    <row r="183" spans="1:24" ht="12.75" customHeight="1" x14ac:dyDescent="0.2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</row>
    <row r="184" spans="1:24" ht="12.75" customHeight="1" x14ac:dyDescent="0.2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</row>
    <row r="185" spans="1:24" ht="12.75" customHeight="1" x14ac:dyDescent="0.2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</row>
    <row r="186" spans="1:24" ht="12.75" customHeight="1" x14ac:dyDescent="0.2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</row>
    <row r="187" spans="1:24" ht="12.75" customHeight="1" x14ac:dyDescent="0.2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</row>
    <row r="188" spans="1:24" ht="12.75" customHeight="1" x14ac:dyDescent="0.2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</row>
    <row r="189" spans="1:24" ht="12.75" customHeight="1" x14ac:dyDescent="0.2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</row>
    <row r="190" spans="1:24" ht="12.75" customHeight="1" x14ac:dyDescent="0.2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</row>
    <row r="191" spans="1:24" ht="12.75" customHeight="1" x14ac:dyDescent="0.2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</row>
    <row r="192" spans="1:24" ht="12.75" customHeight="1" x14ac:dyDescent="0.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</row>
    <row r="193" spans="1:24" ht="12.75" customHeight="1" x14ac:dyDescent="0.2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</row>
    <row r="194" spans="1:24" ht="12.75" customHeight="1" x14ac:dyDescent="0.2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</row>
    <row r="195" spans="1:24" ht="12.75" customHeight="1" x14ac:dyDescent="0.2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</row>
    <row r="196" spans="1:24" ht="12.75" customHeight="1" x14ac:dyDescent="0.2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</row>
    <row r="197" spans="1:24" ht="12.75" customHeight="1" x14ac:dyDescent="0.2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</row>
    <row r="198" spans="1:24" ht="12.75" customHeight="1" x14ac:dyDescent="0.2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</row>
    <row r="199" spans="1:24" ht="12.75" customHeight="1" x14ac:dyDescent="0.2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</row>
    <row r="200" spans="1:24" ht="12.75" customHeight="1" x14ac:dyDescent="0.2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</row>
    <row r="201" spans="1:24" ht="12.75" customHeight="1" x14ac:dyDescent="0.2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</row>
    <row r="202" spans="1:24" ht="12.75" customHeight="1" x14ac:dyDescent="0.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</row>
    <row r="203" spans="1:24" ht="12.75" customHeight="1" x14ac:dyDescent="0.2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</row>
    <row r="204" spans="1:24" ht="12.75" customHeight="1" x14ac:dyDescent="0.2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</row>
    <row r="205" spans="1:24" ht="12.75" customHeight="1" x14ac:dyDescent="0.2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</row>
    <row r="206" spans="1:24" ht="12.75" customHeight="1" x14ac:dyDescent="0.2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</row>
    <row r="207" spans="1:24" ht="12.75" customHeight="1" x14ac:dyDescent="0.2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</row>
    <row r="208" spans="1:24" ht="12.75" customHeight="1" x14ac:dyDescent="0.2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</row>
    <row r="209" spans="1:24" ht="12.75" customHeight="1" x14ac:dyDescent="0.2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</row>
    <row r="210" spans="1:24" ht="12.75" customHeight="1" x14ac:dyDescent="0.2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</row>
    <row r="211" spans="1:24" ht="12.75" customHeight="1" x14ac:dyDescent="0.2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</row>
    <row r="212" spans="1:24" ht="12.75" customHeight="1" x14ac:dyDescent="0.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</row>
    <row r="213" spans="1:24" ht="12.75" customHeight="1" x14ac:dyDescent="0.2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</row>
    <row r="214" spans="1:24" ht="12.75" customHeight="1" x14ac:dyDescent="0.2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</row>
    <row r="215" spans="1:24" ht="12.75" customHeight="1" x14ac:dyDescent="0.2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</row>
    <row r="216" spans="1:24" ht="12.75" customHeight="1" x14ac:dyDescent="0.2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</row>
    <row r="217" spans="1:24" ht="12.75" customHeight="1" x14ac:dyDescent="0.2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</row>
    <row r="218" spans="1:24" ht="12.75" customHeight="1" x14ac:dyDescent="0.2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</row>
    <row r="219" spans="1:24" ht="12.75" customHeight="1" x14ac:dyDescent="0.2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</row>
    <row r="220" spans="1:24" ht="12.75" customHeight="1" x14ac:dyDescent="0.2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</row>
    <row r="221" spans="1:24" ht="12.75" customHeight="1" x14ac:dyDescent="0.2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</row>
    <row r="222" spans="1:24" ht="12.75" customHeight="1" x14ac:dyDescent="0.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</row>
    <row r="223" spans="1:24" ht="12.75" customHeight="1" x14ac:dyDescent="0.2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</row>
    <row r="224" spans="1:24" ht="12.75" customHeight="1" x14ac:dyDescent="0.2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</row>
    <row r="225" spans="1:24" ht="12.75" customHeight="1" x14ac:dyDescent="0.2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</row>
    <row r="226" spans="1:24" ht="12.75" customHeight="1" x14ac:dyDescent="0.2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</row>
    <row r="227" spans="1:24" ht="12.75" customHeight="1" x14ac:dyDescent="0.2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</row>
    <row r="228" spans="1:24" ht="12.75" customHeight="1" x14ac:dyDescent="0.2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</row>
    <row r="229" spans="1:24" ht="12.75" customHeight="1" x14ac:dyDescent="0.2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</row>
    <row r="230" spans="1:24" ht="12.75" customHeight="1" x14ac:dyDescent="0.2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</row>
    <row r="231" spans="1:24" ht="12.75" customHeight="1" x14ac:dyDescent="0.2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</row>
    <row r="232" spans="1:24" ht="12.75" customHeight="1" x14ac:dyDescent="0.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</row>
    <row r="233" spans="1:24" ht="12.75" customHeight="1" x14ac:dyDescent="0.2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</row>
    <row r="234" spans="1:24" ht="12.75" customHeight="1" x14ac:dyDescent="0.2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</row>
    <row r="235" spans="1:24" ht="12.75" customHeight="1" x14ac:dyDescent="0.2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</row>
    <row r="236" spans="1:24" ht="12.75" customHeight="1" x14ac:dyDescent="0.2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</row>
    <row r="237" spans="1:24" ht="12.75" customHeight="1" x14ac:dyDescent="0.2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</row>
    <row r="238" spans="1:24" ht="12.75" customHeight="1" x14ac:dyDescent="0.2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</row>
    <row r="239" spans="1:24" ht="12.75" customHeight="1" x14ac:dyDescent="0.2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</row>
    <row r="240" spans="1:24" ht="12.75" customHeight="1" x14ac:dyDescent="0.2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</row>
    <row r="241" spans="1:24" ht="12.75" customHeight="1" x14ac:dyDescent="0.2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</row>
    <row r="242" spans="1:24" ht="12.75" customHeight="1" x14ac:dyDescent="0.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</row>
    <row r="243" spans="1:24" ht="12.75" customHeight="1" x14ac:dyDescent="0.2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</row>
    <row r="244" spans="1:24" ht="12.75" customHeight="1" x14ac:dyDescent="0.2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</row>
    <row r="245" spans="1:24" ht="12.75" customHeight="1" x14ac:dyDescent="0.2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</row>
    <row r="246" spans="1:24" ht="12.75" customHeight="1" x14ac:dyDescent="0.2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</row>
    <row r="247" spans="1:24" ht="12.75" customHeight="1" x14ac:dyDescent="0.2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</row>
    <row r="248" spans="1:24" ht="12.75" customHeight="1" x14ac:dyDescent="0.2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</row>
    <row r="249" spans="1:24" ht="12.75" customHeight="1" x14ac:dyDescent="0.2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</row>
    <row r="250" spans="1:24" ht="12.75" customHeight="1" x14ac:dyDescent="0.2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</row>
    <row r="251" spans="1:24" ht="12.75" customHeight="1" x14ac:dyDescent="0.2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</row>
    <row r="252" spans="1:24" ht="12.75" customHeight="1" x14ac:dyDescent="0.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</row>
    <row r="253" spans="1:24" ht="12.75" customHeight="1" x14ac:dyDescent="0.2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</row>
    <row r="254" spans="1:24" ht="12.75" customHeight="1" x14ac:dyDescent="0.2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</row>
    <row r="255" spans="1:24" ht="12.75" customHeight="1" x14ac:dyDescent="0.2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</row>
    <row r="256" spans="1:24" ht="12.75" customHeight="1" x14ac:dyDescent="0.2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</row>
    <row r="257" spans="1:24" ht="12.75" customHeight="1" x14ac:dyDescent="0.2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</row>
    <row r="258" spans="1:24" ht="12.75" customHeight="1" x14ac:dyDescent="0.2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</row>
    <row r="259" spans="1:24" ht="12.75" customHeight="1" x14ac:dyDescent="0.2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</row>
    <row r="260" spans="1:24" ht="12.75" customHeight="1" x14ac:dyDescent="0.2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</row>
    <row r="261" spans="1:24" ht="12.75" customHeight="1" x14ac:dyDescent="0.2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</row>
    <row r="262" spans="1:24" ht="12.75" customHeight="1" x14ac:dyDescent="0.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</row>
    <row r="263" spans="1:24" ht="12.75" customHeight="1" x14ac:dyDescent="0.2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</row>
    <row r="264" spans="1:24" ht="12.75" customHeight="1" x14ac:dyDescent="0.2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</row>
    <row r="265" spans="1:24" ht="12.75" customHeight="1" x14ac:dyDescent="0.2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</row>
    <row r="266" spans="1:24" ht="12.75" customHeight="1" x14ac:dyDescent="0.2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</row>
    <row r="267" spans="1:24" ht="12.75" customHeight="1" x14ac:dyDescent="0.2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</row>
    <row r="268" spans="1:24" ht="12.75" customHeight="1" x14ac:dyDescent="0.2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</row>
    <row r="269" spans="1:24" ht="12.75" customHeight="1" x14ac:dyDescent="0.2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</row>
    <row r="270" spans="1:24" ht="12.75" customHeight="1" x14ac:dyDescent="0.2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</row>
    <row r="271" spans="1:24" ht="12.75" customHeight="1" x14ac:dyDescent="0.2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</row>
    <row r="272" spans="1:24" ht="12.75" customHeight="1" x14ac:dyDescent="0.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</row>
    <row r="273" spans="1:24" ht="12.75" customHeight="1" x14ac:dyDescent="0.2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</row>
    <row r="274" spans="1:24" ht="12.75" customHeight="1" x14ac:dyDescent="0.2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</row>
    <row r="275" spans="1:24" ht="12.75" customHeight="1" x14ac:dyDescent="0.2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</row>
    <row r="276" spans="1:24" ht="12.75" customHeight="1" x14ac:dyDescent="0.2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</row>
    <row r="277" spans="1:24" ht="12.75" customHeight="1" x14ac:dyDescent="0.2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</row>
    <row r="278" spans="1:24" ht="12.75" customHeight="1" x14ac:dyDescent="0.2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</row>
    <row r="279" spans="1:24" ht="12.75" customHeight="1" x14ac:dyDescent="0.2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</row>
    <row r="280" spans="1:24" ht="12.75" customHeight="1" x14ac:dyDescent="0.2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</row>
    <row r="281" spans="1:24" ht="12.75" customHeight="1" x14ac:dyDescent="0.2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</row>
    <row r="282" spans="1:24" ht="12.75" customHeight="1" x14ac:dyDescent="0.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</row>
    <row r="283" spans="1:24" ht="12.75" customHeight="1" x14ac:dyDescent="0.2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pans="1:24" ht="12.75" customHeight="1" x14ac:dyDescent="0.2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pans="1:24" ht="12.75" customHeight="1" x14ac:dyDescent="0.2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pans="1:24" ht="12.75" customHeight="1" x14ac:dyDescent="0.2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pans="1:24" ht="12.75" customHeight="1" x14ac:dyDescent="0.2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pans="1:24" ht="12.75" customHeight="1" x14ac:dyDescent="0.2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pans="1:24" ht="12.75" customHeight="1" x14ac:dyDescent="0.2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pans="1:24" ht="12.75" customHeight="1" x14ac:dyDescent="0.2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pans="1:24" ht="12.75" customHeight="1" x14ac:dyDescent="0.2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pans="1:24" ht="12.75" customHeight="1" x14ac:dyDescent="0.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pans="1:24" ht="12.75" customHeight="1" x14ac:dyDescent="0.2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pans="1:24" ht="12.75" customHeight="1" x14ac:dyDescent="0.2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pans="1:24" ht="12.75" customHeight="1" x14ac:dyDescent="0.2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pans="1:24" ht="12.75" customHeight="1" x14ac:dyDescent="0.2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pans="1:24" ht="12.75" customHeight="1" x14ac:dyDescent="0.2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pans="1:24" ht="12.75" customHeight="1" x14ac:dyDescent="0.2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pans="1:24" ht="12.75" customHeight="1" x14ac:dyDescent="0.2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pans="1:24" ht="12.75" customHeight="1" x14ac:dyDescent="0.2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pans="1:24" ht="12.75" customHeight="1" x14ac:dyDescent="0.2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pans="1:24" ht="12.75" customHeight="1" x14ac:dyDescent="0.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pans="1:24" ht="12.75" customHeight="1" x14ac:dyDescent="0.2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pans="1:24" ht="12.75" customHeight="1" x14ac:dyDescent="0.2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pans="1:24" ht="12.75" customHeight="1" x14ac:dyDescent="0.2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pans="1:24" ht="12.75" customHeight="1" x14ac:dyDescent="0.2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pans="1:24" ht="12.75" customHeight="1" x14ac:dyDescent="0.2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pans="1:24" ht="12.75" customHeight="1" x14ac:dyDescent="0.2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pans="1:24" ht="12.75" customHeight="1" x14ac:dyDescent="0.2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pans="1:24" ht="12.75" customHeight="1" x14ac:dyDescent="0.2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pans="1:24" ht="12.75" customHeight="1" x14ac:dyDescent="0.2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pans="1:24" ht="12.75" customHeight="1" x14ac:dyDescent="0.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pans="1:24" ht="12.75" customHeight="1" x14ac:dyDescent="0.2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pans="1:24" ht="12.75" customHeight="1" x14ac:dyDescent="0.2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pans="1:24" ht="12.75" customHeight="1" x14ac:dyDescent="0.2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pans="1:24" ht="12.75" customHeight="1" x14ac:dyDescent="0.2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pans="1:24" ht="12.75" customHeight="1" x14ac:dyDescent="0.2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pans="1:24" ht="12.75" customHeight="1" x14ac:dyDescent="0.2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pans="1:24" ht="12.75" customHeight="1" x14ac:dyDescent="0.2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pans="1:24" ht="12.75" customHeight="1" x14ac:dyDescent="0.2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pans="1:24" ht="12.75" customHeight="1" x14ac:dyDescent="0.2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pans="1:24" ht="12.75" customHeight="1" x14ac:dyDescent="0.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pans="1:24" ht="12.75" customHeight="1" x14ac:dyDescent="0.2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pans="1:24" ht="12.75" customHeight="1" x14ac:dyDescent="0.2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pans="1:24" ht="12.75" customHeight="1" x14ac:dyDescent="0.2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pans="1:24" ht="12.75" customHeight="1" x14ac:dyDescent="0.2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pans="1:24" ht="12.75" customHeight="1" x14ac:dyDescent="0.2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pans="1:24" ht="12.75" customHeight="1" x14ac:dyDescent="0.2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pans="1:24" ht="12.75" customHeight="1" x14ac:dyDescent="0.2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pans="1:24" ht="12.75" customHeight="1" x14ac:dyDescent="0.2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pans="1:24" ht="12.75" customHeight="1" x14ac:dyDescent="0.2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pans="1:24" ht="12.75" customHeight="1" x14ac:dyDescent="0.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pans="1:24" ht="12.75" customHeight="1" x14ac:dyDescent="0.2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pans="1:24" ht="12.75" customHeight="1" x14ac:dyDescent="0.2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pans="1:24" ht="12.75" customHeight="1" x14ac:dyDescent="0.2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pans="1:24" ht="12.75" customHeight="1" x14ac:dyDescent="0.2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pans="1:24" ht="12.75" customHeight="1" x14ac:dyDescent="0.2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pans="1:24" ht="12.75" customHeight="1" x14ac:dyDescent="0.2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pans="1:24" ht="12.75" customHeight="1" x14ac:dyDescent="0.2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pans="1:24" ht="12.75" customHeight="1" x14ac:dyDescent="0.2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pans="1:24" ht="12.75" customHeight="1" x14ac:dyDescent="0.2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pans="1:24" ht="12.75" customHeight="1" x14ac:dyDescent="0.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pans="1:24" ht="12.75" customHeight="1" x14ac:dyDescent="0.2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pans="1:24" ht="12.75" customHeight="1" x14ac:dyDescent="0.2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pans="1:24" ht="12.75" customHeight="1" x14ac:dyDescent="0.2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pans="1:24" ht="12.75" customHeight="1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pans="1:24" ht="12.75" customHeight="1" x14ac:dyDescent="0.2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</row>
    <row r="348" spans="1:24" ht="12.75" customHeight="1" x14ac:dyDescent="0.2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</row>
    <row r="349" spans="1:24" ht="12.75" customHeight="1" x14ac:dyDescent="0.2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</row>
    <row r="350" spans="1:24" ht="12.75" customHeight="1" x14ac:dyDescent="0.2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</row>
    <row r="351" spans="1:24" ht="12.75" customHeight="1" x14ac:dyDescent="0.2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pans="1:24" ht="12.75" customHeight="1" x14ac:dyDescent="0.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pans="1:24" ht="12.75" customHeight="1" x14ac:dyDescent="0.2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pans="1:24" ht="12.75" customHeight="1" x14ac:dyDescent="0.2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pans="1:24" ht="12.75" customHeight="1" x14ac:dyDescent="0.2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</row>
    <row r="356" spans="1:24" ht="12.75" customHeight="1" x14ac:dyDescent="0.2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</row>
    <row r="357" spans="1:24" ht="12.75" customHeight="1" x14ac:dyDescent="0.2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</row>
    <row r="358" spans="1:24" ht="12.75" customHeight="1" x14ac:dyDescent="0.2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</row>
    <row r="359" spans="1:24" ht="12.75" customHeight="1" x14ac:dyDescent="0.2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</row>
    <row r="360" spans="1:24" ht="12.75" customHeight="1" x14ac:dyDescent="0.2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</row>
    <row r="361" spans="1:24" ht="12.75" customHeight="1" x14ac:dyDescent="0.2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</row>
    <row r="362" spans="1:24" ht="12.75" customHeight="1" x14ac:dyDescent="0.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</row>
    <row r="363" spans="1:24" ht="12.75" customHeight="1" x14ac:dyDescent="0.2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</row>
    <row r="364" spans="1:24" ht="12.75" customHeight="1" x14ac:dyDescent="0.2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</row>
    <row r="365" spans="1:24" ht="12.75" customHeight="1" x14ac:dyDescent="0.2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</row>
    <row r="366" spans="1:24" ht="12.75" customHeight="1" x14ac:dyDescent="0.2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</row>
    <row r="367" spans="1:24" ht="12.75" customHeight="1" x14ac:dyDescent="0.2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</row>
    <row r="368" spans="1:24" ht="12.75" customHeight="1" x14ac:dyDescent="0.2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</row>
    <row r="369" spans="1:24" ht="12.75" customHeight="1" x14ac:dyDescent="0.2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</row>
    <row r="370" spans="1:24" ht="12.75" customHeight="1" x14ac:dyDescent="0.2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</row>
    <row r="371" spans="1:24" ht="12.75" customHeight="1" x14ac:dyDescent="0.2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</row>
    <row r="372" spans="1:24" ht="12.75" customHeight="1" x14ac:dyDescent="0.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</row>
    <row r="373" spans="1:24" ht="12.75" customHeight="1" x14ac:dyDescent="0.2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</row>
    <row r="374" spans="1:24" ht="12.75" customHeight="1" x14ac:dyDescent="0.2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</row>
    <row r="375" spans="1:24" ht="12.75" customHeight="1" x14ac:dyDescent="0.2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</row>
    <row r="376" spans="1:24" ht="12.75" customHeight="1" x14ac:dyDescent="0.2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</row>
    <row r="377" spans="1:24" ht="12.75" customHeight="1" x14ac:dyDescent="0.2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</row>
    <row r="378" spans="1:24" ht="12.75" customHeight="1" x14ac:dyDescent="0.2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</row>
    <row r="379" spans="1:24" ht="12.75" customHeight="1" x14ac:dyDescent="0.2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</row>
    <row r="380" spans="1:24" ht="12.75" customHeight="1" x14ac:dyDescent="0.2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</row>
    <row r="381" spans="1:24" ht="12.75" customHeight="1" x14ac:dyDescent="0.2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</row>
    <row r="382" spans="1:24" ht="12.75" customHeight="1" x14ac:dyDescent="0.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</row>
    <row r="383" spans="1:24" ht="12.75" customHeight="1" x14ac:dyDescent="0.2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</row>
    <row r="384" spans="1:24" ht="12.75" customHeight="1" x14ac:dyDescent="0.2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</row>
    <row r="385" spans="1:24" ht="12.75" customHeight="1" x14ac:dyDescent="0.2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</row>
    <row r="386" spans="1:24" ht="12.75" customHeight="1" x14ac:dyDescent="0.2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</row>
    <row r="387" spans="1:24" ht="12.75" customHeight="1" x14ac:dyDescent="0.2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</row>
    <row r="388" spans="1:24" ht="12.75" customHeight="1" x14ac:dyDescent="0.2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</row>
    <row r="389" spans="1:24" ht="12.75" customHeight="1" x14ac:dyDescent="0.2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</row>
    <row r="390" spans="1:24" ht="12.75" customHeight="1" x14ac:dyDescent="0.2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</row>
    <row r="391" spans="1:24" ht="12.75" customHeight="1" x14ac:dyDescent="0.2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</row>
    <row r="392" spans="1:24" ht="12.75" customHeight="1" x14ac:dyDescent="0.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</row>
    <row r="393" spans="1:24" ht="12.75" customHeight="1" x14ac:dyDescent="0.2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</row>
    <row r="394" spans="1:24" ht="12.75" customHeight="1" x14ac:dyDescent="0.2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</row>
    <row r="395" spans="1:24" ht="12.75" customHeight="1" x14ac:dyDescent="0.2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</row>
    <row r="396" spans="1:24" ht="12.75" customHeight="1" x14ac:dyDescent="0.2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</row>
    <row r="397" spans="1:24" ht="12.75" customHeight="1" x14ac:dyDescent="0.2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</row>
    <row r="398" spans="1:24" ht="12.75" customHeight="1" x14ac:dyDescent="0.2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</row>
    <row r="399" spans="1:24" ht="12.75" customHeight="1" x14ac:dyDescent="0.2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</row>
    <row r="400" spans="1:24" ht="12.75" customHeight="1" x14ac:dyDescent="0.2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</row>
    <row r="401" spans="1:24" ht="12.75" customHeight="1" x14ac:dyDescent="0.2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</row>
    <row r="402" spans="1:24" ht="12.75" customHeight="1" x14ac:dyDescent="0.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</row>
    <row r="403" spans="1:24" ht="12.75" customHeight="1" x14ac:dyDescent="0.2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</row>
    <row r="404" spans="1:24" ht="12.75" customHeight="1" x14ac:dyDescent="0.2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</row>
    <row r="405" spans="1:24" ht="12.75" customHeight="1" x14ac:dyDescent="0.2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</row>
    <row r="406" spans="1:24" ht="12.75" customHeight="1" x14ac:dyDescent="0.2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</row>
    <row r="407" spans="1:24" ht="12.75" customHeight="1" x14ac:dyDescent="0.2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</row>
    <row r="408" spans="1:24" ht="12.75" customHeight="1" x14ac:dyDescent="0.2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</row>
    <row r="409" spans="1:24" ht="12.75" customHeight="1" x14ac:dyDescent="0.2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</row>
    <row r="410" spans="1:24" ht="12.75" customHeight="1" x14ac:dyDescent="0.2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</row>
    <row r="411" spans="1:24" ht="12.75" customHeight="1" x14ac:dyDescent="0.2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</row>
    <row r="412" spans="1:24" ht="12.75" customHeight="1" x14ac:dyDescent="0.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</row>
    <row r="413" spans="1:24" ht="12.75" customHeight="1" x14ac:dyDescent="0.2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</row>
    <row r="414" spans="1:24" ht="12.75" customHeight="1" x14ac:dyDescent="0.2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</row>
    <row r="415" spans="1:24" ht="12.75" customHeight="1" x14ac:dyDescent="0.2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</row>
    <row r="416" spans="1:24" ht="12.75" customHeight="1" x14ac:dyDescent="0.2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</row>
    <row r="417" spans="1:24" ht="12.75" customHeight="1" x14ac:dyDescent="0.2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</row>
    <row r="418" spans="1:24" ht="12.75" customHeight="1" x14ac:dyDescent="0.2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</row>
    <row r="419" spans="1:24" ht="12.75" customHeight="1" x14ac:dyDescent="0.2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</row>
    <row r="420" spans="1:24" ht="12.75" customHeight="1" x14ac:dyDescent="0.2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</row>
    <row r="421" spans="1:24" ht="12.75" customHeight="1" x14ac:dyDescent="0.2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</row>
    <row r="422" spans="1:24" ht="12.75" customHeight="1" x14ac:dyDescent="0.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</row>
    <row r="423" spans="1:24" ht="12.75" customHeight="1" x14ac:dyDescent="0.2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</row>
    <row r="424" spans="1:24" ht="12.75" customHeight="1" x14ac:dyDescent="0.2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</row>
    <row r="425" spans="1:24" ht="12.75" customHeight="1" x14ac:dyDescent="0.2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</row>
    <row r="426" spans="1:24" ht="12.75" customHeight="1" x14ac:dyDescent="0.2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</row>
    <row r="427" spans="1:24" ht="12.75" customHeight="1" x14ac:dyDescent="0.2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</row>
    <row r="428" spans="1:24" ht="12.75" customHeight="1" x14ac:dyDescent="0.2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</row>
    <row r="429" spans="1:24" ht="12.75" customHeight="1" x14ac:dyDescent="0.2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</row>
    <row r="430" spans="1:24" ht="12.75" customHeight="1" x14ac:dyDescent="0.2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</row>
    <row r="431" spans="1:24" ht="12.75" customHeight="1" x14ac:dyDescent="0.2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</row>
    <row r="432" spans="1:24" ht="12.75" customHeight="1" x14ac:dyDescent="0.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</row>
    <row r="433" spans="1:24" ht="12.75" customHeight="1" x14ac:dyDescent="0.2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</row>
    <row r="434" spans="1:24" ht="12.75" customHeight="1" x14ac:dyDescent="0.2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</row>
    <row r="435" spans="1:24" ht="12.75" customHeight="1" x14ac:dyDescent="0.2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</row>
    <row r="436" spans="1:24" ht="12.75" customHeight="1" x14ac:dyDescent="0.2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</row>
    <row r="437" spans="1:24" ht="12.75" customHeight="1" x14ac:dyDescent="0.2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</row>
    <row r="438" spans="1:24" ht="12.75" customHeight="1" x14ac:dyDescent="0.2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</row>
    <row r="439" spans="1:24" ht="12.75" customHeight="1" x14ac:dyDescent="0.2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</row>
    <row r="440" spans="1:24" ht="12.75" customHeight="1" x14ac:dyDescent="0.2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</row>
    <row r="441" spans="1:24" ht="12.75" customHeight="1" x14ac:dyDescent="0.2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</row>
    <row r="442" spans="1:24" ht="12.75" customHeight="1" x14ac:dyDescent="0.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</row>
    <row r="443" spans="1:24" ht="12.75" customHeight="1" x14ac:dyDescent="0.2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</row>
    <row r="444" spans="1:24" ht="12.75" customHeight="1" x14ac:dyDescent="0.2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</row>
    <row r="445" spans="1:24" ht="12.75" customHeight="1" x14ac:dyDescent="0.2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</row>
    <row r="446" spans="1:24" ht="12.75" customHeight="1" x14ac:dyDescent="0.2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</row>
    <row r="447" spans="1:24" ht="12.75" customHeight="1" x14ac:dyDescent="0.2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</row>
    <row r="448" spans="1:24" ht="12.75" customHeight="1" x14ac:dyDescent="0.2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</row>
    <row r="449" spans="1:24" ht="12.75" customHeight="1" x14ac:dyDescent="0.2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</row>
    <row r="450" spans="1:24" ht="12.75" customHeight="1" x14ac:dyDescent="0.2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</row>
    <row r="451" spans="1:24" ht="12.75" customHeight="1" x14ac:dyDescent="0.2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</row>
    <row r="452" spans="1:24" ht="12.75" customHeight="1" x14ac:dyDescent="0.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</row>
    <row r="453" spans="1:24" ht="12.75" customHeight="1" x14ac:dyDescent="0.2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</row>
    <row r="454" spans="1:24" ht="12.75" customHeight="1" x14ac:dyDescent="0.2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</row>
    <row r="455" spans="1:24" ht="12.75" customHeight="1" x14ac:dyDescent="0.2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</row>
    <row r="456" spans="1:24" ht="12.75" customHeight="1" x14ac:dyDescent="0.2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</row>
    <row r="457" spans="1:24" ht="12.75" customHeight="1" x14ac:dyDescent="0.2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</row>
    <row r="458" spans="1:24" ht="12.75" customHeight="1" x14ac:dyDescent="0.2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</row>
    <row r="459" spans="1:24" ht="12.75" customHeight="1" x14ac:dyDescent="0.2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</row>
    <row r="460" spans="1:24" ht="12.75" customHeight="1" x14ac:dyDescent="0.2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</row>
    <row r="461" spans="1:24" ht="12.75" customHeight="1" x14ac:dyDescent="0.2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</row>
    <row r="462" spans="1:24" ht="12.75" customHeight="1" x14ac:dyDescent="0.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</row>
    <row r="463" spans="1:24" ht="12.75" customHeight="1" x14ac:dyDescent="0.2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</row>
    <row r="464" spans="1:24" ht="12.75" customHeight="1" x14ac:dyDescent="0.2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</row>
    <row r="465" spans="1:24" ht="12.75" customHeight="1" x14ac:dyDescent="0.2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</row>
    <row r="466" spans="1:24" ht="12.75" customHeight="1" x14ac:dyDescent="0.2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</row>
    <row r="467" spans="1:24" ht="12.75" customHeight="1" x14ac:dyDescent="0.2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</row>
    <row r="468" spans="1:24" ht="12.75" customHeight="1" x14ac:dyDescent="0.2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</row>
    <row r="469" spans="1:24" ht="12.75" customHeight="1" x14ac:dyDescent="0.2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</row>
    <row r="470" spans="1:24" ht="12.75" customHeight="1" x14ac:dyDescent="0.2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</row>
    <row r="471" spans="1:24" ht="12.75" customHeight="1" x14ac:dyDescent="0.2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</row>
    <row r="472" spans="1:24" ht="12.75" customHeight="1" x14ac:dyDescent="0.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</row>
    <row r="473" spans="1:24" ht="12.75" customHeight="1" x14ac:dyDescent="0.2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</row>
    <row r="474" spans="1:24" ht="12.75" customHeight="1" x14ac:dyDescent="0.2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</row>
    <row r="475" spans="1:24" ht="12.75" customHeight="1" x14ac:dyDescent="0.2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</row>
    <row r="476" spans="1:24" ht="12.75" customHeight="1" x14ac:dyDescent="0.2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</row>
    <row r="477" spans="1:24" ht="12.75" customHeight="1" x14ac:dyDescent="0.2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</row>
    <row r="478" spans="1:24" ht="12.75" customHeight="1" x14ac:dyDescent="0.2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</row>
    <row r="479" spans="1:24" ht="12.75" customHeight="1" x14ac:dyDescent="0.2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</row>
    <row r="480" spans="1:24" ht="12.75" customHeight="1" x14ac:dyDescent="0.2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</row>
    <row r="481" spans="1:24" ht="12.75" customHeight="1" x14ac:dyDescent="0.2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</row>
    <row r="482" spans="1:24" ht="12.75" customHeight="1" x14ac:dyDescent="0.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</row>
    <row r="483" spans="1:24" ht="12.75" customHeight="1" x14ac:dyDescent="0.2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</row>
    <row r="484" spans="1:24" ht="12.75" customHeight="1" x14ac:dyDescent="0.2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</row>
    <row r="485" spans="1:24" ht="12.75" customHeight="1" x14ac:dyDescent="0.2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</row>
    <row r="486" spans="1:24" ht="12.75" customHeight="1" x14ac:dyDescent="0.2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</row>
    <row r="487" spans="1:24" ht="12.75" customHeight="1" x14ac:dyDescent="0.2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</row>
    <row r="488" spans="1:24" ht="12.75" customHeight="1" x14ac:dyDescent="0.2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</row>
    <row r="489" spans="1:24" ht="12.75" customHeight="1" x14ac:dyDescent="0.2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</row>
    <row r="490" spans="1:24" ht="12.75" customHeight="1" x14ac:dyDescent="0.2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</row>
    <row r="491" spans="1:24" ht="12.75" customHeight="1" x14ac:dyDescent="0.2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</row>
    <row r="492" spans="1:24" ht="12.75" customHeight="1" x14ac:dyDescent="0.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</row>
    <row r="493" spans="1:24" ht="12.75" customHeight="1" x14ac:dyDescent="0.2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</row>
    <row r="494" spans="1:24" ht="12.75" customHeight="1" x14ac:dyDescent="0.2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</row>
    <row r="495" spans="1:24" ht="12.75" customHeight="1" x14ac:dyDescent="0.2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</row>
    <row r="496" spans="1:24" ht="12.75" customHeight="1" x14ac:dyDescent="0.2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</row>
    <row r="497" spans="1:24" ht="12.75" customHeight="1" x14ac:dyDescent="0.2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</row>
    <row r="498" spans="1:24" ht="12.75" customHeight="1" x14ac:dyDescent="0.2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</row>
    <row r="499" spans="1:24" ht="12.75" customHeight="1" x14ac:dyDescent="0.2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</row>
    <row r="500" spans="1:24" ht="12.75" customHeight="1" x14ac:dyDescent="0.2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</row>
    <row r="501" spans="1:24" ht="12.75" customHeight="1" x14ac:dyDescent="0.2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</row>
    <row r="502" spans="1:24" ht="12.75" customHeight="1" x14ac:dyDescent="0.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</row>
    <row r="503" spans="1:24" ht="12.75" customHeight="1" x14ac:dyDescent="0.2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</row>
    <row r="504" spans="1:24" ht="12.75" customHeight="1" x14ac:dyDescent="0.2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</row>
    <row r="505" spans="1:24" ht="12.75" customHeight="1" x14ac:dyDescent="0.2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pans="1:24" ht="12.75" customHeight="1" x14ac:dyDescent="0.2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pans="1:24" ht="12.75" customHeight="1" x14ac:dyDescent="0.2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pans="1:24" ht="12.75" customHeight="1" x14ac:dyDescent="0.2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pans="1:24" ht="12.75" customHeight="1" x14ac:dyDescent="0.2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pans="1:24" ht="12.75" customHeight="1" x14ac:dyDescent="0.2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pans="1:24" ht="12.75" customHeight="1" x14ac:dyDescent="0.2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pans="1:24" ht="12.75" customHeight="1" x14ac:dyDescent="0.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pans="1:24" ht="12.75" customHeight="1" x14ac:dyDescent="0.2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pans="1:24" ht="12.75" customHeight="1" x14ac:dyDescent="0.2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pans="1:24" ht="12.75" customHeight="1" x14ac:dyDescent="0.2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pans="1:24" ht="12.75" customHeight="1" x14ac:dyDescent="0.2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pans="1:24" ht="12.75" customHeight="1" x14ac:dyDescent="0.2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pans="1:24" ht="12.75" customHeight="1" x14ac:dyDescent="0.2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pans="1:24" ht="12.75" customHeight="1" x14ac:dyDescent="0.2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pans="1:24" ht="12.75" customHeight="1" x14ac:dyDescent="0.2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</row>
    <row r="521" spans="1:24" ht="12.75" customHeight="1" x14ac:dyDescent="0.2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</row>
    <row r="522" spans="1:24" ht="12.75" customHeight="1" x14ac:dyDescent="0.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</row>
    <row r="523" spans="1:24" ht="12.75" customHeight="1" x14ac:dyDescent="0.2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</row>
    <row r="524" spans="1:24" ht="12.75" customHeight="1" x14ac:dyDescent="0.2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</row>
    <row r="525" spans="1:24" ht="12.75" customHeight="1" x14ac:dyDescent="0.2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</row>
    <row r="526" spans="1:24" ht="12.75" customHeight="1" x14ac:dyDescent="0.2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</row>
    <row r="527" spans="1:24" ht="12.75" customHeight="1" x14ac:dyDescent="0.2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</row>
    <row r="528" spans="1:24" ht="12.75" customHeight="1" x14ac:dyDescent="0.2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</row>
    <row r="529" spans="1:24" ht="12.75" customHeight="1" x14ac:dyDescent="0.2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</row>
    <row r="530" spans="1:24" ht="12.75" customHeight="1" x14ac:dyDescent="0.2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pans="1:24" ht="12.75" customHeight="1" x14ac:dyDescent="0.2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pans="1:24" ht="12.75" customHeight="1" x14ac:dyDescent="0.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pans="1:24" ht="12.75" customHeight="1" x14ac:dyDescent="0.2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pans="1:24" ht="12.75" customHeight="1" x14ac:dyDescent="0.2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pans="1:24" ht="12.75" customHeight="1" x14ac:dyDescent="0.2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pans="1:24" ht="12.75" customHeight="1" x14ac:dyDescent="0.2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pans="1:24" ht="12.75" customHeight="1" x14ac:dyDescent="0.2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pans="1:24" ht="12.75" customHeight="1" x14ac:dyDescent="0.2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pans="1:24" ht="12.75" customHeight="1" x14ac:dyDescent="0.2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pans="1:24" ht="12.75" customHeight="1" x14ac:dyDescent="0.2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pans="1:24" ht="12.75" customHeight="1" x14ac:dyDescent="0.2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pans="1:24" ht="12.75" customHeight="1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pans="1:24" ht="12.75" customHeight="1" x14ac:dyDescent="0.2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pans="1:24" ht="12.75" customHeight="1" x14ac:dyDescent="0.2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pans="1:24" ht="12.75" customHeight="1" x14ac:dyDescent="0.2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</row>
    <row r="546" spans="1:24" ht="12.75" customHeight="1" x14ac:dyDescent="0.2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</row>
    <row r="547" spans="1:24" ht="12.75" customHeight="1" x14ac:dyDescent="0.2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</row>
    <row r="548" spans="1:24" ht="12.75" customHeight="1" x14ac:dyDescent="0.2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</row>
    <row r="549" spans="1:24" ht="12.75" customHeight="1" x14ac:dyDescent="0.2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</row>
    <row r="550" spans="1:24" ht="12.75" customHeight="1" x14ac:dyDescent="0.2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</row>
    <row r="551" spans="1:24" ht="12.75" customHeight="1" x14ac:dyDescent="0.2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</row>
    <row r="552" spans="1:24" ht="12.75" customHeight="1" x14ac:dyDescent="0.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</row>
    <row r="553" spans="1:24" ht="12.75" customHeight="1" x14ac:dyDescent="0.2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</row>
    <row r="554" spans="1:24" ht="12.75" customHeight="1" x14ac:dyDescent="0.2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</row>
    <row r="555" spans="1:24" ht="12.75" customHeight="1" x14ac:dyDescent="0.2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</row>
    <row r="556" spans="1:24" ht="12.75" customHeight="1" x14ac:dyDescent="0.2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</row>
    <row r="557" spans="1:24" ht="12.75" customHeight="1" x14ac:dyDescent="0.2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</row>
    <row r="558" spans="1:24" ht="12.75" customHeight="1" x14ac:dyDescent="0.2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</row>
    <row r="559" spans="1:24" ht="12.75" customHeight="1" x14ac:dyDescent="0.2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</row>
    <row r="560" spans="1:24" ht="12.75" customHeight="1" x14ac:dyDescent="0.2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</row>
    <row r="561" spans="1:24" ht="12.75" customHeight="1" x14ac:dyDescent="0.2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</row>
    <row r="562" spans="1:24" ht="12.75" customHeight="1" x14ac:dyDescent="0.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</row>
    <row r="563" spans="1:24" ht="12.75" customHeight="1" x14ac:dyDescent="0.2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</row>
    <row r="564" spans="1:24" ht="12.75" customHeight="1" x14ac:dyDescent="0.2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</row>
    <row r="565" spans="1:24" ht="12.75" customHeight="1" x14ac:dyDescent="0.2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</row>
    <row r="566" spans="1:24" ht="12.75" customHeight="1" x14ac:dyDescent="0.2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</row>
    <row r="567" spans="1:24" ht="12.75" customHeight="1" x14ac:dyDescent="0.2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</row>
    <row r="568" spans="1:24" ht="12.75" customHeight="1" x14ac:dyDescent="0.2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</row>
    <row r="569" spans="1:24" ht="12.75" customHeight="1" x14ac:dyDescent="0.2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</row>
    <row r="570" spans="1:24" ht="12.75" customHeight="1" x14ac:dyDescent="0.2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</row>
    <row r="571" spans="1:24" ht="12.75" customHeight="1" x14ac:dyDescent="0.2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</row>
    <row r="572" spans="1:24" ht="12.75" customHeight="1" x14ac:dyDescent="0.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</row>
    <row r="573" spans="1:24" ht="12.75" customHeight="1" x14ac:dyDescent="0.2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</row>
    <row r="574" spans="1:24" ht="12.75" customHeight="1" x14ac:dyDescent="0.2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</row>
    <row r="575" spans="1:24" ht="12.75" customHeight="1" x14ac:dyDescent="0.2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</row>
    <row r="576" spans="1:24" ht="12.75" customHeight="1" x14ac:dyDescent="0.2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</row>
    <row r="577" spans="1:24" ht="12.75" customHeight="1" x14ac:dyDescent="0.2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</row>
    <row r="578" spans="1:24" ht="12.75" customHeight="1" x14ac:dyDescent="0.2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</row>
    <row r="579" spans="1:24" ht="12.75" customHeight="1" x14ac:dyDescent="0.2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</row>
    <row r="580" spans="1:24" ht="12.75" customHeight="1" x14ac:dyDescent="0.2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</row>
    <row r="581" spans="1:24" ht="12.75" customHeight="1" x14ac:dyDescent="0.2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</row>
    <row r="582" spans="1:24" ht="12.75" customHeight="1" x14ac:dyDescent="0.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</row>
    <row r="583" spans="1:24" ht="12.75" customHeight="1" x14ac:dyDescent="0.2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</row>
    <row r="584" spans="1:24" ht="12.75" customHeight="1" x14ac:dyDescent="0.2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</row>
    <row r="585" spans="1:24" ht="12.75" customHeight="1" x14ac:dyDescent="0.2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</row>
    <row r="586" spans="1:24" ht="12.75" customHeight="1" x14ac:dyDescent="0.2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</row>
    <row r="587" spans="1:24" ht="12.75" customHeight="1" x14ac:dyDescent="0.2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</row>
    <row r="588" spans="1:24" ht="12.75" customHeight="1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</row>
    <row r="589" spans="1:24" ht="12.75" customHeight="1" x14ac:dyDescent="0.2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</row>
    <row r="590" spans="1:24" ht="12.75" customHeight="1" x14ac:dyDescent="0.2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</row>
    <row r="591" spans="1:24" ht="12.75" customHeight="1" x14ac:dyDescent="0.2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</row>
    <row r="592" spans="1:24" ht="12.75" customHeight="1" x14ac:dyDescent="0.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</row>
    <row r="593" spans="1:24" ht="12.75" customHeight="1" x14ac:dyDescent="0.2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</row>
    <row r="594" spans="1:24" ht="12.75" customHeight="1" x14ac:dyDescent="0.2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</row>
    <row r="595" spans="1:24" ht="12.75" customHeight="1" x14ac:dyDescent="0.2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</row>
    <row r="596" spans="1:24" ht="12.75" customHeight="1" x14ac:dyDescent="0.2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</row>
    <row r="597" spans="1:24" ht="12.75" customHeight="1" x14ac:dyDescent="0.2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</row>
    <row r="598" spans="1:24" ht="12.75" customHeight="1" x14ac:dyDescent="0.2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</row>
    <row r="599" spans="1:24" ht="12.75" customHeight="1" x14ac:dyDescent="0.2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</row>
    <row r="600" spans="1:24" ht="12.75" customHeight="1" x14ac:dyDescent="0.2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</row>
    <row r="601" spans="1:24" ht="12.75" customHeight="1" x14ac:dyDescent="0.2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</row>
    <row r="602" spans="1:24" ht="12.75" customHeight="1" x14ac:dyDescent="0.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</row>
    <row r="603" spans="1:24" ht="12.75" customHeight="1" x14ac:dyDescent="0.2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</row>
    <row r="604" spans="1:24" ht="12.75" customHeight="1" x14ac:dyDescent="0.2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</row>
    <row r="605" spans="1:24" ht="12.75" customHeight="1" x14ac:dyDescent="0.2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</row>
    <row r="606" spans="1:24" ht="12.75" customHeight="1" x14ac:dyDescent="0.2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</row>
    <row r="607" spans="1:24" ht="12.75" customHeight="1" x14ac:dyDescent="0.2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</row>
    <row r="608" spans="1:24" ht="12.75" customHeight="1" x14ac:dyDescent="0.2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</row>
    <row r="609" spans="1:24" ht="12.75" customHeight="1" x14ac:dyDescent="0.2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</row>
    <row r="610" spans="1:24" ht="12.75" customHeight="1" x14ac:dyDescent="0.2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</row>
    <row r="611" spans="1:24" ht="12.75" customHeight="1" x14ac:dyDescent="0.2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</row>
    <row r="612" spans="1:24" ht="12.75" customHeight="1" x14ac:dyDescent="0.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</row>
    <row r="613" spans="1:24" ht="12.75" customHeight="1" x14ac:dyDescent="0.2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</row>
    <row r="614" spans="1:24" ht="12.75" customHeight="1" x14ac:dyDescent="0.2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</row>
    <row r="615" spans="1:24" ht="12.75" customHeight="1" x14ac:dyDescent="0.2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</row>
    <row r="616" spans="1:24" ht="12.75" customHeight="1" x14ac:dyDescent="0.2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</row>
    <row r="617" spans="1:24" ht="12.75" customHeight="1" x14ac:dyDescent="0.2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</row>
    <row r="618" spans="1:24" ht="12.75" customHeight="1" x14ac:dyDescent="0.2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</row>
    <row r="619" spans="1:24" ht="12.75" customHeight="1" x14ac:dyDescent="0.2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</row>
    <row r="620" spans="1:24" ht="12.75" customHeight="1" x14ac:dyDescent="0.2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</row>
    <row r="621" spans="1:24" ht="12.75" customHeight="1" x14ac:dyDescent="0.2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</row>
    <row r="622" spans="1:24" ht="12.75" customHeight="1" x14ac:dyDescent="0.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</row>
    <row r="623" spans="1:24" ht="12.75" customHeight="1" x14ac:dyDescent="0.2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</row>
    <row r="624" spans="1:24" ht="12.75" customHeight="1" x14ac:dyDescent="0.2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</row>
    <row r="625" spans="1:24" ht="12.75" customHeight="1" x14ac:dyDescent="0.2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</row>
    <row r="626" spans="1:24" ht="12.75" customHeight="1" x14ac:dyDescent="0.2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</row>
    <row r="627" spans="1:24" ht="12.75" customHeight="1" x14ac:dyDescent="0.2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</row>
    <row r="628" spans="1:24" ht="12.75" customHeight="1" x14ac:dyDescent="0.2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</row>
    <row r="629" spans="1:24" ht="12.75" customHeight="1" x14ac:dyDescent="0.2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</row>
    <row r="630" spans="1:24" ht="12.75" customHeight="1" x14ac:dyDescent="0.2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</row>
    <row r="631" spans="1:24" ht="12.75" customHeight="1" x14ac:dyDescent="0.2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</row>
    <row r="632" spans="1:24" ht="12.75" customHeight="1" x14ac:dyDescent="0.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</row>
    <row r="633" spans="1:24" ht="12.75" customHeight="1" x14ac:dyDescent="0.2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</row>
    <row r="634" spans="1:24" ht="12.75" customHeight="1" x14ac:dyDescent="0.2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</row>
    <row r="635" spans="1:24" ht="12.75" customHeight="1" x14ac:dyDescent="0.2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</row>
    <row r="636" spans="1:24" ht="12.75" customHeight="1" x14ac:dyDescent="0.2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</row>
    <row r="637" spans="1:24" ht="12.75" customHeight="1" x14ac:dyDescent="0.2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</row>
    <row r="638" spans="1:24" ht="12.75" customHeight="1" x14ac:dyDescent="0.2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</row>
    <row r="639" spans="1:24" ht="12.75" customHeight="1" x14ac:dyDescent="0.2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</row>
    <row r="640" spans="1:24" ht="12.75" customHeight="1" x14ac:dyDescent="0.2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</row>
    <row r="641" spans="1:24" ht="12.75" customHeight="1" x14ac:dyDescent="0.2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</row>
    <row r="642" spans="1:24" ht="12.75" customHeight="1" x14ac:dyDescent="0.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</row>
    <row r="643" spans="1:24" ht="12.75" customHeight="1" x14ac:dyDescent="0.2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</row>
    <row r="644" spans="1:24" ht="12.75" customHeight="1" x14ac:dyDescent="0.2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</row>
    <row r="645" spans="1:24" ht="12.75" customHeight="1" x14ac:dyDescent="0.2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</row>
    <row r="646" spans="1:24" ht="12.75" customHeight="1" x14ac:dyDescent="0.2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</row>
    <row r="647" spans="1:24" ht="12.75" customHeight="1" x14ac:dyDescent="0.2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</row>
    <row r="648" spans="1:24" ht="12.75" customHeight="1" x14ac:dyDescent="0.2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</row>
    <row r="649" spans="1:24" ht="12.75" customHeight="1" x14ac:dyDescent="0.2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</row>
    <row r="650" spans="1:24" ht="12.75" customHeight="1" x14ac:dyDescent="0.2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</row>
    <row r="651" spans="1:24" ht="12.75" customHeight="1" x14ac:dyDescent="0.2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</row>
    <row r="652" spans="1:24" ht="12.75" customHeight="1" x14ac:dyDescent="0.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</row>
    <row r="653" spans="1:24" ht="12.75" customHeight="1" x14ac:dyDescent="0.2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</row>
    <row r="654" spans="1:24" ht="12.75" customHeight="1" x14ac:dyDescent="0.2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</row>
    <row r="655" spans="1:24" ht="12.75" customHeight="1" x14ac:dyDescent="0.2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</row>
    <row r="656" spans="1:24" ht="12.75" customHeight="1" x14ac:dyDescent="0.2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</row>
    <row r="657" spans="1:24" ht="12.75" customHeight="1" x14ac:dyDescent="0.2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</row>
    <row r="658" spans="1:24" ht="12.75" customHeight="1" x14ac:dyDescent="0.2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</row>
    <row r="659" spans="1:24" ht="12.75" customHeight="1" x14ac:dyDescent="0.2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</row>
    <row r="660" spans="1:24" ht="12.75" customHeight="1" x14ac:dyDescent="0.2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</row>
    <row r="661" spans="1:24" ht="12.75" customHeight="1" x14ac:dyDescent="0.2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</row>
    <row r="662" spans="1:24" ht="12.75" customHeight="1" x14ac:dyDescent="0.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</row>
    <row r="663" spans="1:24" ht="12.75" customHeight="1" x14ac:dyDescent="0.2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</row>
    <row r="664" spans="1:24" ht="12.75" customHeight="1" x14ac:dyDescent="0.2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</row>
    <row r="665" spans="1:24" ht="12.75" customHeight="1" x14ac:dyDescent="0.2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</row>
    <row r="666" spans="1:24" ht="12.75" customHeight="1" x14ac:dyDescent="0.2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</row>
    <row r="667" spans="1:24" ht="12.75" customHeight="1" x14ac:dyDescent="0.2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</row>
    <row r="668" spans="1:24" ht="12.75" customHeight="1" x14ac:dyDescent="0.2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</row>
    <row r="669" spans="1:24" ht="12.75" customHeight="1" x14ac:dyDescent="0.2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</row>
    <row r="670" spans="1:24" ht="12.75" customHeight="1" x14ac:dyDescent="0.2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</row>
    <row r="671" spans="1:24" ht="12.75" customHeight="1" x14ac:dyDescent="0.2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</row>
    <row r="672" spans="1:24" ht="12.75" customHeight="1" x14ac:dyDescent="0.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</row>
    <row r="673" spans="1:24" ht="12.75" customHeight="1" x14ac:dyDescent="0.2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</row>
    <row r="674" spans="1:24" ht="12.75" customHeight="1" x14ac:dyDescent="0.2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</row>
    <row r="675" spans="1:24" ht="12.75" customHeight="1" x14ac:dyDescent="0.2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</row>
    <row r="676" spans="1:24" ht="12.75" customHeight="1" x14ac:dyDescent="0.2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</row>
    <row r="677" spans="1:24" ht="12.75" customHeight="1" x14ac:dyDescent="0.2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</row>
    <row r="678" spans="1:24" ht="12.75" customHeight="1" x14ac:dyDescent="0.2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</row>
    <row r="679" spans="1:24" ht="12.75" customHeight="1" x14ac:dyDescent="0.2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</row>
    <row r="680" spans="1:24" ht="12.75" customHeight="1" x14ac:dyDescent="0.2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</row>
    <row r="681" spans="1:24" ht="12.75" customHeight="1" x14ac:dyDescent="0.2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</row>
    <row r="682" spans="1:24" ht="12.75" customHeight="1" x14ac:dyDescent="0.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</row>
    <row r="683" spans="1:24" ht="12.75" customHeight="1" x14ac:dyDescent="0.2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</row>
    <row r="684" spans="1:24" ht="12.75" customHeight="1" x14ac:dyDescent="0.2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</row>
    <row r="685" spans="1:24" ht="12.75" customHeight="1" x14ac:dyDescent="0.2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</row>
    <row r="686" spans="1:24" ht="12.75" customHeight="1" x14ac:dyDescent="0.2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</row>
    <row r="687" spans="1:24" ht="12.75" customHeight="1" x14ac:dyDescent="0.2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</row>
    <row r="688" spans="1:24" ht="12.75" customHeight="1" x14ac:dyDescent="0.2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</row>
    <row r="689" spans="1:24" ht="12.75" customHeight="1" x14ac:dyDescent="0.2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</row>
    <row r="690" spans="1:24" ht="12.75" customHeight="1" x14ac:dyDescent="0.2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</row>
    <row r="691" spans="1:24" ht="12.75" customHeight="1" x14ac:dyDescent="0.2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</row>
    <row r="692" spans="1:24" ht="12.75" customHeight="1" x14ac:dyDescent="0.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</row>
    <row r="693" spans="1:24" ht="12.75" customHeight="1" x14ac:dyDescent="0.2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</row>
    <row r="694" spans="1:24" ht="12.75" customHeight="1" x14ac:dyDescent="0.2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</row>
    <row r="695" spans="1:24" ht="12.75" customHeight="1" x14ac:dyDescent="0.2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</row>
    <row r="696" spans="1:24" ht="12.75" customHeight="1" x14ac:dyDescent="0.2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</row>
    <row r="697" spans="1:24" ht="12.75" customHeight="1" x14ac:dyDescent="0.2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</row>
    <row r="698" spans="1:24" ht="12.75" customHeight="1" x14ac:dyDescent="0.2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</row>
    <row r="699" spans="1:24" ht="12.75" customHeight="1" x14ac:dyDescent="0.2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</row>
    <row r="700" spans="1:24" ht="12.75" customHeight="1" x14ac:dyDescent="0.2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</row>
    <row r="701" spans="1:24" ht="12.75" customHeight="1" x14ac:dyDescent="0.2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</row>
    <row r="702" spans="1:24" ht="12.75" customHeight="1" x14ac:dyDescent="0.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</row>
    <row r="703" spans="1:24" ht="12.75" customHeight="1" x14ac:dyDescent="0.2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</row>
    <row r="704" spans="1:24" ht="12.75" customHeight="1" x14ac:dyDescent="0.2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</row>
    <row r="705" spans="1:24" ht="12.75" customHeight="1" x14ac:dyDescent="0.2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</row>
    <row r="706" spans="1:24" ht="12.75" customHeight="1" x14ac:dyDescent="0.2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</row>
    <row r="707" spans="1:24" ht="12.75" customHeight="1" x14ac:dyDescent="0.2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</row>
    <row r="708" spans="1:24" ht="12.75" customHeight="1" x14ac:dyDescent="0.2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</row>
    <row r="709" spans="1:24" ht="12.75" customHeight="1" x14ac:dyDescent="0.2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</row>
    <row r="710" spans="1:24" ht="12.75" customHeight="1" x14ac:dyDescent="0.2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</row>
    <row r="711" spans="1:24" ht="12.75" customHeight="1" x14ac:dyDescent="0.2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</row>
    <row r="712" spans="1:24" ht="12.75" customHeight="1" x14ac:dyDescent="0.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</row>
    <row r="713" spans="1:24" ht="12.75" customHeight="1" x14ac:dyDescent="0.2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</row>
    <row r="714" spans="1:24" ht="12.75" customHeight="1" x14ac:dyDescent="0.2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</row>
    <row r="715" spans="1:24" ht="12.75" customHeight="1" x14ac:dyDescent="0.2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</row>
    <row r="716" spans="1:24" ht="12.75" customHeight="1" x14ac:dyDescent="0.2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</row>
    <row r="717" spans="1:24" ht="12.75" customHeight="1" x14ac:dyDescent="0.2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</row>
    <row r="718" spans="1:24" ht="12.75" customHeight="1" x14ac:dyDescent="0.2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</row>
    <row r="719" spans="1:24" ht="12.75" customHeight="1" x14ac:dyDescent="0.2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</row>
    <row r="720" spans="1:24" ht="12.75" customHeight="1" x14ac:dyDescent="0.2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</row>
    <row r="721" spans="1:24" ht="12.75" customHeight="1" x14ac:dyDescent="0.2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</row>
    <row r="722" spans="1:24" ht="12.75" customHeight="1" x14ac:dyDescent="0.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</row>
    <row r="723" spans="1:24" ht="12.75" customHeight="1" x14ac:dyDescent="0.2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</row>
    <row r="724" spans="1:24" ht="12.75" customHeight="1" x14ac:dyDescent="0.2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</row>
    <row r="725" spans="1:24" ht="12.75" customHeight="1" x14ac:dyDescent="0.2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</row>
    <row r="726" spans="1:24" ht="12.75" customHeight="1" x14ac:dyDescent="0.2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</row>
    <row r="727" spans="1:24" ht="12.75" customHeight="1" x14ac:dyDescent="0.2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</row>
    <row r="728" spans="1:24" ht="12.75" customHeight="1" x14ac:dyDescent="0.2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</row>
    <row r="729" spans="1:24" ht="12.75" customHeight="1" x14ac:dyDescent="0.2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</row>
    <row r="730" spans="1:24" ht="12.75" customHeight="1" x14ac:dyDescent="0.2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</row>
    <row r="731" spans="1:24" ht="12.75" customHeight="1" x14ac:dyDescent="0.2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</row>
    <row r="732" spans="1:24" ht="12.75" customHeight="1" x14ac:dyDescent="0.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</row>
    <row r="733" spans="1:24" ht="12.75" customHeight="1" x14ac:dyDescent="0.2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</row>
    <row r="734" spans="1:24" ht="12.75" customHeight="1" x14ac:dyDescent="0.2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</row>
    <row r="735" spans="1:24" ht="12.75" customHeight="1" x14ac:dyDescent="0.2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</row>
    <row r="736" spans="1:24" ht="12.75" customHeight="1" x14ac:dyDescent="0.2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</row>
    <row r="737" spans="1:24" ht="12.75" customHeight="1" x14ac:dyDescent="0.2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</row>
    <row r="738" spans="1:24" ht="12.75" customHeight="1" x14ac:dyDescent="0.2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</row>
    <row r="739" spans="1:24" ht="12.75" customHeight="1" x14ac:dyDescent="0.2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</row>
    <row r="740" spans="1:24" ht="12.75" customHeight="1" x14ac:dyDescent="0.2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</row>
    <row r="741" spans="1:24" ht="12.75" customHeight="1" x14ac:dyDescent="0.2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</row>
    <row r="742" spans="1:24" ht="12.75" customHeight="1" x14ac:dyDescent="0.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</row>
    <row r="743" spans="1:24" ht="12.75" customHeight="1" x14ac:dyDescent="0.2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</row>
    <row r="744" spans="1:24" ht="12.75" customHeight="1" x14ac:dyDescent="0.2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</row>
    <row r="745" spans="1:24" ht="12.75" customHeight="1" x14ac:dyDescent="0.2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</row>
    <row r="746" spans="1:24" ht="12.75" customHeight="1" x14ac:dyDescent="0.2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</row>
    <row r="747" spans="1:24" ht="12.75" customHeight="1" x14ac:dyDescent="0.2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</row>
    <row r="748" spans="1:24" ht="12.75" customHeight="1" x14ac:dyDescent="0.2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</row>
    <row r="749" spans="1:24" ht="12.75" customHeight="1" x14ac:dyDescent="0.2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</row>
    <row r="750" spans="1:24" ht="12.75" customHeight="1" x14ac:dyDescent="0.2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</row>
    <row r="751" spans="1:24" ht="12.75" customHeight="1" x14ac:dyDescent="0.2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</row>
    <row r="752" spans="1:24" ht="12.75" customHeight="1" x14ac:dyDescent="0.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</row>
    <row r="753" spans="1:24" ht="12.75" customHeight="1" x14ac:dyDescent="0.2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</row>
    <row r="754" spans="1:24" ht="12.75" customHeight="1" x14ac:dyDescent="0.2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</row>
    <row r="755" spans="1:24" ht="12.75" customHeight="1" x14ac:dyDescent="0.2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</row>
    <row r="756" spans="1:24" ht="12.75" customHeight="1" x14ac:dyDescent="0.2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</row>
    <row r="757" spans="1:24" ht="12.75" customHeight="1" x14ac:dyDescent="0.2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</row>
    <row r="758" spans="1:24" ht="12.75" customHeight="1" x14ac:dyDescent="0.2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</row>
    <row r="759" spans="1:24" ht="12.75" customHeight="1" x14ac:dyDescent="0.2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</row>
    <row r="760" spans="1:24" ht="12.75" customHeight="1" x14ac:dyDescent="0.2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</row>
    <row r="761" spans="1:24" ht="12.75" customHeight="1" x14ac:dyDescent="0.2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</row>
    <row r="762" spans="1:24" ht="12.75" customHeight="1" x14ac:dyDescent="0.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</row>
    <row r="763" spans="1:24" ht="12.75" customHeight="1" x14ac:dyDescent="0.2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</row>
    <row r="764" spans="1:24" ht="12.75" customHeight="1" x14ac:dyDescent="0.2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</row>
    <row r="765" spans="1:24" ht="12.75" customHeight="1" x14ac:dyDescent="0.2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</row>
    <row r="766" spans="1:24" ht="12.75" customHeight="1" x14ac:dyDescent="0.2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</row>
    <row r="767" spans="1:24" ht="12.75" customHeight="1" x14ac:dyDescent="0.2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</row>
    <row r="768" spans="1:24" ht="12.75" customHeight="1" x14ac:dyDescent="0.2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</row>
    <row r="769" spans="1:24" ht="12.75" customHeight="1" x14ac:dyDescent="0.2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</row>
    <row r="770" spans="1:24" ht="12.75" customHeight="1" x14ac:dyDescent="0.2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</row>
    <row r="771" spans="1:24" ht="12.75" customHeight="1" x14ac:dyDescent="0.2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</row>
    <row r="772" spans="1:24" ht="12.75" customHeight="1" x14ac:dyDescent="0.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</row>
    <row r="773" spans="1:24" ht="12.75" customHeight="1" x14ac:dyDescent="0.2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</row>
    <row r="774" spans="1:24" ht="12.75" customHeight="1" x14ac:dyDescent="0.2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</row>
    <row r="775" spans="1:24" ht="12.75" customHeight="1" x14ac:dyDescent="0.2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</row>
    <row r="776" spans="1:24" ht="12.75" customHeight="1" x14ac:dyDescent="0.2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</row>
    <row r="777" spans="1:24" ht="12.75" customHeight="1" x14ac:dyDescent="0.2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</row>
    <row r="778" spans="1:24" ht="12.75" customHeight="1" x14ac:dyDescent="0.2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</row>
    <row r="779" spans="1:24" ht="12.75" customHeight="1" x14ac:dyDescent="0.2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</row>
    <row r="780" spans="1:24" ht="12.75" customHeight="1" x14ac:dyDescent="0.2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</row>
    <row r="781" spans="1:24" ht="12.75" customHeight="1" x14ac:dyDescent="0.2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</row>
    <row r="782" spans="1:24" ht="12.75" customHeight="1" x14ac:dyDescent="0.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</row>
    <row r="783" spans="1:24" ht="12.75" customHeight="1" x14ac:dyDescent="0.2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</row>
    <row r="784" spans="1:24" ht="12.75" customHeight="1" x14ac:dyDescent="0.2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</row>
    <row r="785" spans="1:24" ht="12.75" customHeight="1" x14ac:dyDescent="0.2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</row>
    <row r="786" spans="1:24" ht="12.75" customHeight="1" x14ac:dyDescent="0.2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</row>
    <row r="787" spans="1:24" ht="12.75" customHeight="1" x14ac:dyDescent="0.2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</row>
    <row r="788" spans="1:24" ht="12.75" customHeight="1" x14ac:dyDescent="0.2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</row>
    <row r="789" spans="1:24" ht="12.75" customHeight="1" x14ac:dyDescent="0.2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</row>
    <row r="790" spans="1:24" ht="12.75" customHeight="1" x14ac:dyDescent="0.2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</row>
    <row r="791" spans="1:24" ht="12.75" customHeight="1" x14ac:dyDescent="0.2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</row>
    <row r="792" spans="1:24" ht="12.75" customHeight="1" x14ac:dyDescent="0.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</row>
    <row r="793" spans="1:24" ht="12.75" customHeight="1" x14ac:dyDescent="0.2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</row>
    <row r="794" spans="1:24" ht="12.75" customHeight="1" x14ac:dyDescent="0.2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</row>
    <row r="795" spans="1:24" ht="12.75" customHeight="1" x14ac:dyDescent="0.2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</row>
    <row r="796" spans="1:24" ht="12.75" customHeight="1" x14ac:dyDescent="0.2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</row>
    <row r="797" spans="1:24" ht="12.75" customHeight="1" x14ac:dyDescent="0.2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</row>
    <row r="798" spans="1:24" ht="12.75" customHeight="1" x14ac:dyDescent="0.2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</row>
    <row r="799" spans="1:24" ht="12.75" customHeight="1" x14ac:dyDescent="0.2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</row>
    <row r="800" spans="1:24" ht="12.75" customHeight="1" x14ac:dyDescent="0.2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</row>
    <row r="801" spans="1:24" ht="12.75" customHeight="1" x14ac:dyDescent="0.2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</row>
    <row r="802" spans="1:24" ht="12.75" customHeight="1" x14ac:dyDescent="0.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</row>
    <row r="803" spans="1:24" ht="12.75" customHeight="1" x14ac:dyDescent="0.2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</row>
    <row r="804" spans="1:24" ht="12.75" customHeight="1" x14ac:dyDescent="0.2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</row>
    <row r="805" spans="1:24" ht="12.75" customHeight="1" x14ac:dyDescent="0.2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</row>
    <row r="806" spans="1:24" ht="12.75" customHeight="1" x14ac:dyDescent="0.2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</row>
    <row r="807" spans="1:24" ht="12.75" customHeight="1" x14ac:dyDescent="0.2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</row>
    <row r="808" spans="1:24" ht="12.75" customHeight="1" x14ac:dyDescent="0.2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</row>
    <row r="809" spans="1:24" ht="12.75" customHeight="1" x14ac:dyDescent="0.2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</row>
    <row r="810" spans="1:24" ht="12.75" customHeight="1" x14ac:dyDescent="0.2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</row>
    <row r="811" spans="1:24" ht="12.75" customHeight="1" x14ac:dyDescent="0.2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</row>
    <row r="812" spans="1:24" ht="12.75" customHeight="1" x14ac:dyDescent="0.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</row>
    <row r="813" spans="1:24" ht="12.75" customHeight="1" x14ac:dyDescent="0.2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</row>
    <row r="814" spans="1:24" ht="12.75" customHeight="1" x14ac:dyDescent="0.2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</row>
    <row r="815" spans="1:24" ht="12.75" customHeight="1" x14ac:dyDescent="0.2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</row>
    <row r="816" spans="1:24" ht="12.75" customHeight="1" x14ac:dyDescent="0.2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</row>
    <row r="817" spans="1:24" ht="12.75" customHeight="1" x14ac:dyDescent="0.2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</row>
    <row r="818" spans="1:24" ht="12.75" customHeight="1" x14ac:dyDescent="0.2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</row>
    <row r="819" spans="1:24" ht="12.75" customHeight="1" x14ac:dyDescent="0.2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</row>
    <row r="820" spans="1:24" ht="12.75" customHeight="1" x14ac:dyDescent="0.2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</row>
    <row r="821" spans="1:24" ht="12.75" customHeight="1" x14ac:dyDescent="0.2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</row>
    <row r="822" spans="1:24" ht="12.75" customHeight="1" x14ac:dyDescent="0.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</row>
    <row r="823" spans="1:24" ht="12.75" customHeight="1" x14ac:dyDescent="0.2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</row>
    <row r="824" spans="1:24" ht="12.75" customHeight="1" x14ac:dyDescent="0.2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</row>
    <row r="825" spans="1:24" ht="12.75" customHeight="1" x14ac:dyDescent="0.2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</row>
    <row r="826" spans="1:24" ht="12.75" customHeight="1" x14ac:dyDescent="0.2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</row>
    <row r="827" spans="1:24" ht="12.75" customHeight="1" x14ac:dyDescent="0.2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</row>
    <row r="828" spans="1:24" ht="12.75" customHeight="1" x14ac:dyDescent="0.2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</row>
    <row r="829" spans="1:24" ht="12.75" customHeight="1" x14ac:dyDescent="0.2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</row>
    <row r="830" spans="1:24" ht="12.75" customHeight="1" x14ac:dyDescent="0.2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</row>
    <row r="831" spans="1:24" ht="12.75" customHeight="1" x14ac:dyDescent="0.2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</row>
    <row r="832" spans="1:24" ht="12.75" customHeight="1" x14ac:dyDescent="0.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</row>
    <row r="833" spans="1:24" ht="12.75" customHeight="1" x14ac:dyDescent="0.2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</row>
    <row r="834" spans="1:24" ht="12.75" customHeight="1" x14ac:dyDescent="0.2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</row>
    <row r="835" spans="1:24" ht="12.75" customHeight="1" x14ac:dyDescent="0.2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</row>
    <row r="836" spans="1:24" ht="12.75" customHeight="1" x14ac:dyDescent="0.2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</row>
    <row r="837" spans="1:24" ht="12.75" customHeight="1" x14ac:dyDescent="0.2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</row>
    <row r="838" spans="1:24" ht="12.75" customHeight="1" x14ac:dyDescent="0.2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</row>
    <row r="839" spans="1:24" ht="12.75" customHeight="1" x14ac:dyDescent="0.2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</row>
    <row r="840" spans="1:24" ht="12.75" customHeight="1" x14ac:dyDescent="0.2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</row>
    <row r="841" spans="1:24" ht="12.75" customHeight="1" x14ac:dyDescent="0.2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</row>
    <row r="842" spans="1:24" ht="12.75" customHeight="1" x14ac:dyDescent="0.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</row>
    <row r="843" spans="1:24" ht="12.75" customHeight="1" x14ac:dyDescent="0.2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</row>
    <row r="844" spans="1:24" ht="12.75" customHeight="1" x14ac:dyDescent="0.2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</row>
    <row r="845" spans="1:24" ht="12.75" customHeight="1" x14ac:dyDescent="0.2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</row>
    <row r="846" spans="1:24" ht="12.75" customHeight="1" x14ac:dyDescent="0.2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</row>
    <row r="847" spans="1:24" ht="12.75" customHeight="1" x14ac:dyDescent="0.2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</row>
    <row r="848" spans="1:24" ht="12.75" customHeight="1" x14ac:dyDescent="0.2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</row>
    <row r="849" spans="1:24" ht="12.75" customHeight="1" x14ac:dyDescent="0.2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</row>
    <row r="850" spans="1:24" ht="12.75" customHeight="1" x14ac:dyDescent="0.2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</row>
    <row r="851" spans="1:24" ht="12.75" customHeight="1" x14ac:dyDescent="0.2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</row>
    <row r="852" spans="1:24" ht="12.75" customHeight="1" x14ac:dyDescent="0.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</row>
    <row r="853" spans="1:24" ht="12.75" customHeight="1" x14ac:dyDescent="0.2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</row>
    <row r="854" spans="1:24" ht="12.75" customHeight="1" x14ac:dyDescent="0.2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</row>
    <row r="855" spans="1:24" ht="12.75" customHeight="1" x14ac:dyDescent="0.2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</row>
    <row r="856" spans="1:24" ht="12.75" customHeight="1" x14ac:dyDescent="0.2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</row>
    <row r="857" spans="1:24" ht="12.75" customHeight="1" x14ac:dyDescent="0.2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</row>
    <row r="858" spans="1:24" ht="12.75" customHeight="1" x14ac:dyDescent="0.2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</row>
    <row r="859" spans="1:24" ht="12.75" customHeight="1" x14ac:dyDescent="0.2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</row>
    <row r="860" spans="1:24" ht="12.75" customHeight="1" x14ac:dyDescent="0.2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</row>
    <row r="861" spans="1:24" ht="12.75" customHeight="1" x14ac:dyDescent="0.2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</row>
    <row r="862" spans="1:24" ht="12.75" customHeight="1" x14ac:dyDescent="0.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</row>
    <row r="863" spans="1:24" ht="12.75" customHeight="1" x14ac:dyDescent="0.2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</row>
    <row r="864" spans="1:24" ht="12.75" customHeight="1" x14ac:dyDescent="0.2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</row>
    <row r="865" spans="1:24" ht="12.75" customHeight="1" x14ac:dyDescent="0.2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</row>
    <row r="866" spans="1:24" ht="12.75" customHeight="1" x14ac:dyDescent="0.2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</row>
    <row r="867" spans="1:24" ht="12.75" customHeight="1" x14ac:dyDescent="0.2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</row>
    <row r="868" spans="1:24" ht="12.75" customHeight="1" x14ac:dyDescent="0.2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</row>
    <row r="869" spans="1:24" ht="12.75" customHeight="1" x14ac:dyDescent="0.2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</row>
    <row r="870" spans="1:24" ht="12.75" customHeight="1" x14ac:dyDescent="0.2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</row>
    <row r="871" spans="1:24" ht="12.75" customHeight="1" x14ac:dyDescent="0.2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</row>
    <row r="872" spans="1:24" ht="12.75" customHeight="1" x14ac:dyDescent="0.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</row>
    <row r="873" spans="1:24" ht="12.75" customHeight="1" x14ac:dyDescent="0.2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</row>
    <row r="874" spans="1:24" ht="12.75" customHeight="1" x14ac:dyDescent="0.2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</row>
    <row r="875" spans="1:24" ht="12.75" customHeight="1" x14ac:dyDescent="0.2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</row>
    <row r="876" spans="1:24" ht="12.75" customHeight="1" x14ac:dyDescent="0.2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</row>
    <row r="877" spans="1:24" ht="12.75" customHeight="1" x14ac:dyDescent="0.2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</row>
    <row r="878" spans="1:24" ht="12.75" customHeight="1" x14ac:dyDescent="0.2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</row>
    <row r="879" spans="1:24" ht="12.75" customHeight="1" x14ac:dyDescent="0.2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</row>
    <row r="880" spans="1:24" ht="12.75" customHeight="1" x14ac:dyDescent="0.2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</row>
    <row r="881" spans="1:24" ht="12.75" customHeight="1" x14ac:dyDescent="0.2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</row>
    <row r="882" spans="1:24" ht="12.75" customHeight="1" x14ac:dyDescent="0.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</row>
    <row r="883" spans="1:24" ht="12.75" customHeight="1" x14ac:dyDescent="0.2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</row>
    <row r="884" spans="1:24" ht="12.75" customHeight="1" x14ac:dyDescent="0.2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</row>
    <row r="885" spans="1:24" ht="12.75" customHeight="1" x14ac:dyDescent="0.2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</row>
    <row r="886" spans="1:24" ht="12.75" customHeight="1" x14ac:dyDescent="0.2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</row>
    <row r="887" spans="1:24" ht="12.75" customHeight="1" x14ac:dyDescent="0.2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</row>
    <row r="888" spans="1:24" ht="12.75" customHeight="1" x14ac:dyDescent="0.2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</row>
    <row r="889" spans="1:24" ht="12.75" customHeight="1" x14ac:dyDescent="0.2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</row>
    <row r="890" spans="1:24" ht="12.75" customHeight="1" x14ac:dyDescent="0.2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</row>
    <row r="891" spans="1:24" ht="12.75" customHeight="1" x14ac:dyDescent="0.2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</row>
    <row r="892" spans="1:24" ht="12.75" customHeight="1" x14ac:dyDescent="0.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</row>
    <row r="893" spans="1:24" ht="12.75" customHeight="1" x14ac:dyDescent="0.2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</row>
    <row r="894" spans="1:24" ht="12.75" customHeight="1" x14ac:dyDescent="0.2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</row>
    <row r="895" spans="1:24" ht="12.75" customHeight="1" x14ac:dyDescent="0.2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</row>
    <row r="896" spans="1:24" ht="12.75" customHeight="1" x14ac:dyDescent="0.2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</row>
    <row r="897" spans="1:24" ht="12.75" customHeight="1" x14ac:dyDescent="0.2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</row>
    <row r="898" spans="1:24" ht="12.75" customHeight="1" x14ac:dyDescent="0.2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</row>
    <row r="899" spans="1:24" ht="12.75" customHeight="1" x14ac:dyDescent="0.2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</row>
    <row r="900" spans="1:24" ht="12.75" customHeight="1" x14ac:dyDescent="0.2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</row>
    <row r="901" spans="1:24" ht="12.75" customHeight="1" x14ac:dyDescent="0.2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</row>
    <row r="902" spans="1:24" ht="12.75" customHeight="1" x14ac:dyDescent="0.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</row>
    <row r="903" spans="1:24" ht="12.75" customHeight="1" x14ac:dyDescent="0.2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</row>
    <row r="904" spans="1:24" ht="12.75" customHeight="1" x14ac:dyDescent="0.2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</row>
    <row r="905" spans="1:24" ht="12.75" customHeight="1" x14ac:dyDescent="0.2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</row>
    <row r="906" spans="1:24" ht="12.75" customHeight="1" x14ac:dyDescent="0.2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</row>
    <row r="907" spans="1:24" ht="12.75" customHeight="1" x14ac:dyDescent="0.2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</row>
    <row r="908" spans="1:24" ht="12.75" customHeight="1" x14ac:dyDescent="0.2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</row>
    <row r="909" spans="1:24" ht="12.75" customHeight="1" x14ac:dyDescent="0.2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</row>
    <row r="910" spans="1:24" ht="12.75" customHeight="1" x14ac:dyDescent="0.2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</row>
    <row r="911" spans="1:24" ht="12.75" customHeight="1" x14ac:dyDescent="0.2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</row>
    <row r="912" spans="1:24" ht="12.75" customHeight="1" x14ac:dyDescent="0.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</row>
    <row r="913" spans="1:24" ht="12.75" customHeight="1" x14ac:dyDescent="0.2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</row>
    <row r="914" spans="1:24" ht="12.75" customHeight="1" x14ac:dyDescent="0.2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</row>
    <row r="915" spans="1:24" ht="12.75" customHeight="1" x14ac:dyDescent="0.2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</row>
    <row r="916" spans="1:24" ht="12.75" customHeight="1" x14ac:dyDescent="0.2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</row>
    <row r="917" spans="1:24" ht="12.75" customHeight="1" x14ac:dyDescent="0.2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</row>
    <row r="918" spans="1:24" ht="12.75" customHeight="1" x14ac:dyDescent="0.2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</row>
    <row r="919" spans="1:24" ht="12.75" customHeight="1" x14ac:dyDescent="0.2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</row>
    <row r="920" spans="1:24" ht="12.75" customHeight="1" x14ac:dyDescent="0.2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</row>
    <row r="921" spans="1:24" ht="12.75" customHeight="1" x14ac:dyDescent="0.2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</row>
    <row r="922" spans="1:24" ht="12.75" customHeight="1" x14ac:dyDescent="0.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</row>
    <row r="923" spans="1:24" ht="12.75" customHeight="1" x14ac:dyDescent="0.2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</row>
    <row r="924" spans="1:24" ht="12.75" customHeight="1" x14ac:dyDescent="0.2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</row>
    <row r="925" spans="1:24" ht="12.75" customHeight="1" x14ac:dyDescent="0.2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</row>
    <row r="926" spans="1:24" ht="12.75" customHeight="1" x14ac:dyDescent="0.2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</row>
    <row r="927" spans="1:24" ht="12.75" customHeight="1" x14ac:dyDescent="0.2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</row>
    <row r="928" spans="1:24" ht="12.75" customHeight="1" x14ac:dyDescent="0.2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</row>
    <row r="929" spans="1:24" ht="12.75" customHeight="1" x14ac:dyDescent="0.2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</row>
    <row r="930" spans="1:24" ht="12.75" customHeight="1" x14ac:dyDescent="0.2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</row>
    <row r="931" spans="1:24" ht="12.75" customHeight="1" x14ac:dyDescent="0.2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</row>
    <row r="932" spans="1:24" ht="12.75" customHeight="1" x14ac:dyDescent="0.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</row>
    <row r="933" spans="1:24" ht="12.75" customHeight="1" x14ac:dyDescent="0.2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</row>
    <row r="934" spans="1:24" ht="12.75" customHeight="1" x14ac:dyDescent="0.2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</row>
    <row r="935" spans="1:24" ht="12.75" customHeight="1" x14ac:dyDescent="0.2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</row>
    <row r="936" spans="1:24" ht="12.75" customHeight="1" x14ac:dyDescent="0.2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</row>
    <row r="937" spans="1:24" ht="12.75" customHeight="1" x14ac:dyDescent="0.2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</row>
    <row r="938" spans="1:24" ht="12.75" customHeight="1" x14ac:dyDescent="0.2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</row>
    <row r="939" spans="1:24" ht="12.75" customHeight="1" x14ac:dyDescent="0.2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</row>
    <row r="940" spans="1:24" ht="12.75" customHeight="1" x14ac:dyDescent="0.2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</row>
    <row r="941" spans="1:24" ht="12.75" customHeight="1" x14ac:dyDescent="0.2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</row>
    <row r="942" spans="1:24" ht="12.75" customHeight="1" x14ac:dyDescent="0.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</row>
    <row r="943" spans="1:24" ht="12.75" customHeight="1" x14ac:dyDescent="0.2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</row>
    <row r="944" spans="1:24" ht="12.75" customHeight="1" x14ac:dyDescent="0.2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</row>
    <row r="945" spans="1:24" ht="12.75" customHeight="1" x14ac:dyDescent="0.2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</row>
    <row r="946" spans="1:24" ht="12.75" customHeight="1" x14ac:dyDescent="0.2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</row>
    <row r="947" spans="1:24" ht="12.75" customHeight="1" x14ac:dyDescent="0.2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</row>
    <row r="948" spans="1:24" ht="12.75" customHeight="1" x14ac:dyDescent="0.2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</row>
    <row r="949" spans="1:24" ht="12.75" customHeight="1" x14ac:dyDescent="0.2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</row>
    <row r="950" spans="1:24" ht="12.75" customHeight="1" x14ac:dyDescent="0.2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</row>
    <row r="951" spans="1:24" ht="12.75" customHeight="1" x14ac:dyDescent="0.2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</row>
    <row r="952" spans="1:24" ht="12.75" customHeight="1" x14ac:dyDescent="0.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</row>
    <row r="953" spans="1:24" ht="12.75" customHeight="1" x14ac:dyDescent="0.2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</row>
    <row r="954" spans="1:24" ht="12.75" customHeight="1" x14ac:dyDescent="0.2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</row>
    <row r="955" spans="1:24" ht="12.75" customHeight="1" x14ac:dyDescent="0.2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</row>
    <row r="956" spans="1:24" ht="12.75" customHeight="1" x14ac:dyDescent="0.2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</row>
    <row r="957" spans="1:24" ht="12.75" customHeight="1" x14ac:dyDescent="0.2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</row>
    <row r="958" spans="1:24" ht="12.75" customHeight="1" x14ac:dyDescent="0.2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</row>
    <row r="959" spans="1:24" ht="12.75" customHeight="1" x14ac:dyDescent="0.2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</row>
    <row r="960" spans="1:24" ht="12.75" customHeight="1" x14ac:dyDescent="0.2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</row>
    <row r="961" spans="1:24" ht="12.75" customHeight="1" x14ac:dyDescent="0.2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</row>
    <row r="962" spans="1:24" ht="12.75" customHeight="1" x14ac:dyDescent="0.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</row>
    <row r="963" spans="1:24" ht="12.75" customHeight="1" x14ac:dyDescent="0.2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</row>
    <row r="964" spans="1:24" ht="12.75" customHeight="1" x14ac:dyDescent="0.2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</row>
    <row r="965" spans="1:24" ht="12.75" customHeight="1" x14ac:dyDescent="0.2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</row>
    <row r="966" spans="1:24" ht="12.75" customHeight="1" x14ac:dyDescent="0.2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</row>
    <row r="967" spans="1:24" ht="12.75" customHeight="1" x14ac:dyDescent="0.2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</row>
    <row r="968" spans="1:24" ht="12.75" customHeight="1" x14ac:dyDescent="0.2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</row>
    <row r="969" spans="1:24" ht="12.75" customHeight="1" x14ac:dyDescent="0.2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</row>
    <row r="970" spans="1:24" ht="12.75" customHeight="1" x14ac:dyDescent="0.2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</row>
    <row r="971" spans="1:24" ht="12.75" customHeight="1" x14ac:dyDescent="0.2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</row>
    <row r="972" spans="1:24" ht="12.75" customHeight="1" x14ac:dyDescent="0.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</row>
    <row r="973" spans="1:24" ht="12.75" customHeight="1" x14ac:dyDescent="0.2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</row>
    <row r="974" spans="1:24" ht="12.75" customHeight="1" x14ac:dyDescent="0.2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</row>
    <row r="975" spans="1:24" ht="12.75" customHeight="1" x14ac:dyDescent="0.2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</row>
    <row r="976" spans="1:24" ht="12.75" customHeight="1" x14ac:dyDescent="0.2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</row>
    <row r="977" spans="1:24" ht="12.75" customHeight="1" x14ac:dyDescent="0.2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</row>
    <row r="978" spans="1:24" ht="12.75" customHeight="1" x14ac:dyDescent="0.2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</row>
    <row r="979" spans="1:24" ht="12.75" customHeight="1" x14ac:dyDescent="0.2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</row>
    <row r="980" spans="1:24" ht="12.75" customHeight="1" x14ac:dyDescent="0.2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</row>
    <row r="981" spans="1:24" ht="12.75" customHeight="1" x14ac:dyDescent="0.2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</row>
    <row r="982" spans="1:24" ht="12.75" customHeight="1" x14ac:dyDescent="0.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</row>
    <row r="983" spans="1:24" ht="12.75" customHeight="1" x14ac:dyDescent="0.2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</row>
    <row r="984" spans="1:24" ht="12.75" customHeight="1" x14ac:dyDescent="0.2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</row>
    <row r="985" spans="1:24" ht="12.75" customHeight="1" x14ac:dyDescent="0.2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</row>
    <row r="986" spans="1:24" ht="12.75" customHeight="1" x14ac:dyDescent="0.2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</row>
    <row r="987" spans="1:24" ht="12.75" customHeight="1" x14ac:dyDescent="0.2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</row>
    <row r="988" spans="1:24" ht="12.75" customHeight="1" x14ac:dyDescent="0.2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</row>
    <row r="989" spans="1:24" ht="12.75" customHeight="1" x14ac:dyDescent="0.2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</row>
    <row r="990" spans="1:24" ht="12.75" customHeight="1" x14ac:dyDescent="0.2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</row>
    <row r="991" spans="1:24" ht="12.75" customHeight="1" x14ac:dyDescent="0.2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</row>
    <row r="992" spans="1:24" ht="12.75" customHeight="1" x14ac:dyDescent="0.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</row>
    <row r="993" spans="1:24" ht="12.75" customHeight="1" x14ac:dyDescent="0.2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</row>
    <row r="994" spans="1:24" ht="12.75" customHeight="1" x14ac:dyDescent="0.2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</row>
    <row r="995" spans="1:24" ht="12.75" customHeight="1" x14ac:dyDescent="0.2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</row>
    <row r="996" spans="1:24" ht="12.75" customHeight="1" x14ac:dyDescent="0.2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</row>
    <row r="997" spans="1:24" ht="12.75" customHeight="1" x14ac:dyDescent="0.2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</row>
    <row r="998" spans="1:24" ht="12.75" customHeight="1" x14ac:dyDescent="0.2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</row>
    <row r="999" spans="1:24" ht="12.75" customHeight="1" x14ac:dyDescent="0.2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</row>
    <row r="1000" spans="1:24" ht="12.75" customHeight="1" x14ac:dyDescent="0.2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</row>
  </sheetData>
  <mergeCells count="99">
    <mergeCell ref="C40:I40"/>
    <mergeCell ref="C41:K41"/>
    <mergeCell ref="G34:G35"/>
    <mergeCell ref="H34:H35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C39:K39"/>
    <mergeCell ref="C15:K15"/>
    <mergeCell ref="I16:I17"/>
    <mergeCell ref="J16:J17"/>
    <mergeCell ref="K16:K17"/>
    <mergeCell ref="C18:K18"/>
    <mergeCell ref="C16:C17"/>
    <mergeCell ref="D16:D17"/>
    <mergeCell ref="E16:E17"/>
    <mergeCell ref="F16:F17"/>
    <mergeCell ref="G16:G17"/>
    <mergeCell ref="H16:H17"/>
    <mergeCell ref="C12:K12"/>
    <mergeCell ref="I13:I14"/>
    <mergeCell ref="J13:J14"/>
    <mergeCell ref="K13:K14"/>
    <mergeCell ref="E11:F11"/>
    <mergeCell ref="D13:D14"/>
    <mergeCell ref="E13:E14"/>
    <mergeCell ref="F13:F14"/>
    <mergeCell ref="G13:G14"/>
    <mergeCell ref="H13:H14"/>
    <mergeCell ref="C13:C14"/>
    <mergeCell ref="C1:K3"/>
    <mergeCell ref="C6:K6"/>
    <mergeCell ref="C7:K8"/>
    <mergeCell ref="C9:K10"/>
    <mergeCell ref="H11:I11"/>
    <mergeCell ref="J11:K11"/>
    <mergeCell ref="I34:I35"/>
    <mergeCell ref="J34:J35"/>
    <mergeCell ref="G31:G32"/>
    <mergeCell ref="H31:H32"/>
    <mergeCell ref="C33:K33"/>
    <mergeCell ref="C34:C35"/>
    <mergeCell ref="D34:D35"/>
    <mergeCell ref="E34:E35"/>
    <mergeCell ref="F34:F35"/>
    <mergeCell ref="K34:K35"/>
    <mergeCell ref="I31:I32"/>
    <mergeCell ref="J31:J32"/>
    <mergeCell ref="G28:G29"/>
    <mergeCell ref="H28:H29"/>
    <mergeCell ref="C30:K30"/>
    <mergeCell ref="C31:C32"/>
    <mergeCell ref="D31:D32"/>
    <mergeCell ref="E31:E32"/>
    <mergeCell ref="F31:F32"/>
    <mergeCell ref="K31:K32"/>
    <mergeCell ref="I28:I29"/>
    <mergeCell ref="J28:J29"/>
    <mergeCell ref="G25:G26"/>
    <mergeCell ref="H25:H26"/>
    <mergeCell ref="C27:K27"/>
    <mergeCell ref="C28:C29"/>
    <mergeCell ref="D28:D29"/>
    <mergeCell ref="E28:E29"/>
    <mergeCell ref="F28:F29"/>
    <mergeCell ref="K28:K29"/>
    <mergeCell ref="I25:I26"/>
    <mergeCell ref="J25:J26"/>
    <mergeCell ref="I22:I23"/>
    <mergeCell ref="J22:J23"/>
    <mergeCell ref="C24:K24"/>
    <mergeCell ref="C25:C26"/>
    <mergeCell ref="D25:D26"/>
    <mergeCell ref="E25:E26"/>
    <mergeCell ref="F25:F26"/>
    <mergeCell ref="K25:K26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K22:K23"/>
    <mergeCell ref="J19:J20"/>
    <mergeCell ref="K19:K20"/>
    <mergeCell ref="D19:D20"/>
    <mergeCell ref="E19:E20"/>
    <mergeCell ref="F19:F20"/>
    <mergeCell ref="G19:G20"/>
    <mergeCell ref="H19:H20"/>
  </mergeCells>
  <pageMargins left="0.7" right="0.7" top="0.75" bottom="0.75" header="0" footer="0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Team Selection</vt:lpstr>
      <vt:lpstr>Encounters played</vt:lpstr>
      <vt:lpstr>Standings</vt:lpstr>
      <vt:lpstr>Day 1</vt:lpstr>
      <vt:lpstr>Day 2</vt:lpstr>
      <vt:lpstr>Day 3</vt:lpstr>
      <vt:lpstr>Day 4</vt:lpstr>
      <vt:lpstr>Day 5</vt:lpstr>
      <vt:lpstr>Semi Final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Tournament</cp:lastModifiedBy>
  <cp:lastPrinted>2023-07-28T18:16:57Z</cp:lastPrinted>
  <dcterms:created xsi:type="dcterms:W3CDTF">2002-09-30T22:10:22Z</dcterms:created>
  <dcterms:modified xsi:type="dcterms:W3CDTF">2023-07-28T20:26:02Z</dcterms:modified>
</cp:coreProperties>
</file>