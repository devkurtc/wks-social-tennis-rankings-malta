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ers Men" sheetId="1" r:id="rId4"/>
    <sheet state="visible" name="Men Div 1" sheetId="2" r:id="rId5"/>
    <sheet state="visible" name="Men Div 2" sheetId="3" r:id="rId6"/>
    <sheet state="visible" name="Men Div 3" sheetId="4" r:id="rId7"/>
    <sheet state="visible" name="Men Div 4" sheetId="5" r:id="rId8"/>
    <sheet state="visible" name="Men Div 5" sheetId="6" r:id="rId9"/>
    <sheet state="visible" name="Players Ladies" sheetId="7" r:id="rId10"/>
    <sheet state="visible" name="Ladies Div 1" sheetId="8" r:id="rId11"/>
    <sheet state="visible" name="Ladies Div 2" sheetId="9" r:id="rId12"/>
    <sheet state="visible" name="Ladies Div 3" sheetId="10" r:id="rId13"/>
    <sheet state="visible" name="Ladies Div 4" sheetId="11" r:id="rId14"/>
  </sheets>
  <definedNames/>
  <calcPr/>
  <extLst>
    <ext uri="GoogleSheetsCustomDataVersion2">
      <go:sheetsCustomData xmlns:go="http://customooxmlschemas.google.com/" r:id="rId15" roundtripDataChecksum="ojxVn7zQT6MHxalrZsIwQkloVAkKTcjoZNCqouq2gig="/>
    </ext>
  </extLst>
</workbook>
</file>

<file path=xl/sharedStrings.xml><?xml version="1.0" encoding="utf-8"?>
<sst xmlns="http://schemas.openxmlformats.org/spreadsheetml/2006/main" count="749" uniqueCount="163">
  <si>
    <t>VITTORIOSA LAWN TENNIS CLUB</t>
  </si>
  <si>
    <t>Sports Experience Chosen Doubles 2023</t>
  </si>
  <si>
    <t>Men Division 1</t>
  </si>
  <si>
    <t>Clayton Zammit Cesare</t>
  </si>
  <si>
    <t>Matthew Pace</t>
  </si>
  <si>
    <t>Marc Vella Bonnici</t>
  </si>
  <si>
    <t>Marcelo Villanueva</t>
  </si>
  <si>
    <t>Eric Roca</t>
  </si>
  <si>
    <t>Duncan D’Alessandro</t>
  </si>
  <si>
    <t>Trevor Rutter</t>
  </si>
  <si>
    <t>Jean Carl Azzopardi</t>
  </si>
  <si>
    <t>Claude Mifsud Wismayer</t>
  </si>
  <si>
    <t>Adrian Chetcuti</t>
  </si>
  <si>
    <t>Men Division 2</t>
  </si>
  <si>
    <t>Ignazio Andreozzi</t>
  </si>
  <si>
    <t>Cristian Andreozzi</t>
  </si>
  <si>
    <t>Gabriel Pace</t>
  </si>
  <si>
    <t>Jonathan Vella</t>
  </si>
  <si>
    <t>Gio Marcos</t>
  </si>
  <si>
    <t>Chi Chi Canonce</t>
  </si>
  <si>
    <t>Fotis Evangelou</t>
  </si>
  <si>
    <t>Eric Micallef</t>
  </si>
  <si>
    <t>Jesmond Pule’</t>
  </si>
  <si>
    <t>Manuel Bonello</t>
  </si>
  <si>
    <t>Ivan Cachia</t>
  </si>
  <si>
    <t>Willem Steenkamer</t>
  </si>
  <si>
    <t>Men Division 3</t>
  </si>
  <si>
    <t>Clint Agius</t>
  </si>
  <si>
    <t>Kevin Formosa</t>
  </si>
  <si>
    <t>Aaron Micallef Piccione</t>
  </si>
  <si>
    <t>Adrian Sciberras</t>
  </si>
  <si>
    <t>James Farrugia</t>
  </si>
  <si>
    <t>Jean Paul Vella</t>
  </si>
  <si>
    <t>Denis Caruana</t>
  </si>
  <si>
    <t>Kristen Cachia</t>
  </si>
  <si>
    <t>Manuel Mifsud</t>
  </si>
  <si>
    <t>Julian Esposito</t>
  </si>
  <si>
    <t>Stephen Belli</t>
  </si>
  <si>
    <t>Matthew Schembri</t>
  </si>
  <si>
    <t>Men Division 4</t>
  </si>
  <si>
    <t>Charles Micallef</t>
  </si>
  <si>
    <t>Twanny Pule</t>
  </si>
  <si>
    <t>Simone Re</t>
  </si>
  <si>
    <t>David Camilleri</t>
  </si>
  <si>
    <t>Ryan Ebejer</t>
  </si>
  <si>
    <t>Etienne Formosa Carabez</t>
  </si>
  <si>
    <t>Jayboy Lastimosa</t>
  </si>
  <si>
    <t>Cyril Lastimosa</t>
  </si>
  <si>
    <t>Isaac Joseph Zammit</t>
  </si>
  <si>
    <t>Conrad Treeby Ward</t>
  </si>
  <si>
    <t>Ivan Saliba</t>
  </si>
  <si>
    <t>Clayton Saliba Hersey</t>
  </si>
  <si>
    <t>Men Division 5</t>
  </si>
  <si>
    <t>Kenneth Farrugia</t>
  </si>
  <si>
    <t>Juan Sammut</t>
  </si>
  <si>
    <t>Donald Deguzman</t>
  </si>
  <si>
    <t>Teddy Padullon</t>
  </si>
  <si>
    <t>Mark Cini</t>
  </si>
  <si>
    <t>Dunstan Vella</t>
  </si>
  <si>
    <t>Sean Cachia</t>
  </si>
  <si>
    <t>Antoine Bugeja</t>
  </si>
  <si>
    <t>Robert Attard</t>
  </si>
  <si>
    <t>Kevin Wood</t>
  </si>
  <si>
    <t>Matthew Micallef</t>
  </si>
  <si>
    <t>Chris Vella</t>
  </si>
  <si>
    <t>Players</t>
  </si>
  <si>
    <t>Set Scores</t>
  </si>
  <si>
    <t>Tie</t>
  </si>
  <si>
    <t>Player</t>
  </si>
  <si>
    <t>Games</t>
  </si>
  <si>
    <t>Points</t>
  </si>
  <si>
    <t>Games Won</t>
  </si>
  <si>
    <t>Sets Won</t>
  </si>
  <si>
    <t>Score</t>
  </si>
  <si>
    <t>Set 1 Work</t>
  </si>
  <si>
    <t>Set 2 Work</t>
  </si>
  <si>
    <t>Tie Work</t>
  </si>
  <si>
    <t>Sets Points Work</t>
  </si>
  <si>
    <t>Sets &amp; Tie Points Work</t>
  </si>
  <si>
    <t>Games Wins Work</t>
  </si>
  <si>
    <t>Sets Wins Work</t>
  </si>
  <si>
    <t>To See Winners</t>
  </si>
  <si>
    <t>Total Games Work</t>
  </si>
  <si>
    <t>Player 1 Work</t>
  </si>
  <si>
    <t>vs.</t>
  </si>
  <si>
    <t>Work</t>
  </si>
  <si>
    <t>Divison Winner</t>
  </si>
  <si>
    <t>Marc Vella Bonnici/Marcelo Villanueva</t>
  </si>
  <si>
    <t xml:space="preserve">Divison Runner Up </t>
  </si>
  <si>
    <t>Claude Mifsud Bonnici/Adrian Chetcuti</t>
  </si>
  <si>
    <t>Jesmond Pule'/Manuel Bonello</t>
  </si>
  <si>
    <t>Gio Marcos/Chi Chi Canonce</t>
  </si>
  <si>
    <t>James Farrugia/Jean Paul Vella</t>
  </si>
  <si>
    <t>Clint Agius/Kevin Formosa</t>
  </si>
  <si>
    <t>Jayboy Lastimosa/Cyril Lastimosa</t>
  </si>
  <si>
    <t>Divison Runner Up</t>
  </si>
  <si>
    <t>Ryan Ebejer/Etienne Formosa Carabez</t>
  </si>
  <si>
    <t>Ret.</t>
  </si>
  <si>
    <t>Withdrew due to injury Chris vella</t>
  </si>
  <si>
    <t>Sean Cachia/Antoine Bugeja</t>
  </si>
  <si>
    <t>Kenneth Farrugia/Juan Sammut</t>
  </si>
  <si>
    <t xml:space="preserve"> </t>
  </si>
  <si>
    <t>Ladies Division 1</t>
  </si>
  <si>
    <t>Martina Cuschieri</t>
  </si>
  <si>
    <t>Elaine Grech</t>
  </si>
  <si>
    <t>Erika Azzopardi</t>
  </si>
  <si>
    <t>Pamela Cohen</t>
  </si>
  <si>
    <t>Roberta Fenech</t>
  </si>
  <si>
    <t>Christina Bonett</t>
  </si>
  <si>
    <t>Natalya Abela</t>
  </si>
  <si>
    <t>Yana Cachia</t>
  </si>
  <si>
    <t>Sharon Mizzi</t>
  </si>
  <si>
    <t>Alexia Spiteri Willets</t>
  </si>
  <si>
    <t>Kirsty Mercieca</t>
  </si>
  <si>
    <t>Alison Muscat</t>
  </si>
  <si>
    <t>Ladies Division 2</t>
  </si>
  <si>
    <t>Brenda Baldacchino</t>
  </si>
  <si>
    <t>Deborah Farrugia</t>
  </si>
  <si>
    <t>Alexia Gouder</t>
  </si>
  <si>
    <t>Jennifer Mifsud</t>
  </si>
  <si>
    <t>Ruth Micallef</t>
  </si>
  <si>
    <t>Mirka Micallef</t>
  </si>
  <si>
    <t>Annabelle Abela</t>
  </si>
  <si>
    <t>Tiziana Anastasi</t>
  </si>
  <si>
    <t>Diane Fenech</t>
  </si>
  <si>
    <t>Heidi Tabone</t>
  </si>
  <si>
    <t>Mariska Steenkamer</t>
  </si>
  <si>
    <t>Yanika Pace</t>
  </si>
  <si>
    <t>Ladies Division 3</t>
  </si>
  <si>
    <t>Nancy Wong</t>
  </si>
  <si>
    <t>Josette D’Alessandro</t>
  </si>
  <si>
    <t>Helga Azzopardi</t>
  </si>
  <si>
    <t>Angele Pule’</t>
  </si>
  <si>
    <t>Kristina Briffa</t>
  </si>
  <si>
    <t>Sarah Axiaq</t>
  </si>
  <si>
    <t>Ann Marie Attard</t>
  </si>
  <si>
    <t>Christine Seychell</t>
  </si>
  <si>
    <t>Francesca Sciortino</t>
  </si>
  <si>
    <t>Julie Spiteri</t>
  </si>
  <si>
    <t>Anna Napier</t>
  </si>
  <si>
    <t>Diane Farrugia</t>
  </si>
  <si>
    <t>Ladies Division 4</t>
  </si>
  <si>
    <t>Ceridwen Scerri</t>
  </si>
  <si>
    <t>Laureen Agius</t>
  </si>
  <si>
    <t>Jin Attard</t>
  </si>
  <si>
    <t>Anna Casingena</t>
  </si>
  <si>
    <t>Jodie Stivala</t>
  </si>
  <si>
    <t>Elisa Sacco</t>
  </si>
  <si>
    <t>Maria Ellul</t>
  </si>
  <si>
    <t>Frances Saliba Hersey</t>
  </si>
  <si>
    <t>Janice Galea</t>
  </si>
  <si>
    <t>Nicole Lia</t>
  </si>
  <si>
    <t>Emma Camilleri</t>
  </si>
  <si>
    <t>Sophia Re</t>
  </si>
  <si>
    <t>Sharon Mizzi/Alexia Spiteri Willets</t>
  </si>
  <si>
    <t>Martina Cuschieri/Elaine Grech</t>
  </si>
  <si>
    <t>Annabelle Abela/Tiziana Anastasi</t>
  </si>
  <si>
    <t>Alexia Gouder/Jennifer Mifsud</t>
  </si>
  <si>
    <t>Helga Azzopardi/Angele Pule'</t>
  </si>
  <si>
    <t>Divison Runner Winner</t>
  </si>
  <si>
    <t>Francesca Sciortino/Julie Spiteri</t>
  </si>
  <si>
    <t>Jodie Stivala/Elisa Sacco</t>
  </si>
  <si>
    <t>Jin Attard/Anna Casingena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</si>
</sst>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8">
    <font>
      <sz val="10.0"/>
      <color rgb="FF000000"/>
      <name val="Arial"/>
      <scheme val="minor"/>
    </font>
    <font>
      <b/>
      <u/>
      <sz val="16.0"/>
      <color theme="1"/>
      <name val="Calibri"/>
    </font>
    <font>
      <b/>
      <u/>
      <sz val="16.0"/>
      <color theme="1"/>
      <name val="Calibri"/>
    </font>
    <font>
      <sz val="10.0"/>
      <color theme="1"/>
      <name val="Arial"/>
    </font>
    <font>
      <sz val="16.0"/>
      <color theme="1"/>
      <name val="Arial"/>
    </font>
    <font>
      <b/>
      <u/>
      <sz val="16.0"/>
      <color theme="1"/>
      <name val="Arial"/>
    </font>
    <font/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rgb="FF00FFFF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6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  <font>
      <b/>
      <u/>
      <sz val="11.0"/>
      <color theme="1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900FF"/>
        <bgColor rgb="FF9900FF"/>
      </patternFill>
    </fill>
    <fill>
      <patternFill patternType="solid">
        <fgColor rgb="FFA8D08D"/>
        <bgColor rgb="FFA8D08D"/>
      </patternFill>
    </fill>
    <fill>
      <patternFill patternType="solid">
        <fgColor rgb="FF000000"/>
        <bgColor rgb="FF000000"/>
      </patternFill>
    </fill>
    <fill>
      <patternFill patternType="solid">
        <fgColor rgb="FF0066CC"/>
        <bgColor rgb="FF0066CC"/>
      </patternFill>
    </fill>
    <fill>
      <patternFill patternType="solid">
        <fgColor rgb="FFFF0000"/>
        <bgColor rgb="FFFF0000"/>
      </patternFill>
    </fill>
    <fill>
      <patternFill patternType="solid">
        <fgColor rgb="FFF4B083"/>
        <bgColor rgb="FFF4B083"/>
      </patternFill>
    </fill>
    <fill>
      <patternFill patternType="solid">
        <fgColor rgb="FF00FFFF"/>
        <bgColor rgb="FF00FFFF"/>
      </patternFill>
    </fill>
    <fill>
      <patternFill patternType="solid">
        <fgColor rgb="FF006666"/>
        <bgColor rgb="FF006666"/>
      </patternFill>
    </fill>
    <fill>
      <patternFill patternType="solid">
        <fgColor rgb="FFFF9966"/>
        <bgColor rgb="FFFF9966"/>
      </patternFill>
    </fill>
  </fills>
  <borders count="2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vertical="center"/>
    </xf>
    <xf borderId="2" fillId="0" fontId="6" numFmtId="0" xfId="0" applyBorder="1" applyFont="1"/>
    <xf borderId="3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vertical="center"/>
    </xf>
    <xf borderId="1" fillId="4" fontId="8" numFmtId="0" xfId="0" applyAlignment="1" applyBorder="1" applyFill="1" applyFont="1">
      <alignment horizontal="center" vertical="center"/>
    </xf>
    <xf borderId="3" fillId="0" fontId="4" numFmtId="0" xfId="0" applyAlignment="1" applyBorder="1" applyFont="1">
      <alignment horizontal="center" readingOrder="0" vertical="center"/>
    </xf>
    <xf borderId="1" fillId="5" fontId="9" numFmtId="0" xfId="0" applyAlignment="1" applyBorder="1" applyFill="1" applyFont="1">
      <alignment horizontal="center" vertical="center"/>
    </xf>
    <xf borderId="1" fillId="6" fontId="10" numFmtId="0" xfId="0" applyAlignment="1" applyBorder="1" applyFill="1" applyFont="1">
      <alignment horizontal="center" vertical="center"/>
    </xf>
    <xf borderId="0" fillId="0" fontId="11" numFmtId="0" xfId="0" applyAlignment="1" applyFont="1">
      <alignment horizontal="center" shrinkToFit="0" vertical="center" wrapText="1"/>
    </xf>
    <xf borderId="4" fillId="2" fontId="12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6" fillId="0" fontId="6" numFmtId="0" xfId="0" applyBorder="1" applyFont="1"/>
    <xf borderId="3" fillId="2" fontId="13" numFmtId="0" xfId="0" applyAlignment="1" applyBorder="1" applyFont="1">
      <alignment horizontal="center" shrinkToFit="0" vertical="center" wrapText="1"/>
    </xf>
    <xf borderId="1" fillId="2" fontId="14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8" fillId="2" fontId="11" numFmtId="0" xfId="0" applyAlignment="1" applyBorder="1" applyFont="1">
      <alignment horizontal="center" shrinkToFit="0" vertical="center" wrapText="1"/>
    </xf>
    <xf borderId="9" fillId="2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10" fillId="7" fontId="17" numFmtId="0" xfId="0" applyAlignment="1" applyBorder="1" applyFill="1" applyFont="1">
      <alignment horizontal="center" shrinkToFit="0" vertical="center" wrapText="1"/>
    </xf>
    <xf borderId="11" fillId="7" fontId="18" numFmtId="0" xfId="0" applyAlignment="1" applyBorder="1" applyFont="1">
      <alignment horizontal="center" shrinkToFit="0" vertical="center" wrapText="1"/>
    </xf>
    <xf borderId="3" fillId="7" fontId="19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readingOrder="0" shrinkToFit="0" vertical="center" wrapText="1"/>
    </xf>
    <xf borderId="13" fillId="0" fontId="11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center" shrinkToFit="0" vertical="center" wrapText="1"/>
    </xf>
    <xf borderId="14" fillId="2" fontId="20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2" fillId="0" fontId="16" numFmtId="0" xfId="0" applyAlignment="1" applyBorder="1" applyFont="1">
      <alignment horizontal="center" shrinkToFit="0" vertical="center" wrapText="1"/>
    </xf>
    <xf borderId="15" fillId="0" fontId="11" numFmtId="0" xfId="0" applyAlignment="1" applyBorder="1" applyFont="1">
      <alignment horizontal="center" shrinkToFit="0" vertical="center" wrapText="1"/>
    </xf>
    <xf borderId="16" fillId="0" fontId="6" numFmtId="0" xfId="0" applyBorder="1" applyFont="1"/>
    <xf borderId="0" fillId="0" fontId="11" numFmtId="0" xfId="0" applyAlignment="1" applyFont="1">
      <alignment shrinkToFit="0" vertical="center" wrapText="1"/>
    </xf>
    <xf borderId="17" fillId="0" fontId="11" numFmtId="0" xfId="0" applyAlignment="1" applyBorder="1" applyFont="1">
      <alignment horizontal="center" shrinkToFit="0" vertical="center" wrapText="1"/>
    </xf>
    <xf borderId="18" fillId="0" fontId="11" numFmtId="0" xfId="0" applyAlignment="1" applyBorder="1" applyFont="1">
      <alignment horizontal="center" shrinkToFit="0" vertical="center" wrapText="1"/>
    </xf>
    <xf borderId="18" fillId="0" fontId="16" numFmtId="0" xfId="0" applyAlignment="1" applyBorder="1" applyFont="1">
      <alignment horizontal="center" shrinkToFit="0" vertical="center" wrapText="1"/>
    </xf>
    <xf borderId="19" fillId="0" fontId="11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2" fontId="22" numFmtId="0" xfId="0" applyAlignment="1" applyBorder="1" applyFont="1">
      <alignment horizontal="center" readingOrder="0" shrinkToFit="0" vertical="center" wrapText="1"/>
    </xf>
    <xf borderId="3" fillId="0" fontId="11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4" fillId="3" fontId="25" numFmtId="0" xfId="0" applyAlignment="1" applyBorder="1" applyFont="1">
      <alignment horizontal="center" shrinkToFit="0" vertical="center" wrapText="1"/>
    </xf>
    <xf borderId="3" fillId="3" fontId="26" numFmtId="0" xfId="0" applyAlignment="1" applyBorder="1" applyFont="1">
      <alignment horizontal="center" shrinkToFit="0" vertical="center" wrapText="1"/>
    </xf>
    <xf borderId="1" fillId="3" fontId="27" numFmtId="0" xfId="0" applyAlignment="1" applyBorder="1" applyFont="1">
      <alignment horizontal="center" shrinkToFit="0" vertical="center" wrapText="1"/>
    </xf>
    <xf borderId="8" fillId="3" fontId="11" numFmtId="0" xfId="0" applyAlignment="1" applyBorder="1" applyFont="1">
      <alignment horizontal="center" shrinkToFit="0" vertical="center" wrapText="1"/>
    </xf>
    <xf borderId="9" fillId="3" fontId="28" numFmtId="0" xfId="0" applyAlignment="1" applyBorder="1" applyFont="1">
      <alignment horizontal="center" shrinkToFit="0" vertical="center" wrapText="1"/>
    </xf>
    <xf borderId="14" fillId="3" fontId="29" numFmtId="0" xfId="0" applyAlignment="1" applyBorder="1" applyFont="1">
      <alignment horizontal="center" shrinkToFit="0" vertical="center" wrapText="1"/>
    </xf>
    <xf borderId="1" fillId="3" fontId="30" numFmtId="0" xfId="0" applyAlignment="1" applyBorder="1" applyFont="1">
      <alignment horizontal="center" readingOrder="0" shrinkToFit="0" vertical="center" wrapText="1"/>
    </xf>
    <xf borderId="1" fillId="0" fontId="16" numFmtId="0" xfId="0" applyAlignment="1" applyBorder="1" applyFont="1">
      <alignment horizontal="center" readingOrder="0" shrinkToFit="0" vertical="center" wrapText="1"/>
    </xf>
    <xf borderId="4" fillId="8" fontId="31" numFmtId="0" xfId="0" applyAlignment="1" applyBorder="1" applyFill="1" applyFont="1">
      <alignment horizontal="center" shrinkToFit="0" vertical="center" wrapText="1"/>
    </xf>
    <xf borderId="3" fillId="8" fontId="32" numFmtId="0" xfId="0" applyAlignment="1" applyBorder="1" applyFont="1">
      <alignment horizontal="center" shrinkToFit="0" vertical="center" wrapText="1"/>
    </xf>
    <xf borderId="1" fillId="8" fontId="33" numFmtId="0" xfId="0" applyAlignment="1" applyBorder="1" applyFont="1">
      <alignment horizontal="center" shrinkToFit="0" vertical="center" wrapText="1"/>
    </xf>
    <xf borderId="8" fillId="8" fontId="11" numFmtId="0" xfId="0" applyAlignment="1" applyBorder="1" applyFont="1">
      <alignment horizontal="center" shrinkToFit="0" vertical="center" wrapText="1"/>
    </xf>
    <xf borderId="9" fillId="8" fontId="34" numFmtId="0" xfId="0" applyAlignment="1" applyBorder="1" applyFont="1">
      <alignment horizontal="center" shrinkToFit="0" vertical="center" wrapText="1"/>
    </xf>
    <xf borderId="14" fillId="8" fontId="35" numFmtId="0" xfId="0" applyAlignment="1" applyBorder="1" applyFont="1">
      <alignment horizontal="center" shrinkToFit="0" vertical="center" wrapText="1"/>
    </xf>
    <xf borderId="1" fillId="8" fontId="36" numFmtId="0" xfId="0" applyAlignment="1" applyBorder="1" applyFont="1">
      <alignment horizontal="center" readingOrder="0" shrinkToFit="0" vertical="center" wrapText="1"/>
    </xf>
    <xf borderId="4" fillId="5" fontId="37" numFmtId="0" xfId="0" applyAlignment="1" applyBorder="1" applyFont="1">
      <alignment horizontal="center" shrinkToFit="0" vertical="center" wrapText="1"/>
    </xf>
    <xf borderId="3" fillId="5" fontId="38" numFmtId="0" xfId="0" applyAlignment="1" applyBorder="1" applyFont="1">
      <alignment horizontal="center" shrinkToFit="0" vertical="center" wrapText="1"/>
    </xf>
    <xf borderId="1" fillId="5" fontId="39" numFmtId="0" xfId="0" applyAlignment="1" applyBorder="1" applyFont="1">
      <alignment horizontal="center" shrinkToFit="0" vertical="center" wrapText="1"/>
    </xf>
    <xf borderId="8" fillId="5" fontId="11" numFmtId="0" xfId="0" applyAlignment="1" applyBorder="1" applyFont="1">
      <alignment horizontal="center" shrinkToFit="0" vertical="center" wrapText="1"/>
    </xf>
    <xf borderId="9" fillId="5" fontId="40" numFmtId="0" xfId="0" applyAlignment="1" applyBorder="1" applyFont="1">
      <alignment horizontal="center" shrinkToFit="0" vertical="center" wrapText="1"/>
    </xf>
    <xf borderId="14" fillId="5" fontId="41" numFmtId="0" xfId="0" applyAlignment="1" applyBorder="1" applyFont="1">
      <alignment horizontal="center" shrinkToFit="0" vertical="center" wrapText="1"/>
    </xf>
    <xf borderId="1" fillId="5" fontId="42" numFmtId="0" xfId="0" applyAlignment="1" applyBorder="1" applyFont="1">
      <alignment horizontal="center" readingOrder="0" shrinkToFit="0" vertical="center" wrapText="1"/>
    </xf>
    <xf borderId="1" fillId="0" fontId="43" numFmtId="0" xfId="0" applyAlignment="1" applyBorder="1" applyFont="1">
      <alignment horizontal="center" shrinkToFit="0" vertical="center" wrapText="1"/>
    </xf>
    <xf borderId="4" fillId="6" fontId="44" numFmtId="0" xfId="0" applyAlignment="1" applyBorder="1" applyFont="1">
      <alignment horizontal="center" shrinkToFit="0" vertical="center" wrapText="1"/>
    </xf>
    <xf borderId="3" fillId="6" fontId="45" numFmtId="0" xfId="0" applyAlignment="1" applyBorder="1" applyFont="1">
      <alignment horizontal="center" shrinkToFit="0" vertical="center" wrapText="1"/>
    </xf>
    <xf borderId="1" fillId="6" fontId="46" numFmtId="0" xfId="0" applyAlignment="1" applyBorder="1" applyFont="1">
      <alignment horizontal="center" shrinkToFit="0" vertical="center" wrapText="1"/>
    </xf>
    <xf borderId="8" fillId="6" fontId="11" numFmtId="0" xfId="0" applyAlignment="1" applyBorder="1" applyFont="1">
      <alignment horizontal="center" shrinkToFit="0" vertical="center" wrapText="1"/>
    </xf>
    <xf borderId="9" fillId="6" fontId="47" numFmtId="0" xfId="0" applyAlignment="1" applyBorder="1" applyFont="1">
      <alignment horizontal="center" shrinkToFit="0" vertical="center" wrapText="1"/>
    </xf>
    <xf borderId="14" fillId="6" fontId="48" numFmtId="0" xfId="0" applyAlignment="1" applyBorder="1" applyFont="1">
      <alignment horizontal="center" shrinkToFit="0" vertical="center" wrapText="1"/>
    </xf>
    <xf borderId="12" fillId="9" fontId="11" numFmtId="0" xfId="0" applyAlignment="1" applyBorder="1" applyFill="1" applyFont="1">
      <alignment horizontal="center" shrinkToFit="0" vertical="center" wrapText="1"/>
    </xf>
    <xf borderId="3" fillId="9" fontId="16" numFmtId="0" xfId="0" applyAlignment="1" applyBorder="1" applyFont="1">
      <alignment horizontal="center" readingOrder="0" shrinkToFit="0" vertical="center" wrapText="1"/>
    </xf>
    <xf borderId="13" fillId="9" fontId="11" numFmtId="0" xfId="0" applyAlignment="1" applyBorder="1" applyFont="1">
      <alignment horizontal="center" shrinkToFit="0" vertical="center" wrapText="1"/>
    </xf>
    <xf borderId="13" fillId="9" fontId="16" numFmtId="0" xfId="0" applyAlignment="1" applyBorder="1" applyFont="1">
      <alignment horizontal="center" shrinkToFit="0" vertical="center" wrapText="1"/>
    </xf>
    <xf borderId="3" fillId="9" fontId="16" numFmtId="0" xfId="0" applyAlignment="1" applyBorder="1" applyFont="1">
      <alignment horizontal="center" shrinkToFit="0" vertical="center" wrapText="1"/>
    </xf>
    <xf borderId="15" fillId="9" fontId="11" numFmtId="0" xfId="0" applyAlignment="1" applyBorder="1" applyFont="1">
      <alignment horizontal="center" shrinkToFit="0" vertical="center" wrapText="1"/>
    </xf>
    <xf borderId="17" fillId="9" fontId="11" numFmtId="0" xfId="0" applyAlignment="1" applyBorder="1" applyFont="1">
      <alignment horizontal="center" shrinkToFit="0" vertical="center" wrapText="1"/>
    </xf>
    <xf borderId="18" fillId="9" fontId="11" numFmtId="0" xfId="0" applyAlignment="1" applyBorder="1" applyFont="1">
      <alignment horizontal="center" shrinkToFit="0" vertical="center" wrapText="1"/>
    </xf>
    <xf borderId="18" fillId="9" fontId="16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readingOrder="0" shrinkToFit="0" vertical="center" wrapText="1"/>
    </xf>
    <xf borderId="7" fillId="9" fontId="16" numFmtId="0" xfId="0" applyAlignment="1" applyBorder="1" applyFont="1">
      <alignment horizontal="center" shrinkToFit="0" vertical="center" wrapText="1"/>
    </xf>
    <xf borderId="2" fillId="9" fontId="16" numFmtId="0" xfId="0" applyAlignment="1" applyBorder="1" applyFont="1">
      <alignment horizontal="center" shrinkToFit="0" vertical="center" wrapText="1"/>
    </xf>
    <xf borderId="1" fillId="6" fontId="49" numFmtId="0" xfId="0" applyAlignment="1" applyBorder="1" applyFont="1">
      <alignment horizontal="center" readingOrder="0" shrinkToFit="0" vertical="center" wrapText="1"/>
    </xf>
    <xf borderId="20" fillId="0" fontId="4" numFmtId="0" xfId="0" applyAlignment="1" applyBorder="1" applyFont="1">
      <alignment horizontal="center" vertical="center"/>
    </xf>
    <xf borderId="1" fillId="10" fontId="50" numFmtId="0" xfId="0" applyAlignment="1" applyBorder="1" applyFill="1" applyFont="1">
      <alignment horizontal="center" vertical="center"/>
    </xf>
    <xf borderId="1" fillId="11" fontId="51" numFmtId="0" xfId="0" applyAlignment="1" applyBorder="1" applyFill="1" applyFont="1">
      <alignment horizontal="center" vertical="center"/>
    </xf>
    <xf borderId="1" fillId="9" fontId="52" numFmtId="0" xfId="0" applyAlignment="1" applyBorder="1" applyFont="1">
      <alignment horizontal="center" vertical="center"/>
    </xf>
    <xf borderId="1" fillId="12" fontId="53" numFmtId="0" xfId="0" applyAlignment="1" applyBorder="1" applyFill="1" applyFont="1">
      <alignment horizontal="center" vertical="center"/>
    </xf>
    <xf borderId="4" fillId="13" fontId="54" numFmtId="0" xfId="0" applyAlignment="1" applyBorder="1" applyFill="1" applyFont="1">
      <alignment horizontal="center" shrinkToFit="0" vertical="center" wrapText="1"/>
    </xf>
    <xf borderId="3" fillId="13" fontId="55" numFmtId="0" xfId="0" applyAlignment="1" applyBorder="1" applyFont="1">
      <alignment horizontal="center" shrinkToFit="0" vertical="center" wrapText="1"/>
    </xf>
    <xf borderId="1" fillId="13" fontId="56" numFmtId="0" xfId="0" applyAlignment="1" applyBorder="1" applyFont="1">
      <alignment horizontal="center" shrinkToFit="0" vertical="center" wrapText="1"/>
    </xf>
    <xf borderId="8" fillId="13" fontId="11" numFmtId="0" xfId="0" applyAlignment="1" applyBorder="1" applyFont="1">
      <alignment horizontal="center" shrinkToFit="0" vertical="center" wrapText="1"/>
    </xf>
    <xf borderId="9" fillId="13" fontId="57" numFmtId="0" xfId="0" applyAlignment="1" applyBorder="1" applyFont="1">
      <alignment horizontal="center" shrinkToFit="0" vertical="center" wrapText="1"/>
    </xf>
    <xf borderId="14" fillId="13" fontId="58" numFmtId="0" xfId="0" applyAlignment="1" applyBorder="1" applyFont="1">
      <alignment horizontal="center" shrinkToFit="0" vertical="center" wrapText="1"/>
    </xf>
    <xf borderId="1" fillId="13" fontId="59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horizontal="center" readingOrder="0" shrinkToFit="0" vertical="center" wrapText="1"/>
    </xf>
    <xf borderId="4" fillId="11" fontId="60" numFmtId="0" xfId="0" applyAlignment="1" applyBorder="1" applyFont="1">
      <alignment horizontal="center" shrinkToFit="0" vertical="center" wrapText="1"/>
    </xf>
    <xf borderId="3" fillId="11" fontId="61" numFmtId="0" xfId="0" applyAlignment="1" applyBorder="1" applyFont="1">
      <alignment horizontal="center" shrinkToFit="0" vertical="center" wrapText="1"/>
    </xf>
    <xf borderId="1" fillId="11" fontId="62" numFmtId="0" xfId="0" applyAlignment="1" applyBorder="1" applyFont="1">
      <alignment horizontal="center" shrinkToFit="0" vertical="center" wrapText="1"/>
    </xf>
    <xf borderId="8" fillId="11" fontId="11" numFmtId="0" xfId="0" applyAlignment="1" applyBorder="1" applyFont="1">
      <alignment horizontal="center" shrinkToFit="0" vertical="center" wrapText="1"/>
    </xf>
    <xf borderId="9" fillId="11" fontId="63" numFmtId="0" xfId="0" applyAlignment="1" applyBorder="1" applyFont="1">
      <alignment horizontal="center" shrinkToFit="0" vertical="center" wrapText="1"/>
    </xf>
    <xf borderId="14" fillId="11" fontId="64" numFmtId="0" xfId="0" applyAlignment="1" applyBorder="1" applyFont="1">
      <alignment horizontal="center" shrinkToFit="0" vertical="center" wrapText="1"/>
    </xf>
    <xf borderId="1" fillId="11" fontId="65" numFmtId="0" xfId="0" applyAlignment="1" applyBorder="1" applyFont="1">
      <alignment horizontal="center" readingOrder="0" shrinkToFit="0" vertical="center" wrapText="1"/>
    </xf>
    <xf borderId="4" fillId="9" fontId="66" numFmtId="0" xfId="0" applyAlignment="1" applyBorder="1" applyFont="1">
      <alignment horizontal="center" shrinkToFit="0" vertical="center" wrapText="1"/>
    </xf>
    <xf borderId="3" fillId="9" fontId="67" numFmtId="0" xfId="0" applyAlignment="1" applyBorder="1" applyFont="1">
      <alignment horizontal="center" shrinkToFit="0" vertical="center" wrapText="1"/>
    </xf>
    <xf borderId="1" fillId="9" fontId="68" numFmtId="0" xfId="0" applyAlignment="1" applyBorder="1" applyFont="1">
      <alignment horizontal="center" shrinkToFit="0" vertical="center" wrapText="1"/>
    </xf>
    <xf borderId="8" fillId="9" fontId="11" numFmtId="0" xfId="0" applyAlignment="1" applyBorder="1" applyFont="1">
      <alignment horizontal="center" shrinkToFit="0" vertical="center" wrapText="1"/>
    </xf>
    <xf borderId="9" fillId="9" fontId="69" numFmtId="0" xfId="0" applyAlignment="1" applyBorder="1" applyFont="1">
      <alignment horizontal="center" shrinkToFit="0" vertical="center" wrapText="1"/>
    </xf>
    <xf borderId="14" fillId="9" fontId="70" numFmtId="0" xfId="0" applyAlignment="1" applyBorder="1" applyFont="1">
      <alignment horizontal="center" shrinkToFit="0" vertical="center" wrapText="1"/>
    </xf>
    <xf borderId="1" fillId="9" fontId="71" numFmtId="0" xfId="0" applyAlignment="1" applyBorder="1" applyFont="1">
      <alignment horizontal="center" readingOrder="0" shrinkToFit="0" vertical="center" wrapText="1"/>
    </xf>
    <xf borderId="4" fillId="12" fontId="72" numFmtId="0" xfId="0" applyAlignment="1" applyBorder="1" applyFont="1">
      <alignment horizontal="center" shrinkToFit="0" vertical="center" wrapText="1"/>
    </xf>
    <xf borderId="3" fillId="12" fontId="73" numFmtId="0" xfId="0" applyAlignment="1" applyBorder="1" applyFont="1">
      <alignment horizontal="center" shrinkToFit="0" vertical="center" wrapText="1"/>
    </xf>
    <xf borderId="1" fillId="12" fontId="74" numFmtId="0" xfId="0" applyAlignment="1" applyBorder="1" applyFont="1">
      <alignment horizontal="center" shrinkToFit="0" vertical="center" wrapText="1"/>
    </xf>
    <xf borderId="8" fillId="12" fontId="11" numFmtId="0" xfId="0" applyAlignment="1" applyBorder="1" applyFont="1">
      <alignment horizontal="center" shrinkToFit="0" vertical="center" wrapText="1"/>
    </xf>
    <xf borderId="9" fillId="12" fontId="75" numFmtId="0" xfId="0" applyAlignment="1" applyBorder="1" applyFont="1">
      <alignment horizontal="center" shrinkToFit="0" vertical="center" wrapText="1"/>
    </xf>
    <xf borderId="14" fillId="12" fontId="76" numFmtId="0" xfId="0" applyAlignment="1" applyBorder="1" applyFont="1">
      <alignment horizontal="center" shrinkToFit="0" vertical="center" wrapText="1"/>
    </xf>
    <xf borderId="1" fillId="12" fontId="77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19050</xdr:rowOff>
    </xdr:from>
    <xdr:ext cx="647700" cy="581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2171700</xdr:colOff>
      <xdr:row>0</xdr:row>
      <xdr:rowOff>0</xdr:rowOff>
    </xdr:from>
    <xdr:ext cx="800100" cy="6858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0</xdr:row>
      <xdr:rowOff>57150</xdr:rowOff>
    </xdr:from>
    <xdr:ext cx="647700" cy="581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152400</xdr:colOff>
      <xdr:row>0</xdr:row>
      <xdr:rowOff>0</xdr:rowOff>
    </xdr:from>
    <xdr:ext cx="1009650" cy="6477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0</xdr:row>
      <xdr:rowOff>38100</xdr:rowOff>
    </xdr:from>
    <xdr:ext cx="647700" cy="581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285750</xdr:colOff>
      <xdr:row>0</xdr:row>
      <xdr:rowOff>0</xdr:rowOff>
    </xdr:from>
    <xdr:ext cx="1114425" cy="6096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0</xdr:row>
      <xdr:rowOff>66675</xdr:rowOff>
    </xdr:from>
    <xdr:ext cx="647700" cy="581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400050</xdr:colOff>
      <xdr:row>0</xdr:row>
      <xdr:rowOff>38100</xdr:rowOff>
    </xdr:from>
    <xdr:ext cx="981075" cy="62865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85725</xdr:rowOff>
    </xdr:from>
    <xdr:ext cx="647700" cy="581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31</xdr:col>
      <xdr:colOff>476250</xdr:colOff>
      <xdr:row>0</xdr:row>
      <xdr:rowOff>0</xdr:rowOff>
    </xdr:from>
    <xdr:ext cx="800100" cy="6858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47625</xdr:rowOff>
    </xdr:from>
    <xdr:ext cx="647700" cy="581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419100</xdr:colOff>
      <xdr:row>0</xdr:row>
      <xdr:rowOff>0</xdr:rowOff>
    </xdr:from>
    <xdr:ext cx="800100" cy="6858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19050</xdr:rowOff>
    </xdr:from>
    <xdr:ext cx="647700" cy="581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2171700</xdr:colOff>
      <xdr:row>0</xdr:row>
      <xdr:rowOff>0</xdr:rowOff>
    </xdr:from>
    <xdr:ext cx="800100" cy="6858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219075</xdr:colOff>
      <xdr:row>0</xdr:row>
      <xdr:rowOff>152400</xdr:rowOff>
    </xdr:from>
    <xdr:ext cx="647700" cy="581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0</xdr:colOff>
      <xdr:row>0</xdr:row>
      <xdr:rowOff>0</xdr:rowOff>
    </xdr:from>
    <xdr:ext cx="885825" cy="6858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0</xdr:row>
      <xdr:rowOff>152400</xdr:rowOff>
    </xdr:from>
    <xdr:ext cx="647700" cy="581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114300</xdr:colOff>
      <xdr:row>0</xdr:row>
      <xdr:rowOff>9525</xdr:rowOff>
    </xdr:from>
    <xdr:ext cx="800100" cy="6858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314325</xdr:colOff>
      <xdr:row>0</xdr:row>
      <xdr:rowOff>57150</xdr:rowOff>
    </xdr:from>
    <xdr:ext cx="647700" cy="581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152400</xdr:colOff>
      <xdr:row>0</xdr:row>
      <xdr:rowOff>0</xdr:rowOff>
    </xdr:from>
    <xdr:ext cx="800100" cy="6858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</xdr:colOff>
      <xdr:row>0</xdr:row>
      <xdr:rowOff>95250</xdr:rowOff>
    </xdr:from>
    <xdr:ext cx="647700" cy="581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32</xdr:col>
      <xdr:colOff>533400</xdr:colOff>
      <xdr:row>0</xdr:row>
      <xdr:rowOff>0</xdr:rowOff>
    </xdr:from>
    <xdr:ext cx="933450" cy="685800"/>
    <xdr:pic>
      <xdr:nvPicPr>
        <xdr:cNvPr descr="F:\Sports Experience Chosen Doubles 2022\37338445_348867138980118_577151030857302016_n.jpg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44.63"/>
    <col customWidth="1" min="4" max="4" width="9.13"/>
    <col customWidth="1" min="5" max="5" width="24.63"/>
    <col customWidth="1" min="6" max="26" width="9.13"/>
  </cols>
  <sheetData>
    <row r="1" ht="21.0" customHeight="1">
      <c r="A1" s="1" t="s">
        <v>0</v>
      </c>
      <c r="D1" s="2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1" t="s">
        <v>1</v>
      </c>
      <c r="D2" s="2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5"/>
      <c r="B5" s="6" t="s">
        <v>2</v>
      </c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8">
        <v>1.0</v>
      </c>
      <c r="B6" s="9" t="s">
        <v>3</v>
      </c>
      <c r="C6" s="8" t="s">
        <v>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8">
        <v>2.0</v>
      </c>
      <c r="B7" s="9" t="s">
        <v>5</v>
      </c>
      <c r="C7" s="8" t="s">
        <v>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8">
        <v>3.0</v>
      </c>
      <c r="B8" s="9" t="s">
        <v>7</v>
      </c>
      <c r="C8" s="8" t="s">
        <v>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8">
        <v>4.0</v>
      </c>
      <c r="B9" s="9" t="s">
        <v>9</v>
      </c>
      <c r="C9" s="8" t="s">
        <v>10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8">
        <v>5.0</v>
      </c>
      <c r="B10" s="9" t="s">
        <v>11</v>
      </c>
      <c r="C10" s="8" t="s">
        <v>12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5"/>
      <c r="B11" s="5"/>
      <c r="C11" s="5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5"/>
      <c r="B12" s="10" t="s">
        <v>13</v>
      </c>
      <c r="C12" s="7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8">
        <v>1.0</v>
      </c>
      <c r="B13" s="8" t="s">
        <v>14</v>
      </c>
      <c r="C13" s="8" t="s">
        <v>15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8">
        <v>2.0</v>
      </c>
      <c r="B14" s="8" t="s">
        <v>16</v>
      </c>
      <c r="C14" s="8" t="s">
        <v>17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8">
        <v>3.0</v>
      </c>
      <c r="B15" s="8" t="s">
        <v>18</v>
      </c>
      <c r="C15" s="8" t="s">
        <v>19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8">
        <v>4.0</v>
      </c>
      <c r="B16" s="8" t="s">
        <v>20</v>
      </c>
      <c r="C16" s="8" t="s">
        <v>21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8">
        <v>5.0</v>
      </c>
      <c r="B17" s="8" t="s">
        <v>22</v>
      </c>
      <c r="C17" s="8" t="s">
        <v>23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8">
        <v>6.0</v>
      </c>
      <c r="B18" s="8" t="s">
        <v>24</v>
      </c>
      <c r="C18" s="8" t="s">
        <v>25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5"/>
      <c r="B19" s="5"/>
      <c r="C19" s="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5"/>
      <c r="B20" s="11" t="s">
        <v>26</v>
      </c>
      <c r="C20" s="7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8">
        <v>1.0</v>
      </c>
      <c r="B21" s="8" t="s">
        <v>27</v>
      </c>
      <c r="C21" s="12" t="s">
        <v>28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8">
        <v>2.0</v>
      </c>
      <c r="B22" s="8" t="s">
        <v>29</v>
      </c>
      <c r="C22" s="8" t="s">
        <v>30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8">
        <v>3.0</v>
      </c>
      <c r="B23" s="8" t="s">
        <v>31</v>
      </c>
      <c r="C23" s="8" t="s">
        <v>32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8">
        <v>4.0</v>
      </c>
      <c r="B24" s="8" t="s">
        <v>33</v>
      </c>
      <c r="C24" s="8" t="s">
        <v>34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8">
        <v>5.0</v>
      </c>
      <c r="B25" s="8" t="s">
        <v>35</v>
      </c>
      <c r="C25" s="8" t="s">
        <v>36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8">
        <v>6.0</v>
      </c>
      <c r="B26" s="8" t="s">
        <v>37</v>
      </c>
      <c r="C26" s="8" t="s">
        <v>38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5"/>
      <c r="B27" s="5"/>
      <c r="C27" s="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5"/>
      <c r="B28" s="13" t="s">
        <v>39</v>
      </c>
      <c r="C28" s="7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8">
        <v>1.0</v>
      </c>
      <c r="B29" s="8" t="s">
        <v>40</v>
      </c>
      <c r="C29" s="8" t="s">
        <v>41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8">
        <v>2.0</v>
      </c>
      <c r="B30" s="8" t="s">
        <v>42</v>
      </c>
      <c r="C30" s="8" t="s">
        <v>43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8">
        <v>3.0</v>
      </c>
      <c r="B31" s="8" t="s">
        <v>44</v>
      </c>
      <c r="C31" s="8" t="s">
        <v>45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8">
        <v>4.0</v>
      </c>
      <c r="B32" s="8" t="s">
        <v>46</v>
      </c>
      <c r="C32" s="8" t="s">
        <v>47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8">
        <v>5.0</v>
      </c>
      <c r="B33" s="8" t="s">
        <v>48</v>
      </c>
      <c r="C33" s="8" t="s">
        <v>49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8">
        <v>6.0</v>
      </c>
      <c r="B34" s="8" t="s">
        <v>50</v>
      </c>
      <c r="C34" s="8" t="s">
        <v>51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5"/>
      <c r="B35" s="5"/>
      <c r="C35" s="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5"/>
      <c r="B36" s="14" t="s">
        <v>52</v>
      </c>
      <c r="C36" s="7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8">
        <v>1.0</v>
      </c>
      <c r="B37" s="8" t="s">
        <v>53</v>
      </c>
      <c r="C37" s="8" t="s">
        <v>54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8">
        <v>2.0</v>
      </c>
      <c r="B38" s="8" t="s">
        <v>55</v>
      </c>
      <c r="C38" s="8" t="s">
        <v>56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8">
        <v>3.0</v>
      </c>
      <c r="B39" s="8" t="s">
        <v>57</v>
      </c>
      <c r="C39" s="8" t="s">
        <v>58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8">
        <v>4.0</v>
      </c>
      <c r="B40" s="8" t="s">
        <v>59</v>
      </c>
      <c r="C40" s="8" t="s">
        <v>60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8">
        <v>5.0</v>
      </c>
      <c r="B41" s="8" t="s">
        <v>61</v>
      </c>
      <c r="C41" s="8" t="s">
        <v>62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8">
        <v>6.0</v>
      </c>
      <c r="B42" s="8" t="s">
        <v>63</v>
      </c>
      <c r="C42" s="8" t="s">
        <v>64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5"/>
      <c r="B43" s="5"/>
      <c r="C43" s="5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">
    <mergeCell ref="A1:C1"/>
    <mergeCell ref="A2:C2"/>
    <mergeCell ref="B5:C5"/>
    <mergeCell ref="B12:C12"/>
    <mergeCell ref="B20:C20"/>
    <mergeCell ref="B28:C28"/>
    <mergeCell ref="B36:C36"/>
  </mergeCells>
  <printOptions/>
  <pageMargins bottom="0.75" footer="0.0" header="0.0" left="0.25" right="0.25" top="0.75"/>
  <pageSetup paperSize="9" scale="8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hidden="1" min="1" max="1" width="6.0"/>
    <col customWidth="1" min="2" max="2" width="39.13"/>
    <col customWidth="1" min="3" max="3" width="7.0"/>
    <col customWidth="1" hidden="1" min="4" max="4" width="6.13"/>
    <col customWidth="1" min="5" max="5" width="1.63"/>
    <col customWidth="1" min="6" max="6" width="7.0"/>
    <col customWidth="1" hidden="1" min="7" max="7" width="6.13"/>
    <col customWidth="1" min="8" max="8" width="1.63"/>
    <col customWidth="1" min="9" max="9" width="7.0"/>
    <col customWidth="1" hidden="1" min="10" max="10" width="6.13"/>
    <col customWidth="1" hidden="1" min="11" max="11" width="7.5"/>
    <col customWidth="1" hidden="1" min="12" max="12" width="11.38"/>
    <col customWidth="1" hidden="1" min="13" max="13" width="8.0"/>
    <col customWidth="1" hidden="1" min="14" max="14" width="6.13"/>
    <col customWidth="1" min="15" max="15" width="3.38"/>
    <col customWidth="1" hidden="1" min="16" max="16" width="7.38"/>
    <col customWidth="1" min="17" max="17" width="39.13"/>
    <col customWidth="1" min="18" max="18" width="7.0"/>
    <col customWidth="1" hidden="1" min="19" max="19" width="6.13"/>
    <col customWidth="1" min="20" max="20" width="1.63"/>
    <col customWidth="1" min="21" max="21" width="7.0"/>
    <col customWidth="1" hidden="1" min="22" max="22" width="6.13"/>
    <col customWidth="1" min="23" max="23" width="1.63"/>
    <col customWidth="1" min="24" max="24" width="7.0"/>
    <col customWidth="1" hidden="1" min="25" max="25" width="6.13"/>
    <col customWidth="1" hidden="1" min="26" max="26" width="7.5"/>
    <col customWidth="1" hidden="1" min="27" max="27" width="11.38"/>
    <col customWidth="1" hidden="1" min="28" max="28" width="8.0"/>
    <col customWidth="1" hidden="1" min="29" max="29" width="6.13"/>
    <col customWidth="1" min="30" max="30" width="3.5"/>
    <col customWidth="1" min="31" max="31" width="42.63"/>
    <col customWidth="1" min="32" max="32" width="7.88"/>
    <col customWidth="1" min="33" max="33" width="7.13"/>
    <col customWidth="1" min="34" max="34" width="7.88"/>
    <col customWidth="1" min="35" max="35" width="5.38"/>
    <col customWidth="1" hidden="1" min="36" max="36" width="9.38"/>
    <col customWidth="1" hidden="1" min="37" max="37" width="8.0"/>
    <col customWidth="1" hidden="1" min="38" max="38" width="41.13"/>
    <col customWidth="1" min="39" max="40" width="9.38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2" s="1" t="s">
        <v>1</v>
      </c>
      <c r="AJ2" s="4"/>
      <c r="AK2" s="4"/>
      <c r="AL2" s="4"/>
      <c r="AM2" s="4"/>
      <c r="AN2" s="4"/>
    </row>
    <row r="3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30.0" customHeight="1">
      <c r="A5" s="15"/>
      <c r="B5" s="16" t="s">
        <v>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  <c r="AJ5" s="15"/>
      <c r="AK5" s="15"/>
      <c r="AL5" s="15"/>
      <c r="AM5" s="15"/>
      <c r="AN5" s="15"/>
    </row>
    <row r="6" ht="13.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ht="13.5" customHeight="1">
      <c r="A7" s="15"/>
      <c r="B7" s="19" t="s">
        <v>65</v>
      </c>
      <c r="C7" s="20" t="s">
        <v>66</v>
      </c>
      <c r="D7" s="21"/>
      <c r="E7" s="21"/>
      <c r="F7" s="7"/>
      <c r="G7" s="22"/>
      <c r="H7" s="23"/>
      <c r="I7" s="19" t="s">
        <v>67</v>
      </c>
      <c r="J7" s="15"/>
      <c r="K7" s="15"/>
      <c r="L7" s="15"/>
      <c r="M7" s="24"/>
      <c r="N7" s="24"/>
      <c r="O7" s="15"/>
      <c r="P7" s="15"/>
      <c r="Q7" s="19" t="s">
        <v>65</v>
      </c>
      <c r="R7" s="20" t="s">
        <v>66</v>
      </c>
      <c r="S7" s="21"/>
      <c r="T7" s="21"/>
      <c r="U7" s="7"/>
      <c r="V7" s="22"/>
      <c r="W7" s="23"/>
      <c r="X7" s="19" t="s">
        <v>67</v>
      </c>
      <c r="Y7" s="24"/>
      <c r="Z7" s="24"/>
      <c r="AA7" s="24"/>
      <c r="AB7" s="24"/>
      <c r="AC7" s="24"/>
      <c r="AD7" s="15"/>
      <c r="AE7" s="19" t="s">
        <v>68</v>
      </c>
      <c r="AF7" s="19" t="s">
        <v>69</v>
      </c>
      <c r="AG7" s="19" t="s">
        <v>70</v>
      </c>
      <c r="AH7" s="19" t="s">
        <v>71</v>
      </c>
      <c r="AI7" s="19" t="s">
        <v>72</v>
      </c>
      <c r="AJ7" s="24"/>
      <c r="AK7" s="24"/>
      <c r="AL7" s="24"/>
      <c r="AM7" s="15"/>
      <c r="AN7" s="15"/>
    </row>
    <row r="8" ht="13.5" hidden="1" customHeight="1">
      <c r="A8" s="15"/>
      <c r="B8" s="15"/>
      <c r="C8" s="25" t="s">
        <v>73</v>
      </c>
      <c r="D8" s="25" t="s">
        <v>74</v>
      </c>
      <c r="E8" s="25"/>
      <c r="F8" s="25" t="s">
        <v>73</v>
      </c>
      <c r="G8" s="25" t="s">
        <v>75</v>
      </c>
      <c r="H8" s="25"/>
      <c r="I8" s="25" t="s">
        <v>73</v>
      </c>
      <c r="J8" s="25" t="s">
        <v>76</v>
      </c>
      <c r="K8" s="25" t="s">
        <v>77</v>
      </c>
      <c r="L8" s="25" t="s">
        <v>78</v>
      </c>
      <c r="M8" s="25" t="s">
        <v>79</v>
      </c>
      <c r="N8" s="25" t="s">
        <v>80</v>
      </c>
      <c r="O8" s="15"/>
      <c r="P8" s="15"/>
      <c r="Q8" s="15"/>
      <c r="R8" s="25" t="s">
        <v>73</v>
      </c>
      <c r="S8" s="25" t="s">
        <v>74</v>
      </c>
      <c r="T8" s="25"/>
      <c r="U8" s="25" t="s">
        <v>73</v>
      </c>
      <c r="V8" s="25" t="s">
        <v>75</v>
      </c>
      <c r="W8" s="25"/>
      <c r="X8" s="25" t="s">
        <v>73</v>
      </c>
      <c r="Y8" s="25" t="s">
        <v>76</v>
      </c>
      <c r="Z8" s="25" t="s">
        <v>77</v>
      </c>
      <c r="AA8" s="25" t="s">
        <v>78</v>
      </c>
      <c r="AB8" s="25" t="s">
        <v>79</v>
      </c>
      <c r="AC8" s="25" t="s">
        <v>80</v>
      </c>
      <c r="AD8" s="15"/>
      <c r="AE8" s="24"/>
      <c r="AF8" s="24"/>
      <c r="AG8" s="24"/>
      <c r="AH8" s="24"/>
      <c r="AI8" s="24"/>
      <c r="AJ8" s="25" t="s">
        <v>81</v>
      </c>
      <c r="AK8" s="26" t="s">
        <v>82</v>
      </c>
      <c r="AL8" s="27" t="s">
        <v>83</v>
      </c>
      <c r="AM8" s="15"/>
      <c r="AN8" s="15"/>
    </row>
    <row r="9" ht="15.0" customHeight="1">
      <c r="A9" s="15"/>
      <c r="B9" s="28" t="str">
        <f>AE9</f>
        <v>Clayton Zammit Cesare / Matthew Pace</v>
      </c>
      <c r="C9" s="29">
        <v>5.0</v>
      </c>
      <c r="D9" s="30">
        <f>IF(C9&gt;C11,1,0)</f>
        <v>0</v>
      </c>
      <c r="E9" s="31"/>
      <c r="F9" s="29">
        <v>4.0</v>
      </c>
      <c r="G9" s="30">
        <f>IF(F9&gt;F11,1,0)</f>
        <v>0</v>
      </c>
      <c r="H9" s="31"/>
      <c r="I9" s="32"/>
      <c r="J9" s="15">
        <f>IF(I9&gt;I11,1,0)</f>
        <v>0</v>
      </c>
      <c r="K9" s="15">
        <f>IF(D9+G9=2,3,IF(D9+G9=1,1,0))</f>
        <v>0</v>
      </c>
      <c r="L9" s="15">
        <f>IF(K9=3,3,IF(J9+K9=2,2,IF(K9=1,1,0)))</f>
        <v>0</v>
      </c>
      <c r="M9" s="15">
        <f>C9+F9</f>
        <v>9</v>
      </c>
      <c r="N9" s="15">
        <f>D9+G9+J9</f>
        <v>0</v>
      </c>
      <c r="O9" s="15"/>
      <c r="P9" s="15"/>
      <c r="Q9" s="28" t="str">
        <f>AE9</f>
        <v>Clayton Zammit Cesare / Matthew Pace</v>
      </c>
      <c r="R9" s="29">
        <v>6.0</v>
      </c>
      <c r="S9" s="30">
        <f>IF(R9&gt;R11,1,0)</f>
        <v>1</v>
      </c>
      <c r="T9" s="31"/>
      <c r="U9" s="29">
        <v>6.0</v>
      </c>
      <c r="V9" s="30">
        <f>IF(U9&gt;U11,1,0)</f>
        <v>1</v>
      </c>
      <c r="W9" s="31"/>
      <c r="X9" s="32"/>
      <c r="Y9" s="15">
        <f>IF(X9&gt;X11,1,0)</f>
        <v>0</v>
      </c>
      <c r="Z9" s="15">
        <f>IF(S9+V9=2,3,IF(S9+V9=1,1,0))</f>
        <v>3</v>
      </c>
      <c r="AA9" s="15">
        <f>IF(Z9=3,3,IF(Y9+Z9=2,2,IF(Z9=1,1,0)))</f>
        <v>3</v>
      </c>
      <c r="AB9" s="15">
        <f>R9+U9</f>
        <v>12</v>
      </c>
      <c r="AC9" s="15">
        <f>S9+V9+Y9</f>
        <v>2</v>
      </c>
      <c r="AD9" s="15"/>
      <c r="AE9" s="33" t="str">
        <f>'Players Men'!B6&amp; " / " &amp;'Players Men'!C6</f>
        <v>Clayton Zammit Cesare / Matthew Pace</v>
      </c>
      <c r="AF9" s="34">
        <f>C12+R12+C17+R17</f>
        <v>4</v>
      </c>
      <c r="AG9" s="34">
        <f t="shared" ref="AG9:AI9" si="1">L9+AA9+L14+AA14</f>
        <v>6</v>
      </c>
      <c r="AH9" s="34">
        <f t="shared" si="1"/>
        <v>41</v>
      </c>
      <c r="AI9" s="35">
        <f t="shared" si="1"/>
        <v>4</v>
      </c>
      <c r="AJ9" s="15">
        <f>MAX(AG16,AG14,AG11,AG9,AG19)</f>
        <v>10</v>
      </c>
      <c r="AK9" s="15">
        <f>SUM(AF9:AF19)</f>
        <v>20</v>
      </c>
      <c r="AL9" s="15" t="str">
        <f>IF(AG9=$AJ$9,AE9,IF(AG11=$AJ$9,AE11,IF(AG14=$AJ$9,AE14,IF(AG16=$AJ$9,AE16,IF(AG19=$AJ$9,AE19,"")))))</f>
        <v>Marc Vella Bonnici / Marcelo Villanueva</v>
      </c>
      <c r="AM9" s="15"/>
      <c r="AN9" s="15"/>
    </row>
    <row r="10" ht="13.5" customHeight="1">
      <c r="A10" s="15"/>
      <c r="B10" s="36" t="s">
        <v>84</v>
      </c>
      <c r="I10" s="37"/>
      <c r="J10" s="38"/>
      <c r="K10" s="15"/>
      <c r="L10" s="15"/>
      <c r="M10" s="15"/>
      <c r="N10" s="15"/>
      <c r="O10" s="15"/>
      <c r="P10" s="15"/>
      <c r="Q10" s="36" t="s">
        <v>84</v>
      </c>
      <c r="X10" s="37"/>
      <c r="Y10" s="3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24"/>
      <c r="AL10" s="24"/>
      <c r="AM10" s="15"/>
      <c r="AN10" s="15"/>
    </row>
    <row r="11" ht="13.5" customHeight="1">
      <c r="A11" s="15"/>
      <c r="B11" s="39" t="str">
        <f>AE11</f>
        <v>Marc Vella Bonnici / Marcelo Villanueva</v>
      </c>
      <c r="C11" s="29">
        <v>7.0</v>
      </c>
      <c r="D11" s="40">
        <f>IF(C11&gt;C9,1,0)</f>
        <v>1</v>
      </c>
      <c r="E11" s="41"/>
      <c r="F11" s="29">
        <v>6.0</v>
      </c>
      <c r="G11" s="40">
        <f>IF(F11&gt;F9,1,0)</f>
        <v>1</v>
      </c>
      <c r="H11" s="41"/>
      <c r="I11" s="32"/>
      <c r="J11" s="15">
        <f>IF(I11&gt;I9,1,0)</f>
        <v>0</v>
      </c>
      <c r="K11" s="15">
        <f>IF(D11+G11=2,3,IF(D11+G11=1,1,0))</f>
        <v>3</v>
      </c>
      <c r="L11" s="15">
        <f>IF(K11=3,3,IF(J11+K11=2,2,IF(K11=1,1,0)))</f>
        <v>3</v>
      </c>
      <c r="M11" s="15">
        <f>C11+F11</f>
        <v>13</v>
      </c>
      <c r="N11" s="15">
        <f>D11+G11+J11</f>
        <v>2</v>
      </c>
      <c r="O11" s="15"/>
      <c r="P11" s="15"/>
      <c r="Q11" s="39" t="str">
        <f>AE14</f>
        <v>Eric Roca / Duncan D’Alessandro</v>
      </c>
      <c r="R11" s="29">
        <v>1.0</v>
      </c>
      <c r="S11" s="40">
        <f>IF(R11&gt;R9,1,0)</f>
        <v>0</v>
      </c>
      <c r="T11" s="41"/>
      <c r="U11" s="29">
        <v>2.0</v>
      </c>
      <c r="V11" s="40">
        <f>IF(U11&gt;U9,1,0)</f>
        <v>0</v>
      </c>
      <c r="W11" s="41"/>
      <c r="X11" s="32"/>
      <c r="Y11" s="15">
        <f>IF(X11&gt;X9,1,0)</f>
        <v>0</v>
      </c>
      <c r="Z11" s="15">
        <f>IF(S11+V11=2,3,IF(S11+V11=1,1,0))</f>
        <v>0</v>
      </c>
      <c r="AA11" s="15">
        <f>IF(Z11=3,3,IF(Y11+Z11=2,2,IF(Z11=1,1,0)))</f>
        <v>0</v>
      </c>
      <c r="AB11" s="15">
        <f>R11+U11</f>
        <v>3</v>
      </c>
      <c r="AC11" s="15">
        <f>S11+V11+Y11</f>
        <v>0</v>
      </c>
      <c r="AD11" s="15"/>
      <c r="AE11" s="33" t="str">
        <f>'Players Men'!B7&amp; " / " &amp;'Players Men'!C7</f>
        <v>Marc Vella Bonnici / Marcelo Villanueva</v>
      </c>
      <c r="AF11" s="34">
        <f>F12+C27+R22+C22</f>
        <v>4</v>
      </c>
      <c r="AG11" s="34">
        <f t="shared" ref="AG11:AI11" si="2">L11+L24+AA19+L19</f>
        <v>10</v>
      </c>
      <c r="AH11" s="34">
        <f t="shared" si="2"/>
        <v>47</v>
      </c>
      <c r="AI11" s="35">
        <f t="shared" si="2"/>
        <v>7</v>
      </c>
      <c r="AJ11" s="24"/>
      <c r="AK11" s="24"/>
      <c r="AL11" s="24"/>
      <c r="AM11" s="15"/>
      <c r="AN11" s="15"/>
    </row>
    <row r="12" ht="13.5" hidden="1" customHeight="1">
      <c r="A12" s="15" t="s">
        <v>85</v>
      </c>
      <c r="B12" s="15"/>
      <c r="C12" s="42">
        <f>IF(C9="",0,1)</f>
        <v>1</v>
      </c>
      <c r="D12" s="15"/>
      <c r="E12" s="15"/>
      <c r="F12" s="42">
        <f>IF(C11="",0,1)</f>
        <v>1</v>
      </c>
      <c r="G12" s="15"/>
      <c r="H12" s="15"/>
      <c r="I12" s="15"/>
      <c r="J12" s="15"/>
      <c r="K12" s="15"/>
      <c r="L12" s="15"/>
      <c r="M12" s="15"/>
      <c r="N12" s="15"/>
      <c r="O12" s="15"/>
      <c r="P12" s="15" t="s">
        <v>85</v>
      </c>
      <c r="Q12" s="15"/>
      <c r="R12" s="42">
        <f>IF(R9="",0,1)</f>
        <v>1</v>
      </c>
      <c r="S12" s="15"/>
      <c r="T12" s="15"/>
      <c r="U12" s="42">
        <f>IF(R11="",0,1)</f>
        <v>1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24"/>
      <c r="AG12" s="24"/>
      <c r="AH12" s="24"/>
      <c r="AI12" s="24"/>
      <c r="AJ12" s="24"/>
      <c r="AK12" s="15"/>
      <c r="AL12" s="15"/>
      <c r="AM12" s="15"/>
      <c r="AN12" s="15"/>
    </row>
    <row r="13" ht="13.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24"/>
      <c r="AG13" s="24"/>
      <c r="AH13" s="24"/>
      <c r="AI13" s="24"/>
      <c r="AJ13" s="24"/>
      <c r="AK13" s="24"/>
      <c r="AL13" s="24"/>
      <c r="AM13" s="15"/>
      <c r="AN13" s="15"/>
    </row>
    <row r="14" ht="13.5" customHeight="1">
      <c r="A14" s="15"/>
      <c r="B14" s="28" t="str">
        <f>AE9</f>
        <v>Clayton Zammit Cesare / Matthew Pace</v>
      </c>
      <c r="C14" s="29">
        <v>6.0</v>
      </c>
      <c r="D14" s="30">
        <f>IF(C14&gt;C16,1,0)</f>
        <v>1</v>
      </c>
      <c r="E14" s="31"/>
      <c r="F14" s="29">
        <v>6.0</v>
      </c>
      <c r="G14" s="30">
        <f>IF(F14&gt;F16,1,0)</f>
        <v>1</v>
      </c>
      <c r="H14" s="31"/>
      <c r="I14" s="32"/>
      <c r="J14" s="15">
        <f>IF(I14&gt;I16,1,0)</f>
        <v>0</v>
      </c>
      <c r="K14" s="15">
        <f>IF(D14+G14=2,3,IF(D14+G14=1,1,0))</f>
        <v>3</v>
      </c>
      <c r="L14" s="15">
        <f>IF(K14=3,3,IF(J14+K14=2,2,IF(K14=1,1,0)))</f>
        <v>3</v>
      </c>
      <c r="M14" s="15">
        <f>C14+F14</f>
        <v>12</v>
      </c>
      <c r="N14" s="15">
        <f>D14+G14+J14</f>
        <v>2</v>
      </c>
      <c r="O14" s="15"/>
      <c r="P14" s="15"/>
      <c r="Q14" s="28" t="str">
        <f>AE9</f>
        <v>Clayton Zammit Cesare / Matthew Pace</v>
      </c>
      <c r="R14" s="29">
        <v>4.0</v>
      </c>
      <c r="S14" s="30">
        <f>IF(R14&gt;R16,1,0)</f>
        <v>0</v>
      </c>
      <c r="T14" s="31"/>
      <c r="U14" s="29">
        <v>4.0</v>
      </c>
      <c r="V14" s="30">
        <f>IF(U14&gt;U16,1,0)</f>
        <v>0</v>
      </c>
      <c r="W14" s="31"/>
      <c r="X14" s="32"/>
      <c r="Y14" s="15">
        <f>IF(X14&gt;X16,1,0)</f>
        <v>0</v>
      </c>
      <c r="Z14" s="15">
        <f>IF(S14+V14=2,3,IF(S14+V14=1,1,0))</f>
        <v>0</v>
      </c>
      <c r="AA14" s="15">
        <f>IF(Z14=3,3,IF(Y14+Z14=2,2,IF(Z14=1,1,0)))</f>
        <v>0</v>
      </c>
      <c r="AB14" s="15">
        <f>R14+U14</f>
        <v>8</v>
      </c>
      <c r="AC14" s="15">
        <f>S14+V14+Y14</f>
        <v>0</v>
      </c>
      <c r="AD14" s="15"/>
      <c r="AE14" s="33" t="str">
        <f>'Players Men'!B8&amp; " / " &amp;'Players Men'!C8</f>
        <v>Eric Roca / Duncan D’Alessandro</v>
      </c>
      <c r="AF14" s="34">
        <f>R27+U12+C32+F22</f>
        <v>4</v>
      </c>
      <c r="AG14" s="34">
        <f t="shared" ref="AG14:AI14" si="3">AA24+AA11+L29+L21</f>
        <v>3</v>
      </c>
      <c r="AH14" s="34">
        <f t="shared" si="3"/>
        <v>30</v>
      </c>
      <c r="AI14" s="35">
        <f t="shared" si="3"/>
        <v>3</v>
      </c>
      <c r="AJ14" s="24"/>
      <c r="AK14" s="24"/>
      <c r="AL14" s="24"/>
      <c r="AM14" s="15"/>
      <c r="AN14" s="15"/>
    </row>
    <row r="15" ht="13.5" customHeight="1">
      <c r="A15" s="15"/>
      <c r="B15" s="36" t="s">
        <v>84</v>
      </c>
      <c r="I15" s="37"/>
      <c r="J15" s="38"/>
      <c r="K15" s="15"/>
      <c r="L15" s="15"/>
      <c r="M15" s="15"/>
      <c r="N15" s="15"/>
      <c r="O15" s="15"/>
      <c r="P15" s="15"/>
      <c r="Q15" s="36" t="s">
        <v>84</v>
      </c>
      <c r="X15" s="37"/>
      <c r="Y15" s="38"/>
      <c r="Z15" s="15"/>
      <c r="AA15" s="15"/>
      <c r="AB15" s="15"/>
      <c r="AC15" s="15"/>
      <c r="AD15" s="15"/>
      <c r="AE15" s="15"/>
      <c r="AF15" s="24"/>
      <c r="AG15" s="24"/>
      <c r="AH15" s="24"/>
      <c r="AI15" s="24"/>
      <c r="AJ15" s="24"/>
      <c r="AK15" s="24"/>
      <c r="AL15" s="24"/>
      <c r="AM15" s="15"/>
      <c r="AN15" s="15"/>
    </row>
    <row r="16" ht="13.5" customHeight="1">
      <c r="A16" s="15"/>
      <c r="B16" s="39" t="str">
        <f>AE16</f>
        <v>Trevor Rutter / Jean Carl Azzopardi</v>
      </c>
      <c r="C16" s="29">
        <v>0.0</v>
      </c>
      <c r="D16" s="40">
        <f>IF(C16&gt;C14,1,0)</f>
        <v>0</v>
      </c>
      <c r="E16" s="41"/>
      <c r="F16" s="29">
        <v>3.0</v>
      </c>
      <c r="G16" s="40">
        <f>IF(F16&gt;F14,1,0)</f>
        <v>0</v>
      </c>
      <c r="H16" s="41"/>
      <c r="I16" s="32"/>
      <c r="J16" s="15">
        <f>IF(I16&gt;I14,1,0)</f>
        <v>0</v>
      </c>
      <c r="K16" s="15">
        <f>IF(D16+G16=2,3,IF(D16+G16=1,1,0))</f>
        <v>0</v>
      </c>
      <c r="L16" s="15">
        <f>IF(K16=3,3,IF(J16+K16=2,2,IF(K16=1,1,0)))</f>
        <v>0</v>
      </c>
      <c r="M16" s="15">
        <f>C16+F16</f>
        <v>3</v>
      </c>
      <c r="N16" s="15">
        <f>D16+G16+J16</f>
        <v>0</v>
      </c>
      <c r="O16" s="15"/>
      <c r="P16" s="15"/>
      <c r="Q16" s="39" t="str">
        <f>AE19</f>
        <v>Claude Mifsud Wismayer / Adrian Chetcuti</v>
      </c>
      <c r="R16" s="29">
        <v>6.0</v>
      </c>
      <c r="S16" s="40">
        <f>IF(R16&gt;R14,1,0)</f>
        <v>1</v>
      </c>
      <c r="T16" s="41"/>
      <c r="U16" s="29">
        <v>6.0</v>
      </c>
      <c r="V16" s="40">
        <f>IF(U16&gt;U14,1,0)</f>
        <v>1</v>
      </c>
      <c r="W16" s="41"/>
      <c r="X16" s="32"/>
      <c r="Y16" s="15">
        <f>IF(X16&gt;X14,1,0)</f>
        <v>0</v>
      </c>
      <c r="Z16" s="15">
        <f>IF(S16+V16=2,3,IF(S16+V16=1,1,0))</f>
        <v>3</v>
      </c>
      <c r="AA16" s="15">
        <f>IF(Z16=3,3,IF(Y16+Z16=2,2,IF(Z16=1,1,0)))</f>
        <v>3</v>
      </c>
      <c r="AB16" s="15">
        <f>R16+U16</f>
        <v>12</v>
      </c>
      <c r="AC16" s="15">
        <f>S16+V16+Y16</f>
        <v>2</v>
      </c>
      <c r="AD16" s="15"/>
      <c r="AE16" s="33" t="str">
        <f>'Players Men'!B9&amp; " / " &amp;'Players Men'!C9</f>
        <v>Trevor Rutter / Jean Carl Azzopardi</v>
      </c>
      <c r="AF16" s="34">
        <f>U27+R32+F17+U22</f>
        <v>4</v>
      </c>
      <c r="AG16" s="34">
        <f t="shared" ref="AG16:AI16" si="4">AA26+AA29+L16+AA21</f>
        <v>2</v>
      </c>
      <c r="AH16" s="34">
        <f t="shared" si="4"/>
        <v>25</v>
      </c>
      <c r="AI16" s="35">
        <f t="shared" si="4"/>
        <v>2</v>
      </c>
      <c r="AJ16" s="24"/>
      <c r="AK16" s="24"/>
      <c r="AL16" s="24"/>
      <c r="AM16" s="15"/>
      <c r="AN16" s="15"/>
    </row>
    <row r="17" ht="13.5" hidden="1" customHeight="1">
      <c r="A17" s="15" t="s">
        <v>85</v>
      </c>
      <c r="B17" s="15"/>
      <c r="C17" s="42">
        <f>IF(C14="",0,1)</f>
        <v>1</v>
      </c>
      <c r="D17" s="15"/>
      <c r="E17" s="15"/>
      <c r="F17" s="42">
        <f>IF(C16="",0,1)</f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 t="s">
        <v>85</v>
      </c>
      <c r="Q17" s="15"/>
      <c r="R17" s="42">
        <f>IF(R14="",0,1)</f>
        <v>1</v>
      </c>
      <c r="S17" s="15"/>
      <c r="T17" s="15"/>
      <c r="U17" s="42">
        <f>IF(R16="",0,1)</f>
        <v>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24"/>
      <c r="AG17" s="24"/>
      <c r="AH17" s="24"/>
      <c r="AI17" s="24"/>
      <c r="AJ17" s="24"/>
      <c r="AK17" s="15"/>
      <c r="AL17" s="15"/>
      <c r="AM17" s="15"/>
      <c r="AN17" s="15"/>
    </row>
    <row r="18" ht="13.5" customHeight="1">
      <c r="A18" s="15"/>
      <c r="B18" s="15"/>
      <c r="C18" s="2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24"/>
      <c r="AG18" s="24"/>
      <c r="AH18" s="24"/>
      <c r="AI18" s="24"/>
      <c r="AJ18" s="24"/>
      <c r="AK18" s="24"/>
      <c r="AL18" s="24"/>
      <c r="AM18" s="15"/>
      <c r="AN18" s="15"/>
    </row>
    <row r="19" ht="13.5" customHeight="1">
      <c r="A19" s="15"/>
      <c r="B19" s="28" t="str">
        <f>AE11</f>
        <v>Marc Vella Bonnici / Marcelo Villanueva</v>
      </c>
      <c r="C19" s="29">
        <v>6.0</v>
      </c>
      <c r="D19" s="30">
        <f>IF(C19&gt;C21,1,0)</f>
        <v>1</v>
      </c>
      <c r="E19" s="31"/>
      <c r="F19" s="29">
        <v>3.0</v>
      </c>
      <c r="G19" s="30">
        <f>IF(F19&gt;F21,1,0)</f>
        <v>0</v>
      </c>
      <c r="H19" s="31"/>
      <c r="I19" s="29">
        <v>3.0</v>
      </c>
      <c r="J19" s="15">
        <f>IF(I19&gt;I21,1,0)</f>
        <v>0</v>
      </c>
      <c r="K19" s="15">
        <f>IF(D19+G19=2,3,IF(D19+G19=1,1,0))</f>
        <v>1</v>
      </c>
      <c r="L19" s="15">
        <f>IF(K19=3,3,IF(J19+K19=2,2,IF(K19=1,1,0)))</f>
        <v>1</v>
      </c>
      <c r="M19" s="15">
        <f>C19+F19</f>
        <v>9</v>
      </c>
      <c r="N19" s="15">
        <f>D19+G19+J19</f>
        <v>1</v>
      </c>
      <c r="O19" s="15"/>
      <c r="P19" s="15"/>
      <c r="Q19" s="28" t="str">
        <f>AE11</f>
        <v>Marc Vella Bonnici / Marcelo Villanueva</v>
      </c>
      <c r="R19" s="29">
        <v>6.0</v>
      </c>
      <c r="S19" s="30">
        <f>IF(R19&gt;R21,1,0)</f>
        <v>1</v>
      </c>
      <c r="T19" s="31"/>
      <c r="U19" s="29">
        <v>6.0</v>
      </c>
      <c r="V19" s="30">
        <f>IF(U19&gt;U21,1,0)</f>
        <v>1</v>
      </c>
      <c r="W19" s="31"/>
      <c r="X19" s="32"/>
      <c r="Y19" s="15">
        <f>IF(X19&gt;X21,1,0)</f>
        <v>0</v>
      </c>
      <c r="Z19" s="15">
        <f>IF(S19+V19=2,3,IF(S19+V19=1,1,0))</f>
        <v>3</v>
      </c>
      <c r="AA19" s="15">
        <f>IF(Z19=3,3,IF(Y19+Z19=2,2,IF(Z19=1,1,0)))</f>
        <v>3</v>
      </c>
      <c r="AB19" s="15">
        <f>R19+U19</f>
        <v>12</v>
      </c>
      <c r="AC19" s="15">
        <f>S19+V19+Y19</f>
        <v>2</v>
      </c>
      <c r="AD19" s="15"/>
      <c r="AE19" s="33" t="str">
        <f>'Players Men'!B10&amp; " / " &amp;'Players Men'!C10</f>
        <v>Claude Mifsud Wismayer / Adrian Chetcuti</v>
      </c>
      <c r="AF19" s="34">
        <f>U32+F27+U17+F32</f>
        <v>4</v>
      </c>
      <c r="AG19" s="34">
        <f t="shared" ref="AG19:AI19" si="5">AA31+L26+AA16+L31</f>
        <v>9</v>
      </c>
      <c r="AH19" s="34">
        <f t="shared" si="5"/>
        <v>44</v>
      </c>
      <c r="AI19" s="35">
        <f t="shared" si="5"/>
        <v>6</v>
      </c>
      <c r="AJ19" s="24"/>
      <c r="AK19" s="24"/>
      <c r="AL19" s="24"/>
      <c r="AM19" s="15"/>
      <c r="AN19" s="15"/>
    </row>
    <row r="20" ht="13.5" customHeight="1">
      <c r="A20" s="15"/>
      <c r="B20" s="36" t="s">
        <v>84</v>
      </c>
      <c r="I20" s="37"/>
      <c r="J20" s="38"/>
      <c r="K20" s="15"/>
      <c r="L20" s="15"/>
      <c r="M20" s="15"/>
      <c r="N20" s="15"/>
      <c r="O20" s="15"/>
      <c r="P20" s="15"/>
      <c r="Q20" s="36" t="s">
        <v>84</v>
      </c>
      <c r="X20" s="37"/>
      <c r="Y20" s="38"/>
      <c r="Z20" s="15"/>
      <c r="AA20" s="15"/>
      <c r="AB20" s="15"/>
      <c r="AC20" s="15"/>
      <c r="AD20" s="15"/>
      <c r="AE20" s="15"/>
      <c r="AF20" s="24"/>
      <c r="AG20" s="24"/>
      <c r="AH20" s="24"/>
      <c r="AI20" s="24"/>
      <c r="AJ20" s="24"/>
      <c r="AK20" s="24"/>
      <c r="AL20" s="24"/>
      <c r="AM20" s="15"/>
      <c r="AN20" s="15"/>
    </row>
    <row r="21" ht="13.5" customHeight="1">
      <c r="A21" s="15"/>
      <c r="B21" s="39" t="str">
        <f>AE14</f>
        <v>Eric Roca / Duncan D’Alessandro</v>
      </c>
      <c r="C21" s="29">
        <v>2.0</v>
      </c>
      <c r="D21" s="40">
        <f>IF(C21&gt;C19,1,0)</f>
        <v>0</v>
      </c>
      <c r="E21" s="41"/>
      <c r="F21" s="29">
        <v>6.0</v>
      </c>
      <c r="G21" s="40">
        <f>IF(F21&gt;F19,1,0)</f>
        <v>1</v>
      </c>
      <c r="H21" s="41"/>
      <c r="I21" s="29">
        <v>10.0</v>
      </c>
      <c r="J21" s="15">
        <f>IF(I21&gt;I19,1,0)</f>
        <v>1</v>
      </c>
      <c r="K21" s="15">
        <f>IF(D21+G21=2,3,IF(D21+G21=1,1,0))</f>
        <v>1</v>
      </c>
      <c r="L21" s="15">
        <f>IF(K21=3,3,IF(J21+K21=2,2,IF(K21=1,1,0)))</f>
        <v>2</v>
      </c>
      <c r="M21" s="15">
        <f>C21+F21</f>
        <v>8</v>
      </c>
      <c r="N21" s="15">
        <f>D21+G21+J21</f>
        <v>2</v>
      </c>
      <c r="O21" s="15"/>
      <c r="P21" s="15"/>
      <c r="Q21" s="39" t="str">
        <f>AE16</f>
        <v>Trevor Rutter / Jean Carl Azzopardi</v>
      </c>
      <c r="R21" s="29">
        <v>3.0</v>
      </c>
      <c r="S21" s="40">
        <f>IF(R21&gt;R19,1,0)</f>
        <v>0</v>
      </c>
      <c r="T21" s="41"/>
      <c r="U21" s="29">
        <v>4.0</v>
      </c>
      <c r="V21" s="40">
        <f>IF(U21&gt;U19,1,0)</f>
        <v>0</v>
      </c>
      <c r="W21" s="41"/>
      <c r="X21" s="32"/>
      <c r="Y21" s="15">
        <f>IF(X21&gt;X19,1,0)</f>
        <v>0</v>
      </c>
      <c r="Z21" s="15">
        <f>IF(S21+V21=2,3,IF(S21+V21=1,1,0))</f>
        <v>0</v>
      </c>
      <c r="AA21" s="15">
        <f>IF(Z21=3,3,IF(Y21+Z21=2,2,IF(Z21=1,1,0)))</f>
        <v>0</v>
      </c>
      <c r="AB21" s="15">
        <f>R21+U21</f>
        <v>7</v>
      </c>
      <c r="AC21" s="15">
        <f>S21+V21+Y21</f>
        <v>0</v>
      </c>
      <c r="AD21" s="15"/>
      <c r="AE21" s="15"/>
      <c r="AF21" s="15"/>
      <c r="AG21" s="15"/>
      <c r="AH21" s="15"/>
      <c r="AI21" s="15"/>
      <c r="AJ21" s="15"/>
      <c r="AK21" s="24"/>
      <c r="AL21" s="24"/>
      <c r="AM21" s="15"/>
      <c r="AN21" s="15"/>
    </row>
    <row r="22" ht="13.5" hidden="1" customHeight="1">
      <c r="A22" s="15" t="s">
        <v>85</v>
      </c>
      <c r="B22" s="15"/>
      <c r="C22" s="42">
        <f>IF(C19="",0,1)</f>
        <v>1</v>
      </c>
      <c r="D22" s="15"/>
      <c r="E22" s="15"/>
      <c r="F22" s="42">
        <f>IF(C21="",0,1)</f>
        <v>1</v>
      </c>
      <c r="G22" s="15"/>
      <c r="H22" s="15"/>
      <c r="I22" s="15"/>
      <c r="J22" s="15"/>
      <c r="K22" s="15"/>
      <c r="L22" s="15"/>
      <c r="M22" s="15"/>
      <c r="N22" s="15"/>
      <c r="O22" s="15"/>
      <c r="P22" s="15" t="s">
        <v>85</v>
      </c>
      <c r="Q22" s="15"/>
      <c r="R22" s="42">
        <f>IF(R19="",0,1)</f>
        <v>1</v>
      </c>
      <c r="S22" s="15"/>
      <c r="T22" s="15"/>
      <c r="U22" s="42">
        <f>IF(R21="",0,1)</f>
        <v>1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</row>
    <row r="23" ht="13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24"/>
      <c r="AL23" s="15"/>
      <c r="AM23" s="15"/>
      <c r="AN23" s="15"/>
    </row>
    <row r="24" ht="13.5" customHeight="1">
      <c r="A24" s="15"/>
      <c r="B24" s="28" t="str">
        <f>AE11</f>
        <v>Marc Vella Bonnici / Marcelo Villanueva</v>
      </c>
      <c r="C24" s="29">
        <v>7.0</v>
      </c>
      <c r="D24" s="30">
        <f>IF(C24&gt;C26,1,0)</f>
        <v>1</v>
      </c>
      <c r="E24" s="31"/>
      <c r="F24" s="29">
        <v>6.0</v>
      </c>
      <c r="G24" s="30">
        <f>IF(F24&gt;F26,1,0)</f>
        <v>1</v>
      </c>
      <c r="H24" s="31"/>
      <c r="I24" s="32"/>
      <c r="J24" s="15">
        <f>IF(I24&gt;I26,1,0)</f>
        <v>0</v>
      </c>
      <c r="K24" s="15">
        <f>IF(D24+G24=2,3,IF(D24+G24=1,1,0))</f>
        <v>3</v>
      </c>
      <c r="L24" s="15">
        <f>IF(K24=3,3,IF(J24+K24=2,2,IF(K24=1,1,0)))</f>
        <v>3</v>
      </c>
      <c r="M24" s="15">
        <f>C24+F24</f>
        <v>13</v>
      </c>
      <c r="N24" s="15">
        <f>D24+G24+J24</f>
        <v>2</v>
      </c>
      <c r="O24" s="15"/>
      <c r="P24" s="15"/>
      <c r="Q24" s="28" t="str">
        <f>AE14</f>
        <v>Eric Roca / Duncan D’Alessandro</v>
      </c>
      <c r="R24" s="29">
        <v>1.0</v>
      </c>
      <c r="S24" s="30">
        <f>IF(R24&gt;R26,1,0)</f>
        <v>0</v>
      </c>
      <c r="T24" s="31"/>
      <c r="U24" s="29">
        <v>6.0</v>
      </c>
      <c r="V24" s="30">
        <f>IF(U24&gt;U26,1,0)</f>
        <v>1</v>
      </c>
      <c r="W24" s="31"/>
      <c r="X24" s="29">
        <v>7.0</v>
      </c>
      <c r="Y24" s="15">
        <f>IF(X24&gt;X26,1,0)</f>
        <v>0</v>
      </c>
      <c r="Z24" s="15">
        <f>IF(S24+V24=2,3,IF(S24+V24=1,1,0))</f>
        <v>1</v>
      </c>
      <c r="AA24" s="15">
        <f>IF(Z24=3,3,IF(Y24+Z24=2,2,IF(Z24=1,1,0)))</f>
        <v>1</v>
      </c>
      <c r="AB24" s="15">
        <f>R24+U24</f>
        <v>7</v>
      </c>
      <c r="AC24" s="15">
        <f>S24+V24+Y24</f>
        <v>1</v>
      </c>
      <c r="AD24" s="15"/>
      <c r="AE24" s="20" t="s">
        <v>86</v>
      </c>
      <c r="AF24" s="21"/>
      <c r="AG24" s="21"/>
      <c r="AH24" s="21"/>
      <c r="AI24" s="7"/>
      <c r="AJ24" s="15"/>
      <c r="AK24" s="15"/>
      <c r="AL24" s="15"/>
      <c r="AM24" s="15"/>
      <c r="AN24" s="15"/>
    </row>
    <row r="25" ht="13.5" customHeight="1">
      <c r="A25" s="15"/>
      <c r="B25" s="36" t="s">
        <v>84</v>
      </c>
      <c r="I25" s="37"/>
      <c r="J25" s="38"/>
      <c r="K25" s="15"/>
      <c r="L25" s="15"/>
      <c r="M25" s="15"/>
      <c r="N25" s="15"/>
      <c r="O25" s="15"/>
      <c r="P25" s="15"/>
      <c r="Q25" s="36" t="s">
        <v>84</v>
      </c>
      <c r="X25" s="37"/>
      <c r="Y25" s="38"/>
      <c r="Z25" s="15"/>
      <c r="AA25" s="15"/>
      <c r="AB25" s="15"/>
      <c r="AC25" s="15"/>
      <c r="AD25" s="15"/>
      <c r="AE25" s="43" t="s">
        <v>87</v>
      </c>
      <c r="AF25" s="21"/>
      <c r="AG25" s="21"/>
      <c r="AH25" s="21"/>
      <c r="AI25" s="7"/>
      <c r="AJ25" s="15"/>
      <c r="AK25" s="24"/>
      <c r="AL25" s="15"/>
      <c r="AM25" s="15"/>
      <c r="AN25" s="15"/>
    </row>
    <row r="26" ht="13.5" customHeight="1">
      <c r="A26" s="15"/>
      <c r="B26" s="39" t="str">
        <f>AE19</f>
        <v>Claude Mifsud Wismayer / Adrian Chetcuti</v>
      </c>
      <c r="C26" s="29">
        <v>5.0</v>
      </c>
      <c r="D26" s="40">
        <f>IF(C26&gt;C24,1,0)</f>
        <v>0</v>
      </c>
      <c r="E26" s="41"/>
      <c r="F26" s="29">
        <v>1.0</v>
      </c>
      <c r="G26" s="40">
        <f>IF(F26&gt;F24,1,0)</f>
        <v>0</v>
      </c>
      <c r="H26" s="41"/>
      <c r="I26" s="32"/>
      <c r="J26" s="15">
        <f>IF(I26&gt;I24,1,0)</f>
        <v>0</v>
      </c>
      <c r="K26" s="15">
        <f>IF(D26+G26=2,3,IF(D26+G26=1,1,0))</f>
        <v>0</v>
      </c>
      <c r="L26" s="15">
        <f>IF(K26=3,3,IF(J26+K26=2,2,IF(K26=1,1,0)))</f>
        <v>0</v>
      </c>
      <c r="M26" s="15">
        <f>C26+F26</f>
        <v>6</v>
      </c>
      <c r="N26" s="15">
        <f>D26+G26+J26</f>
        <v>0</v>
      </c>
      <c r="O26" s="15"/>
      <c r="P26" s="15"/>
      <c r="Q26" s="39" t="str">
        <f>AE16</f>
        <v>Trevor Rutter / Jean Carl Azzopardi</v>
      </c>
      <c r="R26" s="29">
        <v>6.0</v>
      </c>
      <c r="S26" s="40">
        <f>IF(R26&gt;R24,1,0)</f>
        <v>1</v>
      </c>
      <c r="T26" s="41"/>
      <c r="U26" s="29">
        <v>4.0</v>
      </c>
      <c r="V26" s="40">
        <f>IF(U26&gt;U24,1,0)</f>
        <v>0</v>
      </c>
      <c r="W26" s="41"/>
      <c r="X26" s="29">
        <v>10.0</v>
      </c>
      <c r="Y26" s="15">
        <f>IF(X26&gt;X24,1,0)</f>
        <v>1</v>
      </c>
      <c r="Z26" s="15">
        <f>IF(S26+V26=2,3,IF(S26+V26=1,1,0))</f>
        <v>1</v>
      </c>
      <c r="AA26" s="15">
        <f>IF(Z26=3,3,IF(Y26+Z26=2,2,IF(Z26=1,1,0)))</f>
        <v>2</v>
      </c>
      <c r="AB26" s="15">
        <f>R26+U26</f>
        <v>10</v>
      </c>
      <c r="AC26" s="15">
        <f>S26+V26+Y26</f>
        <v>2</v>
      </c>
      <c r="AD26" s="15"/>
      <c r="AE26" s="44" t="s">
        <v>88</v>
      </c>
      <c r="AF26" s="21"/>
      <c r="AG26" s="21"/>
      <c r="AH26" s="21"/>
      <c r="AI26" s="7"/>
      <c r="AJ26" s="15"/>
      <c r="AK26" s="15"/>
      <c r="AL26" s="15"/>
      <c r="AM26" s="15"/>
      <c r="AN26" s="15"/>
    </row>
    <row r="27" ht="13.5" hidden="1" customHeight="1">
      <c r="A27" s="15" t="s">
        <v>85</v>
      </c>
      <c r="B27" s="15"/>
      <c r="C27" s="42">
        <f>IF(C24="",0,1)</f>
        <v>1</v>
      </c>
      <c r="D27" s="15"/>
      <c r="E27" s="15"/>
      <c r="F27" s="42">
        <f>IF(C26="",0,1)</f>
        <v>1</v>
      </c>
      <c r="G27" s="15"/>
      <c r="H27" s="15"/>
      <c r="I27" s="15"/>
      <c r="J27" s="15"/>
      <c r="K27" s="15"/>
      <c r="L27" s="15"/>
      <c r="M27" s="15"/>
      <c r="N27" s="15"/>
      <c r="O27" s="15"/>
      <c r="P27" s="15" t="s">
        <v>85</v>
      </c>
      <c r="Q27" s="15"/>
      <c r="R27" s="42">
        <f>IF(R24="",0,1)</f>
        <v>1</v>
      </c>
      <c r="S27" s="15"/>
      <c r="T27" s="15"/>
      <c r="U27" s="42">
        <f>IF(R26="",0,1)</f>
        <v>1</v>
      </c>
      <c r="V27" s="15"/>
      <c r="W27" s="15"/>
      <c r="X27" s="15"/>
      <c r="Y27" s="15"/>
      <c r="Z27" s="15"/>
      <c r="AA27" s="15"/>
      <c r="AB27" s="15"/>
      <c r="AC27" s="15"/>
      <c r="AD27" s="15"/>
      <c r="AE27" s="45"/>
      <c r="AF27" s="45"/>
      <c r="AG27" s="45"/>
      <c r="AH27" s="45"/>
      <c r="AI27" s="45"/>
      <c r="AJ27" s="15"/>
      <c r="AK27" s="15"/>
      <c r="AL27" s="15"/>
      <c r="AM27" s="15"/>
      <c r="AN27" s="15"/>
    </row>
    <row r="28" ht="15.0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46" t="s">
        <v>89</v>
      </c>
      <c r="AF28" s="21"/>
      <c r="AG28" s="21"/>
      <c r="AH28" s="21"/>
      <c r="AI28" s="7"/>
      <c r="AJ28" s="15"/>
      <c r="AK28" s="15"/>
      <c r="AL28" s="15"/>
      <c r="AM28" s="15"/>
      <c r="AN28" s="15"/>
    </row>
    <row r="29" ht="13.5" customHeight="1">
      <c r="A29" s="15"/>
      <c r="B29" s="28" t="str">
        <f>AE14</f>
        <v>Eric Roca / Duncan D’Alessandro</v>
      </c>
      <c r="C29" s="29">
        <v>6.0</v>
      </c>
      <c r="D29" s="30">
        <f>IF(C29&gt;C31,1,0)</f>
        <v>0</v>
      </c>
      <c r="E29" s="31"/>
      <c r="F29" s="29">
        <v>6.0</v>
      </c>
      <c r="G29" s="30">
        <f>IF(F29&gt;F31,1,0)</f>
        <v>0</v>
      </c>
      <c r="H29" s="31"/>
      <c r="I29" s="32"/>
      <c r="J29" s="15">
        <f>IF(I29&gt;I31,1,0)</f>
        <v>0</v>
      </c>
      <c r="K29" s="15">
        <f>IF(D29+G29=2,3,IF(D29+G29=1,1,0))</f>
        <v>0</v>
      </c>
      <c r="L29" s="15">
        <f>IF(K29=3,3,IF(J29+K29=2,2,IF(K29=1,1,0)))</f>
        <v>0</v>
      </c>
      <c r="M29" s="15">
        <f>C29+F29</f>
        <v>12</v>
      </c>
      <c r="N29" s="15">
        <f>D29+G29+J29</f>
        <v>0</v>
      </c>
      <c r="O29" s="15"/>
      <c r="P29" s="15"/>
      <c r="Q29" s="28" t="str">
        <f>AE16</f>
        <v>Trevor Rutter / Jean Carl Azzopardi</v>
      </c>
      <c r="R29" s="29">
        <v>1.0</v>
      </c>
      <c r="S29" s="30">
        <f>IF(R29&gt;R31,1,0)</f>
        <v>0</v>
      </c>
      <c r="T29" s="31"/>
      <c r="U29" s="29">
        <v>4.0</v>
      </c>
      <c r="V29" s="30">
        <f>IF(U29&gt;U31,1,0)</f>
        <v>0</v>
      </c>
      <c r="W29" s="31"/>
      <c r="X29" s="32"/>
      <c r="Y29" s="15">
        <f>IF(X29&gt;X31,1,0)</f>
        <v>0</v>
      </c>
      <c r="Z29" s="15">
        <f>IF(S29+V29=2,3,IF(S29+V29=1,1,0))</f>
        <v>0</v>
      </c>
      <c r="AA29" s="15">
        <f>IF(Z29=3,3,IF(Y29+Z29=2,2,IF(Z29=1,1,0)))</f>
        <v>0</v>
      </c>
      <c r="AB29" s="15">
        <f>R29+U29</f>
        <v>5</v>
      </c>
      <c r="AC29" s="15">
        <f>S29+V29+Y29</f>
        <v>0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ht="13.5" customHeight="1">
      <c r="A30" s="15"/>
      <c r="B30" s="36" t="s">
        <v>84</v>
      </c>
      <c r="I30" s="37"/>
      <c r="J30" s="38"/>
      <c r="K30" s="15"/>
      <c r="L30" s="15"/>
      <c r="M30" s="15"/>
      <c r="N30" s="15"/>
      <c r="O30" s="15"/>
      <c r="P30" s="15"/>
      <c r="Q30" s="36" t="s">
        <v>84</v>
      </c>
      <c r="X30" s="37"/>
      <c r="Y30" s="38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ht="13.5" customHeight="1">
      <c r="A31" s="15"/>
      <c r="B31" s="39" t="str">
        <f>AE19</f>
        <v>Claude Mifsud Wismayer / Adrian Chetcuti</v>
      </c>
      <c r="C31" s="29">
        <v>7.0</v>
      </c>
      <c r="D31" s="40">
        <f>IF(C31&gt;C29,1,0)</f>
        <v>1</v>
      </c>
      <c r="E31" s="41"/>
      <c r="F31" s="29">
        <v>7.0</v>
      </c>
      <c r="G31" s="40">
        <f>IF(F31&gt;F29,1,0)</f>
        <v>1</v>
      </c>
      <c r="H31" s="41"/>
      <c r="I31" s="32"/>
      <c r="J31" s="15">
        <f>IF(I31&gt;I29,1,0)</f>
        <v>0</v>
      </c>
      <c r="K31" s="15">
        <f>IF(D31+G31=2,3,IF(D31+G31=1,1,0))</f>
        <v>3</v>
      </c>
      <c r="L31" s="15">
        <f>IF(K31=3,3,IF(J31+K31=2,2,IF(K31=1,1,0)))</f>
        <v>3</v>
      </c>
      <c r="M31" s="15">
        <f>C31+F31</f>
        <v>14</v>
      </c>
      <c r="N31" s="15">
        <f>D31+G31+J31</f>
        <v>2</v>
      </c>
      <c r="O31" s="15"/>
      <c r="P31" s="15"/>
      <c r="Q31" s="39" t="str">
        <f>AE19</f>
        <v>Claude Mifsud Wismayer / Adrian Chetcuti</v>
      </c>
      <c r="R31" s="29">
        <v>6.0</v>
      </c>
      <c r="S31" s="40">
        <f>IF(R31&gt;R29,1,0)</f>
        <v>1</v>
      </c>
      <c r="T31" s="41"/>
      <c r="U31" s="29">
        <v>6.0</v>
      </c>
      <c r="V31" s="40">
        <f>IF(U31&gt;U29,1,0)</f>
        <v>1</v>
      </c>
      <c r="W31" s="41"/>
      <c r="X31" s="32"/>
      <c r="Y31" s="15">
        <f>IF(X31&gt;X29,1,0)</f>
        <v>0</v>
      </c>
      <c r="Z31" s="15">
        <f>IF(S31+V31=2,3,IF(S31+V31=1,1,0))</f>
        <v>3</v>
      </c>
      <c r="AA31" s="15">
        <f>IF(Z31=3,3,IF(Y31+Z31=2,2,IF(Z31=1,1,0)))</f>
        <v>3</v>
      </c>
      <c r="AB31" s="15">
        <f>R31+U31</f>
        <v>12</v>
      </c>
      <c r="AC31" s="15">
        <f>S31+V31+Y31</f>
        <v>2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ht="13.5" hidden="1" customHeight="1">
      <c r="A32" s="15" t="s">
        <v>85</v>
      </c>
      <c r="B32" s="15"/>
      <c r="C32" s="42">
        <f>IF(C29="",0,1)</f>
        <v>1</v>
      </c>
      <c r="D32" s="15"/>
      <c r="E32" s="15"/>
      <c r="F32" s="42">
        <f>IF(C31="",0,1)</f>
        <v>1</v>
      </c>
      <c r="G32" s="15"/>
      <c r="H32" s="15"/>
      <c r="I32" s="15"/>
      <c r="J32" s="15"/>
      <c r="K32" s="15"/>
      <c r="L32" s="15"/>
      <c r="M32" s="15"/>
      <c r="N32" s="15"/>
      <c r="O32" s="15"/>
      <c r="P32" s="15" t="s">
        <v>85</v>
      </c>
      <c r="Q32" s="15"/>
      <c r="R32" s="42">
        <f>IF(R29="",0,1)</f>
        <v>1</v>
      </c>
      <c r="S32" s="15"/>
      <c r="T32" s="15"/>
      <c r="U32" s="42">
        <f>IF(R31="",0,1)</f>
        <v>1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24"/>
      <c r="AI33" s="15"/>
      <c r="AJ33" s="15"/>
      <c r="AK33" s="15"/>
      <c r="AL33" s="15"/>
      <c r="AM33" s="15"/>
      <c r="AN33" s="15"/>
    </row>
    <row r="34" ht="13.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ht="13.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7"/>
      <c r="AM35" s="15"/>
      <c r="AN35" s="15"/>
    </row>
    <row r="36" ht="13.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24"/>
    </row>
    <row r="37" ht="14.2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7"/>
      <c r="AM38" s="15"/>
      <c r="AN38" s="15"/>
    </row>
    <row r="39" ht="13.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ht="15.0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ht="13.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ht="13.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24"/>
      <c r="AI43" s="15"/>
      <c r="AJ43" s="15"/>
      <c r="AK43" s="24"/>
      <c r="AL43" s="15"/>
      <c r="AM43" s="15"/>
      <c r="AN43" s="15"/>
    </row>
    <row r="44" ht="13.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24"/>
      <c r="AL44" s="15"/>
      <c r="AM44" s="15"/>
      <c r="AN44" s="15"/>
    </row>
    <row r="45" ht="13.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48"/>
      <c r="AK45" s="15"/>
      <c r="AL45" s="15"/>
      <c r="AM45" s="15"/>
      <c r="AN45" s="15"/>
    </row>
    <row r="46" ht="13.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ht="13.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ht="15.0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48"/>
      <c r="AK49" s="15"/>
      <c r="AL49" s="15"/>
      <c r="AM49" s="15"/>
      <c r="AN49" s="15"/>
    </row>
    <row r="50" ht="15.0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48"/>
      <c r="AK54" s="15"/>
      <c r="AL54" s="24"/>
      <c r="AM54" s="15"/>
      <c r="AN54" s="15"/>
    </row>
    <row r="55" ht="15.0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ht="15.0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48"/>
      <c r="AK59" s="15"/>
      <c r="AL59" s="15"/>
      <c r="AM59" s="15"/>
      <c r="AN59" s="24"/>
    </row>
    <row r="60" ht="15.0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24"/>
      <c r="AI63" s="15"/>
      <c r="AJ63" s="15"/>
      <c r="AK63" s="24"/>
      <c r="AL63" s="15"/>
      <c r="AM63" s="15"/>
      <c r="AN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24"/>
      <c r="S113" s="24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</row>
    <row r="164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</row>
    <row r="165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</row>
    <row r="166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</row>
    <row r="167" ht="1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</row>
    <row r="168" ht="1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</row>
    <row r="169" ht="1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</row>
    <row r="170" ht="13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</row>
    <row r="171" ht="13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</row>
    <row r="172" ht="13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</row>
    <row r="173" ht="13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</row>
    <row r="174" ht="13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</row>
    <row r="175" ht="13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</row>
    <row r="176" ht="13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</row>
    <row r="177" ht="1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</row>
    <row r="178" ht="13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</row>
    <row r="179" ht="13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</row>
    <row r="180" ht="13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</row>
    <row r="181" ht="13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</row>
    <row r="182" ht="13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</row>
    <row r="183" ht="13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</row>
    <row r="184" ht="13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</row>
    <row r="185" ht="1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</row>
    <row r="186" ht="13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</row>
    <row r="187" ht="13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</row>
    <row r="188" ht="13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</row>
    <row r="189" ht="13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</row>
    <row r="190" ht="13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</row>
    <row r="191" ht="1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</row>
    <row r="192" ht="13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</row>
    <row r="193" ht="13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</row>
    <row r="194" ht="13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</row>
    <row r="195" ht="13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</row>
    <row r="196" ht="13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</row>
    <row r="197" ht="13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</row>
    <row r="198" ht="13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</row>
    <row r="199" ht="13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</row>
    <row r="200" ht="13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</row>
    <row r="201" ht="13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</row>
    <row r="202" ht="13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</row>
    <row r="203" ht="13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</row>
    <row r="204" ht="13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</row>
    <row r="205" ht="13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</row>
    <row r="206" ht="13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</row>
    <row r="207" ht="13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</row>
    <row r="208" ht="13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</row>
    <row r="209" ht="13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</row>
    <row r="210" ht="13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</row>
    <row r="211" ht="13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</row>
    <row r="212" ht="1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</row>
    <row r="213" ht="13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</row>
    <row r="214" ht="13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</row>
    <row r="215" ht="13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</row>
    <row r="216" ht="13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</row>
    <row r="217" ht="13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</row>
    <row r="218" ht="13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</row>
    <row r="219" ht="13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</row>
    <row r="220" ht="13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</row>
    <row r="221" ht="13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</row>
    <row r="222" ht="13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</row>
    <row r="223" ht="13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</row>
    <row r="224" ht="13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</row>
    <row r="225" ht="13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</row>
    <row r="226" ht="13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</row>
    <row r="227" ht="13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</row>
    <row r="228" ht="13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</row>
    <row r="229" ht="13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</row>
    <row r="230" ht="13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</row>
    <row r="231" ht="13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</row>
    <row r="232" ht="13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</row>
    <row r="233" ht="13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</row>
    <row r="234" ht="13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</row>
    <row r="235" ht="13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</row>
    <row r="236" ht="13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</row>
    <row r="237" ht="13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</row>
    <row r="238" ht="13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</row>
    <row r="239" ht="13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</row>
    <row r="240" ht="13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</row>
    <row r="241" ht="13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</row>
    <row r="242" ht="13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</row>
    <row r="243" ht="13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</row>
    <row r="244" ht="13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</row>
    <row r="245" ht="1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</row>
    <row r="246" ht="13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</row>
    <row r="247" ht="13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</row>
    <row r="248" ht="13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</row>
    <row r="249" ht="13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</row>
    <row r="250" ht="13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</row>
    <row r="251" ht="13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</row>
    <row r="252" ht="13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</row>
    <row r="253" ht="13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</row>
    <row r="254" ht="13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</row>
    <row r="255" ht="13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</row>
    <row r="256" ht="13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</row>
    <row r="257" ht="13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</row>
    <row r="258" ht="13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</row>
    <row r="259" ht="13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</row>
    <row r="260" ht="13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</row>
    <row r="261" ht="13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</row>
    <row r="262" ht="13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</row>
    <row r="263" ht="13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</row>
    <row r="264" ht="13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</row>
    <row r="265" ht="13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</row>
    <row r="266" ht="1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</row>
    <row r="267" ht="13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</row>
    <row r="268" ht="13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</row>
    <row r="269" ht="13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</row>
    <row r="270" ht="13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</row>
    <row r="271" ht="13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</row>
    <row r="272" ht="13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</row>
    <row r="273" ht="13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</row>
    <row r="274" ht="13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</row>
    <row r="275" ht="13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</row>
    <row r="276" ht="13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</row>
    <row r="277" ht="13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</row>
    <row r="278" ht="13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</row>
    <row r="279" ht="13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</row>
    <row r="280" ht="13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</row>
    <row r="281" ht="13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</row>
    <row r="282" ht="13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</row>
    <row r="283" ht="13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</row>
    <row r="284" ht="13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</row>
    <row r="285" ht="1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</row>
    <row r="286" ht="13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</row>
    <row r="287" ht="13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</row>
    <row r="288" ht="13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</row>
    <row r="289" ht="13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</row>
    <row r="290" ht="13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</row>
    <row r="291" ht="13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</row>
    <row r="292" ht="13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</row>
    <row r="293" ht="13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</row>
    <row r="294" ht="1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</row>
    <row r="295" ht="13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</row>
    <row r="296" ht="13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</row>
    <row r="297" ht="13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</row>
    <row r="298" ht="13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</row>
    <row r="299" ht="13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</row>
    <row r="300" ht="13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</row>
    <row r="301" ht="1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</row>
    <row r="302" ht="13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</row>
    <row r="303" ht="13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</row>
    <row r="304" ht="13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</row>
    <row r="305" ht="13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</row>
    <row r="306" ht="13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</row>
    <row r="307" ht="13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</row>
    <row r="308" ht="1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</row>
    <row r="309" ht="13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</row>
    <row r="310" ht="13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</row>
    <row r="311" ht="13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</row>
    <row r="312" ht="13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</row>
    <row r="313" ht="13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</row>
    <row r="314" ht="13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</row>
    <row r="315" ht="13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</row>
    <row r="316" ht="13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</row>
    <row r="317" ht="13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</row>
    <row r="318" ht="13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</row>
    <row r="319" ht="13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</row>
    <row r="320" ht="13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</row>
    <row r="321" ht="13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</row>
    <row r="322" ht="13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</row>
    <row r="323" ht="13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</row>
    <row r="324" ht="13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</row>
    <row r="325" ht="13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</row>
    <row r="326" ht="13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</row>
    <row r="327" ht="13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</row>
    <row r="328" ht="13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</row>
    <row r="329" ht="13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</row>
    <row r="330" ht="13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</row>
    <row r="331" ht="13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</row>
    <row r="332" ht="13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</row>
    <row r="333" ht="13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</row>
    <row r="334" ht="13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</row>
    <row r="335" ht="13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</row>
    <row r="336" ht="13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</row>
    <row r="337" ht="13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</row>
    <row r="338" ht="13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</row>
    <row r="339" ht="13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</row>
    <row r="340" ht="13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</row>
    <row r="341" ht="13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</row>
    <row r="342" ht="13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</row>
    <row r="343" ht="13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</row>
    <row r="344" ht="13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</row>
    <row r="345" ht="13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</row>
    <row r="346" ht="13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</row>
    <row r="347" ht="13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</row>
    <row r="348" ht="13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</row>
    <row r="349" ht="13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</row>
    <row r="350" ht="13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</row>
    <row r="351" ht="13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</row>
    <row r="352" ht="13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</row>
    <row r="353" ht="13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</row>
    <row r="354" ht="13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</row>
    <row r="355" ht="13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</row>
    <row r="356" ht="13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</row>
    <row r="357" ht="13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</row>
    <row r="358" ht="13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</row>
    <row r="359" ht="13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</row>
    <row r="360" ht="13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</row>
    <row r="361" ht="13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</row>
    <row r="362" ht="13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</row>
    <row r="363" ht="13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</row>
    <row r="364" ht="13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</row>
    <row r="365" ht="13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</row>
    <row r="366" ht="13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</row>
    <row r="367" ht="13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</row>
    <row r="368" ht="13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</row>
    <row r="369" ht="13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</row>
    <row r="370" ht="13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</row>
    <row r="371" ht="13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</row>
    <row r="372" ht="13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</row>
    <row r="373" ht="13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</row>
    <row r="374" ht="13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</row>
    <row r="375" ht="13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</row>
    <row r="376" ht="13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</row>
    <row r="377" ht="13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</row>
    <row r="378" ht="13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</row>
    <row r="379" ht="13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</row>
    <row r="380" ht="13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</row>
    <row r="381" ht="13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</row>
    <row r="382" ht="13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</row>
    <row r="383" ht="13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</row>
    <row r="384" ht="13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</row>
    <row r="385" ht="13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</row>
    <row r="386" ht="13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</row>
    <row r="387" ht="13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</row>
    <row r="388" ht="13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</row>
    <row r="389" ht="13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</row>
    <row r="390" ht="13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</row>
    <row r="391" ht="13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</row>
    <row r="392" ht="13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</row>
    <row r="393" ht="13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</row>
    <row r="394" ht="13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</row>
    <row r="395" ht="13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</row>
    <row r="396" ht="13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</row>
    <row r="397" ht="13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</row>
    <row r="398" ht="13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</row>
    <row r="399" ht="13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</row>
    <row r="400" ht="13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</row>
    <row r="401" ht="13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</row>
    <row r="402" ht="13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</row>
    <row r="403" ht="13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</row>
    <row r="404" ht="13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</row>
    <row r="405" ht="13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</row>
    <row r="406" ht="13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</row>
    <row r="407" ht="13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</row>
    <row r="408" ht="13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</row>
    <row r="409" ht="13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</row>
    <row r="410" ht="13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</row>
    <row r="411" ht="13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</row>
    <row r="412" ht="13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</row>
    <row r="413" ht="13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</row>
    <row r="414" ht="13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</row>
    <row r="415" ht="13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</row>
    <row r="416" ht="13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</row>
    <row r="417" ht="13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</row>
    <row r="418" ht="13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</row>
    <row r="419" ht="13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</row>
    <row r="420" ht="13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</row>
    <row r="421" ht="13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</row>
    <row r="422" ht="13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</row>
    <row r="423" ht="13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</row>
    <row r="424" ht="13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</row>
    <row r="425" ht="13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</row>
    <row r="426" ht="13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</row>
    <row r="427" ht="13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</row>
    <row r="428" ht="13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</row>
    <row r="429" ht="13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</row>
    <row r="430" ht="13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</row>
    <row r="431" ht="13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</row>
    <row r="432" ht="13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</row>
    <row r="433" ht="13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</row>
    <row r="434" ht="13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</row>
    <row r="435" ht="13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</row>
    <row r="436" ht="13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</row>
    <row r="437" ht="13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</row>
    <row r="438" ht="13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</row>
    <row r="439" ht="13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</row>
    <row r="440" ht="13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</row>
    <row r="441" ht="13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</row>
    <row r="442" ht="13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</row>
    <row r="443" ht="13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</row>
    <row r="444" ht="13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</row>
    <row r="445" ht="13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</row>
    <row r="446" ht="13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</row>
    <row r="447" ht="13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</row>
    <row r="448" ht="13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</row>
    <row r="449" ht="13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</row>
    <row r="450" ht="13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</row>
    <row r="451" ht="13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</row>
    <row r="452" ht="13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</row>
    <row r="453" ht="13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</row>
    <row r="454" ht="13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</row>
    <row r="455" ht="13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</row>
    <row r="456" ht="13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</row>
    <row r="457" ht="13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</row>
    <row r="458" ht="13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</row>
    <row r="459" ht="13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</row>
    <row r="460" ht="13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</row>
    <row r="461" ht="13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</row>
    <row r="462" ht="13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</row>
    <row r="463" ht="13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</row>
    <row r="464" ht="13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</row>
    <row r="465" ht="13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</row>
    <row r="466" ht="13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</row>
    <row r="467" ht="13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</row>
    <row r="468" ht="13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</row>
    <row r="469" ht="13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</row>
    <row r="470" ht="13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</row>
    <row r="471" ht="13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</row>
    <row r="472" ht="13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</row>
    <row r="473" ht="13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</row>
    <row r="474" ht="13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</row>
    <row r="475" ht="13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</row>
    <row r="476" ht="13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</row>
    <row r="477" ht="13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</row>
    <row r="478" ht="13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</row>
    <row r="479" ht="13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</row>
    <row r="480" ht="13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</row>
    <row r="481" ht="13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</row>
    <row r="482" ht="13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</row>
    <row r="483" ht="13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</row>
    <row r="484" ht="13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</row>
    <row r="485" ht="13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</row>
    <row r="486" ht="13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</row>
    <row r="487" ht="13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</row>
    <row r="488" ht="13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</row>
    <row r="489" ht="13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</row>
    <row r="490" ht="13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</row>
    <row r="491" ht="13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</row>
    <row r="492" ht="13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</row>
    <row r="493" ht="13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</row>
    <row r="494" ht="13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</row>
    <row r="495" ht="13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</row>
    <row r="496" ht="13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</row>
    <row r="497" ht="13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</row>
    <row r="498" ht="13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</row>
    <row r="499" ht="13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</row>
    <row r="500" ht="13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</row>
    <row r="501" ht="13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</row>
    <row r="502" ht="13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</row>
    <row r="503" ht="13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</row>
    <row r="504" ht="13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</row>
    <row r="505" ht="13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</row>
    <row r="506" ht="13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</row>
    <row r="507" ht="13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</row>
    <row r="508" ht="13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</row>
    <row r="509" ht="13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</row>
    <row r="510" ht="13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</row>
    <row r="511" ht="13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</row>
    <row r="512" ht="13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</row>
    <row r="513" ht="13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</row>
    <row r="514" ht="13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</row>
    <row r="515" ht="13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</row>
    <row r="516" ht="13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</row>
    <row r="517" ht="13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</row>
    <row r="518" ht="13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</row>
    <row r="519" ht="13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</row>
    <row r="520" ht="13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</row>
    <row r="521" ht="13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</row>
    <row r="522" ht="13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</row>
    <row r="523" ht="13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</row>
    <row r="524" ht="13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</row>
    <row r="525" ht="13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</row>
    <row r="526" ht="13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</row>
    <row r="527" ht="13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</row>
    <row r="528" ht="13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</row>
    <row r="529" ht="13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</row>
    <row r="530" ht="13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</row>
    <row r="531" ht="13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</row>
    <row r="532" ht="13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</row>
    <row r="533" ht="13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</row>
    <row r="534" ht="13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</row>
    <row r="535" ht="13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</row>
    <row r="536" ht="13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</row>
    <row r="537" ht="13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</row>
    <row r="538" ht="13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</row>
    <row r="539" ht="13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</row>
    <row r="540" ht="13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</row>
    <row r="541" ht="13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</row>
    <row r="542" ht="13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</row>
    <row r="543" ht="13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</row>
    <row r="544" ht="13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</row>
    <row r="545" ht="13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</row>
    <row r="546" ht="13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</row>
    <row r="547" ht="13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</row>
    <row r="548" ht="13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</row>
    <row r="549" ht="13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</row>
    <row r="550" ht="13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</row>
    <row r="551" ht="13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</row>
    <row r="552" ht="13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</row>
    <row r="553" ht="13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</row>
    <row r="554" ht="13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</row>
    <row r="555" ht="13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</row>
    <row r="556" ht="13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</row>
    <row r="557" ht="13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</row>
    <row r="558" ht="13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</row>
    <row r="559" ht="13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</row>
    <row r="560" ht="13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</row>
    <row r="561" ht="13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</row>
    <row r="562" ht="13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</row>
    <row r="563" ht="13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</row>
    <row r="564" ht="13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</row>
    <row r="565" ht="13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</row>
    <row r="566" ht="13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</row>
    <row r="567" ht="13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</row>
    <row r="568" ht="13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</row>
    <row r="569" ht="13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</row>
    <row r="570" ht="13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</row>
    <row r="571" ht="13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</row>
    <row r="572" ht="13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</row>
    <row r="573" ht="13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</row>
    <row r="574" ht="13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</row>
    <row r="575" ht="13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</row>
    <row r="576" ht="13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</row>
    <row r="577" ht="13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</row>
    <row r="578" ht="13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</row>
    <row r="579" ht="13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</row>
    <row r="580" ht="13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</row>
    <row r="581" ht="13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</row>
    <row r="582" ht="13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</row>
    <row r="583" ht="13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</row>
    <row r="584" ht="13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</row>
    <row r="585" ht="13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</row>
    <row r="586" ht="13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</row>
    <row r="587" ht="13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</row>
    <row r="588" ht="13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</row>
    <row r="589" ht="13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</row>
    <row r="590" ht="13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</row>
    <row r="591" ht="13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</row>
    <row r="592" ht="13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</row>
    <row r="593" ht="13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</row>
    <row r="594" ht="13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</row>
    <row r="595" ht="13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</row>
    <row r="596" ht="13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</row>
    <row r="597" ht="13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</row>
    <row r="598" ht="13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</row>
    <row r="599" ht="13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</row>
    <row r="600" ht="13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</row>
    <row r="601" ht="13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</row>
    <row r="602" ht="13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</row>
    <row r="603" ht="13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</row>
    <row r="604" ht="13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</row>
    <row r="605" ht="13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</row>
    <row r="606" ht="13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</row>
    <row r="607" ht="13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</row>
    <row r="608" ht="13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</row>
    <row r="609" ht="13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</row>
    <row r="610" ht="13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</row>
    <row r="611" ht="13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</row>
    <row r="612" ht="13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</row>
    <row r="613" ht="13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</row>
    <row r="614" ht="13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</row>
    <row r="615" ht="13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</row>
    <row r="616" ht="13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</row>
    <row r="617" ht="13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</row>
    <row r="618" ht="13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</row>
    <row r="619" ht="13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</row>
    <row r="620" ht="13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</row>
    <row r="621" ht="13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</row>
    <row r="622" ht="13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</row>
    <row r="623" ht="13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</row>
    <row r="624" ht="13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</row>
    <row r="625" ht="13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</row>
    <row r="626" ht="13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</row>
    <row r="627" ht="13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</row>
    <row r="628" ht="13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</row>
    <row r="629" ht="13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</row>
    <row r="630" ht="13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</row>
    <row r="631" ht="13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</row>
    <row r="632" ht="13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</row>
    <row r="633" ht="13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</row>
    <row r="634" ht="13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</row>
    <row r="635" ht="13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</row>
    <row r="636" ht="13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</row>
    <row r="637" ht="13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</row>
    <row r="638" ht="13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</row>
    <row r="639" ht="13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</row>
    <row r="640" ht="13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</row>
    <row r="641" ht="13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</row>
    <row r="642" ht="13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</row>
    <row r="643" ht="13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</row>
    <row r="644" ht="13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</row>
    <row r="645" ht="13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</row>
    <row r="646" ht="13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</row>
    <row r="647" ht="13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</row>
    <row r="648" ht="13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</row>
    <row r="649" ht="13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</row>
    <row r="650" ht="13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</row>
    <row r="651" ht="13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</row>
    <row r="652" ht="13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</row>
    <row r="653" ht="13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</row>
    <row r="654" ht="13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</row>
    <row r="655" ht="13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</row>
    <row r="656" ht="13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</row>
    <row r="657" ht="13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</row>
    <row r="658" ht="13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</row>
    <row r="659" ht="13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</row>
    <row r="660" ht="13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</row>
    <row r="661" ht="13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</row>
    <row r="662" ht="13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</row>
    <row r="663" ht="13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</row>
    <row r="664" ht="13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</row>
    <row r="665" ht="13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</row>
    <row r="666" ht="13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</row>
    <row r="667" ht="13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</row>
    <row r="668" ht="13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</row>
    <row r="669" ht="13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</row>
    <row r="670" ht="13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</row>
    <row r="671" ht="13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</row>
    <row r="672" ht="13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</row>
    <row r="673" ht="13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</row>
    <row r="674" ht="13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</row>
    <row r="675" ht="13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</row>
    <row r="676" ht="13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</row>
    <row r="677" ht="13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</row>
    <row r="678" ht="13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</row>
    <row r="679" ht="13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</row>
    <row r="680" ht="13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</row>
    <row r="681" ht="13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</row>
    <row r="682" ht="13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</row>
    <row r="683" ht="13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</row>
    <row r="684" ht="13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</row>
    <row r="685" ht="13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</row>
    <row r="686" ht="13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</row>
    <row r="687" ht="13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</row>
    <row r="688" ht="13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</row>
    <row r="689" ht="13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</row>
    <row r="690" ht="13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</row>
    <row r="691" ht="13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</row>
    <row r="692" ht="13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</row>
    <row r="693" ht="13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</row>
    <row r="694" ht="13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</row>
    <row r="695" ht="13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</row>
    <row r="696" ht="13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</row>
    <row r="697" ht="13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</row>
    <row r="698" ht="13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</row>
    <row r="699" ht="13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</row>
    <row r="700" ht="13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</row>
    <row r="701" ht="13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</row>
    <row r="702" ht="13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</row>
    <row r="703" ht="13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</row>
    <row r="704" ht="13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</row>
    <row r="705" ht="13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</row>
    <row r="706" ht="13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</row>
    <row r="707" ht="13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</row>
    <row r="708" ht="13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</row>
    <row r="709" ht="13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</row>
    <row r="710" ht="13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</row>
    <row r="711" ht="13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</row>
    <row r="712" ht="13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</row>
    <row r="713" ht="13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</row>
    <row r="714" ht="13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</row>
    <row r="715" ht="13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</row>
    <row r="716" ht="13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</row>
    <row r="717" ht="13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</row>
    <row r="718" ht="13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</row>
    <row r="719" ht="13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</row>
    <row r="720" ht="13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</row>
    <row r="721" ht="13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</row>
    <row r="722" ht="13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</row>
    <row r="723" ht="13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</row>
    <row r="724" ht="13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</row>
    <row r="725" ht="13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</row>
    <row r="726" ht="13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</row>
    <row r="727" ht="13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</row>
    <row r="728" ht="13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</row>
    <row r="729" ht="13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</row>
    <row r="730" ht="13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</row>
    <row r="731" ht="13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</row>
    <row r="732" ht="13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</row>
    <row r="733" ht="13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</row>
    <row r="734" ht="13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</row>
    <row r="735" ht="13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</row>
    <row r="736" ht="13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</row>
    <row r="737" ht="13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</row>
    <row r="738" ht="13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</row>
    <row r="739" ht="13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</row>
    <row r="740" ht="13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</row>
    <row r="741" ht="13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</row>
    <row r="742" ht="13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</row>
    <row r="743" ht="13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</row>
    <row r="744" ht="13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</row>
    <row r="745" ht="13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</row>
    <row r="746" ht="13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</row>
    <row r="747" ht="13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</row>
    <row r="748" ht="13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</row>
    <row r="749" ht="13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</row>
    <row r="750" ht="13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</row>
    <row r="751" ht="13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</row>
    <row r="752" ht="13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</row>
    <row r="753" ht="13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</row>
    <row r="754" ht="13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</row>
    <row r="755" ht="13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</row>
    <row r="756" ht="13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</row>
    <row r="757" ht="13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</row>
    <row r="758" ht="13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</row>
    <row r="759" ht="13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</row>
    <row r="760" ht="13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</row>
    <row r="761" ht="13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</row>
    <row r="762" ht="13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</row>
    <row r="763" ht="13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</row>
    <row r="764" ht="13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</row>
    <row r="765" ht="13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</row>
    <row r="766" ht="13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</row>
    <row r="767" ht="13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</row>
    <row r="768" ht="13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</row>
    <row r="769" ht="13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</row>
    <row r="770" ht="13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</row>
    <row r="771" ht="13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</row>
    <row r="772" ht="13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</row>
    <row r="773" ht="13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</row>
    <row r="774" ht="13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</row>
    <row r="775" ht="13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</row>
    <row r="776" ht="13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</row>
    <row r="777" ht="13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</row>
    <row r="778" ht="13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</row>
    <row r="779" ht="13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</row>
    <row r="780" ht="13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</row>
    <row r="781" ht="13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</row>
    <row r="782" ht="13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</row>
    <row r="783" ht="13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</row>
    <row r="784" ht="13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</row>
    <row r="785" ht="13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</row>
    <row r="786" ht="13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</row>
    <row r="787" ht="13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</row>
    <row r="788" ht="13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</row>
    <row r="789" ht="13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</row>
    <row r="790" ht="13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</row>
    <row r="791" ht="13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</row>
    <row r="792" ht="13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</row>
    <row r="793" ht="13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</row>
    <row r="794" ht="13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</row>
    <row r="795" ht="13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</row>
    <row r="796" ht="13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</row>
    <row r="797" ht="13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</row>
    <row r="798" ht="13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</row>
    <row r="799" ht="13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</row>
    <row r="800" ht="13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</row>
    <row r="801" ht="13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</row>
    <row r="802" ht="13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</row>
    <row r="803" ht="13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</row>
    <row r="804" ht="13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</row>
    <row r="805" ht="13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</row>
    <row r="806" ht="13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</row>
    <row r="807" ht="13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</row>
    <row r="808" ht="13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</row>
    <row r="809" ht="13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</row>
    <row r="810" ht="13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</row>
    <row r="811" ht="13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</row>
    <row r="812" ht="13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</row>
    <row r="813" ht="13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</row>
    <row r="814" ht="13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</row>
    <row r="815" ht="13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</row>
    <row r="816" ht="13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</row>
    <row r="817" ht="13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</row>
    <row r="818" ht="13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</row>
    <row r="819" ht="13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</row>
    <row r="820" ht="13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</row>
    <row r="821" ht="13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</row>
    <row r="822" ht="13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</row>
    <row r="823" ht="13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</row>
    <row r="824" ht="13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</row>
    <row r="825" ht="13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</row>
    <row r="826" ht="13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</row>
    <row r="827" ht="13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</row>
    <row r="828" ht="13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</row>
    <row r="829" ht="13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</row>
    <row r="830" ht="13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</row>
    <row r="831" ht="13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</row>
    <row r="832" ht="13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</row>
    <row r="833" ht="13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</row>
    <row r="834" ht="13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</row>
    <row r="835" ht="13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</row>
    <row r="836" ht="13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</row>
    <row r="837" ht="13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</row>
    <row r="838" ht="13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</row>
    <row r="839" ht="13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</row>
    <row r="840" ht="13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</row>
    <row r="841" ht="13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</row>
    <row r="842" ht="13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</row>
    <row r="843" ht="13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</row>
    <row r="844" ht="13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</row>
    <row r="845" ht="13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</row>
    <row r="846" ht="13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</row>
    <row r="847" ht="13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</row>
    <row r="848" ht="13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</row>
    <row r="849" ht="13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</row>
    <row r="850" ht="13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</row>
    <row r="851" ht="13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</row>
    <row r="852" ht="13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</row>
    <row r="853" ht="13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</row>
    <row r="854" ht="13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</row>
    <row r="855" ht="13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</row>
    <row r="856" ht="13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</row>
    <row r="857" ht="13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</row>
    <row r="858" ht="13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</row>
    <row r="859" ht="13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</row>
    <row r="860" ht="13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</row>
    <row r="861" ht="13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</row>
    <row r="862" ht="13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</row>
    <row r="863" ht="13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</row>
    <row r="864" ht="13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</row>
    <row r="865" ht="13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</row>
    <row r="866" ht="13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</row>
    <row r="867" ht="13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</row>
    <row r="868" ht="13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</row>
    <row r="869" ht="13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</row>
    <row r="870" ht="13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</row>
    <row r="871" ht="13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</row>
    <row r="872" ht="13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</row>
    <row r="873" ht="13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</row>
    <row r="874" ht="13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</row>
    <row r="875" ht="13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</row>
    <row r="876" ht="13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</row>
    <row r="877" ht="13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</row>
    <row r="878" ht="13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</row>
    <row r="879" ht="13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</row>
    <row r="880" ht="13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</row>
    <row r="881" ht="13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</row>
    <row r="882" ht="13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</row>
    <row r="883" ht="13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</row>
    <row r="884" ht="13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</row>
    <row r="885" ht="13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</row>
    <row r="886" ht="13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</row>
    <row r="887" ht="13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</row>
    <row r="888" ht="13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</row>
    <row r="889" ht="13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</row>
    <row r="890" ht="13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</row>
    <row r="891" ht="13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</row>
    <row r="892" ht="13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</row>
    <row r="893" ht="13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</row>
    <row r="894" ht="13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</row>
    <row r="895" ht="13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</row>
    <row r="896" ht="13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</row>
    <row r="897" ht="13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</row>
    <row r="898" ht="13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</row>
    <row r="899" ht="13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</row>
    <row r="900" ht="13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</row>
    <row r="901" ht="13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</row>
    <row r="902" ht="13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</row>
    <row r="903" ht="13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</row>
    <row r="904" ht="13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</row>
    <row r="905" ht="13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</row>
    <row r="906" ht="13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</row>
    <row r="907" ht="13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</row>
    <row r="908" ht="13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</row>
    <row r="909" ht="13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</row>
    <row r="910" ht="13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</row>
    <row r="911" ht="13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</row>
    <row r="912" ht="13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</row>
    <row r="913" ht="13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</row>
    <row r="914" ht="13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</row>
    <row r="915" ht="13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</row>
    <row r="916" ht="13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</row>
    <row r="917" ht="13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</row>
    <row r="918" ht="13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</row>
    <row r="919" ht="13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</row>
    <row r="920" ht="13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</row>
    <row r="921" ht="13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</row>
    <row r="922" ht="13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</row>
    <row r="923" ht="13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</row>
    <row r="924" ht="13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</row>
    <row r="925" ht="13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</row>
    <row r="926" ht="13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</row>
    <row r="927" ht="13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</row>
    <row r="928" ht="13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</row>
    <row r="929" ht="13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</row>
    <row r="930" ht="13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</row>
    <row r="931" ht="13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</row>
    <row r="932" ht="13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</row>
    <row r="933" ht="13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</row>
    <row r="934" ht="13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</row>
    <row r="935" ht="13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</row>
    <row r="936" ht="13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</row>
    <row r="937" ht="13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</row>
    <row r="938" ht="13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</row>
    <row r="939" ht="13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</row>
    <row r="940" ht="13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</row>
    <row r="941" ht="13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</row>
    <row r="942" ht="13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</row>
    <row r="943" ht="13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</row>
    <row r="944" ht="13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</row>
    <row r="945" ht="13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</row>
    <row r="946" ht="13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</row>
    <row r="947" ht="13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</row>
    <row r="948" ht="13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</row>
    <row r="949" ht="13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</row>
    <row r="950" ht="13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</row>
    <row r="951" ht="13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</row>
    <row r="952" ht="13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</row>
    <row r="953" ht="13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</row>
    <row r="954" ht="13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</row>
    <row r="955" ht="13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</row>
    <row r="956" ht="13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</row>
    <row r="957" ht="13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</row>
    <row r="958" ht="13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</row>
    <row r="959" ht="13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</row>
    <row r="960" ht="13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</row>
    <row r="961" ht="13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</row>
    <row r="962" ht="13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</row>
    <row r="963" ht="13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</row>
    <row r="964" ht="13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</row>
    <row r="965" ht="13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</row>
    <row r="966" ht="13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</row>
    <row r="967" ht="13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</row>
    <row r="968" ht="13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</row>
    <row r="969" ht="13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</row>
    <row r="970" ht="13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</row>
    <row r="971" ht="13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</row>
    <row r="972" ht="13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</row>
    <row r="973" ht="13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</row>
    <row r="974" ht="13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</row>
    <row r="975" ht="13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</row>
    <row r="976" ht="13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</row>
    <row r="977" ht="13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</row>
    <row r="978" ht="13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</row>
    <row r="979" ht="13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</row>
    <row r="980" ht="13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</row>
    <row r="981" ht="13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</row>
    <row r="982" ht="13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</row>
    <row r="983" ht="13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</row>
    <row r="984" ht="13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</row>
    <row r="985" ht="13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</row>
    <row r="986" ht="13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</row>
    <row r="987" ht="13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</row>
    <row r="988" ht="13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</row>
    <row r="989" ht="13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</row>
    <row r="990" ht="13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</row>
    <row r="991" ht="13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</row>
    <row r="992" ht="13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</row>
    <row r="993" ht="13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</row>
    <row r="994" ht="13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</row>
    <row r="995" ht="13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</row>
    <row r="996" ht="13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</row>
    <row r="997" ht="13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</row>
    <row r="998" ht="13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</row>
    <row r="999" ht="13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</row>
    <row r="1000" ht="13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</row>
  </sheetData>
  <mergeCells count="19">
    <mergeCell ref="A1:AI1"/>
    <mergeCell ref="A2:AI2"/>
    <mergeCell ref="B5:AI5"/>
    <mergeCell ref="C7:F7"/>
    <mergeCell ref="R7:U7"/>
    <mergeCell ref="B10:I10"/>
    <mergeCell ref="Q10:X10"/>
    <mergeCell ref="AE25:AI25"/>
    <mergeCell ref="AE26:AI26"/>
    <mergeCell ref="AE28:AI28"/>
    <mergeCell ref="B30:I30"/>
    <mergeCell ref="Q30:X30"/>
    <mergeCell ref="B15:I15"/>
    <mergeCell ref="Q15:X15"/>
    <mergeCell ref="B20:I20"/>
    <mergeCell ref="Q20:X20"/>
    <mergeCell ref="AE24:AI24"/>
    <mergeCell ref="B25:I25"/>
    <mergeCell ref="Q25:X25"/>
  </mergeCells>
  <printOptions/>
  <pageMargins bottom="0.3937007874015748" footer="0.0" header="0.0" left="0.35433070866141736" right="0.35433070866141736" top="0.3937007874015748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hidden="1" min="1" max="1" width="6.0"/>
    <col customWidth="1" min="2" max="2" width="34.5"/>
    <col customWidth="1" min="3" max="3" width="7.0"/>
    <col customWidth="1" hidden="1" min="4" max="4" width="6.13"/>
    <col customWidth="1" min="5" max="5" width="1.63"/>
    <col customWidth="1" min="6" max="6" width="7.0"/>
    <col customWidth="1" hidden="1" min="7" max="7" width="6.13"/>
    <col customWidth="1" min="8" max="8" width="1.63"/>
    <col customWidth="1" min="9" max="9" width="7.0"/>
    <col customWidth="1" hidden="1" min="10" max="10" width="6.13"/>
    <col customWidth="1" hidden="1" min="11" max="11" width="7.5"/>
    <col customWidth="1" hidden="1" min="12" max="12" width="11.38"/>
    <col customWidth="1" hidden="1" min="13" max="13" width="8.0"/>
    <col customWidth="1" hidden="1" min="14" max="14" width="6.13"/>
    <col customWidth="1" min="15" max="15" width="4.5"/>
    <col customWidth="1" hidden="1" min="16" max="16" width="7.38"/>
    <col customWidth="1" min="17" max="17" width="34.5"/>
    <col customWidth="1" min="18" max="18" width="7.0"/>
    <col customWidth="1" hidden="1" min="19" max="19" width="6.13"/>
    <col customWidth="1" min="20" max="20" width="1.63"/>
    <col customWidth="1" min="21" max="21" width="7.0"/>
    <col customWidth="1" hidden="1" min="22" max="22" width="6.13"/>
    <col customWidth="1" min="23" max="23" width="1.63"/>
    <col customWidth="1" min="24" max="24" width="7.0"/>
    <col customWidth="1" hidden="1" min="25" max="25" width="6.13"/>
    <col customWidth="1" hidden="1" min="26" max="26" width="7.5"/>
    <col customWidth="1" hidden="1" min="27" max="27" width="11.38"/>
    <col customWidth="1" hidden="1" min="28" max="28" width="8.0"/>
    <col customWidth="1" hidden="1" min="29" max="29" width="6.13"/>
    <col customWidth="1" min="30" max="30" width="5.38"/>
    <col customWidth="1" min="31" max="31" width="45.63"/>
    <col customWidth="1" min="32" max="35" width="8.63"/>
    <col customWidth="1" hidden="1" min="36" max="36" width="9.38"/>
    <col customWidth="1" hidden="1" min="37" max="37" width="8.0"/>
    <col customWidth="1" hidden="1" min="38" max="38" width="41.13"/>
    <col customWidth="1" min="39" max="40" width="9.38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2" s="1" t="s">
        <v>1</v>
      </c>
      <c r="AJ2" s="4"/>
      <c r="AK2" s="4"/>
      <c r="AL2" s="4"/>
      <c r="AM2" s="4"/>
      <c r="AN2" s="4"/>
    </row>
    <row r="3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30.0" customHeight="1">
      <c r="A5" s="15"/>
      <c r="B5" s="49" t="s">
        <v>13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  <c r="AJ5" s="15"/>
      <c r="AK5" s="15"/>
      <c r="AL5" s="15"/>
      <c r="AM5" s="15"/>
      <c r="AN5" s="15"/>
    </row>
    <row r="6" ht="13.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ht="13.5" customHeight="1">
      <c r="A7" s="15"/>
      <c r="B7" s="50" t="s">
        <v>65</v>
      </c>
      <c r="C7" s="51" t="s">
        <v>66</v>
      </c>
      <c r="D7" s="21"/>
      <c r="E7" s="21"/>
      <c r="F7" s="7"/>
      <c r="G7" s="52"/>
      <c r="H7" s="53"/>
      <c r="I7" s="50" t="s">
        <v>67</v>
      </c>
      <c r="J7" s="15"/>
      <c r="K7" s="15"/>
      <c r="L7" s="15"/>
      <c r="M7" s="24"/>
      <c r="N7" s="24"/>
      <c r="O7" s="15"/>
      <c r="P7" s="15"/>
      <c r="Q7" s="50" t="s">
        <v>65</v>
      </c>
      <c r="R7" s="51" t="s">
        <v>66</v>
      </c>
      <c r="S7" s="21"/>
      <c r="T7" s="21"/>
      <c r="U7" s="7"/>
      <c r="V7" s="52"/>
      <c r="W7" s="53"/>
      <c r="X7" s="50" t="s">
        <v>67</v>
      </c>
      <c r="Y7" s="24"/>
      <c r="Z7" s="24"/>
      <c r="AA7" s="24"/>
      <c r="AB7" s="24"/>
      <c r="AC7" s="24"/>
      <c r="AD7" s="15"/>
      <c r="AE7" s="50" t="s">
        <v>68</v>
      </c>
      <c r="AF7" s="50" t="s">
        <v>69</v>
      </c>
      <c r="AG7" s="50" t="s">
        <v>70</v>
      </c>
      <c r="AH7" s="50" t="s">
        <v>71</v>
      </c>
      <c r="AI7" s="50" t="s">
        <v>72</v>
      </c>
      <c r="AJ7" s="24"/>
      <c r="AK7" s="24"/>
      <c r="AL7" s="24"/>
      <c r="AM7" s="15"/>
      <c r="AN7" s="15"/>
    </row>
    <row r="8" ht="13.5" hidden="1" customHeight="1">
      <c r="A8" s="15"/>
      <c r="B8" s="15"/>
      <c r="C8" s="25" t="s">
        <v>73</v>
      </c>
      <c r="D8" s="25" t="s">
        <v>74</v>
      </c>
      <c r="E8" s="25"/>
      <c r="F8" s="25" t="s">
        <v>73</v>
      </c>
      <c r="G8" s="25" t="s">
        <v>75</v>
      </c>
      <c r="H8" s="25"/>
      <c r="I8" s="25" t="s">
        <v>73</v>
      </c>
      <c r="J8" s="25" t="s">
        <v>76</v>
      </c>
      <c r="K8" s="25" t="s">
        <v>77</v>
      </c>
      <c r="L8" s="25" t="s">
        <v>78</v>
      </c>
      <c r="M8" s="25" t="s">
        <v>79</v>
      </c>
      <c r="N8" s="25" t="s">
        <v>80</v>
      </c>
      <c r="O8" s="15"/>
      <c r="P8" s="15"/>
      <c r="Q8" s="15"/>
      <c r="R8" s="25" t="s">
        <v>73</v>
      </c>
      <c r="S8" s="25" t="s">
        <v>74</v>
      </c>
      <c r="T8" s="25"/>
      <c r="U8" s="25" t="s">
        <v>73</v>
      </c>
      <c r="V8" s="25" t="s">
        <v>75</v>
      </c>
      <c r="W8" s="25"/>
      <c r="X8" s="25" t="s">
        <v>73</v>
      </c>
      <c r="Y8" s="25" t="s">
        <v>76</v>
      </c>
      <c r="Z8" s="25" t="s">
        <v>77</v>
      </c>
      <c r="AA8" s="25" t="s">
        <v>78</v>
      </c>
      <c r="AB8" s="25" t="s">
        <v>79</v>
      </c>
      <c r="AC8" s="25" t="s">
        <v>80</v>
      </c>
      <c r="AD8" s="15"/>
      <c r="AE8" s="24"/>
      <c r="AF8" s="24"/>
      <c r="AG8" s="24"/>
      <c r="AH8" s="24"/>
      <c r="AI8" s="24"/>
      <c r="AJ8" s="25" t="s">
        <v>81</v>
      </c>
      <c r="AK8" s="26" t="s">
        <v>82</v>
      </c>
      <c r="AL8" s="27" t="s">
        <v>83</v>
      </c>
      <c r="AM8" s="15"/>
      <c r="AN8" s="15"/>
    </row>
    <row r="9" ht="15.0" customHeight="1">
      <c r="A9" s="15"/>
      <c r="B9" s="28" t="str">
        <f>AE9</f>
        <v>Ignazio Andreozzi / Cristian Andreozzi</v>
      </c>
      <c r="C9" s="29">
        <v>6.0</v>
      </c>
      <c r="D9" s="30">
        <f>IF(C9&gt;C11,1,0)</f>
        <v>1</v>
      </c>
      <c r="E9" s="31"/>
      <c r="F9" s="29">
        <v>6.0</v>
      </c>
      <c r="G9" s="30">
        <f>IF(F9&gt;F11,1,0)</f>
        <v>1</v>
      </c>
      <c r="H9" s="31"/>
      <c r="I9" s="32"/>
      <c r="J9" s="15">
        <f>IF(I9&gt;I11,1,0)</f>
        <v>0</v>
      </c>
      <c r="K9" s="15">
        <f>IF(D9+G9=2,3,IF(D9+G9=1,1,0))</f>
        <v>3</v>
      </c>
      <c r="L9" s="15">
        <f>IF(K9=3,3,IF(J9+K9=2,2,IF(K9=1,1,0)))</f>
        <v>3</v>
      </c>
      <c r="M9" s="15">
        <f>C9+F9</f>
        <v>12</v>
      </c>
      <c r="N9" s="15">
        <f>D9+G9+J9</f>
        <v>2</v>
      </c>
      <c r="O9" s="15"/>
      <c r="P9" s="15"/>
      <c r="Q9" s="28" t="str">
        <f>AE9</f>
        <v>Ignazio Andreozzi / Cristian Andreozzi</v>
      </c>
      <c r="R9" s="29">
        <v>4.0</v>
      </c>
      <c r="S9" s="30">
        <f>IF(R9&gt;R11,1,0)</f>
        <v>0</v>
      </c>
      <c r="T9" s="31"/>
      <c r="U9" s="29">
        <v>5.0</v>
      </c>
      <c r="V9" s="30">
        <f>IF(U9&gt;U11,1,0)</f>
        <v>0</v>
      </c>
      <c r="W9" s="31"/>
      <c r="X9" s="32"/>
      <c r="Y9" s="15">
        <f>IF(X9&gt;X11,1,0)</f>
        <v>0</v>
      </c>
      <c r="Z9" s="15">
        <f>IF(S9+V9=2,3,IF(S9+V9=1,1,0))</f>
        <v>0</v>
      </c>
      <c r="AA9" s="15">
        <f>IF(Z9=3,3,IF(Y9+Z9=2,2,IF(Z9=1,1,0)))</f>
        <v>0</v>
      </c>
      <c r="AB9" s="15">
        <f>R9+U9</f>
        <v>9</v>
      </c>
      <c r="AC9" s="15">
        <f>S9+V9+Y9</f>
        <v>0</v>
      </c>
      <c r="AD9" s="15"/>
      <c r="AE9" s="54" t="str">
        <f>'Players Men'!B13&amp; " / " &amp;'Players Men'!C13</f>
        <v>Ignazio Andreozzi / Cristian Andreozzi</v>
      </c>
      <c r="AF9" s="34">
        <f>C12+R12+C17+R17+C22</f>
        <v>5</v>
      </c>
      <c r="AG9" s="34">
        <f t="shared" ref="AG9:AI9" si="1">L9+AA9+L14+AA14+L19</f>
        <v>7</v>
      </c>
      <c r="AH9" s="34">
        <f t="shared" si="1"/>
        <v>49</v>
      </c>
      <c r="AI9" s="35">
        <f t="shared" si="1"/>
        <v>5</v>
      </c>
      <c r="AJ9" s="15">
        <f>MAX(AG16,AG14,AG11,AG9,AG19,AG21)</f>
        <v>15</v>
      </c>
      <c r="AK9" s="15">
        <f>SUM(AF9:AF21)</f>
        <v>30</v>
      </c>
      <c r="AL9" s="15" t="str">
        <f>IF(AG9=$AJ$9,AE9,IF(AG11=$AJ$9,AE11,IF(AG14=$AJ$9,AE14,IF(AG16=$AJ$9,AE16,IF(AG19=$AJ$9,AE19,IF(AG21=$AJ$9,AE21,""))))))</f>
        <v>Jesmond Pule’ / Manuel Bonello</v>
      </c>
      <c r="AM9" s="15"/>
      <c r="AN9" s="15"/>
    </row>
    <row r="10" ht="13.5" customHeight="1">
      <c r="A10" s="15"/>
      <c r="B10" s="36" t="s">
        <v>84</v>
      </c>
      <c r="I10" s="37"/>
      <c r="J10" s="38"/>
      <c r="K10" s="15"/>
      <c r="L10" s="15"/>
      <c r="M10" s="15"/>
      <c r="N10" s="15"/>
      <c r="O10" s="15"/>
      <c r="P10" s="15"/>
      <c r="Q10" s="36" t="s">
        <v>84</v>
      </c>
      <c r="X10" s="37"/>
      <c r="Y10" s="3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24"/>
      <c r="AL10" s="24"/>
      <c r="AM10" s="15"/>
      <c r="AN10" s="15"/>
    </row>
    <row r="11" ht="13.5" customHeight="1">
      <c r="A11" s="15"/>
      <c r="B11" s="39" t="str">
        <f>AE11</f>
        <v>Gabriel Pace / Jonathan Vella</v>
      </c>
      <c r="C11" s="29">
        <v>1.0</v>
      </c>
      <c r="D11" s="40">
        <f>IF(C11&gt;C9,1,0)</f>
        <v>0</v>
      </c>
      <c r="E11" s="41"/>
      <c r="F11" s="29">
        <v>1.0</v>
      </c>
      <c r="G11" s="40">
        <f>IF(F11&gt;F9,1,0)</f>
        <v>0</v>
      </c>
      <c r="H11" s="41"/>
      <c r="I11" s="32"/>
      <c r="J11" s="15">
        <f>IF(I11&gt;I9,1,0)</f>
        <v>0</v>
      </c>
      <c r="K11" s="15">
        <f>IF(D11+G11=2,3,IF(D11+G11=1,1,0))</f>
        <v>0</v>
      </c>
      <c r="L11" s="15">
        <f>IF(K11=3,3,IF(J11+K11=2,2,IF(K11=1,1,0)))</f>
        <v>0</v>
      </c>
      <c r="M11" s="15">
        <f>C11+F11</f>
        <v>2</v>
      </c>
      <c r="N11" s="15">
        <f>D11+G11+J11</f>
        <v>0</v>
      </c>
      <c r="O11" s="15"/>
      <c r="P11" s="15"/>
      <c r="Q11" s="39" t="str">
        <f>AE14</f>
        <v>Gio Marcos / Chi Chi Canonce</v>
      </c>
      <c r="R11" s="29">
        <v>6.0</v>
      </c>
      <c r="S11" s="40">
        <f>IF(R11&gt;R9,1,0)</f>
        <v>1</v>
      </c>
      <c r="T11" s="41"/>
      <c r="U11" s="29">
        <v>7.0</v>
      </c>
      <c r="V11" s="40">
        <f>IF(U11&gt;U9,1,0)</f>
        <v>1</v>
      </c>
      <c r="W11" s="41"/>
      <c r="X11" s="32"/>
      <c r="Y11" s="15">
        <f>IF(X11&gt;X9,1,0)</f>
        <v>0</v>
      </c>
      <c r="Z11" s="15">
        <f>IF(S11+V11=2,3,IF(S11+V11=1,1,0))</f>
        <v>3</v>
      </c>
      <c r="AA11" s="15">
        <f>IF(Z11=3,3,IF(Y11+Z11=2,2,IF(Z11=1,1,0)))</f>
        <v>3</v>
      </c>
      <c r="AB11" s="15">
        <f>R11+U11</f>
        <v>13</v>
      </c>
      <c r="AC11" s="15">
        <f>S11+V11+Y11</f>
        <v>2</v>
      </c>
      <c r="AD11" s="15"/>
      <c r="AE11" s="54" t="str">
        <f>'Players Men'!B14&amp; " / " &amp;'Players Men'!C14</f>
        <v>Gabriel Pace / Jonathan Vella</v>
      </c>
      <c r="AF11" s="34">
        <f>F12+R32+C27+R27+R22</f>
        <v>5</v>
      </c>
      <c r="AG11" s="34">
        <f t="shared" ref="AG11:AI11" si="2">L11+AA29+L24+AA24+AA19</f>
        <v>1</v>
      </c>
      <c r="AH11" s="34">
        <f t="shared" si="2"/>
        <v>27</v>
      </c>
      <c r="AI11" s="35">
        <f t="shared" si="2"/>
        <v>1</v>
      </c>
      <c r="AJ11" s="24"/>
      <c r="AK11" s="24"/>
      <c r="AL11" s="24"/>
      <c r="AM11" s="15"/>
      <c r="AN11" s="15"/>
    </row>
    <row r="12" ht="13.5" hidden="1" customHeight="1">
      <c r="A12" s="15" t="s">
        <v>85</v>
      </c>
      <c r="B12" s="15"/>
      <c r="C12" s="42">
        <f>IF(C9="",0,1)</f>
        <v>1</v>
      </c>
      <c r="D12" s="15"/>
      <c r="E12" s="15"/>
      <c r="F12" s="42">
        <f>IF(C11="",0,1)</f>
        <v>1</v>
      </c>
      <c r="G12" s="15"/>
      <c r="H12" s="15"/>
      <c r="I12" s="15"/>
      <c r="J12" s="15"/>
      <c r="K12" s="15"/>
      <c r="L12" s="15"/>
      <c r="M12" s="15"/>
      <c r="N12" s="15"/>
      <c r="O12" s="15"/>
      <c r="P12" s="15" t="s">
        <v>85</v>
      </c>
      <c r="Q12" s="15"/>
      <c r="R12" s="42">
        <f>IF(R9="",0,1)</f>
        <v>1</v>
      </c>
      <c r="S12" s="15"/>
      <c r="T12" s="15"/>
      <c r="U12" s="42">
        <f>IF(R11="",0,1)</f>
        <v>1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24"/>
      <c r="AG12" s="24"/>
      <c r="AH12" s="24"/>
      <c r="AI12" s="24"/>
      <c r="AJ12" s="24"/>
      <c r="AK12" s="15"/>
      <c r="AL12" s="15"/>
      <c r="AM12" s="15"/>
      <c r="AN12" s="15"/>
    </row>
    <row r="13" ht="13.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24"/>
      <c r="AG13" s="24"/>
      <c r="AH13" s="24"/>
      <c r="AI13" s="24"/>
      <c r="AJ13" s="24"/>
      <c r="AK13" s="24"/>
      <c r="AL13" s="24"/>
      <c r="AM13" s="15"/>
      <c r="AN13" s="15"/>
    </row>
    <row r="14" ht="13.5" customHeight="1">
      <c r="A14" s="15"/>
      <c r="B14" s="28" t="str">
        <f>AE9</f>
        <v>Ignazio Andreozzi / Cristian Andreozzi</v>
      </c>
      <c r="C14" s="29">
        <v>6.0</v>
      </c>
      <c r="D14" s="30">
        <f>IF(C14&gt;C16,1,0)</f>
        <v>1</v>
      </c>
      <c r="E14" s="31"/>
      <c r="F14" s="29">
        <v>6.0</v>
      </c>
      <c r="G14" s="30">
        <f>IF(F14&gt;F16,1,0)</f>
        <v>1</v>
      </c>
      <c r="H14" s="31"/>
      <c r="I14" s="32"/>
      <c r="J14" s="15">
        <f>IF(I14&gt;I16,1,0)</f>
        <v>0</v>
      </c>
      <c r="K14" s="15">
        <f>IF(D14+G14=2,3,IF(D14+G14=1,1,0))</f>
        <v>3</v>
      </c>
      <c r="L14" s="15">
        <f>IF(K14=3,3,IF(J14+K14=2,2,IF(K14=1,1,0)))</f>
        <v>3</v>
      </c>
      <c r="M14" s="15">
        <f>C14+F14</f>
        <v>12</v>
      </c>
      <c r="N14" s="15">
        <f>D14+G14+J14</f>
        <v>2</v>
      </c>
      <c r="O14" s="15"/>
      <c r="P14" s="15"/>
      <c r="Q14" s="28" t="str">
        <f>AE9</f>
        <v>Ignazio Andreozzi / Cristian Andreozzi</v>
      </c>
      <c r="R14" s="29">
        <v>2.0</v>
      </c>
      <c r="S14" s="30">
        <f>IF(R14&gt;R16,1,0)</f>
        <v>0</v>
      </c>
      <c r="T14" s="31"/>
      <c r="U14" s="29">
        <v>3.0</v>
      </c>
      <c r="V14" s="30">
        <f>IF(U14&gt;U16,1,0)</f>
        <v>0</v>
      </c>
      <c r="W14" s="31"/>
      <c r="X14" s="32"/>
      <c r="Y14" s="15">
        <f>IF(X14&gt;X16,1,0)</f>
        <v>0</v>
      </c>
      <c r="Z14" s="15">
        <f>IF(S14+V14=2,3,IF(S14+V14=1,1,0))</f>
        <v>0</v>
      </c>
      <c r="AA14" s="15">
        <f>IF(Z14=3,3,IF(Y14+Z14=2,2,IF(Z14=1,1,0)))</f>
        <v>0</v>
      </c>
      <c r="AB14" s="15">
        <f>R14+U14</f>
        <v>5</v>
      </c>
      <c r="AC14" s="15">
        <f>S14+V14+Y14</f>
        <v>0</v>
      </c>
      <c r="AD14" s="15"/>
      <c r="AE14" s="54" t="str">
        <f>'Players Men'!B15&amp; " / " &amp;'Players Men'!C15</f>
        <v>Gio Marcos / Chi Chi Canonce</v>
      </c>
      <c r="AF14" s="34">
        <f>R37+U12+R42+C32+U22</f>
        <v>5</v>
      </c>
      <c r="AG14" s="34">
        <f t="shared" ref="AG14:AI14" si="3">AA34+AA11+AA39+L29+AA21</f>
        <v>10</v>
      </c>
      <c r="AH14" s="34">
        <f t="shared" si="3"/>
        <v>48</v>
      </c>
      <c r="AI14" s="35">
        <f t="shared" si="3"/>
        <v>8</v>
      </c>
      <c r="AJ14" s="24"/>
      <c r="AK14" s="24"/>
      <c r="AL14" s="24"/>
      <c r="AM14" s="15"/>
      <c r="AN14" s="15"/>
    </row>
    <row r="15" ht="13.5" customHeight="1">
      <c r="A15" s="15"/>
      <c r="B15" s="36" t="s">
        <v>84</v>
      </c>
      <c r="I15" s="37"/>
      <c r="J15" s="38"/>
      <c r="K15" s="15"/>
      <c r="L15" s="15"/>
      <c r="M15" s="15"/>
      <c r="N15" s="15"/>
      <c r="O15" s="15"/>
      <c r="P15" s="15"/>
      <c r="Q15" s="36" t="s">
        <v>84</v>
      </c>
      <c r="X15" s="37"/>
      <c r="Y15" s="38"/>
      <c r="Z15" s="15"/>
      <c r="AA15" s="15"/>
      <c r="AB15" s="15"/>
      <c r="AC15" s="15"/>
      <c r="AD15" s="15"/>
      <c r="AE15" s="15"/>
      <c r="AF15" s="24"/>
      <c r="AG15" s="24"/>
      <c r="AH15" s="24"/>
      <c r="AI15" s="24"/>
      <c r="AJ15" s="24"/>
      <c r="AK15" s="24"/>
      <c r="AL15" s="24"/>
      <c r="AM15" s="15"/>
      <c r="AN15" s="15"/>
    </row>
    <row r="16" ht="13.5" customHeight="1">
      <c r="A16" s="15"/>
      <c r="B16" s="39" t="str">
        <f>AE16</f>
        <v>Fotis Evangelou / Eric Micallef</v>
      </c>
      <c r="C16" s="29">
        <v>3.0</v>
      </c>
      <c r="D16" s="40">
        <f>IF(C16&gt;C14,1,0)</f>
        <v>0</v>
      </c>
      <c r="E16" s="41"/>
      <c r="F16" s="29">
        <v>0.0</v>
      </c>
      <c r="G16" s="40">
        <f>IF(F16&gt;F14,1,0)</f>
        <v>0</v>
      </c>
      <c r="H16" s="41"/>
      <c r="I16" s="32"/>
      <c r="J16" s="15">
        <f>IF(I16&gt;I14,1,0)</f>
        <v>0</v>
      </c>
      <c r="K16" s="15">
        <f>IF(D16+G16=2,3,IF(D16+G16=1,1,0))</f>
        <v>0</v>
      </c>
      <c r="L16" s="15">
        <f>IF(K16=3,3,IF(J16+K16=2,2,IF(K16=1,1,0)))</f>
        <v>0</v>
      </c>
      <c r="M16" s="15">
        <f>C16+F16</f>
        <v>3</v>
      </c>
      <c r="N16" s="15">
        <f>D16+G16+J16</f>
        <v>0</v>
      </c>
      <c r="O16" s="15"/>
      <c r="P16" s="15"/>
      <c r="Q16" s="39" t="str">
        <f>AE19</f>
        <v>Jesmond Pule’ / Manuel Bonello</v>
      </c>
      <c r="R16" s="29">
        <v>6.0</v>
      </c>
      <c r="S16" s="40">
        <f>IF(R16&gt;R14,1,0)</f>
        <v>1</v>
      </c>
      <c r="T16" s="41"/>
      <c r="U16" s="29">
        <v>6.0</v>
      </c>
      <c r="V16" s="40">
        <f>IF(U16&gt;U14,1,0)</f>
        <v>1</v>
      </c>
      <c r="W16" s="41"/>
      <c r="X16" s="32"/>
      <c r="Y16" s="15">
        <f>IF(X16&gt;X14,1,0)</f>
        <v>0</v>
      </c>
      <c r="Z16" s="15">
        <f>IF(S16+V16=2,3,IF(S16+V16=1,1,0))</f>
        <v>3</v>
      </c>
      <c r="AA16" s="15">
        <f>IF(Z16=3,3,IF(Y16+Z16=2,2,IF(Z16=1,1,0)))</f>
        <v>3</v>
      </c>
      <c r="AB16" s="15">
        <f>R16+U16</f>
        <v>12</v>
      </c>
      <c r="AC16" s="15">
        <f>S16+V16+Y16</f>
        <v>2</v>
      </c>
      <c r="AD16" s="15"/>
      <c r="AE16" s="54" t="str">
        <f>'Players Men'!B16&amp; " / " &amp;'Players Men'!C16</f>
        <v>Fotis Evangelou / Eric Micallef</v>
      </c>
      <c r="AF16" s="34">
        <f>U37+C47+F17+U27+C37</f>
        <v>5</v>
      </c>
      <c r="AG16" s="34">
        <f t="shared" ref="AG16:AI16" si="4">AA36+L44+L16+AA26+L34</f>
        <v>4</v>
      </c>
      <c r="AH16" s="34">
        <f t="shared" si="4"/>
        <v>37</v>
      </c>
      <c r="AI16" s="35">
        <f t="shared" si="4"/>
        <v>3</v>
      </c>
      <c r="AJ16" s="24"/>
      <c r="AK16" s="24"/>
      <c r="AL16" s="24"/>
      <c r="AM16" s="15"/>
      <c r="AN16" s="15"/>
    </row>
    <row r="17" ht="13.5" hidden="1" customHeight="1">
      <c r="A17" s="15" t="s">
        <v>85</v>
      </c>
      <c r="B17" s="15"/>
      <c r="C17" s="42">
        <f>IF(C14="",0,1)</f>
        <v>1</v>
      </c>
      <c r="D17" s="15"/>
      <c r="E17" s="15"/>
      <c r="F17" s="42">
        <f>IF(C16="",0,1)</f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 t="s">
        <v>85</v>
      </c>
      <c r="Q17" s="15"/>
      <c r="R17" s="42">
        <f>IF(R14="",0,1)</f>
        <v>1</v>
      </c>
      <c r="S17" s="15"/>
      <c r="T17" s="15"/>
      <c r="U17" s="42">
        <f>IF(R16="",0,1)</f>
        <v>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24"/>
      <c r="AG17" s="24"/>
      <c r="AH17" s="24"/>
      <c r="AI17" s="24"/>
      <c r="AJ17" s="24"/>
      <c r="AK17" s="15"/>
      <c r="AL17" s="15"/>
      <c r="AM17" s="15"/>
      <c r="AN17" s="15"/>
    </row>
    <row r="18" ht="13.5" customHeight="1">
      <c r="A18" s="15"/>
      <c r="B18" s="15"/>
      <c r="C18" s="2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24"/>
      <c r="AG18" s="24"/>
      <c r="AH18" s="24"/>
      <c r="AI18" s="24"/>
      <c r="AJ18" s="24"/>
      <c r="AK18" s="24"/>
      <c r="AL18" s="24"/>
      <c r="AM18" s="15"/>
      <c r="AN18" s="15"/>
    </row>
    <row r="19" ht="13.5" customHeight="1">
      <c r="A19" s="15"/>
      <c r="B19" s="28" t="str">
        <f>AE9</f>
        <v>Ignazio Andreozzi / Cristian Andreozzi</v>
      </c>
      <c r="C19" s="29">
        <v>5.0</v>
      </c>
      <c r="D19" s="30">
        <f>IF(C19&gt;C21,1,0)</f>
        <v>0</v>
      </c>
      <c r="E19" s="31"/>
      <c r="F19" s="29">
        <v>6.0</v>
      </c>
      <c r="G19" s="30">
        <f>IF(F19&gt;F21,1,0)</f>
        <v>1</v>
      </c>
      <c r="H19" s="31"/>
      <c r="I19" s="29">
        <v>6.0</v>
      </c>
      <c r="J19" s="15">
        <f>IF(I19&gt;I21,1,0)</f>
        <v>0</v>
      </c>
      <c r="K19" s="15">
        <f>IF(D19+G19=2,3,IF(D19+G19=1,1,0))</f>
        <v>1</v>
      </c>
      <c r="L19" s="15">
        <f>IF(K19=3,3,IF(J19+K19=2,2,IF(K19=1,1,0)))</f>
        <v>1</v>
      </c>
      <c r="M19" s="15">
        <f>C19+F19</f>
        <v>11</v>
      </c>
      <c r="N19" s="15">
        <f>D19+G19+J19</f>
        <v>1</v>
      </c>
      <c r="O19" s="15"/>
      <c r="P19" s="15"/>
      <c r="Q19" s="28" t="str">
        <f>AE11</f>
        <v>Gabriel Pace / Jonathan Vella</v>
      </c>
      <c r="R19" s="29">
        <v>6.0</v>
      </c>
      <c r="S19" s="30">
        <f>IF(R19&gt;R21,1,0)</f>
        <v>1</v>
      </c>
      <c r="T19" s="31"/>
      <c r="U19" s="29">
        <v>0.0</v>
      </c>
      <c r="V19" s="30">
        <f>IF(U19&gt;U21,1,0)</f>
        <v>0</v>
      </c>
      <c r="W19" s="31"/>
      <c r="X19" s="29">
        <v>5.0</v>
      </c>
      <c r="Y19" s="15">
        <f>IF(X19&gt;X21,1,0)</f>
        <v>0</v>
      </c>
      <c r="Z19" s="15">
        <f>IF(S19+V19=2,3,IF(S19+V19=1,1,0))</f>
        <v>1</v>
      </c>
      <c r="AA19" s="15">
        <f>IF(Z19=3,3,IF(Y19+Z19=2,2,IF(Z19=1,1,0)))</f>
        <v>1</v>
      </c>
      <c r="AB19" s="15">
        <f>R19+U19</f>
        <v>6</v>
      </c>
      <c r="AC19" s="15">
        <f>S19+V19+Y19</f>
        <v>1</v>
      </c>
      <c r="AD19" s="15"/>
      <c r="AE19" s="54" t="str">
        <f>'Players Men'!B17&amp; " / " &amp;'Players Men'!C17</f>
        <v>Jesmond Pule’ / Manuel Bonello</v>
      </c>
      <c r="AF19" s="34">
        <f>C42+F47+F27+U17+F32</f>
        <v>5</v>
      </c>
      <c r="AG19" s="34">
        <f t="shared" ref="AG19:AI19" si="5">L39+L46+L26+AA16+L31</f>
        <v>15</v>
      </c>
      <c r="AH19" s="34">
        <f t="shared" si="5"/>
        <v>60</v>
      </c>
      <c r="AI19" s="35">
        <f t="shared" si="5"/>
        <v>10</v>
      </c>
      <c r="AJ19" s="24"/>
      <c r="AK19" s="24"/>
      <c r="AL19" s="24"/>
      <c r="AM19" s="15"/>
      <c r="AN19" s="15"/>
    </row>
    <row r="20" ht="13.5" customHeight="1">
      <c r="A20" s="15"/>
      <c r="B20" s="36" t="s">
        <v>84</v>
      </c>
      <c r="I20" s="37"/>
      <c r="J20" s="38"/>
      <c r="K20" s="15"/>
      <c r="L20" s="15"/>
      <c r="M20" s="15"/>
      <c r="N20" s="15"/>
      <c r="O20" s="15"/>
      <c r="P20" s="15"/>
      <c r="Q20" s="36" t="s">
        <v>84</v>
      </c>
      <c r="X20" s="37"/>
      <c r="Y20" s="38"/>
      <c r="Z20" s="15"/>
      <c r="AA20" s="15"/>
      <c r="AB20" s="15"/>
      <c r="AC20" s="15"/>
      <c r="AD20" s="15"/>
      <c r="AE20" s="15"/>
      <c r="AF20" s="24"/>
      <c r="AG20" s="24"/>
      <c r="AH20" s="24"/>
      <c r="AI20" s="24"/>
      <c r="AJ20" s="24"/>
      <c r="AK20" s="24"/>
      <c r="AL20" s="24"/>
      <c r="AM20" s="15"/>
      <c r="AN20" s="15"/>
    </row>
    <row r="21" ht="13.5" customHeight="1">
      <c r="A21" s="15"/>
      <c r="B21" s="39" t="str">
        <f>AE21</f>
        <v>Ivan Cachia / Willem Steenkamer</v>
      </c>
      <c r="C21" s="29">
        <v>7.0</v>
      </c>
      <c r="D21" s="40">
        <f>IF(C21&gt;C19,1,0)</f>
        <v>1</v>
      </c>
      <c r="E21" s="41"/>
      <c r="F21" s="29">
        <v>2.0</v>
      </c>
      <c r="G21" s="40">
        <f>IF(F21&gt;F19,1,0)</f>
        <v>0</v>
      </c>
      <c r="H21" s="41"/>
      <c r="I21" s="29">
        <v>10.0</v>
      </c>
      <c r="J21" s="15">
        <f>IF(I21&gt;I19,1,0)</f>
        <v>1</v>
      </c>
      <c r="K21" s="15">
        <f>IF(D21+G21=2,3,IF(D21+G21=1,1,0))</f>
        <v>1</v>
      </c>
      <c r="L21" s="15">
        <f>IF(K21=3,3,IF(J21+K21=2,2,IF(K21=1,1,0)))</f>
        <v>2</v>
      </c>
      <c r="M21" s="15">
        <f>C21+F21</f>
        <v>9</v>
      </c>
      <c r="N21" s="15">
        <f>D21+G21+J21</f>
        <v>2</v>
      </c>
      <c r="O21" s="15"/>
      <c r="P21" s="15"/>
      <c r="Q21" s="39" t="str">
        <f>AE14</f>
        <v>Gio Marcos / Chi Chi Canonce</v>
      </c>
      <c r="R21" s="29">
        <v>4.0</v>
      </c>
      <c r="S21" s="40">
        <f>IF(R21&gt;R19,1,0)</f>
        <v>0</v>
      </c>
      <c r="T21" s="41"/>
      <c r="U21" s="29">
        <v>6.0</v>
      </c>
      <c r="V21" s="40">
        <f>IF(U21&gt;U19,1,0)</f>
        <v>1</v>
      </c>
      <c r="W21" s="41"/>
      <c r="X21" s="29">
        <v>10.0</v>
      </c>
      <c r="Y21" s="15">
        <f>IF(X21&gt;X19,1,0)</f>
        <v>1</v>
      </c>
      <c r="Z21" s="15">
        <f>IF(S21+V21=2,3,IF(S21+V21=1,1,0))</f>
        <v>1</v>
      </c>
      <c r="AA21" s="15">
        <f>IF(Z21=3,3,IF(Y21+Z21=2,2,IF(Z21=1,1,0)))</f>
        <v>2</v>
      </c>
      <c r="AB21" s="15">
        <f>R21+U21</f>
        <v>10</v>
      </c>
      <c r="AC21" s="15">
        <f>S21+V21+Y21</f>
        <v>2</v>
      </c>
      <c r="AD21" s="15"/>
      <c r="AE21" s="54" t="str">
        <f>'Players Men'!B18&amp; " / " &amp;'Players Men'!C18</f>
        <v>Ivan Cachia / Willem Steenkamer</v>
      </c>
      <c r="AF21" s="34">
        <f>F42+U32+U42+F22+F37</f>
        <v>5</v>
      </c>
      <c r="AG21" s="34">
        <f t="shared" ref="AG21:AI21" si="6">L41+AA31+AA41+L21+L36</f>
        <v>8</v>
      </c>
      <c r="AH21" s="34">
        <f t="shared" si="6"/>
        <v>45</v>
      </c>
      <c r="AI21" s="35">
        <f t="shared" si="6"/>
        <v>7</v>
      </c>
      <c r="AJ21" s="24"/>
      <c r="AK21" s="24"/>
      <c r="AL21" s="24"/>
      <c r="AM21" s="15"/>
      <c r="AN21" s="15"/>
    </row>
    <row r="22" ht="13.5" hidden="1" customHeight="1">
      <c r="A22" s="15" t="s">
        <v>85</v>
      </c>
      <c r="B22" s="15"/>
      <c r="C22" s="42">
        <f>IF(C19="",0,1)</f>
        <v>1</v>
      </c>
      <c r="D22" s="15"/>
      <c r="E22" s="15"/>
      <c r="F22" s="42">
        <f>IF(C21="",0,1)</f>
        <v>1</v>
      </c>
      <c r="G22" s="15"/>
      <c r="H22" s="15"/>
      <c r="I22" s="15"/>
      <c r="J22" s="15"/>
      <c r="K22" s="15"/>
      <c r="L22" s="15"/>
      <c r="M22" s="15"/>
      <c r="N22" s="15"/>
      <c r="O22" s="15"/>
      <c r="P22" s="15" t="s">
        <v>85</v>
      </c>
      <c r="Q22" s="15"/>
      <c r="R22" s="42">
        <f>IF(R19="",0,1)</f>
        <v>1</v>
      </c>
      <c r="S22" s="15"/>
      <c r="T22" s="15"/>
      <c r="U22" s="42">
        <f>IF(R21="",0,1)</f>
        <v>1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24"/>
      <c r="AG22" s="24"/>
      <c r="AH22" s="24"/>
      <c r="AI22" s="24"/>
      <c r="AJ22" s="24"/>
      <c r="AK22" s="15"/>
      <c r="AL22" s="15"/>
      <c r="AM22" s="15"/>
      <c r="AN22" s="15"/>
    </row>
    <row r="23" ht="13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24"/>
      <c r="AK23" s="24"/>
      <c r="AL23" s="15"/>
      <c r="AM23" s="15"/>
      <c r="AN23" s="15"/>
    </row>
    <row r="24" ht="13.5" customHeight="1">
      <c r="A24" s="15"/>
      <c r="B24" s="28" t="str">
        <f>AE11</f>
        <v>Gabriel Pace / Jonathan Vella</v>
      </c>
      <c r="C24" s="29">
        <v>0.0</v>
      </c>
      <c r="D24" s="30">
        <f>IF(C24&gt;C26,1,0)</f>
        <v>0</v>
      </c>
      <c r="E24" s="31"/>
      <c r="F24" s="29">
        <v>1.0</v>
      </c>
      <c r="G24" s="30">
        <f>IF(F24&gt;F26,1,0)</f>
        <v>0</v>
      </c>
      <c r="H24" s="31"/>
      <c r="I24" s="32"/>
      <c r="J24" s="15">
        <f>IF(I24&gt;I26,1,0)</f>
        <v>0</v>
      </c>
      <c r="K24" s="15">
        <f>IF(D24+G24=2,3,IF(D24+G24=1,1,0))</f>
        <v>0</v>
      </c>
      <c r="L24" s="15">
        <f>IF(K24=3,3,IF(J24+K24=2,2,IF(K24=1,1,0)))</f>
        <v>0</v>
      </c>
      <c r="M24" s="15">
        <f>C24+F24</f>
        <v>1</v>
      </c>
      <c r="N24" s="15">
        <f>D24+G24+J24</f>
        <v>0</v>
      </c>
      <c r="O24" s="15"/>
      <c r="P24" s="15"/>
      <c r="Q24" s="28" t="str">
        <f>AE11</f>
        <v>Gabriel Pace / Jonathan Vella</v>
      </c>
      <c r="R24" s="29">
        <v>6.0</v>
      </c>
      <c r="S24" s="30">
        <f>IF(R24&gt;R26,1,0)</f>
        <v>0</v>
      </c>
      <c r="T24" s="31"/>
      <c r="U24" s="29">
        <v>1.0</v>
      </c>
      <c r="V24" s="30">
        <f>IF(U24&gt;U26,1,0)</f>
        <v>0</v>
      </c>
      <c r="W24" s="31"/>
      <c r="X24" s="32"/>
      <c r="Y24" s="15">
        <f>IF(X24&gt;X26,1,0)</f>
        <v>0</v>
      </c>
      <c r="Z24" s="15">
        <f>IF(S24+V24=2,3,IF(S24+V24=1,1,0))</f>
        <v>0</v>
      </c>
      <c r="AA24" s="15">
        <f>IF(Z24=3,3,IF(Y24+Z24=2,2,IF(Z24=1,1,0)))</f>
        <v>0</v>
      </c>
      <c r="AB24" s="15">
        <f>R24+U24</f>
        <v>7</v>
      </c>
      <c r="AC24" s="15">
        <f>S24+V24+Y24</f>
        <v>0</v>
      </c>
      <c r="AD24" s="15"/>
      <c r="AE24" s="51" t="s">
        <v>86</v>
      </c>
      <c r="AF24" s="21"/>
      <c r="AG24" s="21"/>
      <c r="AH24" s="21"/>
      <c r="AI24" s="7"/>
      <c r="AJ24" s="24"/>
      <c r="AK24" s="15"/>
      <c r="AL24" s="15"/>
      <c r="AM24" s="15"/>
      <c r="AN24" s="15"/>
    </row>
    <row r="25" ht="13.5" customHeight="1">
      <c r="A25" s="15"/>
      <c r="B25" s="36" t="s">
        <v>84</v>
      </c>
      <c r="I25" s="37"/>
      <c r="J25" s="38"/>
      <c r="K25" s="15"/>
      <c r="L25" s="15"/>
      <c r="M25" s="15"/>
      <c r="N25" s="15"/>
      <c r="O25" s="15"/>
      <c r="P25" s="15"/>
      <c r="Q25" s="36" t="s">
        <v>84</v>
      </c>
      <c r="X25" s="37"/>
      <c r="Y25" s="38"/>
      <c r="Z25" s="15"/>
      <c r="AA25" s="15"/>
      <c r="AB25" s="15"/>
      <c r="AC25" s="15"/>
      <c r="AD25" s="15"/>
      <c r="AE25" s="43" t="s">
        <v>90</v>
      </c>
      <c r="AF25" s="21"/>
      <c r="AG25" s="21"/>
      <c r="AH25" s="21"/>
      <c r="AI25" s="7"/>
      <c r="AJ25" s="24"/>
      <c r="AK25" s="24"/>
      <c r="AL25" s="15"/>
      <c r="AM25" s="15"/>
      <c r="AN25" s="15"/>
    </row>
    <row r="26" ht="13.5" customHeight="1">
      <c r="A26" s="15"/>
      <c r="B26" s="39" t="str">
        <f>AE19</f>
        <v>Jesmond Pule’ / Manuel Bonello</v>
      </c>
      <c r="C26" s="29">
        <v>6.0</v>
      </c>
      <c r="D26" s="40">
        <f>IF(C26&gt;C24,1,0)</f>
        <v>1</v>
      </c>
      <c r="E26" s="41"/>
      <c r="F26" s="29">
        <v>6.0</v>
      </c>
      <c r="G26" s="40">
        <f>IF(F26&gt;F24,1,0)</f>
        <v>1</v>
      </c>
      <c r="H26" s="41"/>
      <c r="I26" s="32"/>
      <c r="J26" s="15">
        <f>IF(I26&gt;I24,1,0)</f>
        <v>0</v>
      </c>
      <c r="K26" s="15">
        <f>IF(D26+G26=2,3,IF(D26+G26=1,1,0))</f>
        <v>3</v>
      </c>
      <c r="L26" s="15">
        <f>IF(K26=3,3,IF(J26+K26=2,2,IF(K26=1,1,0)))</f>
        <v>3</v>
      </c>
      <c r="M26" s="15">
        <f>C26+F26</f>
        <v>12</v>
      </c>
      <c r="N26" s="15">
        <f>D26+G26+J26</f>
        <v>2</v>
      </c>
      <c r="O26" s="15"/>
      <c r="P26" s="15"/>
      <c r="Q26" s="39" t="str">
        <f>AE16</f>
        <v>Fotis Evangelou / Eric Micallef</v>
      </c>
      <c r="R26" s="29">
        <v>7.0</v>
      </c>
      <c r="S26" s="40">
        <f>IF(R26&gt;R24,1,0)</f>
        <v>1</v>
      </c>
      <c r="T26" s="41"/>
      <c r="U26" s="29">
        <v>6.0</v>
      </c>
      <c r="V26" s="40">
        <f>IF(U26&gt;U24,1,0)</f>
        <v>1</v>
      </c>
      <c r="W26" s="41"/>
      <c r="X26" s="32"/>
      <c r="Y26" s="15">
        <f>IF(X26&gt;X24,1,0)</f>
        <v>0</v>
      </c>
      <c r="Z26" s="15">
        <f>IF(S26+V26=2,3,IF(S26+V26=1,1,0))</f>
        <v>3</v>
      </c>
      <c r="AA26" s="15">
        <f>IF(Z26=3,3,IF(Y26+Z26=2,2,IF(Z26=1,1,0)))</f>
        <v>3</v>
      </c>
      <c r="AB26" s="15">
        <f>R26+U26</f>
        <v>13</v>
      </c>
      <c r="AC26" s="15">
        <f>S26+V26+Y26</f>
        <v>2</v>
      </c>
      <c r="AD26" s="15"/>
      <c r="AE26" s="55" t="s">
        <v>88</v>
      </c>
      <c r="AF26" s="21"/>
      <c r="AG26" s="21"/>
      <c r="AH26" s="21"/>
      <c r="AI26" s="7"/>
      <c r="AJ26" s="15"/>
      <c r="AK26" s="15"/>
      <c r="AL26" s="15"/>
      <c r="AM26" s="15"/>
      <c r="AN26" s="15"/>
    </row>
    <row r="27" ht="13.5" hidden="1" customHeight="1">
      <c r="A27" s="15" t="s">
        <v>85</v>
      </c>
      <c r="B27" s="15"/>
      <c r="C27" s="42">
        <f>IF(C24="",0,1)</f>
        <v>1</v>
      </c>
      <c r="D27" s="15"/>
      <c r="E27" s="15"/>
      <c r="F27" s="42">
        <f>IF(C26="",0,1)</f>
        <v>1</v>
      </c>
      <c r="G27" s="15"/>
      <c r="H27" s="15"/>
      <c r="I27" s="15"/>
      <c r="J27" s="15"/>
      <c r="K27" s="15"/>
      <c r="L27" s="15"/>
      <c r="M27" s="15"/>
      <c r="N27" s="15"/>
      <c r="O27" s="15"/>
      <c r="P27" s="15" t="s">
        <v>85</v>
      </c>
      <c r="Q27" s="15"/>
      <c r="R27" s="42">
        <f>IF(R24="",0,1)</f>
        <v>1</v>
      </c>
      <c r="S27" s="15"/>
      <c r="T27" s="15"/>
      <c r="U27" s="42">
        <f>IF(R26="",0,1)</f>
        <v>1</v>
      </c>
      <c r="V27" s="15"/>
      <c r="W27" s="15"/>
      <c r="X27" s="15"/>
      <c r="Y27" s="15"/>
      <c r="Z27" s="15"/>
      <c r="AA27" s="15"/>
      <c r="AB27" s="15"/>
      <c r="AC27" s="15"/>
      <c r="AD27" s="15"/>
      <c r="AE27" s="45"/>
      <c r="AF27" s="45"/>
      <c r="AG27" s="45"/>
      <c r="AH27" s="45"/>
      <c r="AI27" s="45"/>
      <c r="AJ27" s="15"/>
      <c r="AK27" s="15"/>
      <c r="AL27" s="15"/>
      <c r="AM27" s="15"/>
      <c r="AN27" s="15"/>
    </row>
    <row r="28" ht="15.0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56" t="s">
        <v>91</v>
      </c>
      <c r="AF28" s="21"/>
      <c r="AG28" s="21"/>
      <c r="AH28" s="21"/>
      <c r="AI28" s="7"/>
      <c r="AJ28" s="15"/>
      <c r="AK28" s="15"/>
      <c r="AL28" s="15"/>
      <c r="AM28" s="15"/>
      <c r="AN28" s="15"/>
    </row>
    <row r="29" ht="13.5" customHeight="1">
      <c r="A29" s="15"/>
      <c r="B29" s="28" t="str">
        <f>AE14</f>
        <v>Gio Marcos / Chi Chi Canonce</v>
      </c>
      <c r="C29" s="29">
        <v>4.0</v>
      </c>
      <c r="D29" s="30">
        <f>IF(C29&gt;C31,1,0)</f>
        <v>0</v>
      </c>
      <c r="E29" s="31"/>
      <c r="F29" s="29">
        <v>1.0</v>
      </c>
      <c r="G29" s="30">
        <f>IF(F29&gt;F31,1,0)</f>
        <v>0</v>
      </c>
      <c r="H29" s="31"/>
      <c r="I29" s="32"/>
      <c r="J29" s="15">
        <f>IF(I29&gt;I31,1,0)</f>
        <v>0</v>
      </c>
      <c r="K29" s="15">
        <f>IF(D29+G29=2,3,IF(D29+G29=1,1,0))</f>
        <v>0</v>
      </c>
      <c r="L29" s="15">
        <f>IF(K29=3,3,IF(J29+K29=2,2,IF(K29=1,1,0)))</f>
        <v>0</v>
      </c>
      <c r="M29" s="15">
        <f>C29+F29</f>
        <v>5</v>
      </c>
      <c r="N29" s="15">
        <f>D29+G29+J29</f>
        <v>0</v>
      </c>
      <c r="O29" s="15"/>
      <c r="P29" s="15"/>
      <c r="Q29" s="28" t="str">
        <f>AE11</f>
        <v>Gabriel Pace / Jonathan Vella</v>
      </c>
      <c r="R29" s="29">
        <v>5.0</v>
      </c>
      <c r="S29" s="30">
        <f>IF(R29&gt;R31,1,0)</f>
        <v>0</v>
      </c>
      <c r="T29" s="31"/>
      <c r="U29" s="29">
        <v>6.0</v>
      </c>
      <c r="V29" s="30">
        <f>IF(U29&gt;U31,1,0)</f>
        <v>0</v>
      </c>
      <c r="W29" s="31"/>
      <c r="X29" s="32"/>
      <c r="Y29" s="15">
        <f>IF(X29&gt;X31,1,0)</f>
        <v>0</v>
      </c>
      <c r="Z29" s="15">
        <f>IF(S29+V29=2,3,IF(S29+V29=1,1,0))</f>
        <v>0</v>
      </c>
      <c r="AA29" s="15">
        <f>IF(Z29=3,3,IF(Y29+Z29=2,2,IF(Z29=1,1,0)))</f>
        <v>0</v>
      </c>
      <c r="AB29" s="15">
        <f>R29+U29</f>
        <v>11</v>
      </c>
      <c r="AC29" s="15">
        <f>S29+V29+Y29</f>
        <v>0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ht="13.5" customHeight="1">
      <c r="A30" s="15"/>
      <c r="B30" s="36" t="s">
        <v>84</v>
      </c>
      <c r="I30" s="37"/>
      <c r="J30" s="38"/>
      <c r="K30" s="15"/>
      <c r="L30" s="15"/>
      <c r="M30" s="15"/>
      <c r="N30" s="15"/>
      <c r="O30" s="15"/>
      <c r="P30" s="15"/>
      <c r="Q30" s="36" t="s">
        <v>84</v>
      </c>
      <c r="X30" s="37"/>
      <c r="Y30" s="38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ht="13.5" customHeight="1">
      <c r="A31" s="15"/>
      <c r="B31" s="39" t="str">
        <f>AE19</f>
        <v>Jesmond Pule’ / Manuel Bonello</v>
      </c>
      <c r="C31" s="29">
        <v>6.0</v>
      </c>
      <c r="D31" s="40">
        <f>IF(C31&gt;C29,1,0)</f>
        <v>1</v>
      </c>
      <c r="E31" s="41"/>
      <c r="F31" s="29">
        <v>6.0</v>
      </c>
      <c r="G31" s="40">
        <f>IF(F31&gt;F29,1,0)</f>
        <v>1</v>
      </c>
      <c r="H31" s="41"/>
      <c r="I31" s="32"/>
      <c r="J31" s="15">
        <f>IF(I31&gt;I29,1,0)</f>
        <v>0</v>
      </c>
      <c r="K31" s="15">
        <f>IF(D31+G31=2,3,IF(D31+G31=1,1,0))</f>
        <v>3</v>
      </c>
      <c r="L31" s="15">
        <f>IF(K31=3,3,IF(J31+K31=2,2,IF(K31=1,1,0)))</f>
        <v>3</v>
      </c>
      <c r="M31" s="15">
        <f>C31+F31</f>
        <v>12</v>
      </c>
      <c r="N31" s="15">
        <f>D31+G31+J31</f>
        <v>2</v>
      </c>
      <c r="O31" s="15"/>
      <c r="P31" s="15"/>
      <c r="Q31" s="39" t="str">
        <f>AE21</f>
        <v>Ivan Cachia / Willem Steenkamer</v>
      </c>
      <c r="R31" s="29">
        <v>7.0</v>
      </c>
      <c r="S31" s="40">
        <f>IF(R31&gt;R29,1,0)</f>
        <v>1</v>
      </c>
      <c r="T31" s="41"/>
      <c r="U31" s="29">
        <v>7.0</v>
      </c>
      <c r="V31" s="40">
        <f>IF(U31&gt;U29,1,0)</f>
        <v>1</v>
      </c>
      <c r="W31" s="41"/>
      <c r="X31" s="32"/>
      <c r="Y31" s="15">
        <f>IF(X31&gt;X29,1,0)</f>
        <v>0</v>
      </c>
      <c r="Z31" s="15">
        <f>IF(S31+V31=2,3,IF(S31+V31=1,1,0))</f>
        <v>3</v>
      </c>
      <c r="AA31" s="15">
        <f>IF(Z31=3,3,IF(Y31+Z31=2,2,IF(Z31=1,1,0)))</f>
        <v>3</v>
      </c>
      <c r="AB31" s="15">
        <f>R31+U31</f>
        <v>14</v>
      </c>
      <c r="AC31" s="15">
        <f>S31+V31+Y31</f>
        <v>2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ht="13.5" hidden="1" customHeight="1">
      <c r="A32" s="15" t="s">
        <v>85</v>
      </c>
      <c r="B32" s="15"/>
      <c r="C32" s="42">
        <f>IF(C29="",0,1)</f>
        <v>1</v>
      </c>
      <c r="D32" s="15"/>
      <c r="E32" s="15"/>
      <c r="F32" s="42">
        <f>IF(C31="",0,1)</f>
        <v>1</v>
      </c>
      <c r="G32" s="15"/>
      <c r="H32" s="15"/>
      <c r="I32" s="15"/>
      <c r="J32" s="15"/>
      <c r="K32" s="15"/>
      <c r="L32" s="15"/>
      <c r="M32" s="15"/>
      <c r="N32" s="15"/>
      <c r="O32" s="15"/>
      <c r="P32" s="15" t="s">
        <v>85</v>
      </c>
      <c r="Q32" s="15"/>
      <c r="R32" s="42">
        <f>IF(R29="",0,1)</f>
        <v>1</v>
      </c>
      <c r="S32" s="15"/>
      <c r="T32" s="15"/>
      <c r="U32" s="42">
        <f>IF(R31="",0,1)</f>
        <v>1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24"/>
      <c r="AI33" s="15"/>
      <c r="AJ33" s="15"/>
      <c r="AK33" s="15"/>
      <c r="AL33" s="15"/>
      <c r="AM33" s="15"/>
      <c r="AN33" s="15"/>
    </row>
    <row r="34" ht="13.5" customHeight="1">
      <c r="A34" s="15"/>
      <c r="B34" s="28" t="str">
        <f>AE16</f>
        <v>Fotis Evangelou / Eric Micallef</v>
      </c>
      <c r="C34" s="29">
        <v>4.0</v>
      </c>
      <c r="D34" s="30">
        <f>IF(C34&gt;C36,1,0)</f>
        <v>0</v>
      </c>
      <c r="E34" s="31"/>
      <c r="F34" s="29">
        <v>6.0</v>
      </c>
      <c r="G34" s="30">
        <f>IF(F34&gt;F36,1,0)</f>
        <v>1</v>
      </c>
      <c r="H34" s="31"/>
      <c r="I34" s="29">
        <v>3.0</v>
      </c>
      <c r="J34" s="15">
        <f>IF(I34&gt;I36,1,0)</f>
        <v>0</v>
      </c>
      <c r="K34" s="15">
        <f>IF(D34+G34=2,3,IF(D34+G34=1,1,0))</f>
        <v>1</v>
      </c>
      <c r="L34" s="15">
        <f>IF(K34=3,3,IF(J34+K34=2,2,IF(K34=1,1,0)))</f>
        <v>1</v>
      </c>
      <c r="M34" s="15">
        <f>C34+F34</f>
        <v>10</v>
      </c>
      <c r="N34" s="15">
        <f>D34+G34+J34</f>
        <v>1</v>
      </c>
      <c r="O34" s="15"/>
      <c r="P34" s="15"/>
      <c r="Q34" s="28" t="str">
        <f>AE14</f>
        <v>Gio Marcos / Chi Chi Canonce</v>
      </c>
      <c r="R34" s="29">
        <v>6.0</v>
      </c>
      <c r="S34" s="30">
        <f>IF(R34&gt;R36,1,0)</f>
        <v>1</v>
      </c>
      <c r="T34" s="31"/>
      <c r="U34" s="29">
        <v>6.0</v>
      </c>
      <c r="V34" s="30">
        <f>IF(U34&gt;U36,1,0)</f>
        <v>1</v>
      </c>
      <c r="W34" s="31"/>
      <c r="X34" s="32"/>
      <c r="Y34" s="15">
        <f>IF(X34&gt;X36,1,0)</f>
        <v>0</v>
      </c>
      <c r="Z34" s="15">
        <f>IF(S34+V34=2,3,IF(S34+V34=1,1,0))</f>
        <v>3</v>
      </c>
      <c r="AA34" s="15">
        <f>IF(Z34=3,3,IF(Y34+Z34=2,2,IF(Z34=1,1,0)))</f>
        <v>3</v>
      </c>
      <c r="AB34" s="15">
        <f>R34+U34</f>
        <v>12</v>
      </c>
      <c r="AC34" s="15">
        <f>S34+V34+Y34</f>
        <v>2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ht="13.5" customHeight="1">
      <c r="A35" s="15"/>
      <c r="B35" s="36" t="s">
        <v>84</v>
      </c>
      <c r="I35" s="37"/>
      <c r="J35" s="38"/>
      <c r="K35" s="15"/>
      <c r="L35" s="15"/>
      <c r="M35" s="15"/>
      <c r="N35" s="15"/>
      <c r="O35" s="15"/>
      <c r="P35" s="15"/>
      <c r="Q35" s="36" t="s">
        <v>84</v>
      </c>
      <c r="X35" s="37"/>
      <c r="Y35" s="38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7"/>
      <c r="AM35" s="15"/>
      <c r="AN35" s="15"/>
    </row>
    <row r="36" ht="13.5" customHeight="1">
      <c r="A36" s="15"/>
      <c r="B36" s="39" t="str">
        <f>AE21</f>
        <v>Ivan Cachia / Willem Steenkamer</v>
      </c>
      <c r="C36" s="29">
        <v>6.0</v>
      </c>
      <c r="D36" s="40">
        <f>IF(C36&gt;C34,1,0)</f>
        <v>1</v>
      </c>
      <c r="E36" s="41"/>
      <c r="F36" s="29">
        <v>3.0</v>
      </c>
      <c r="G36" s="40">
        <f>IF(F36&gt;F34,1,0)</f>
        <v>0</v>
      </c>
      <c r="H36" s="41"/>
      <c r="I36" s="29">
        <v>10.0</v>
      </c>
      <c r="J36" s="15">
        <f>IF(I36&gt;I34,1,0)</f>
        <v>1</v>
      </c>
      <c r="K36" s="15">
        <f>IF(D36+G36=2,3,IF(D36+G36=1,1,0))</f>
        <v>1</v>
      </c>
      <c r="L36" s="15">
        <f>IF(K36=3,3,IF(J36+K36=2,2,IF(K36=1,1,0)))</f>
        <v>2</v>
      </c>
      <c r="M36" s="15">
        <f>C36+F36</f>
        <v>9</v>
      </c>
      <c r="N36" s="15">
        <f>D36+G36+J36</f>
        <v>2</v>
      </c>
      <c r="O36" s="15"/>
      <c r="P36" s="15"/>
      <c r="Q36" s="39" t="str">
        <f>AE16</f>
        <v>Fotis Evangelou / Eric Micallef</v>
      </c>
      <c r="R36" s="29">
        <v>3.0</v>
      </c>
      <c r="S36" s="40">
        <f>IF(R36&gt;R34,1,0)</f>
        <v>0</v>
      </c>
      <c r="T36" s="41"/>
      <c r="U36" s="29">
        <v>4.0</v>
      </c>
      <c r="V36" s="40">
        <f>IF(U36&gt;U34,1,0)</f>
        <v>0</v>
      </c>
      <c r="W36" s="41"/>
      <c r="X36" s="32"/>
      <c r="Y36" s="15">
        <f>IF(X36&gt;X34,1,0)</f>
        <v>0</v>
      </c>
      <c r="Z36" s="15">
        <f>IF(S36+V36=2,3,IF(S36+V36=1,1,0))</f>
        <v>0</v>
      </c>
      <c r="AA36" s="15">
        <f>IF(Z36=3,3,IF(Y36+Z36=2,2,IF(Z36=1,1,0)))</f>
        <v>0</v>
      </c>
      <c r="AB36" s="15">
        <f>R36+U36</f>
        <v>7</v>
      </c>
      <c r="AC36" s="15">
        <f>S36+V36+Y36</f>
        <v>0</v>
      </c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24"/>
    </row>
    <row r="37" ht="14.25" hidden="1" customHeight="1">
      <c r="A37" s="15" t="s">
        <v>85</v>
      </c>
      <c r="B37" s="15"/>
      <c r="C37" s="42">
        <f>IF(C34="",0,1)</f>
        <v>1</v>
      </c>
      <c r="D37" s="15"/>
      <c r="E37" s="15"/>
      <c r="F37" s="42">
        <f>IF(C36="",0,1)</f>
        <v>1</v>
      </c>
      <c r="G37" s="15"/>
      <c r="H37" s="15"/>
      <c r="I37" s="15"/>
      <c r="J37" s="15"/>
      <c r="K37" s="15"/>
      <c r="L37" s="15"/>
      <c r="M37" s="15"/>
      <c r="N37" s="15"/>
      <c r="O37" s="15"/>
      <c r="P37" s="15" t="s">
        <v>85</v>
      </c>
      <c r="Q37" s="15"/>
      <c r="R37" s="42">
        <f>IF(R34="",0,1)</f>
        <v>1</v>
      </c>
      <c r="S37" s="15"/>
      <c r="T37" s="15"/>
      <c r="U37" s="42">
        <f>IF(R36="",0,1)</f>
        <v>1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7"/>
      <c r="AM38" s="15"/>
      <c r="AN38" s="15"/>
    </row>
    <row r="39" ht="13.5" customHeight="1">
      <c r="A39" s="15"/>
      <c r="B39" s="28" t="str">
        <f>AE19</f>
        <v>Jesmond Pule’ / Manuel Bonello</v>
      </c>
      <c r="C39" s="29">
        <v>6.0</v>
      </c>
      <c r="D39" s="30">
        <f>IF(C39&gt;C41,1,0)</f>
        <v>1</v>
      </c>
      <c r="E39" s="31"/>
      <c r="F39" s="29">
        <v>6.0</v>
      </c>
      <c r="G39" s="30">
        <f>IF(F39&gt;F41,1,0)</f>
        <v>1</v>
      </c>
      <c r="H39" s="31"/>
      <c r="I39" s="32"/>
      <c r="J39" s="15">
        <f>IF(I39&gt;I41,1,0)</f>
        <v>0</v>
      </c>
      <c r="K39" s="15">
        <f>IF(D39+G39=2,3,IF(D39+G39=1,1,0))</f>
        <v>3</v>
      </c>
      <c r="L39" s="15">
        <f>IF(K39=3,3,IF(J39+K39=2,2,IF(K39=1,1,0)))</f>
        <v>3</v>
      </c>
      <c r="M39" s="15">
        <f>C39+F39</f>
        <v>12</v>
      </c>
      <c r="N39" s="15">
        <f>D39+G39+J39</f>
        <v>2</v>
      </c>
      <c r="O39" s="15"/>
      <c r="P39" s="15"/>
      <c r="Q39" s="28" t="str">
        <f>AE14</f>
        <v>Gio Marcos / Chi Chi Canonce</v>
      </c>
      <c r="R39" s="29">
        <v>1.0</v>
      </c>
      <c r="S39" s="30">
        <f>IF(R39&gt;R41,1,0)</f>
        <v>0</v>
      </c>
      <c r="T39" s="31"/>
      <c r="U39" s="29">
        <v>7.0</v>
      </c>
      <c r="V39" s="30">
        <f>IF(U39&gt;U41,1,0)</f>
        <v>1</v>
      </c>
      <c r="W39" s="31"/>
      <c r="X39" s="29">
        <v>10.0</v>
      </c>
      <c r="Y39" s="15">
        <f>IF(X39&gt;X41,1,0)</f>
        <v>1</v>
      </c>
      <c r="Z39" s="15">
        <f>IF(S39+V39=2,3,IF(S39+V39=1,1,0))</f>
        <v>1</v>
      </c>
      <c r="AA39" s="15">
        <f>IF(Z39=3,3,IF(Y39+Z39=2,2,IF(Z39=1,1,0)))</f>
        <v>2</v>
      </c>
      <c r="AB39" s="15">
        <f>R39+U39</f>
        <v>8</v>
      </c>
      <c r="AC39" s="15">
        <f>S39+V39+Y39</f>
        <v>2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ht="15.0" customHeight="1">
      <c r="A40" s="15"/>
      <c r="B40" s="36" t="s">
        <v>84</v>
      </c>
      <c r="I40" s="37"/>
      <c r="J40" s="38"/>
      <c r="K40" s="15"/>
      <c r="L40" s="15"/>
      <c r="M40" s="15"/>
      <c r="N40" s="15"/>
      <c r="O40" s="15"/>
      <c r="P40" s="15"/>
      <c r="Q40" s="36" t="s">
        <v>84</v>
      </c>
      <c r="X40" s="37"/>
      <c r="Y40" s="38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ht="13.5" customHeight="1">
      <c r="A41" s="15"/>
      <c r="B41" s="39" t="str">
        <f>AE21</f>
        <v>Ivan Cachia / Willem Steenkamer</v>
      </c>
      <c r="C41" s="29">
        <v>1.0</v>
      </c>
      <c r="D41" s="40">
        <f>IF(C41&gt;C39,1,0)</f>
        <v>0</v>
      </c>
      <c r="E41" s="41"/>
      <c r="F41" s="29">
        <v>1.0</v>
      </c>
      <c r="G41" s="40">
        <f>IF(F41&gt;F39,1,0)</f>
        <v>0</v>
      </c>
      <c r="H41" s="41"/>
      <c r="I41" s="32"/>
      <c r="J41" s="15">
        <f>IF(I41&gt;I39,1,0)</f>
        <v>0</v>
      </c>
      <c r="K41" s="15">
        <f>IF(D41+G41=2,3,IF(D41+G41=1,1,0))</f>
        <v>0</v>
      </c>
      <c r="L41" s="15">
        <f>IF(K41=3,3,IF(J41+K41=2,2,IF(K41=1,1,0)))</f>
        <v>0</v>
      </c>
      <c r="M41" s="15">
        <f>C41+F41</f>
        <v>2</v>
      </c>
      <c r="N41" s="15">
        <f>D41+G41+J41</f>
        <v>0</v>
      </c>
      <c r="O41" s="15"/>
      <c r="P41" s="15"/>
      <c r="Q41" s="39" t="str">
        <f>AE21</f>
        <v>Ivan Cachia / Willem Steenkamer</v>
      </c>
      <c r="R41" s="29">
        <v>6.0</v>
      </c>
      <c r="S41" s="40">
        <f>IF(R41&gt;R39,1,0)</f>
        <v>1</v>
      </c>
      <c r="T41" s="41"/>
      <c r="U41" s="29">
        <v>5.0</v>
      </c>
      <c r="V41" s="40">
        <f>IF(U41&gt;U39,1,0)</f>
        <v>0</v>
      </c>
      <c r="W41" s="41"/>
      <c r="X41" s="29">
        <v>5.0</v>
      </c>
      <c r="Y41" s="15">
        <f>IF(X41&gt;X39,1,0)</f>
        <v>0</v>
      </c>
      <c r="Z41" s="15">
        <f>IF(S41+V41=2,3,IF(S41+V41=1,1,0))</f>
        <v>1</v>
      </c>
      <c r="AA41" s="15">
        <f>IF(Z41=3,3,IF(Y41+Z41=2,2,IF(Z41=1,1,0)))</f>
        <v>1</v>
      </c>
      <c r="AB41" s="15">
        <f>R41+U41</f>
        <v>11</v>
      </c>
      <c r="AC41" s="15">
        <f>S41+V41+Y41</f>
        <v>1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ht="13.5" hidden="1" customHeight="1">
      <c r="A42" s="15" t="s">
        <v>85</v>
      </c>
      <c r="B42" s="15"/>
      <c r="C42" s="42">
        <f>IF(C39="",0,1)</f>
        <v>1</v>
      </c>
      <c r="D42" s="15"/>
      <c r="E42" s="15"/>
      <c r="F42" s="42">
        <f>IF(C41="",0,1)</f>
        <v>1</v>
      </c>
      <c r="G42" s="15"/>
      <c r="H42" s="15"/>
      <c r="I42" s="15"/>
      <c r="J42" s="15"/>
      <c r="K42" s="15"/>
      <c r="L42" s="15"/>
      <c r="M42" s="15"/>
      <c r="N42" s="15"/>
      <c r="O42" s="15"/>
      <c r="P42" s="15" t="s">
        <v>85</v>
      </c>
      <c r="Q42" s="15"/>
      <c r="R42" s="42">
        <f>IF(R39="",0,1)</f>
        <v>1</v>
      </c>
      <c r="S42" s="15"/>
      <c r="T42" s="15"/>
      <c r="U42" s="42">
        <f>IF(R41="",0,1)</f>
        <v>1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24"/>
      <c r="AI43" s="15"/>
      <c r="AJ43" s="15"/>
      <c r="AK43" s="24"/>
      <c r="AL43" s="15"/>
      <c r="AM43" s="15"/>
      <c r="AN43" s="15"/>
    </row>
    <row r="44" ht="13.5" customHeight="1">
      <c r="A44" s="15"/>
      <c r="B44" s="28" t="str">
        <f>AE16</f>
        <v>Fotis Evangelou / Eric Micallef</v>
      </c>
      <c r="C44" s="29">
        <v>1.0</v>
      </c>
      <c r="D44" s="30">
        <f>IF(C44&gt;C46,1,0)</f>
        <v>0</v>
      </c>
      <c r="E44" s="31"/>
      <c r="F44" s="29">
        <v>3.0</v>
      </c>
      <c r="G44" s="30">
        <f>IF(F44&gt;F46,1,0)</f>
        <v>0</v>
      </c>
      <c r="H44" s="31"/>
      <c r="I44" s="32"/>
      <c r="J44" s="15">
        <f>IF(I44&gt;I46,1,0)</f>
        <v>0</v>
      </c>
      <c r="K44" s="15">
        <f>IF(D44+G44=2,3,IF(D44+G44=1,1,0))</f>
        <v>0</v>
      </c>
      <c r="L44" s="15">
        <f>IF(K44=3,3,IF(J44+K44=2,2,IF(K44=1,1,0)))</f>
        <v>0</v>
      </c>
      <c r="M44" s="15">
        <f>C44+F44</f>
        <v>4</v>
      </c>
      <c r="N44" s="15">
        <f>D44+G44+J44</f>
        <v>0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24"/>
      <c r="AL44" s="15"/>
      <c r="AM44" s="15"/>
      <c r="AN44" s="15"/>
    </row>
    <row r="45" ht="13.5" customHeight="1">
      <c r="A45" s="15"/>
      <c r="B45" s="36" t="s">
        <v>84</v>
      </c>
      <c r="I45" s="37"/>
      <c r="J45" s="38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48"/>
      <c r="AK45" s="15"/>
      <c r="AL45" s="15"/>
      <c r="AM45" s="15"/>
      <c r="AN45" s="15"/>
    </row>
    <row r="46" ht="13.5" customHeight="1">
      <c r="A46" s="15"/>
      <c r="B46" s="39" t="str">
        <f>AE19</f>
        <v>Jesmond Pule’ / Manuel Bonello</v>
      </c>
      <c r="C46" s="29">
        <v>6.0</v>
      </c>
      <c r="D46" s="40">
        <f>IF(C46&gt;C44,1,0)</f>
        <v>1</v>
      </c>
      <c r="E46" s="41"/>
      <c r="F46" s="29">
        <v>6.0</v>
      </c>
      <c r="G46" s="40">
        <f>IF(F46&gt;F44,1,0)</f>
        <v>1</v>
      </c>
      <c r="H46" s="41"/>
      <c r="I46" s="32"/>
      <c r="J46" s="15">
        <f>IF(I46&gt;I44,1,0)</f>
        <v>0</v>
      </c>
      <c r="K46" s="15">
        <f>IF(D46+G46=2,3,IF(D46+G46=1,1,0))</f>
        <v>3</v>
      </c>
      <c r="L46" s="15">
        <f>IF(K46=3,3,IF(J46+K46=2,2,IF(K46=1,1,0)))</f>
        <v>3</v>
      </c>
      <c r="M46" s="15">
        <f>C46+F46</f>
        <v>12</v>
      </c>
      <c r="N46" s="15">
        <f>D46+G46+J46</f>
        <v>2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ht="13.5" hidden="1" customHeight="1">
      <c r="A47" s="15" t="s">
        <v>85</v>
      </c>
      <c r="B47" s="15"/>
      <c r="C47" s="42">
        <f>IF(C44="",0,1)</f>
        <v>1</v>
      </c>
      <c r="D47" s="15"/>
      <c r="E47" s="15"/>
      <c r="F47" s="42">
        <f>IF(C46="",0,1)</f>
        <v>1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ht="15.0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48"/>
      <c r="AK49" s="15"/>
      <c r="AL49" s="15"/>
      <c r="AM49" s="15"/>
      <c r="AN49" s="15"/>
    </row>
    <row r="50" ht="15.0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48"/>
      <c r="AK54" s="15"/>
      <c r="AL54" s="24"/>
      <c r="AM54" s="15"/>
      <c r="AN54" s="15"/>
    </row>
    <row r="55" ht="15.0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ht="15.0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48"/>
      <c r="AK59" s="15"/>
      <c r="AL59" s="15"/>
      <c r="AM59" s="15"/>
      <c r="AN59" s="24"/>
    </row>
    <row r="60" ht="15.0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24"/>
      <c r="AI63" s="15"/>
      <c r="AJ63" s="15"/>
      <c r="AK63" s="24"/>
      <c r="AL63" s="15"/>
      <c r="AM63" s="15"/>
      <c r="AN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24"/>
      <c r="S113" s="24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</row>
    <row r="164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</row>
    <row r="165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</row>
    <row r="166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</row>
    <row r="167" ht="1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</row>
    <row r="168" ht="1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</row>
    <row r="169" ht="1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</row>
    <row r="170" ht="13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</row>
    <row r="171" ht="13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</row>
    <row r="172" ht="13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</row>
    <row r="173" ht="13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</row>
    <row r="174" ht="13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</row>
    <row r="175" ht="13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</row>
    <row r="176" ht="13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</row>
    <row r="177" ht="1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</row>
    <row r="178" ht="13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</row>
    <row r="179" ht="13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</row>
    <row r="180" ht="13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</row>
    <row r="181" ht="13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</row>
    <row r="182" ht="13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</row>
    <row r="183" ht="13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</row>
    <row r="184" ht="13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</row>
    <row r="185" ht="1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</row>
    <row r="186" ht="13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</row>
    <row r="187" ht="13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</row>
    <row r="188" ht="13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</row>
    <row r="189" ht="13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</row>
    <row r="190" ht="13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</row>
    <row r="191" ht="1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</row>
    <row r="192" ht="13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</row>
    <row r="193" ht="13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</row>
    <row r="194" ht="13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</row>
    <row r="195" ht="13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</row>
    <row r="196" ht="13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</row>
    <row r="197" ht="13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</row>
    <row r="198" ht="13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</row>
    <row r="199" ht="13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</row>
    <row r="200" ht="13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</row>
    <row r="201" ht="13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</row>
    <row r="202" ht="13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</row>
    <row r="203" ht="13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</row>
    <row r="204" ht="13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</row>
    <row r="205" ht="13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</row>
    <row r="206" ht="13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</row>
    <row r="207" ht="13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</row>
    <row r="208" ht="13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</row>
    <row r="209" ht="13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</row>
    <row r="210" ht="13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</row>
    <row r="211" ht="13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</row>
    <row r="212" ht="1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</row>
    <row r="213" ht="13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</row>
    <row r="214" ht="13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</row>
    <row r="215" ht="13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</row>
    <row r="216" ht="13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</row>
    <row r="217" ht="13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</row>
    <row r="218" ht="13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</row>
    <row r="219" ht="13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</row>
    <row r="220" ht="13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</row>
    <row r="221" ht="13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</row>
    <row r="222" ht="13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</row>
    <row r="223" ht="13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</row>
    <row r="224" ht="13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</row>
    <row r="225" ht="13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</row>
    <row r="226" ht="13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</row>
    <row r="227" ht="13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</row>
    <row r="228" ht="13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</row>
    <row r="229" ht="13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</row>
    <row r="230" ht="13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</row>
    <row r="231" ht="13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</row>
    <row r="232" ht="13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</row>
    <row r="233" ht="13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</row>
    <row r="234" ht="13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</row>
    <row r="235" ht="13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</row>
    <row r="236" ht="13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</row>
    <row r="237" ht="13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</row>
    <row r="238" ht="13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</row>
    <row r="239" ht="13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</row>
    <row r="240" ht="13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</row>
    <row r="241" ht="13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</row>
    <row r="242" ht="13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</row>
    <row r="243" ht="13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</row>
    <row r="244" ht="13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</row>
    <row r="245" ht="1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</row>
    <row r="246" ht="13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</row>
    <row r="247" ht="13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</row>
    <row r="248" ht="13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</row>
    <row r="249" ht="13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</row>
    <row r="250" ht="13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</row>
    <row r="251" ht="13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</row>
    <row r="252" ht="13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</row>
    <row r="253" ht="13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</row>
    <row r="254" ht="13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</row>
    <row r="255" ht="13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</row>
    <row r="256" ht="13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</row>
    <row r="257" ht="13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</row>
    <row r="258" ht="13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</row>
    <row r="259" ht="13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</row>
    <row r="260" ht="13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</row>
    <row r="261" ht="13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</row>
    <row r="262" ht="13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</row>
    <row r="263" ht="13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</row>
    <row r="264" ht="13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</row>
    <row r="265" ht="13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</row>
    <row r="266" ht="1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</row>
    <row r="267" ht="13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</row>
    <row r="268" ht="13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</row>
    <row r="269" ht="13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</row>
    <row r="270" ht="13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</row>
    <row r="271" ht="13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</row>
    <row r="272" ht="13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</row>
    <row r="273" ht="13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</row>
    <row r="274" ht="13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</row>
    <row r="275" ht="13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</row>
    <row r="276" ht="13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</row>
    <row r="277" ht="13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</row>
    <row r="278" ht="13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</row>
    <row r="279" ht="13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</row>
    <row r="280" ht="13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</row>
    <row r="281" ht="13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</row>
    <row r="282" ht="13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</row>
    <row r="283" ht="13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</row>
    <row r="284" ht="13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</row>
    <row r="285" ht="1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</row>
    <row r="286" ht="13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</row>
    <row r="287" ht="13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</row>
    <row r="288" ht="13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</row>
    <row r="289" ht="13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</row>
    <row r="290" ht="13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</row>
    <row r="291" ht="13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</row>
    <row r="292" ht="13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</row>
    <row r="293" ht="13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</row>
    <row r="294" ht="1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</row>
    <row r="295" ht="13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</row>
    <row r="296" ht="13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</row>
    <row r="297" ht="13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</row>
    <row r="298" ht="13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</row>
    <row r="299" ht="13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</row>
    <row r="300" ht="13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</row>
    <row r="301" ht="1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</row>
    <row r="302" ht="13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</row>
    <row r="303" ht="13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</row>
    <row r="304" ht="13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</row>
    <row r="305" ht="13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</row>
    <row r="306" ht="13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</row>
    <row r="307" ht="13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</row>
    <row r="308" ht="1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</row>
    <row r="309" ht="13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</row>
    <row r="310" ht="13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</row>
    <row r="311" ht="13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</row>
    <row r="312" ht="13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</row>
    <row r="313" ht="13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</row>
    <row r="314" ht="13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</row>
    <row r="315" ht="13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</row>
    <row r="316" ht="13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</row>
    <row r="317" ht="13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</row>
    <row r="318" ht="13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</row>
    <row r="319" ht="13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</row>
    <row r="320" ht="13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</row>
    <row r="321" ht="13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</row>
    <row r="322" ht="13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</row>
    <row r="323" ht="13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</row>
    <row r="324" ht="13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</row>
    <row r="325" ht="13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</row>
    <row r="326" ht="13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</row>
    <row r="327" ht="13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</row>
    <row r="328" ht="13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</row>
    <row r="329" ht="13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</row>
    <row r="330" ht="13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</row>
    <row r="331" ht="13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</row>
    <row r="332" ht="13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</row>
    <row r="333" ht="13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</row>
    <row r="334" ht="13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</row>
    <row r="335" ht="13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</row>
    <row r="336" ht="13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</row>
    <row r="337" ht="13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</row>
    <row r="338" ht="13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</row>
    <row r="339" ht="13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</row>
    <row r="340" ht="13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</row>
    <row r="341" ht="13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</row>
    <row r="342" ht="13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</row>
    <row r="343" ht="13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</row>
    <row r="344" ht="13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</row>
    <row r="345" ht="13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</row>
    <row r="346" ht="13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</row>
    <row r="347" ht="13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</row>
    <row r="348" ht="13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</row>
    <row r="349" ht="13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</row>
    <row r="350" ht="13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</row>
    <row r="351" ht="13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</row>
    <row r="352" ht="13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</row>
    <row r="353" ht="13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</row>
    <row r="354" ht="13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</row>
    <row r="355" ht="13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</row>
    <row r="356" ht="13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</row>
    <row r="357" ht="13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</row>
    <row r="358" ht="13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</row>
    <row r="359" ht="13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</row>
    <row r="360" ht="13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</row>
    <row r="361" ht="13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</row>
    <row r="362" ht="13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</row>
    <row r="363" ht="13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</row>
    <row r="364" ht="13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</row>
    <row r="365" ht="13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</row>
    <row r="366" ht="13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</row>
    <row r="367" ht="13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</row>
    <row r="368" ht="13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</row>
    <row r="369" ht="13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</row>
    <row r="370" ht="13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</row>
    <row r="371" ht="13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</row>
    <row r="372" ht="13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</row>
    <row r="373" ht="13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</row>
    <row r="374" ht="13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</row>
    <row r="375" ht="13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</row>
    <row r="376" ht="13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</row>
    <row r="377" ht="13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</row>
    <row r="378" ht="13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</row>
    <row r="379" ht="13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</row>
    <row r="380" ht="13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</row>
    <row r="381" ht="13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</row>
    <row r="382" ht="13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</row>
    <row r="383" ht="13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</row>
    <row r="384" ht="13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</row>
    <row r="385" ht="13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</row>
    <row r="386" ht="13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</row>
    <row r="387" ht="13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</row>
    <row r="388" ht="13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</row>
    <row r="389" ht="13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</row>
    <row r="390" ht="13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</row>
    <row r="391" ht="13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</row>
    <row r="392" ht="13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</row>
    <row r="393" ht="13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</row>
    <row r="394" ht="13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</row>
    <row r="395" ht="13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</row>
    <row r="396" ht="13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</row>
    <row r="397" ht="13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</row>
    <row r="398" ht="13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</row>
    <row r="399" ht="13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</row>
    <row r="400" ht="13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</row>
    <row r="401" ht="13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</row>
    <row r="402" ht="13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</row>
    <row r="403" ht="13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</row>
    <row r="404" ht="13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</row>
    <row r="405" ht="13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</row>
    <row r="406" ht="13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</row>
    <row r="407" ht="13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</row>
    <row r="408" ht="13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</row>
    <row r="409" ht="13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</row>
    <row r="410" ht="13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</row>
    <row r="411" ht="13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</row>
    <row r="412" ht="13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</row>
    <row r="413" ht="13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</row>
    <row r="414" ht="13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</row>
    <row r="415" ht="13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</row>
    <row r="416" ht="13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</row>
    <row r="417" ht="13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</row>
    <row r="418" ht="13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</row>
    <row r="419" ht="13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</row>
    <row r="420" ht="13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</row>
    <row r="421" ht="13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</row>
    <row r="422" ht="13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</row>
    <row r="423" ht="13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</row>
    <row r="424" ht="13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</row>
    <row r="425" ht="13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</row>
    <row r="426" ht="13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</row>
    <row r="427" ht="13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</row>
    <row r="428" ht="13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</row>
    <row r="429" ht="13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</row>
    <row r="430" ht="13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</row>
    <row r="431" ht="13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</row>
    <row r="432" ht="13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</row>
    <row r="433" ht="13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</row>
    <row r="434" ht="13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</row>
    <row r="435" ht="13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</row>
    <row r="436" ht="13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</row>
    <row r="437" ht="13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</row>
    <row r="438" ht="13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</row>
    <row r="439" ht="13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</row>
    <row r="440" ht="13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</row>
    <row r="441" ht="13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</row>
    <row r="442" ht="13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</row>
    <row r="443" ht="13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</row>
    <row r="444" ht="13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</row>
    <row r="445" ht="13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</row>
    <row r="446" ht="13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</row>
    <row r="447" ht="13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</row>
    <row r="448" ht="13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</row>
    <row r="449" ht="13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</row>
    <row r="450" ht="13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</row>
    <row r="451" ht="13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</row>
    <row r="452" ht="13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</row>
    <row r="453" ht="13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</row>
    <row r="454" ht="13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</row>
    <row r="455" ht="13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</row>
    <row r="456" ht="13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</row>
    <row r="457" ht="13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</row>
    <row r="458" ht="13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</row>
    <row r="459" ht="13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</row>
    <row r="460" ht="13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</row>
    <row r="461" ht="13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</row>
    <row r="462" ht="13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</row>
    <row r="463" ht="13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</row>
    <row r="464" ht="13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</row>
    <row r="465" ht="13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</row>
    <row r="466" ht="13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</row>
    <row r="467" ht="13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</row>
    <row r="468" ht="13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</row>
    <row r="469" ht="13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</row>
    <row r="470" ht="13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</row>
    <row r="471" ht="13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</row>
    <row r="472" ht="13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</row>
    <row r="473" ht="13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</row>
    <row r="474" ht="13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</row>
    <row r="475" ht="13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</row>
    <row r="476" ht="13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</row>
    <row r="477" ht="13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</row>
    <row r="478" ht="13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</row>
    <row r="479" ht="13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</row>
    <row r="480" ht="13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</row>
    <row r="481" ht="13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</row>
    <row r="482" ht="13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</row>
    <row r="483" ht="13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</row>
    <row r="484" ht="13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</row>
    <row r="485" ht="13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</row>
    <row r="486" ht="13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</row>
    <row r="487" ht="13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</row>
    <row r="488" ht="13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</row>
    <row r="489" ht="13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</row>
    <row r="490" ht="13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</row>
    <row r="491" ht="13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</row>
    <row r="492" ht="13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</row>
    <row r="493" ht="13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</row>
    <row r="494" ht="13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</row>
    <row r="495" ht="13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</row>
    <row r="496" ht="13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</row>
    <row r="497" ht="13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</row>
    <row r="498" ht="13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</row>
    <row r="499" ht="13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</row>
    <row r="500" ht="13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</row>
    <row r="501" ht="13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</row>
    <row r="502" ht="13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</row>
    <row r="503" ht="13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</row>
    <row r="504" ht="13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</row>
    <row r="505" ht="13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</row>
    <row r="506" ht="13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</row>
    <row r="507" ht="13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</row>
    <row r="508" ht="13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</row>
    <row r="509" ht="13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</row>
    <row r="510" ht="13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</row>
    <row r="511" ht="13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</row>
    <row r="512" ht="13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</row>
    <row r="513" ht="13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</row>
    <row r="514" ht="13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</row>
    <row r="515" ht="13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</row>
    <row r="516" ht="13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</row>
    <row r="517" ht="13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</row>
    <row r="518" ht="13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</row>
    <row r="519" ht="13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</row>
    <row r="520" ht="13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</row>
    <row r="521" ht="13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</row>
    <row r="522" ht="13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</row>
    <row r="523" ht="13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</row>
    <row r="524" ht="13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</row>
    <row r="525" ht="13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</row>
    <row r="526" ht="13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</row>
    <row r="527" ht="13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</row>
    <row r="528" ht="13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</row>
    <row r="529" ht="13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</row>
    <row r="530" ht="13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</row>
    <row r="531" ht="13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</row>
    <row r="532" ht="13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</row>
    <row r="533" ht="13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</row>
    <row r="534" ht="13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</row>
    <row r="535" ht="13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</row>
    <row r="536" ht="13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</row>
    <row r="537" ht="13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</row>
    <row r="538" ht="13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</row>
    <row r="539" ht="13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</row>
    <row r="540" ht="13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</row>
    <row r="541" ht="13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</row>
    <row r="542" ht="13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</row>
    <row r="543" ht="13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</row>
    <row r="544" ht="13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</row>
    <row r="545" ht="13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</row>
    <row r="546" ht="13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</row>
    <row r="547" ht="13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</row>
    <row r="548" ht="13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</row>
    <row r="549" ht="13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</row>
    <row r="550" ht="13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</row>
    <row r="551" ht="13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</row>
    <row r="552" ht="13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</row>
    <row r="553" ht="13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</row>
    <row r="554" ht="13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</row>
    <row r="555" ht="13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</row>
    <row r="556" ht="13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</row>
    <row r="557" ht="13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</row>
    <row r="558" ht="13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</row>
    <row r="559" ht="13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</row>
    <row r="560" ht="13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</row>
    <row r="561" ht="13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</row>
    <row r="562" ht="13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</row>
    <row r="563" ht="13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</row>
    <row r="564" ht="13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</row>
    <row r="565" ht="13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</row>
    <row r="566" ht="13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</row>
    <row r="567" ht="13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</row>
    <row r="568" ht="13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</row>
    <row r="569" ht="13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</row>
    <row r="570" ht="13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</row>
    <row r="571" ht="13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</row>
    <row r="572" ht="13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</row>
    <row r="573" ht="13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</row>
    <row r="574" ht="13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</row>
    <row r="575" ht="13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</row>
    <row r="576" ht="13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</row>
    <row r="577" ht="13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</row>
    <row r="578" ht="13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</row>
    <row r="579" ht="13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</row>
    <row r="580" ht="13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</row>
    <row r="581" ht="13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</row>
    <row r="582" ht="13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</row>
    <row r="583" ht="13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</row>
    <row r="584" ht="13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</row>
    <row r="585" ht="13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</row>
    <row r="586" ht="13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</row>
    <row r="587" ht="13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</row>
    <row r="588" ht="13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</row>
    <row r="589" ht="13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</row>
    <row r="590" ht="13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</row>
    <row r="591" ht="13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</row>
    <row r="592" ht="13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</row>
    <row r="593" ht="13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</row>
    <row r="594" ht="13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</row>
    <row r="595" ht="13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</row>
    <row r="596" ht="13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</row>
    <row r="597" ht="13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</row>
    <row r="598" ht="13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</row>
    <row r="599" ht="13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</row>
    <row r="600" ht="13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</row>
    <row r="601" ht="13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</row>
    <row r="602" ht="13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</row>
    <row r="603" ht="13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</row>
    <row r="604" ht="13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</row>
    <row r="605" ht="13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</row>
    <row r="606" ht="13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</row>
    <row r="607" ht="13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</row>
    <row r="608" ht="13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</row>
    <row r="609" ht="13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</row>
    <row r="610" ht="13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</row>
    <row r="611" ht="13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</row>
    <row r="612" ht="13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</row>
    <row r="613" ht="13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</row>
    <row r="614" ht="13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</row>
    <row r="615" ht="13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</row>
    <row r="616" ht="13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</row>
    <row r="617" ht="13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</row>
    <row r="618" ht="13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</row>
    <row r="619" ht="13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</row>
    <row r="620" ht="13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</row>
    <row r="621" ht="13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</row>
    <row r="622" ht="13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</row>
    <row r="623" ht="13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</row>
    <row r="624" ht="13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</row>
    <row r="625" ht="13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</row>
    <row r="626" ht="13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</row>
    <row r="627" ht="13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</row>
    <row r="628" ht="13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</row>
    <row r="629" ht="13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</row>
    <row r="630" ht="13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</row>
    <row r="631" ht="13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</row>
    <row r="632" ht="13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</row>
    <row r="633" ht="13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</row>
    <row r="634" ht="13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</row>
    <row r="635" ht="13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</row>
    <row r="636" ht="13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</row>
    <row r="637" ht="13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</row>
    <row r="638" ht="13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</row>
    <row r="639" ht="13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</row>
    <row r="640" ht="13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</row>
    <row r="641" ht="13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</row>
    <row r="642" ht="13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</row>
    <row r="643" ht="13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</row>
    <row r="644" ht="13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</row>
    <row r="645" ht="13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</row>
    <row r="646" ht="13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</row>
    <row r="647" ht="13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</row>
    <row r="648" ht="13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</row>
    <row r="649" ht="13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</row>
    <row r="650" ht="13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</row>
    <row r="651" ht="13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</row>
    <row r="652" ht="13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</row>
    <row r="653" ht="13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</row>
    <row r="654" ht="13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</row>
    <row r="655" ht="13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</row>
    <row r="656" ht="13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</row>
    <row r="657" ht="13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</row>
    <row r="658" ht="13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</row>
    <row r="659" ht="13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</row>
    <row r="660" ht="13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</row>
    <row r="661" ht="13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</row>
    <row r="662" ht="13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</row>
    <row r="663" ht="13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</row>
    <row r="664" ht="13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</row>
    <row r="665" ht="13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</row>
    <row r="666" ht="13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</row>
    <row r="667" ht="13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</row>
    <row r="668" ht="13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</row>
    <row r="669" ht="13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</row>
    <row r="670" ht="13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</row>
    <row r="671" ht="13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</row>
    <row r="672" ht="13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</row>
    <row r="673" ht="13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</row>
    <row r="674" ht="13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</row>
    <row r="675" ht="13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</row>
    <row r="676" ht="13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</row>
    <row r="677" ht="13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</row>
    <row r="678" ht="13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</row>
    <row r="679" ht="13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</row>
    <row r="680" ht="13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</row>
    <row r="681" ht="13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</row>
    <row r="682" ht="13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</row>
    <row r="683" ht="13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</row>
    <row r="684" ht="13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</row>
    <row r="685" ht="13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</row>
    <row r="686" ht="13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</row>
    <row r="687" ht="13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</row>
    <row r="688" ht="13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</row>
    <row r="689" ht="13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</row>
    <row r="690" ht="13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</row>
    <row r="691" ht="13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</row>
    <row r="692" ht="13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</row>
    <row r="693" ht="13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</row>
    <row r="694" ht="13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</row>
    <row r="695" ht="13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</row>
    <row r="696" ht="13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</row>
    <row r="697" ht="13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</row>
    <row r="698" ht="13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</row>
    <row r="699" ht="13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</row>
    <row r="700" ht="13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</row>
    <row r="701" ht="13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</row>
    <row r="702" ht="13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</row>
    <row r="703" ht="13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</row>
    <row r="704" ht="13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</row>
    <row r="705" ht="13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</row>
    <row r="706" ht="13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</row>
    <row r="707" ht="13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</row>
    <row r="708" ht="13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</row>
    <row r="709" ht="13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</row>
    <row r="710" ht="13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</row>
    <row r="711" ht="13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</row>
    <row r="712" ht="13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</row>
    <row r="713" ht="13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</row>
    <row r="714" ht="13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</row>
    <row r="715" ht="13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</row>
    <row r="716" ht="13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</row>
    <row r="717" ht="13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</row>
    <row r="718" ht="13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</row>
    <row r="719" ht="13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</row>
    <row r="720" ht="13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</row>
    <row r="721" ht="13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</row>
    <row r="722" ht="13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</row>
    <row r="723" ht="13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</row>
    <row r="724" ht="13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</row>
    <row r="725" ht="13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</row>
    <row r="726" ht="13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</row>
    <row r="727" ht="13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</row>
    <row r="728" ht="13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</row>
    <row r="729" ht="13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</row>
    <row r="730" ht="13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</row>
    <row r="731" ht="13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</row>
    <row r="732" ht="13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</row>
    <row r="733" ht="13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</row>
    <row r="734" ht="13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</row>
    <row r="735" ht="13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</row>
    <row r="736" ht="13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</row>
    <row r="737" ht="13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</row>
    <row r="738" ht="13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</row>
    <row r="739" ht="13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</row>
    <row r="740" ht="13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</row>
    <row r="741" ht="13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</row>
    <row r="742" ht="13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</row>
    <row r="743" ht="13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</row>
    <row r="744" ht="13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</row>
    <row r="745" ht="13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</row>
    <row r="746" ht="13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</row>
    <row r="747" ht="13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</row>
    <row r="748" ht="13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</row>
    <row r="749" ht="13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</row>
    <row r="750" ht="13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</row>
    <row r="751" ht="13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</row>
    <row r="752" ht="13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</row>
    <row r="753" ht="13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</row>
    <row r="754" ht="13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</row>
    <row r="755" ht="13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</row>
    <row r="756" ht="13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</row>
    <row r="757" ht="13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</row>
    <row r="758" ht="13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</row>
    <row r="759" ht="13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</row>
    <row r="760" ht="13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</row>
    <row r="761" ht="13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</row>
    <row r="762" ht="13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</row>
    <row r="763" ht="13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</row>
    <row r="764" ht="13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</row>
    <row r="765" ht="13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</row>
    <row r="766" ht="13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</row>
    <row r="767" ht="13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</row>
    <row r="768" ht="13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</row>
    <row r="769" ht="13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</row>
    <row r="770" ht="13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</row>
    <row r="771" ht="13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</row>
    <row r="772" ht="13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</row>
    <row r="773" ht="13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</row>
    <row r="774" ht="13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</row>
    <row r="775" ht="13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</row>
    <row r="776" ht="13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</row>
    <row r="777" ht="13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</row>
    <row r="778" ht="13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</row>
    <row r="779" ht="13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</row>
    <row r="780" ht="13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</row>
    <row r="781" ht="13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</row>
    <row r="782" ht="13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</row>
    <row r="783" ht="13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</row>
    <row r="784" ht="13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</row>
    <row r="785" ht="13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</row>
    <row r="786" ht="13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</row>
    <row r="787" ht="13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</row>
    <row r="788" ht="13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</row>
    <row r="789" ht="13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</row>
    <row r="790" ht="13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</row>
    <row r="791" ht="13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</row>
    <row r="792" ht="13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</row>
    <row r="793" ht="13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</row>
    <row r="794" ht="13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</row>
    <row r="795" ht="13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</row>
    <row r="796" ht="13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</row>
    <row r="797" ht="13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</row>
    <row r="798" ht="13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</row>
    <row r="799" ht="13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</row>
    <row r="800" ht="13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</row>
    <row r="801" ht="13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</row>
    <row r="802" ht="13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</row>
    <row r="803" ht="13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</row>
    <row r="804" ht="13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</row>
    <row r="805" ht="13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</row>
    <row r="806" ht="13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</row>
    <row r="807" ht="13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</row>
    <row r="808" ht="13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</row>
    <row r="809" ht="13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</row>
    <row r="810" ht="13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</row>
    <row r="811" ht="13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</row>
    <row r="812" ht="13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</row>
    <row r="813" ht="13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</row>
    <row r="814" ht="13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</row>
    <row r="815" ht="13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</row>
    <row r="816" ht="13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</row>
    <row r="817" ht="13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</row>
    <row r="818" ht="13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</row>
    <row r="819" ht="13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</row>
    <row r="820" ht="13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</row>
    <row r="821" ht="13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</row>
    <row r="822" ht="13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</row>
    <row r="823" ht="13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</row>
    <row r="824" ht="13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</row>
    <row r="825" ht="13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</row>
    <row r="826" ht="13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</row>
    <row r="827" ht="13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</row>
    <row r="828" ht="13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</row>
    <row r="829" ht="13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</row>
    <row r="830" ht="13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</row>
    <row r="831" ht="13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</row>
    <row r="832" ht="13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</row>
    <row r="833" ht="13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</row>
    <row r="834" ht="13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</row>
    <row r="835" ht="13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</row>
    <row r="836" ht="13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</row>
    <row r="837" ht="13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</row>
    <row r="838" ht="13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</row>
    <row r="839" ht="13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</row>
    <row r="840" ht="13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</row>
    <row r="841" ht="13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</row>
    <row r="842" ht="13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</row>
    <row r="843" ht="13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</row>
    <row r="844" ht="13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</row>
    <row r="845" ht="13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</row>
    <row r="846" ht="13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</row>
    <row r="847" ht="13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</row>
    <row r="848" ht="13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</row>
    <row r="849" ht="13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</row>
    <row r="850" ht="13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</row>
    <row r="851" ht="13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</row>
    <row r="852" ht="13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</row>
    <row r="853" ht="13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</row>
    <row r="854" ht="13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</row>
    <row r="855" ht="13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</row>
    <row r="856" ht="13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</row>
    <row r="857" ht="13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</row>
    <row r="858" ht="13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</row>
    <row r="859" ht="13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</row>
    <row r="860" ht="13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</row>
    <row r="861" ht="13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</row>
    <row r="862" ht="13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</row>
    <row r="863" ht="13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</row>
    <row r="864" ht="13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</row>
    <row r="865" ht="13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</row>
    <row r="866" ht="13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</row>
    <row r="867" ht="13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</row>
    <row r="868" ht="13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</row>
    <row r="869" ht="13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</row>
    <row r="870" ht="13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</row>
    <row r="871" ht="13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</row>
    <row r="872" ht="13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</row>
    <row r="873" ht="13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</row>
    <row r="874" ht="13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</row>
    <row r="875" ht="13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</row>
    <row r="876" ht="13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</row>
    <row r="877" ht="13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</row>
    <row r="878" ht="13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</row>
    <row r="879" ht="13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</row>
    <row r="880" ht="13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</row>
    <row r="881" ht="13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</row>
    <row r="882" ht="13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</row>
    <row r="883" ht="13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</row>
    <row r="884" ht="13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</row>
    <row r="885" ht="13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</row>
    <row r="886" ht="13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</row>
    <row r="887" ht="13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</row>
    <row r="888" ht="13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</row>
    <row r="889" ht="13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</row>
    <row r="890" ht="13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</row>
    <row r="891" ht="13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</row>
    <row r="892" ht="13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</row>
    <row r="893" ht="13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</row>
    <row r="894" ht="13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</row>
    <row r="895" ht="13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</row>
    <row r="896" ht="13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</row>
    <row r="897" ht="13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</row>
    <row r="898" ht="13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</row>
    <row r="899" ht="13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</row>
    <row r="900" ht="13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</row>
    <row r="901" ht="13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</row>
    <row r="902" ht="13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</row>
    <row r="903" ht="13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</row>
    <row r="904" ht="13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</row>
    <row r="905" ht="13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</row>
    <row r="906" ht="13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</row>
    <row r="907" ht="13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</row>
    <row r="908" ht="13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</row>
    <row r="909" ht="13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</row>
    <row r="910" ht="13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</row>
    <row r="911" ht="13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</row>
    <row r="912" ht="13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</row>
    <row r="913" ht="13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</row>
    <row r="914" ht="13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</row>
    <row r="915" ht="13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</row>
    <row r="916" ht="13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</row>
    <row r="917" ht="13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</row>
    <row r="918" ht="13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</row>
    <row r="919" ht="13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</row>
    <row r="920" ht="13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</row>
    <row r="921" ht="13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</row>
    <row r="922" ht="13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</row>
    <row r="923" ht="13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</row>
    <row r="924" ht="13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</row>
    <row r="925" ht="13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</row>
    <row r="926" ht="13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</row>
    <row r="927" ht="13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</row>
    <row r="928" ht="13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</row>
    <row r="929" ht="13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</row>
    <row r="930" ht="13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</row>
    <row r="931" ht="13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</row>
    <row r="932" ht="13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</row>
    <row r="933" ht="13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</row>
    <row r="934" ht="13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</row>
    <row r="935" ht="13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</row>
    <row r="936" ht="13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</row>
    <row r="937" ht="13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</row>
    <row r="938" ht="13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</row>
    <row r="939" ht="13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</row>
    <row r="940" ht="13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</row>
    <row r="941" ht="13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</row>
    <row r="942" ht="13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</row>
    <row r="943" ht="13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</row>
    <row r="944" ht="13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</row>
    <row r="945" ht="13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</row>
    <row r="946" ht="13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</row>
    <row r="947" ht="13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</row>
    <row r="948" ht="13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</row>
    <row r="949" ht="13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</row>
    <row r="950" ht="13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</row>
    <row r="951" ht="13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</row>
    <row r="952" ht="13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</row>
    <row r="953" ht="13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</row>
    <row r="954" ht="13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</row>
    <row r="955" ht="13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</row>
    <row r="956" ht="13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</row>
    <row r="957" ht="13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</row>
    <row r="958" ht="13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</row>
    <row r="959" ht="13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</row>
    <row r="960" ht="13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</row>
    <row r="961" ht="13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</row>
    <row r="962" ht="13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</row>
    <row r="963" ht="13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</row>
    <row r="964" ht="13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</row>
    <row r="965" ht="13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</row>
    <row r="966" ht="13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</row>
    <row r="967" ht="13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</row>
    <row r="968" ht="13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</row>
    <row r="969" ht="13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</row>
    <row r="970" ht="13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</row>
    <row r="971" ht="13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</row>
    <row r="972" ht="13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</row>
    <row r="973" ht="13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</row>
    <row r="974" ht="13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</row>
    <row r="975" ht="13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</row>
    <row r="976" ht="13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</row>
    <row r="977" ht="13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</row>
    <row r="978" ht="13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</row>
    <row r="979" ht="13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</row>
    <row r="980" ht="13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</row>
    <row r="981" ht="13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</row>
    <row r="982" ht="13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</row>
    <row r="983" ht="13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</row>
    <row r="984" ht="13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</row>
    <row r="985" ht="13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</row>
    <row r="986" ht="13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</row>
    <row r="987" ht="13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</row>
    <row r="988" ht="13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</row>
    <row r="989" ht="13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</row>
    <row r="990" ht="13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</row>
    <row r="991" ht="13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</row>
    <row r="992" ht="13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</row>
    <row r="993" ht="13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</row>
    <row r="994" ht="13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</row>
    <row r="995" ht="13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</row>
    <row r="996" ht="13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</row>
    <row r="997" ht="13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</row>
    <row r="998" ht="13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</row>
    <row r="999" ht="13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</row>
    <row r="1000" ht="13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</row>
  </sheetData>
  <mergeCells count="24">
    <mergeCell ref="A1:AI1"/>
    <mergeCell ref="A2:AI2"/>
    <mergeCell ref="B5:AI5"/>
    <mergeCell ref="C7:F7"/>
    <mergeCell ref="R7:U7"/>
    <mergeCell ref="B10:I10"/>
    <mergeCell ref="Q10:X10"/>
    <mergeCell ref="AE25:AI25"/>
    <mergeCell ref="AE26:AI26"/>
    <mergeCell ref="AE28:AI28"/>
    <mergeCell ref="B30:I30"/>
    <mergeCell ref="Q30:X30"/>
    <mergeCell ref="B35:I35"/>
    <mergeCell ref="Q35:X35"/>
    <mergeCell ref="B40:I40"/>
    <mergeCell ref="Q40:X40"/>
    <mergeCell ref="B45:I45"/>
    <mergeCell ref="B15:I15"/>
    <mergeCell ref="Q15:X15"/>
    <mergeCell ref="B20:I20"/>
    <mergeCell ref="Q20:X20"/>
    <mergeCell ref="AE24:AI24"/>
    <mergeCell ref="B25:I25"/>
    <mergeCell ref="Q25:X25"/>
  </mergeCells>
  <printOptions/>
  <pageMargins bottom="1.0" footer="0.0" header="0.0" left="0.75" right="0.75" top="1.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hidden="1" min="1" max="1" width="6.0"/>
    <col customWidth="1" min="2" max="2" width="38.75"/>
    <col customWidth="1" min="3" max="3" width="7.0"/>
    <col customWidth="1" hidden="1" min="4" max="4" width="6.13"/>
    <col customWidth="1" min="5" max="5" width="1.63"/>
    <col customWidth="1" min="6" max="6" width="7.0"/>
    <col customWidth="1" hidden="1" min="7" max="7" width="6.13"/>
    <col customWidth="1" min="8" max="8" width="1.63"/>
    <col customWidth="1" min="9" max="9" width="7.0"/>
    <col customWidth="1" hidden="1" min="10" max="10" width="6.13"/>
    <col customWidth="1" hidden="1" min="11" max="11" width="7.5"/>
    <col customWidth="1" hidden="1" min="12" max="12" width="11.38"/>
    <col customWidth="1" hidden="1" min="13" max="13" width="8.0"/>
    <col customWidth="1" hidden="1" min="14" max="14" width="6.13"/>
    <col customWidth="1" min="15" max="15" width="4.75"/>
    <col customWidth="1" hidden="1" min="16" max="16" width="7.38"/>
    <col customWidth="1" min="17" max="17" width="38.75"/>
    <col customWidth="1" min="18" max="18" width="7.0"/>
    <col customWidth="1" hidden="1" min="19" max="19" width="6.13"/>
    <col customWidth="1" min="20" max="20" width="1.63"/>
    <col customWidth="1" min="21" max="21" width="7.0"/>
    <col customWidth="1" hidden="1" min="22" max="22" width="6.13"/>
    <col customWidth="1" min="23" max="23" width="1.63"/>
    <col customWidth="1" min="24" max="24" width="7.0"/>
    <col customWidth="1" hidden="1" min="25" max="25" width="6.13"/>
    <col customWidth="1" hidden="1" min="26" max="26" width="7.5"/>
    <col customWidth="1" hidden="1" min="27" max="27" width="11.38"/>
    <col customWidth="1" hidden="1" min="28" max="28" width="8.0"/>
    <col customWidth="1" hidden="1" min="29" max="29" width="6.13"/>
    <col customWidth="1" min="30" max="30" width="4.88"/>
    <col customWidth="1" min="31" max="31" width="42.38"/>
    <col customWidth="1" min="32" max="35" width="8.63"/>
    <col customWidth="1" hidden="1" min="36" max="36" width="9.38"/>
    <col customWidth="1" hidden="1" min="37" max="37" width="8.0"/>
    <col customWidth="1" hidden="1" min="38" max="38" width="41.13"/>
    <col customWidth="1" min="39" max="40" width="9.38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2" s="1" t="s">
        <v>1</v>
      </c>
      <c r="AJ2" s="4"/>
      <c r="AK2" s="4"/>
      <c r="AL2" s="4"/>
      <c r="AM2" s="4"/>
      <c r="AN2" s="4"/>
    </row>
    <row r="3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30.0" customHeight="1">
      <c r="A5" s="15"/>
      <c r="B5" s="57" t="s">
        <v>26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  <c r="AJ5" s="15"/>
      <c r="AK5" s="15"/>
      <c r="AL5" s="15"/>
      <c r="AM5" s="15"/>
      <c r="AN5" s="15"/>
    </row>
    <row r="6" ht="13.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ht="13.5" customHeight="1">
      <c r="A7" s="15"/>
      <c r="B7" s="58" t="s">
        <v>65</v>
      </c>
      <c r="C7" s="59" t="s">
        <v>66</v>
      </c>
      <c r="D7" s="21"/>
      <c r="E7" s="21"/>
      <c r="F7" s="7"/>
      <c r="G7" s="60"/>
      <c r="H7" s="61"/>
      <c r="I7" s="58" t="s">
        <v>67</v>
      </c>
      <c r="J7" s="15"/>
      <c r="K7" s="15"/>
      <c r="L7" s="15"/>
      <c r="M7" s="24"/>
      <c r="N7" s="24"/>
      <c r="O7" s="15"/>
      <c r="P7" s="15"/>
      <c r="Q7" s="58" t="s">
        <v>65</v>
      </c>
      <c r="R7" s="59" t="s">
        <v>66</v>
      </c>
      <c r="S7" s="21"/>
      <c r="T7" s="21"/>
      <c r="U7" s="7"/>
      <c r="V7" s="60"/>
      <c r="W7" s="61"/>
      <c r="X7" s="58" t="s">
        <v>67</v>
      </c>
      <c r="Y7" s="24"/>
      <c r="Z7" s="24"/>
      <c r="AA7" s="24"/>
      <c r="AB7" s="24"/>
      <c r="AC7" s="24"/>
      <c r="AD7" s="15"/>
      <c r="AE7" s="58" t="s">
        <v>68</v>
      </c>
      <c r="AF7" s="58" t="s">
        <v>69</v>
      </c>
      <c r="AG7" s="58" t="s">
        <v>70</v>
      </c>
      <c r="AH7" s="58" t="s">
        <v>71</v>
      </c>
      <c r="AI7" s="58" t="s">
        <v>72</v>
      </c>
      <c r="AJ7" s="24"/>
      <c r="AK7" s="24"/>
      <c r="AL7" s="24"/>
      <c r="AM7" s="15"/>
      <c r="AN7" s="15"/>
    </row>
    <row r="8" ht="13.5" hidden="1" customHeight="1">
      <c r="A8" s="15"/>
      <c r="B8" s="15"/>
      <c r="C8" s="25" t="s">
        <v>73</v>
      </c>
      <c r="D8" s="25" t="s">
        <v>74</v>
      </c>
      <c r="E8" s="25"/>
      <c r="F8" s="25" t="s">
        <v>73</v>
      </c>
      <c r="G8" s="25" t="s">
        <v>75</v>
      </c>
      <c r="H8" s="25"/>
      <c r="I8" s="25" t="s">
        <v>73</v>
      </c>
      <c r="J8" s="25" t="s">
        <v>76</v>
      </c>
      <c r="K8" s="25" t="s">
        <v>77</v>
      </c>
      <c r="L8" s="25" t="s">
        <v>78</v>
      </c>
      <c r="M8" s="25" t="s">
        <v>79</v>
      </c>
      <c r="N8" s="25" t="s">
        <v>80</v>
      </c>
      <c r="O8" s="15"/>
      <c r="P8" s="15"/>
      <c r="Q8" s="15"/>
      <c r="R8" s="25" t="s">
        <v>73</v>
      </c>
      <c r="S8" s="25" t="s">
        <v>74</v>
      </c>
      <c r="T8" s="25"/>
      <c r="U8" s="25" t="s">
        <v>73</v>
      </c>
      <c r="V8" s="25" t="s">
        <v>75</v>
      </c>
      <c r="W8" s="25"/>
      <c r="X8" s="25" t="s">
        <v>73</v>
      </c>
      <c r="Y8" s="25" t="s">
        <v>76</v>
      </c>
      <c r="Z8" s="25" t="s">
        <v>77</v>
      </c>
      <c r="AA8" s="25" t="s">
        <v>78</v>
      </c>
      <c r="AB8" s="25" t="s">
        <v>79</v>
      </c>
      <c r="AC8" s="25" t="s">
        <v>80</v>
      </c>
      <c r="AD8" s="15"/>
      <c r="AE8" s="24"/>
      <c r="AF8" s="24"/>
      <c r="AG8" s="24"/>
      <c r="AH8" s="24"/>
      <c r="AI8" s="24"/>
      <c r="AJ8" s="25" t="s">
        <v>81</v>
      </c>
      <c r="AK8" s="26" t="s">
        <v>82</v>
      </c>
      <c r="AL8" s="27" t="s">
        <v>83</v>
      </c>
      <c r="AM8" s="15"/>
      <c r="AN8" s="15"/>
    </row>
    <row r="9" ht="15.0" customHeight="1">
      <c r="A9" s="15"/>
      <c r="B9" s="28" t="str">
        <f>AE9</f>
        <v>Clint Agius / Kevin Formosa</v>
      </c>
      <c r="C9" s="29">
        <v>6.0</v>
      </c>
      <c r="D9" s="30">
        <f>IF(C9&gt;C11,1,0)</f>
        <v>1</v>
      </c>
      <c r="E9" s="31"/>
      <c r="F9" s="29">
        <v>6.0</v>
      </c>
      <c r="G9" s="30">
        <f>IF(F9&gt;F11,1,0)</f>
        <v>1</v>
      </c>
      <c r="H9" s="31"/>
      <c r="I9" s="32"/>
      <c r="J9" s="15">
        <f>IF(I9&gt;I11,1,0)</f>
        <v>0</v>
      </c>
      <c r="K9" s="15">
        <f>IF(D9+G9=2,3,IF(D9+G9=1,1,0))</f>
        <v>3</v>
      </c>
      <c r="L9" s="15">
        <f>IF(K9=3,3,IF(J9+K9=2,2,IF(K9=1,1,0)))</f>
        <v>3</v>
      </c>
      <c r="M9" s="15">
        <f>C9+F9</f>
        <v>12</v>
      </c>
      <c r="N9" s="15">
        <f>D9+G9+J9</f>
        <v>2</v>
      </c>
      <c r="O9" s="15"/>
      <c r="P9" s="15"/>
      <c r="Q9" s="28" t="str">
        <f>AE9</f>
        <v>Clint Agius / Kevin Formosa</v>
      </c>
      <c r="R9" s="29">
        <v>4.0</v>
      </c>
      <c r="S9" s="30">
        <f>IF(R9&gt;R11,1,0)</f>
        <v>0</v>
      </c>
      <c r="T9" s="31"/>
      <c r="U9" s="29">
        <v>3.0</v>
      </c>
      <c r="V9" s="30">
        <f>IF(U9&gt;U11,1,0)</f>
        <v>0</v>
      </c>
      <c r="W9" s="31"/>
      <c r="X9" s="32"/>
      <c r="Y9" s="15">
        <f>IF(X9&gt;X11,1,0)</f>
        <v>0</v>
      </c>
      <c r="Z9" s="15">
        <f>IF(S9+V9=2,3,IF(S9+V9=1,1,0))</f>
        <v>0</v>
      </c>
      <c r="AA9" s="15">
        <f>IF(Z9=3,3,IF(Y9+Z9=2,2,IF(Z9=1,1,0)))</f>
        <v>0</v>
      </c>
      <c r="AB9" s="15">
        <f>R9+U9</f>
        <v>7</v>
      </c>
      <c r="AC9" s="15">
        <f>S9+V9+Y9</f>
        <v>0</v>
      </c>
      <c r="AD9" s="15"/>
      <c r="AE9" s="62" t="str">
        <f>'Players Men'!B21&amp; " / " &amp;'Players Men'!C21</f>
        <v>Clint Agius / Kevin Formosa</v>
      </c>
      <c r="AF9" s="34">
        <f>C12+R12+C17+R17+C22</f>
        <v>5</v>
      </c>
      <c r="AG9" s="34">
        <f t="shared" ref="AG9:AI9" si="1">L9+AA9+L14+AA14+L19</f>
        <v>10</v>
      </c>
      <c r="AH9" s="34">
        <f t="shared" si="1"/>
        <v>51</v>
      </c>
      <c r="AI9" s="35">
        <f t="shared" si="1"/>
        <v>8</v>
      </c>
      <c r="AJ9" s="15">
        <f>MAX(AG16,AG14,AG11,AG9,AG19,AG21)</f>
        <v>15</v>
      </c>
      <c r="AK9" s="15">
        <f>SUM(AF9:AF21)</f>
        <v>30</v>
      </c>
      <c r="AL9" s="15" t="str">
        <f>IF(AG9=$AJ$9,AE9,IF(AG11=$AJ$9,AE11,IF(AG14=$AJ$9,AE14,IF(AG16=$AJ$9,AE16,IF(AG19=$AJ$9,AE19,IF(AG21=$AJ$9,AE21,""))))))</f>
        <v>James Farrugia / Jean Paul Vella</v>
      </c>
      <c r="AM9" s="15"/>
      <c r="AN9" s="15"/>
    </row>
    <row r="10" ht="13.5" customHeight="1">
      <c r="A10" s="15"/>
      <c r="B10" s="36" t="s">
        <v>84</v>
      </c>
      <c r="I10" s="37"/>
      <c r="J10" s="38"/>
      <c r="K10" s="15"/>
      <c r="L10" s="15"/>
      <c r="M10" s="15"/>
      <c r="N10" s="15"/>
      <c r="O10" s="15"/>
      <c r="P10" s="15"/>
      <c r="Q10" s="36" t="s">
        <v>84</v>
      </c>
      <c r="X10" s="37"/>
      <c r="Y10" s="3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24"/>
      <c r="AL10" s="24"/>
      <c r="AM10" s="15"/>
      <c r="AN10" s="15"/>
    </row>
    <row r="11" ht="13.5" customHeight="1">
      <c r="A11" s="15"/>
      <c r="B11" s="39" t="str">
        <f>AE11</f>
        <v>Aaron Micallef Piccione / Adrian Sciberras</v>
      </c>
      <c r="C11" s="29">
        <v>4.0</v>
      </c>
      <c r="D11" s="40">
        <f>IF(C11&gt;C9,1,0)</f>
        <v>0</v>
      </c>
      <c r="E11" s="41"/>
      <c r="F11" s="29">
        <v>3.0</v>
      </c>
      <c r="G11" s="40">
        <f>IF(F11&gt;F9,1,0)</f>
        <v>0</v>
      </c>
      <c r="H11" s="41"/>
      <c r="I11" s="32"/>
      <c r="J11" s="15">
        <f>IF(I11&gt;I9,1,0)</f>
        <v>0</v>
      </c>
      <c r="K11" s="15">
        <f>IF(D11+G11=2,3,IF(D11+G11=1,1,0))</f>
        <v>0</v>
      </c>
      <c r="L11" s="15">
        <f>IF(K11=3,3,IF(J11+K11=2,2,IF(K11=1,1,0)))</f>
        <v>0</v>
      </c>
      <c r="M11" s="15">
        <f>C11+F11</f>
        <v>7</v>
      </c>
      <c r="N11" s="15">
        <f>D11+G11+J11</f>
        <v>0</v>
      </c>
      <c r="O11" s="15"/>
      <c r="P11" s="15"/>
      <c r="Q11" s="39" t="str">
        <f>AE14</f>
        <v>James Farrugia / Jean Paul Vella</v>
      </c>
      <c r="R11" s="29">
        <v>6.0</v>
      </c>
      <c r="S11" s="40">
        <f>IF(R11&gt;R9,1,0)</f>
        <v>1</v>
      </c>
      <c r="T11" s="41"/>
      <c r="U11" s="29">
        <v>6.0</v>
      </c>
      <c r="V11" s="40">
        <f>IF(U11&gt;U9,1,0)</f>
        <v>1</v>
      </c>
      <c r="W11" s="41"/>
      <c r="X11" s="32"/>
      <c r="Y11" s="15">
        <f>IF(X11&gt;X9,1,0)</f>
        <v>0</v>
      </c>
      <c r="Z11" s="15">
        <f>IF(S11+V11=2,3,IF(S11+V11=1,1,0))</f>
        <v>3</v>
      </c>
      <c r="AA11" s="15">
        <f>IF(Z11=3,3,IF(Y11+Z11=2,2,IF(Z11=1,1,0)))</f>
        <v>3</v>
      </c>
      <c r="AB11" s="15">
        <f>R11+U11</f>
        <v>12</v>
      </c>
      <c r="AC11" s="15">
        <f>S11+V11+Y11</f>
        <v>2</v>
      </c>
      <c r="AD11" s="15"/>
      <c r="AE11" s="62" t="str">
        <f>'Players Men'!B22&amp; " / " &amp;'Players Men'!C22</f>
        <v>Aaron Micallef Piccione / Adrian Sciberras</v>
      </c>
      <c r="AF11" s="34">
        <f>F12+R32+C32+R27+C27</f>
        <v>5</v>
      </c>
      <c r="AG11" s="34">
        <f t="shared" ref="AG11:AI11" si="2">L11+AA29+L29+AA24+L24</f>
        <v>2</v>
      </c>
      <c r="AH11" s="34">
        <f t="shared" si="2"/>
        <v>34</v>
      </c>
      <c r="AI11" s="35">
        <f t="shared" si="2"/>
        <v>2</v>
      </c>
      <c r="AJ11" s="24"/>
      <c r="AK11" s="24"/>
      <c r="AL11" s="24"/>
      <c r="AM11" s="15"/>
      <c r="AN11" s="15"/>
    </row>
    <row r="12" ht="13.5" hidden="1" customHeight="1">
      <c r="A12" s="15" t="s">
        <v>85</v>
      </c>
      <c r="B12" s="15"/>
      <c r="C12" s="42">
        <f>IF(C9="",0,1)</f>
        <v>1</v>
      </c>
      <c r="D12" s="15"/>
      <c r="E12" s="15"/>
      <c r="F12" s="42">
        <f>IF(C11="",0,1)</f>
        <v>1</v>
      </c>
      <c r="G12" s="15"/>
      <c r="H12" s="15"/>
      <c r="I12" s="15"/>
      <c r="J12" s="15"/>
      <c r="K12" s="15"/>
      <c r="L12" s="15"/>
      <c r="M12" s="15"/>
      <c r="N12" s="15"/>
      <c r="O12" s="15"/>
      <c r="P12" s="15" t="s">
        <v>85</v>
      </c>
      <c r="Q12" s="15"/>
      <c r="R12" s="42">
        <f>IF(R9="",0,1)</f>
        <v>1</v>
      </c>
      <c r="S12" s="15"/>
      <c r="T12" s="15"/>
      <c r="U12" s="42">
        <f>IF(R11="",0,1)</f>
        <v>1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24"/>
      <c r="AG12" s="24"/>
      <c r="AH12" s="24"/>
      <c r="AI12" s="24"/>
      <c r="AJ12" s="24"/>
      <c r="AK12" s="15"/>
      <c r="AL12" s="15"/>
      <c r="AM12" s="15"/>
      <c r="AN12" s="15"/>
    </row>
    <row r="13" ht="13.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24"/>
      <c r="AG13" s="24"/>
      <c r="AH13" s="24"/>
      <c r="AI13" s="24"/>
      <c r="AJ13" s="24"/>
      <c r="AK13" s="24"/>
      <c r="AL13" s="24"/>
      <c r="AM13" s="15"/>
      <c r="AN13" s="15"/>
    </row>
    <row r="14" ht="13.5" customHeight="1">
      <c r="A14" s="15"/>
      <c r="B14" s="28" t="str">
        <f>AE9</f>
        <v>Clint Agius / Kevin Formosa</v>
      </c>
      <c r="C14" s="29">
        <v>6.0</v>
      </c>
      <c r="D14" s="30">
        <f>IF(C14&gt;C16,1,0)</f>
        <v>1</v>
      </c>
      <c r="E14" s="31"/>
      <c r="F14" s="29">
        <v>5.0</v>
      </c>
      <c r="G14" s="30">
        <f>IF(F14&gt;F16,1,0)</f>
        <v>0</v>
      </c>
      <c r="H14" s="31"/>
      <c r="I14" s="29">
        <v>10.0</v>
      </c>
      <c r="J14" s="15">
        <f>IF(I14&gt;I16,1,0)</f>
        <v>1</v>
      </c>
      <c r="K14" s="15">
        <f>IF(D14+G14=2,3,IF(D14+G14=1,1,0))</f>
        <v>1</v>
      </c>
      <c r="L14" s="15">
        <f>IF(K14=3,3,IF(J14+K14=2,2,IF(K14=1,1,0)))</f>
        <v>2</v>
      </c>
      <c r="M14" s="15">
        <f>C14+F14</f>
        <v>11</v>
      </c>
      <c r="N14" s="15">
        <f>D14+G14+J14</f>
        <v>2</v>
      </c>
      <c r="O14" s="15"/>
      <c r="P14" s="15"/>
      <c r="Q14" s="28" t="str">
        <f>AE9</f>
        <v>Clint Agius / Kevin Formosa</v>
      </c>
      <c r="R14" s="29">
        <v>3.0</v>
      </c>
      <c r="S14" s="30">
        <f>IF(R14&gt;R16,1,0)</f>
        <v>0</v>
      </c>
      <c r="T14" s="31"/>
      <c r="U14" s="29">
        <v>6.0</v>
      </c>
      <c r="V14" s="30">
        <f>IF(U14&gt;U16,1,0)</f>
        <v>1</v>
      </c>
      <c r="W14" s="31"/>
      <c r="X14" s="29">
        <v>11.0</v>
      </c>
      <c r="Y14" s="15">
        <f>IF(X14&gt;X16,1,0)</f>
        <v>1</v>
      </c>
      <c r="Z14" s="15">
        <f>IF(S14+V14=2,3,IF(S14+V14=1,1,0))</f>
        <v>1</v>
      </c>
      <c r="AA14" s="15">
        <f>IF(Z14=3,3,IF(Y14+Z14=2,2,IF(Z14=1,1,0)))</f>
        <v>2</v>
      </c>
      <c r="AB14" s="15">
        <f>R14+U14</f>
        <v>9</v>
      </c>
      <c r="AC14" s="15">
        <f>S14+V14+Y14</f>
        <v>2</v>
      </c>
      <c r="AD14" s="15"/>
      <c r="AE14" s="62" t="str">
        <f>'Players Men'!B23&amp; " / " &amp;'Players Men'!C23</f>
        <v>James Farrugia / Jean Paul Vella</v>
      </c>
      <c r="AF14" s="34">
        <f>R37+U12+R42+C42+F27</f>
        <v>5</v>
      </c>
      <c r="AG14" s="34">
        <f t="shared" ref="AG14:AI14" si="3">AA34+AA11+AA39+L39+L26</f>
        <v>15</v>
      </c>
      <c r="AH14" s="34">
        <f t="shared" si="3"/>
        <v>60</v>
      </c>
      <c r="AI14" s="35">
        <f t="shared" si="3"/>
        <v>10</v>
      </c>
      <c r="AJ14" s="24"/>
      <c r="AK14" s="24"/>
      <c r="AL14" s="24"/>
      <c r="AM14" s="15"/>
      <c r="AN14" s="15"/>
    </row>
    <row r="15" ht="13.5" customHeight="1">
      <c r="A15" s="15"/>
      <c r="B15" s="36" t="s">
        <v>84</v>
      </c>
      <c r="I15" s="37"/>
      <c r="J15" s="38"/>
      <c r="K15" s="15"/>
      <c r="L15" s="15"/>
      <c r="M15" s="15"/>
      <c r="N15" s="15"/>
      <c r="O15" s="15"/>
      <c r="P15" s="15"/>
      <c r="Q15" s="36" t="s">
        <v>84</v>
      </c>
      <c r="X15" s="37"/>
      <c r="Y15" s="38"/>
      <c r="Z15" s="15"/>
      <c r="AA15" s="15"/>
      <c r="AB15" s="15"/>
      <c r="AC15" s="15"/>
      <c r="AD15" s="15"/>
      <c r="AE15" s="15"/>
      <c r="AF15" s="24"/>
      <c r="AG15" s="24"/>
      <c r="AH15" s="24"/>
      <c r="AI15" s="24"/>
      <c r="AJ15" s="24"/>
      <c r="AK15" s="24"/>
      <c r="AL15" s="24"/>
      <c r="AM15" s="15"/>
      <c r="AN15" s="15"/>
    </row>
    <row r="16" ht="13.5" customHeight="1">
      <c r="A16" s="15"/>
      <c r="B16" s="39" t="str">
        <f>AE16</f>
        <v>Denis Caruana / Kristen Cachia</v>
      </c>
      <c r="C16" s="29">
        <v>1.0</v>
      </c>
      <c r="D16" s="40">
        <f>IF(C16&gt;C14,1,0)</f>
        <v>0</v>
      </c>
      <c r="E16" s="41"/>
      <c r="F16" s="29">
        <v>7.0</v>
      </c>
      <c r="G16" s="40">
        <f>IF(F16&gt;F14,1,0)</f>
        <v>1</v>
      </c>
      <c r="H16" s="41"/>
      <c r="I16" s="29">
        <v>7.0</v>
      </c>
      <c r="J16" s="15">
        <f>IF(I16&gt;I14,1,0)</f>
        <v>0</v>
      </c>
      <c r="K16" s="15">
        <f>IF(D16+G16=2,3,IF(D16+G16=1,1,0))</f>
        <v>1</v>
      </c>
      <c r="L16" s="15">
        <f>IF(K16=3,3,IF(J16+K16=2,2,IF(K16=1,1,0)))</f>
        <v>1</v>
      </c>
      <c r="M16" s="15">
        <f>C16+F16</f>
        <v>8</v>
      </c>
      <c r="N16" s="15">
        <f>D16+G16+J16</f>
        <v>1</v>
      </c>
      <c r="O16" s="15"/>
      <c r="P16" s="15"/>
      <c r="Q16" s="39" t="str">
        <f>AE19</f>
        <v>Manuel Mifsud / Julian Esposito</v>
      </c>
      <c r="R16" s="29">
        <v>6.0</v>
      </c>
      <c r="S16" s="40">
        <f>IF(R16&gt;R14,1,0)</f>
        <v>1</v>
      </c>
      <c r="T16" s="41"/>
      <c r="U16" s="29">
        <v>3.0</v>
      </c>
      <c r="V16" s="40">
        <f>IF(U16&gt;U14,1,0)</f>
        <v>0</v>
      </c>
      <c r="W16" s="41"/>
      <c r="X16" s="29">
        <v>9.0</v>
      </c>
      <c r="Y16" s="15">
        <f>IF(X16&gt;X14,1,0)</f>
        <v>0</v>
      </c>
      <c r="Z16" s="15">
        <f>IF(S16+V16=2,3,IF(S16+V16=1,1,0))</f>
        <v>1</v>
      </c>
      <c r="AA16" s="15">
        <f>IF(Z16=3,3,IF(Y16+Z16=2,2,IF(Z16=1,1,0)))</f>
        <v>1</v>
      </c>
      <c r="AB16" s="15">
        <f>R16+U16</f>
        <v>9</v>
      </c>
      <c r="AC16" s="15">
        <f>S16+V16+Y16</f>
        <v>1</v>
      </c>
      <c r="AD16" s="15"/>
      <c r="AE16" s="62" t="str">
        <f>'Players Men'!B24&amp; " / " &amp;'Players Men'!C24</f>
        <v>Denis Caruana / Kristen Cachia</v>
      </c>
      <c r="AF16" s="34">
        <f>U37+C47+F17+U27+C37</f>
        <v>5</v>
      </c>
      <c r="AG16" s="34">
        <f t="shared" ref="AG16:AI16" si="4">AA36+L44+L16+AA26+L34</f>
        <v>9</v>
      </c>
      <c r="AH16" s="34">
        <f t="shared" si="4"/>
        <v>46</v>
      </c>
      <c r="AI16" s="35">
        <f t="shared" si="4"/>
        <v>7</v>
      </c>
      <c r="AJ16" s="24"/>
      <c r="AK16" s="24"/>
      <c r="AL16" s="24"/>
      <c r="AM16" s="15"/>
      <c r="AN16" s="15"/>
    </row>
    <row r="17" ht="13.5" hidden="1" customHeight="1">
      <c r="A17" s="15" t="s">
        <v>85</v>
      </c>
      <c r="B17" s="15"/>
      <c r="C17" s="42">
        <f>IF(C14="",0,1)</f>
        <v>1</v>
      </c>
      <c r="D17" s="15"/>
      <c r="E17" s="15"/>
      <c r="F17" s="42">
        <f>IF(C16="",0,1)</f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 t="s">
        <v>85</v>
      </c>
      <c r="Q17" s="15"/>
      <c r="R17" s="42">
        <f>IF(R14="",0,1)</f>
        <v>1</v>
      </c>
      <c r="S17" s="15"/>
      <c r="T17" s="15"/>
      <c r="U17" s="42">
        <f>IF(R16="",0,1)</f>
        <v>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24"/>
      <c r="AG17" s="24"/>
      <c r="AH17" s="24"/>
      <c r="AI17" s="24"/>
      <c r="AJ17" s="24"/>
      <c r="AK17" s="15"/>
      <c r="AL17" s="15"/>
      <c r="AM17" s="15"/>
      <c r="AN17" s="15"/>
    </row>
    <row r="18" ht="13.5" customHeight="1">
      <c r="A18" s="15"/>
      <c r="B18" s="15"/>
      <c r="C18" s="2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24"/>
      <c r="AG18" s="24"/>
      <c r="AH18" s="24"/>
      <c r="AI18" s="24"/>
      <c r="AJ18" s="24"/>
      <c r="AK18" s="24"/>
      <c r="AL18" s="24"/>
      <c r="AM18" s="15"/>
      <c r="AN18" s="15"/>
    </row>
    <row r="19" ht="13.5" customHeight="1">
      <c r="A19" s="15"/>
      <c r="B19" s="28" t="str">
        <f>AE9</f>
        <v>Clint Agius / Kevin Formosa</v>
      </c>
      <c r="C19" s="29">
        <v>6.0</v>
      </c>
      <c r="D19" s="30">
        <f>IF(C19&gt;C21,1,0)</f>
        <v>1</v>
      </c>
      <c r="E19" s="31"/>
      <c r="F19" s="29">
        <v>6.0</v>
      </c>
      <c r="G19" s="30">
        <f>IF(F19&gt;F21,1,0)</f>
        <v>1</v>
      </c>
      <c r="H19" s="31"/>
      <c r="I19" s="32"/>
      <c r="J19" s="15">
        <f>IF(I19&gt;I21,1,0)</f>
        <v>0</v>
      </c>
      <c r="K19" s="15">
        <f>IF(D19+G19=2,3,IF(D19+G19=1,1,0))</f>
        <v>3</v>
      </c>
      <c r="L19" s="15">
        <f>IF(K19=3,3,IF(J19+K19=2,2,IF(K19=1,1,0)))</f>
        <v>3</v>
      </c>
      <c r="M19" s="15">
        <f>C19+F19</f>
        <v>12</v>
      </c>
      <c r="N19" s="15">
        <f>D19+G19+J19</f>
        <v>2</v>
      </c>
      <c r="O19" s="15"/>
      <c r="P19" s="15"/>
      <c r="Q19" s="28" t="str">
        <f>AE19</f>
        <v>Manuel Mifsud / Julian Esposito</v>
      </c>
      <c r="R19" s="29">
        <v>7.0</v>
      </c>
      <c r="S19" s="30">
        <f>IF(R19&gt;R21,1,0)</f>
        <v>1</v>
      </c>
      <c r="T19" s="31"/>
      <c r="U19" s="29">
        <v>6.0</v>
      </c>
      <c r="V19" s="30">
        <f>IF(U19&gt;U21,1,0)</f>
        <v>0</v>
      </c>
      <c r="W19" s="31"/>
      <c r="X19" s="29">
        <v>13.0</v>
      </c>
      <c r="Y19" s="15">
        <f>IF(X19&gt;X21,1,0)</f>
        <v>0</v>
      </c>
      <c r="Z19" s="15">
        <f>IF(S19+V19=2,3,IF(S19+V19=1,1,0))</f>
        <v>1</v>
      </c>
      <c r="AA19" s="15">
        <f>IF(Z19=3,3,IF(Y19+Z19=2,2,IF(Z19=1,1,0)))</f>
        <v>1</v>
      </c>
      <c r="AB19" s="15">
        <f>R19+U19</f>
        <v>13</v>
      </c>
      <c r="AC19" s="15">
        <f>S19+V19+Y19</f>
        <v>1</v>
      </c>
      <c r="AD19" s="15"/>
      <c r="AE19" s="62" t="str">
        <f>'Players Men'!B25&amp; " / " &amp;'Players Men'!C25</f>
        <v>Manuel Mifsud / Julian Esposito</v>
      </c>
      <c r="AF19" s="34">
        <f>R22+F47+F32+U17+F42</f>
        <v>5</v>
      </c>
      <c r="AG19" s="34">
        <f t="shared" ref="AG19:AI19" si="5">AA19+L46+L31+AA16+L41</f>
        <v>5</v>
      </c>
      <c r="AH19" s="34">
        <f t="shared" si="5"/>
        <v>44</v>
      </c>
      <c r="AI19" s="35">
        <f t="shared" si="5"/>
        <v>5</v>
      </c>
      <c r="AJ19" s="24"/>
      <c r="AK19" s="24"/>
      <c r="AL19" s="24"/>
      <c r="AM19" s="15"/>
      <c r="AN19" s="15"/>
    </row>
    <row r="20" ht="13.5" customHeight="1">
      <c r="A20" s="15"/>
      <c r="B20" s="36" t="s">
        <v>84</v>
      </c>
      <c r="I20" s="37"/>
      <c r="J20" s="38"/>
      <c r="K20" s="15"/>
      <c r="L20" s="15"/>
      <c r="M20" s="15"/>
      <c r="N20" s="15"/>
      <c r="O20" s="15"/>
      <c r="P20" s="15"/>
      <c r="Q20" s="36" t="s">
        <v>84</v>
      </c>
      <c r="X20" s="37"/>
      <c r="Y20" s="38"/>
      <c r="Z20" s="15"/>
      <c r="AA20" s="15"/>
      <c r="AB20" s="15"/>
      <c r="AC20" s="15"/>
      <c r="AD20" s="15"/>
      <c r="AE20" s="15"/>
      <c r="AF20" s="24"/>
      <c r="AG20" s="24"/>
      <c r="AH20" s="24"/>
      <c r="AI20" s="24"/>
      <c r="AJ20" s="24"/>
      <c r="AK20" s="24"/>
      <c r="AL20" s="24"/>
      <c r="AM20" s="15"/>
      <c r="AN20" s="15"/>
    </row>
    <row r="21" ht="13.5" customHeight="1">
      <c r="A21" s="15"/>
      <c r="B21" s="39" t="str">
        <f>AE21</f>
        <v>Stephen Belli / Matthew Schembri</v>
      </c>
      <c r="C21" s="29">
        <v>1.0</v>
      </c>
      <c r="D21" s="40">
        <f>IF(C21&gt;C19,1,0)</f>
        <v>0</v>
      </c>
      <c r="E21" s="41"/>
      <c r="F21" s="29">
        <v>1.0</v>
      </c>
      <c r="G21" s="40">
        <f>IF(F21&gt;F19,1,0)</f>
        <v>0</v>
      </c>
      <c r="H21" s="41"/>
      <c r="I21" s="32"/>
      <c r="J21" s="15">
        <f>IF(I21&gt;I19,1,0)</f>
        <v>0</v>
      </c>
      <c r="K21" s="15">
        <f>IF(D21+G21=2,3,IF(D21+G21=1,1,0))</f>
        <v>0</v>
      </c>
      <c r="L21" s="15">
        <f>IF(K21=3,3,IF(J21+K21=2,2,IF(K21=1,1,0)))</f>
        <v>0</v>
      </c>
      <c r="M21" s="15">
        <f>C21+F21</f>
        <v>2</v>
      </c>
      <c r="N21" s="15">
        <f>D21+G21+J21</f>
        <v>0</v>
      </c>
      <c r="O21" s="15"/>
      <c r="P21" s="15"/>
      <c r="Q21" s="39" t="str">
        <f>AE21</f>
        <v>Stephen Belli / Matthew Schembri</v>
      </c>
      <c r="R21" s="29">
        <v>6.0</v>
      </c>
      <c r="S21" s="40">
        <f>IF(R21&gt;R19,1,0)</f>
        <v>0</v>
      </c>
      <c r="T21" s="41"/>
      <c r="U21" s="29">
        <v>7.0</v>
      </c>
      <c r="V21" s="40">
        <f>IF(U21&gt;U19,1,0)</f>
        <v>1</v>
      </c>
      <c r="W21" s="41"/>
      <c r="X21" s="29">
        <v>15.0</v>
      </c>
      <c r="Y21" s="15">
        <f>IF(X21&gt;X19,1,0)</f>
        <v>1</v>
      </c>
      <c r="Z21" s="15">
        <f>IF(S21+V21=2,3,IF(S21+V21=1,1,0))</f>
        <v>1</v>
      </c>
      <c r="AA21" s="15">
        <f>IF(Z21=3,3,IF(Y21+Z21=2,2,IF(Z21=1,1,0)))</f>
        <v>2</v>
      </c>
      <c r="AB21" s="15">
        <f>R21+U21</f>
        <v>13</v>
      </c>
      <c r="AC21" s="15">
        <f>S21+V21+Y21</f>
        <v>2</v>
      </c>
      <c r="AD21" s="15"/>
      <c r="AE21" s="62" t="str">
        <f>'Players Men'!B26&amp; " / " &amp;'Players Men'!C26</f>
        <v>Stephen Belli / Matthew Schembri</v>
      </c>
      <c r="AF21" s="34">
        <f>U22+U32+U42+F22+F37</f>
        <v>5</v>
      </c>
      <c r="AG21" s="34">
        <f t="shared" ref="AG21:AI21" si="6">AA21+AA31+AA41+L21+L36</f>
        <v>4</v>
      </c>
      <c r="AH21" s="34">
        <f t="shared" si="6"/>
        <v>40</v>
      </c>
      <c r="AI21" s="35">
        <f t="shared" si="6"/>
        <v>4</v>
      </c>
      <c r="AJ21" s="24"/>
      <c r="AK21" s="24"/>
      <c r="AL21" s="24"/>
      <c r="AM21" s="15"/>
      <c r="AN21" s="15"/>
    </row>
    <row r="22" ht="13.5" hidden="1" customHeight="1">
      <c r="A22" s="15" t="s">
        <v>85</v>
      </c>
      <c r="B22" s="15"/>
      <c r="C22" s="42">
        <f>IF(C19="",0,1)</f>
        <v>1</v>
      </c>
      <c r="D22" s="15"/>
      <c r="E22" s="15"/>
      <c r="F22" s="42">
        <f>IF(C21="",0,1)</f>
        <v>1</v>
      </c>
      <c r="G22" s="15"/>
      <c r="H22" s="15"/>
      <c r="I22" s="15"/>
      <c r="J22" s="15"/>
      <c r="K22" s="15"/>
      <c r="L22" s="15"/>
      <c r="M22" s="15"/>
      <c r="N22" s="15"/>
      <c r="O22" s="15"/>
      <c r="P22" s="15" t="s">
        <v>85</v>
      </c>
      <c r="Q22" s="15"/>
      <c r="R22" s="42">
        <f>IF(R19="",0,1)</f>
        <v>1</v>
      </c>
      <c r="S22" s="15"/>
      <c r="T22" s="15"/>
      <c r="U22" s="42">
        <f>IF(R21="",0,1)</f>
        <v>1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24"/>
      <c r="AG22" s="24"/>
      <c r="AH22" s="24"/>
      <c r="AI22" s="24"/>
      <c r="AJ22" s="24"/>
      <c r="AK22" s="15"/>
      <c r="AL22" s="15"/>
      <c r="AM22" s="15"/>
      <c r="AN22" s="15"/>
    </row>
    <row r="23" ht="13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24"/>
      <c r="AK23" s="24"/>
      <c r="AL23" s="15"/>
      <c r="AM23" s="15"/>
      <c r="AN23" s="15"/>
    </row>
    <row r="24" ht="13.5" customHeight="1">
      <c r="A24" s="15"/>
      <c r="B24" s="28" t="str">
        <f>AE11</f>
        <v>Aaron Micallef Piccione / Adrian Sciberras</v>
      </c>
      <c r="C24" s="29">
        <v>3.0</v>
      </c>
      <c r="D24" s="30">
        <f>IF(C24&gt;C26,1,0)</f>
        <v>0</v>
      </c>
      <c r="E24" s="31"/>
      <c r="F24" s="29">
        <v>0.0</v>
      </c>
      <c r="G24" s="30">
        <f>IF(F24&gt;F26,1,0)</f>
        <v>0</v>
      </c>
      <c r="H24" s="31"/>
      <c r="I24" s="32"/>
      <c r="J24" s="15">
        <f>IF(I24&gt;I26,1,0)</f>
        <v>0</v>
      </c>
      <c r="K24" s="15">
        <f>IF(D24+G24=2,3,IF(D24+G24=1,1,0))</f>
        <v>0</v>
      </c>
      <c r="L24" s="15">
        <f>IF(K24=3,3,IF(J24+K24=2,2,IF(K24=1,1,0)))</f>
        <v>0</v>
      </c>
      <c r="M24" s="15">
        <f>C24+F24</f>
        <v>3</v>
      </c>
      <c r="N24" s="15">
        <f>D24+G24+J24</f>
        <v>0</v>
      </c>
      <c r="O24" s="15"/>
      <c r="P24" s="15"/>
      <c r="Q24" s="28" t="str">
        <f>AE11</f>
        <v>Aaron Micallef Piccione / Adrian Sciberras</v>
      </c>
      <c r="R24" s="29">
        <v>1.0</v>
      </c>
      <c r="S24" s="30">
        <f>IF(R24&gt;R26,1,0)</f>
        <v>0</v>
      </c>
      <c r="T24" s="31"/>
      <c r="U24" s="29">
        <v>3.0</v>
      </c>
      <c r="V24" s="30">
        <f>IF(U24&gt;U26,1,0)</f>
        <v>0</v>
      </c>
      <c r="W24" s="31"/>
      <c r="X24" s="32"/>
      <c r="Y24" s="15">
        <f>IF(X24&gt;X26,1,0)</f>
        <v>0</v>
      </c>
      <c r="Z24" s="15">
        <f>IF(S24+V24=2,3,IF(S24+V24=1,1,0))</f>
        <v>0</v>
      </c>
      <c r="AA24" s="15">
        <f>IF(Z24=3,3,IF(Y24+Z24=2,2,IF(Z24=1,1,0)))</f>
        <v>0</v>
      </c>
      <c r="AB24" s="15">
        <f>R24+U24</f>
        <v>4</v>
      </c>
      <c r="AC24" s="15">
        <f>S24+V24+Y24</f>
        <v>0</v>
      </c>
      <c r="AD24" s="15"/>
      <c r="AE24" s="59" t="s">
        <v>86</v>
      </c>
      <c r="AF24" s="21"/>
      <c r="AG24" s="21"/>
      <c r="AH24" s="21"/>
      <c r="AI24" s="7"/>
      <c r="AJ24" s="24"/>
      <c r="AK24" s="15"/>
      <c r="AL24" s="15"/>
      <c r="AM24" s="15"/>
      <c r="AN24" s="15"/>
    </row>
    <row r="25" ht="13.5" customHeight="1">
      <c r="A25" s="15"/>
      <c r="B25" s="36" t="s">
        <v>84</v>
      </c>
      <c r="I25" s="37"/>
      <c r="J25" s="38"/>
      <c r="K25" s="15"/>
      <c r="L25" s="15"/>
      <c r="M25" s="15"/>
      <c r="N25" s="15"/>
      <c r="O25" s="15"/>
      <c r="P25" s="15"/>
      <c r="Q25" s="36" t="s">
        <v>84</v>
      </c>
      <c r="X25" s="37"/>
      <c r="Y25" s="38"/>
      <c r="Z25" s="15"/>
      <c r="AA25" s="15"/>
      <c r="AB25" s="15"/>
      <c r="AC25" s="15"/>
      <c r="AD25" s="15"/>
      <c r="AE25" s="43" t="s">
        <v>92</v>
      </c>
      <c r="AF25" s="21"/>
      <c r="AG25" s="21"/>
      <c r="AH25" s="21"/>
      <c r="AI25" s="7"/>
      <c r="AJ25" s="24"/>
      <c r="AK25" s="24"/>
      <c r="AL25" s="15"/>
      <c r="AM25" s="15"/>
      <c r="AN25" s="15"/>
    </row>
    <row r="26" ht="13.5" customHeight="1">
      <c r="A26" s="15"/>
      <c r="B26" s="39" t="str">
        <f>AE14</f>
        <v>James Farrugia / Jean Paul Vella</v>
      </c>
      <c r="C26" s="29">
        <v>6.0</v>
      </c>
      <c r="D26" s="40">
        <f>IF(C26&gt;C24,1,0)</f>
        <v>1</v>
      </c>
      <c r="E26" s="41"/>
      <c r="F26" s="29">
        <v>6.0</v>
      </c>
      <c r="G26" s="40">
        <f>IF(F26&gt;F24,1,0)</f>
        <v>1</v>
      </c>
      <c r="H26" s="41"/>
      <c r="I26" s="32"/>
      <c r="J26" s="15">
        <f>IF(I26&gt;I24,1,0)</f>
        <v>0</v>
      </c>
      <c r="K26" s="15">
        <f>IF(D26+G26=2,3,IF(D26+G26=1,1,0))</f>
        <v>3</v>
      </c>
      <c r="L26" s="15">
        <f>IF(K26=3,3,IF(J26+K26=2,2,IF(K26=1,1,0)))</f>
        <v>3</v>
      </c>
      <c r="M26" s="15">
        <f>C26+F26</f>
        <v>12</v>
      </c>
      <c r="N26" s="15">
        <f>D26+G26+J26</f>
        <v>2</v>
      </c>
      <c r="O26" s="15"/>
      <c r="P26" s="15"/>
      <c r="Q26" s="39" t="str">
        <f>AE16</f>
        <v>Denis Caruana / Kristen Cachia</v>
      </c>
      <c r="R26" s="29">
        <v>6.0</v>
      </c>
      <c r="S26" s="40">
        <f>IF(R26&gt;R24,1,0)</f>
        <v>1</v>
      </c>
      <c r="T26" s="41"/>
      <c r="U26" s="29">
        <v>6.0</v>
      </c>
      <c r="V26" s="40">
        <f>IF(U26&gt;U24,1,0)</f>
        <v>1</v>
      </c>
      <c r="W26" s="41"/>
      <c r="X26" s="32"/>
      <c r="Y26" s="15">
        <f>IF(X26&gt;X24,1,0)</f>
        <v>0</v>
      </c>
      <c r="Z26" s="15">
        <f>IF(S26+V26=2,3,IF(S26+V26=1,1,0))</f>
        <v>3</v>
      </c>
      <c r="AA26" s="15">
        <f>IF(Z26=3,3,IF(Y26+Z26=2,2,IF(Z26=1,1,0)))</f>
        <v>3</v>
      </c>
      <c r="AB26" s="15">
        <f>R26+U26</f>
        <v>12</v>
      </c>
      <c r="AC26" s="15">
        <f>S26+V26+Y26</f>
        <v>2</v>
      </c>
      <c r="AD26" s="15"/>
      <c r="AE26" s="63" t="s">
        <v>88</v>
      </c>
      <c r="AF26" s="21"/>
      <c r="AG26" s="21"/>
      <c r="AH26" s="21"/>
      <c r="AI26" s="7"/>
      <c r="AJ26" s="15"/>
      <c r="AK26" s="15"/>
      <c r="AL26" s="15"/>
      <c r="AM26" s="15"/>
      <c r="AN26" s="15"/>
    </row>
    <row r="27" ht="13.5" hidden="1" customHeight="1">
      <c r="A27" s="15" t="s">
        <v>85</v>
      </c>
      <c r="B27" s="15"/>
      <c r="C27" s="42">
        <f>IF(C24="",0,1)</f>
        <v>1</v>
      </c>
      <c r="D27" s="15"/>
      <c r="E27" s="15"/>
      <c r="F27" s="42">
        <f>IF(C26="",0,1)</f>
        <v>1</v>
      </c>
      <c r="G27" s="15"/>
      <c r="H27" s="15"/>
      <c r="I27" s="15"/>
      <c r="J27" s="15"/>
      <c r="K27" s="15"/>
      <c r="L27" s="15"/>
      <c r="M27" s="15"/>
      <c r="N27" s="15"/>
      <c r="O27" s="15"/>
      <c r="P27" s="15" t="s">
        <v>85</v>
      </c>
      <c r="Q27" s="15"/>
      <c r="R27" s="42">
        <f>IF(R24="",0,1)</f>
        <v>1</v>
      </c>
      <c r="S27" s="15"/>
      <c r="T27" s="15"/>
      <c r="U27" s="42">
        <f>IF(R26="",0,1)</f>
        <v>1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ht="15.0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43" t="s">
        <v>93</v>
      </c>
      <c r="AF28" s="21"/>
      <c r="AG28" s="21"/>
      <c r="AH28" s="21"/>
      <c r="AI28" s="7"/>
      <c r="AJ28" s="15"/>
      <c r="AK28" s="15"/>
      <c r="AL28" s="15"/>
      <c r="AM28" s="15"/>
      <c r="AN28" s="15"/>
    </row>
    <row r="29" ht="13.5" customHeight="1">
      <c r="A29" s="15"/>
      <c r="B29" s="28" t="str">
        <f>AE11</f>
        <v>Aaron Micallef Piccione / Adrian Sciberras</v>
      </c>
      <c r="C29" s="29">
        <v>6.0</v>
      </c>
      <c r="D29" s="30">
        <f>IF(C29&gt;C31,1,0)</f>
        <v>1</v>
      </c>
      <c r="E29" s="31"/>
      <c r="F29" s="29">
        <v>3.0</v>
      </c>
      <c r="G29" s="30">
        <f>IF(F29&gt;F31,1,0)</f>
        <v>0</v>
      </c>
      <c r="H29" s="31"/>
      <c r="I29" s="29">
        <v>6.0</v>
      </c>
      <c r="J29" s="15">
        <f>IF(I29&gt;I31,1,0)</f>
        <v>0</v>
      </c>
      <c r="K29" s="15">
        <f>IF(D29+G29=2,3,IF(D29+G29=1,1,0))</f>
        <v>1</v>
      </c>
      <c r="L29" s="15">
        <f>IF(K29=3,3,IF(J29+K29=2,2,IF(K29=1,1,0)))</f>
        <v>1</v>
      </c>
      <c r="M29" s="15">
        <f>C29+F29</f>
        <v>9</v>
      </c>
      <c r="N29" s="15">
        <f>D29+G29+J29</f>
        <v>1</v>
      </c>
      <c r="O29" s="15"/>
      <c r="P29" s="15"/>
      <c r="Q29" s="28" t="str">
        <f>AE11</f>
        <v>Aaron Micallef Piccione / Adrian Sciberras</v>
      </c>
      <c r="R29" s="29">
        <v>7.0</v>
      </c>
      <c r="S29" s="30">
        <f>IF(R29&gt;R31,1,0)</f>
        <v>1</v>
      </c>
      <c r="T29" s="31"/>
      <c r="U29" s="29">
        <v>4.0</v>
      </c>
      <c r="V29" s="30">
        <f>IF(U29&gt;U31,1,0)</f>
        <v>0</v>
      </c>
      <c r="W29" s="31"/>
      <c r="X29" s="29">
        <v>7.0</v>
      </c>
      <c r="Y29" s="15">
        <f>IF(X29&gt;X31,1,0)</f>
        <v>0</v>
      </c>
      <c r="Z29" s="15">
        <f>IF(S29+V29=2,3,IF(S29+V29=1,1,0))</f>
        <v>1</v>
      </c>
      <c r="AA29" s="15">
        <f>IF(Z29=3,3,IF(Y29+Z29=2,2,IF(Z29=1,1,0)))</f>
        <v>1</v>
      </c>
      <c r="AB29" s="15">
        <f>R29+U29</f>
        <v>11</v>
      </c>
      <c r="AC29" s="15">
        <f>S29+V29+Y29</f>
        <v>1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ht="13.5" customHeight="1">
      <c r="A30" s="15"/>
      <c r="B30" s="36" t="s">
        <v>84</v>
      </c>
      <c r="I30" s="37"/>
      <c r="J30" s="38"/>
      <c r="K30" s="15"/>
      <c r="L30" s="15"/>
      <c r="M30" s="15"/>
      <c r="N30" s="15"/>
      <c r="O30" s="15"/>
      <c r="P30" s="15"/>
      <c r="Q30" s="36" t="s">
        <v>84</v>
      </c>
      <c r="X30" s="37"/>
      <c r="Y30" s="38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ht="13.5" customHeight="1">
      <c r="A31" s="15"/>
      <c r="B31" s="39" t="str">
        <f>AE19</f>
        <v>Manuel Mifsud / Julian Esposito</v>
      </c>
      <c r="C31" s="29">
        <v>3.0</v>
      </c>
      <c r="D31" s="40">
        <f>IF(C31&gt;C29,1,0)</f>
        <v>0</v>
      </c>
      <c r="E31" s="41"/>
      <c r="F31" s="29">
        <v>6.0</v>
      </c>
      <c r="G31" s="40">
        <f>IF(F31&gt;F29,1,0)</f>
        <v>1</v>
      </c>
      <c r="H31" s="41"/>
      <c r="I31" s="29">
        <v>10.0</v>
      </c>
      <c r="J31" s="15">
        <f>IF(I31&gt;I29,1,0)</f>
        <v>1</v>
      </c>
      <c r="K31" s="15">
        <f>IF(D31+G31=2,3,IF(D31+G31=1,1,0))</f>
        <v>1</v>
      </c>
      <c r="L31" s="15">
        <f>IF(K31=3,3,IF(J31+K31=2,2,IF(K31=1,1,0)))</f>
        <v>2</v>
      </c>
      <c r="M31" s="15">
        <f>C31+F31</f>
        <v>9</v>
      </c>
      <c r="N31" s="15">
        <f>D31+G31+J31</f>
        <v>2</v>
      </c>
      <c r="O31" s="15"/>
      <c r="P31" s="15"/>
      <c r="Q31" s="39" t="str">
        <f>AE21</f>
        <v>Stephen Belli / Matthew Schembri</v>
      </c>
      <c r="R31" s="29">
        <v>5.0</v>
      </c>
      <c r="S31" s="40">
        <f>IF(R31&gt;R29,1,0)</f>
        <v>0</v>
      </c>
      <c r="T31" s="41"/>
      <c r="U31" s="29">
        <v>6.0</v>
      </c>
      <c r="V31" s="40">
        <f>IF(U31&gt;U29,1,0)</f>
        <v>1</v>
      </c>
      <c r="W31" s="41"/>
      <c r="X31" s="29">
        <v>10.0</v>
      </c>
      <c r="Y31" s="15">
        <f>IF(X31&gt;X29,1,0)</f>
        <v>1</v>
      </c>
      <c r="Z31" s="15">
        <f>IF(S31+V31=2,3,IF(S31+V31=1,1,0))</f>
        <v>1</v>
      </c>
      <c r="AA31" s="15">
        <f>IF(Z31=3,3,IF(Y31+Z31=2,2,IF(Z31=1,1,0)))</f>
        <v>2</v>
      </c>
      <c r="AB31" s="15">
        <f>R31+U31</f>
        <v>11</v>
      </c>
      <c r="AC31" s="15">
        <f>S31+V31+Y31</f>
        <v>2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ht="13.5" hidden="1" customHeight="1">
      <c r="A32" s="15" t="s">
        <v>85</v>
      </c>
      <c r="B32" s="15"/>
      <c r="C32" s="42">
        <f>IF(C29="",0,1)</f>
        <v>1</v>
      </c>
      <c r="D32" s="15"/>
      <c r="E32" s="15"/>
      <c r="F32" s="42">
        <f>IF(C31="",0,1)</f>
        <v>1</v>
      </c>
      <c r="G32" s="15"/>
      <c r="H32" s="15"/>
      <c r="I32" s="15"/>
      <c r="J32" s="15"/>
      <c r="K32" s="15"/>
      <c r="L32" s="15"/>
      <c r="M32" s="15"/>
      <c r="N32" s="15"/>
      <c r="O32" s="15"/>
      <c r="P32" s="15" t="s">
        <v>85</v>
      </c>
      <c r="Q32" s="15"/>
      <c r="R32" s="42">
        <f>IF(R29="",0,1)</f>
        <v>1</v>
      </c>
      <c r="S32" s="15"/>
      <c r="T32" s="15"/>
      <c r="U32" s="42">
        <f>IF(R31="",0,1)</f>
        <v>1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24"/>
      <c r="AI33" s="15"/>
      <c r="AJ33" s="15"/>
      <c r="AK33" s="15"/>
      <c r="AL33" s="15"/>
      <c r="AM33" s="15"/>
      <c r="AN33" s="15"/>
    </row>
    <row r="34" ht="13.5" customHeight="1">
      <c r="A34" s="15"/>
      <c r="B34" s="28" t="str">
        <f>AE16</f>
        <v>Denis Caruana / Kristen Cachia</v>
      </c>
      <c r="C34" s="29">
        <v>7.0</v>
      </c>
      <c r="D34" s="30">
        <f>IF(C34&gt;C36,1,0)</f>
        <v>1</v>
      </c>
      <c r="E34" s="31"/>
      <c r="F34" s="29">
        <v>6.0</v>
      </c>
      <c r="G34" s="30">
        <f>IF(F34&gt;F36,1,0)</f>
        <v>1</v>
      </c>
      <c r="H34" s="31"/>
      <c r="I34" s="32"/>
      <c r="J34" s="15">
        <f>IF(I34&gt;I36,1,0)</f>
        <v>0</v>
      </c>
      <c r="K34" s="15">
        <f>IF(D34+G34=2,3,IF(D34+G34=1,1,0))</f>
        <v>3</v>
      </c>
      <c r="L34" s="15">
        <f>IF(K34=3,3,IF(J34+K34=2,2,IF(K34=1,1,0)))</f>
        <v>3</v>
      </c>
      <c r="M34" s="15">
        <f>C34+F34</f>
        <v>13</v>
      </c>
      <c r="N34" s="15">
        <f>D34+G34+J34</f>
        <v>2</v>
      </c>
      <c r="O34" s="15"/>
      <c r="P34" s="15"/>
      <c r="Q34" s="28" t="str">
        <f>AE14</f>
        <v>James Farrugia / Jean Paul Vella</v>
      </c>
      <c r="R34" s="29">
        <v>6.0</v>
      </c>
      <c r="S34" s="30">
        <f>IF(R34&gt;R36,1,0)</f>
        <v>1</v>
      </c>
      <c r="T34" s="31"/>
      <c r="U34" s="29">
        <v>6.0</v>
      </c>
      <c r="V34" s="30">
        <f>IF(U34&gt;U36,1,0)</f>
        <v>1</v>
      </c>
      <c r="W34" s="31"/>
      <c r="X34" s="32"/>
      <c r="Y34" s="15">
        <f>IF(X34&gt;X36,1,0)</f>
        <v>0</v>
      </c>
      <c r="Z34" s="15">
        <f>IF(S34+V34=2,3,IF(S34+V34=1,1,0))</f>
        <v>3</v>
      </c>
      <c r="AA34" s="15">
        <f>IF(Z34=3,3,IF(Y34+Z34=2,2,IF(Z34=1,1,0)))</f>
        <v>3</v>
      </c>
      <c r="AB34" s="15">
        <f>R34+U34</f>
        <v>12</v>
      </c>
      <c r="AC34" s="15">
        <f>S34+V34+Y34</f>
        <v>2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ht="13.5" customHeight="1">
      <c r="A35" s="15"/>
      <c r="B35" s="36" t="s">
        <v>84</v>
      </c>
      <c r="I35" s="37"/>
      <c r="J35" s="38"/>
      <c r="K35" s="15"/>
      <c r="L35" s="15"/>
      <c r="M35" s="15"/>
      <c r="N35" s="15"/>
      <c r="O35" s="15"/>
      <c r="P35" s="15"/>
      <c r="Q35" s="36" t="s">
        <v>84</v>
      </c>
      <c r="X35" s="37"/>
      <c r="Y35" s="38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7"/>
      <c r="AM35" s="15"/>
      <c r="AN35" s="15"/>
    </row>
    <row r="36" ht="13.5" customHeight="1">
      <c r="A36" s="15"/>
      <c r="B36" s="39" t="str">
        <f>AE21</f>
        <v>Stephen Belli / Matthew Schembri</v>
      </c>
      <c r="C36" s="29">
        <v>6.0</v>
      </c>
      <c r="D36" s="40">
        <f>IF(C36&gt;C34,1,0)</f>
        <v>0</v>
      </c>
      <c r="E36" s="41"/>
      <c r="F36" s="29">
        <v>2.0</v>
      </c>
      <c r="G36" s="40">
        <f>IF(F36&gt;F34,1,0)</f>
        <v>0</v>
      </c>
      <c r="H36" s="41"/>
      <c r="I36" s="32"/>
      <c r="J36" s="15">
        <f>IF(I36&gt;I34,1,0)</f>
        <v>0</v>
      </c>
      <c r="K36" s="15">
        <f>IF(D36+G36=2,3,IF(D36+G36=1,1,0))</f>
        <v>0</v>
      </c>
      <c r="L36" s="15">
        <f>IF(K36=3,3,IF(J36+K36=2,2,IF(K36=1,1,0)))</f>
        <v>0</v>
      </c>
      <c r="M36" s="15">
        <f>C36+F36</f>
        <v>8</v>
      </c>
      <c r="N36" s="15">
        <f>D36+G36+J36</f>
        <v>0</v>
      </c>
      <c r="O36" s="15"/>
      <c r="P36" s="15"/>
      <c r="Q36" s="39" t="str">
        <f>AE16</f>
        <v>Denis Caruana / Kristen Cachia</v>
      </c>
      <c r="R36" s="29">
        <v>1.0</v>
      </c>
      <c r="S36" s="40">
        <f>IF(R36&gt;R34,1,0)</f>
        <v>0</v>
      </c>
      <c r="T36" s="41"/>
      <c r="U36" s="29">
        <v>0.0</v>
      </c>
      <c r="V36" s="40">
        <f>IF(U36&gt;U34,1,0)</f>
        <v>0</v>
      </c>
      <c r="W36" s="41"/>
      <c r="X36" s="32"/>
      <c r="Y36" s="15">
        <f>IF(X36&gt;X34,1,0)</f>
        <v>0</v>
      </c>
      <c r="Z36" s="15">
        <f>IF(S36+V36=2,3,IF(S36+V36=1,1,0))</f>
        <v>0</v>
      </c>
      <c r="AA36" s="15">
        <f>IF(Z36=3,3,IF(Y36+Z36=2,2,IF(Z36=1,1,0)))</f>
        <v>0</v>
      </c>
      <c r="AB36" s="15">
        <f>R36+U36</f>
        <v>1</v>
      </c>
      <c r="AC36" s="15">
        <f>S36+V36+Y36</f>
        <v>0</v>
      </c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24"/>
    </row>
    <row r="37" ht="14.25" hidden="1" customHeight="1">
      <c r="A37" s="15" t="s">
        <v>85</v>
      </c>
      <c r="B37" s="15"/>
      <c r="C37" s="42">
        <f>IF(C34="",0,1)</f>
        <v>1</v>
      </c>
      <c r="D37" s="15"/>
      <c r="E37" s="15"/>
      <c r="F37" s="42">
        <f>IF(C36="",0,1)</f>
        <v>1</v>
      </c>
      <c r="G37" s="15"/>
      <c r="H37" s="15"/>
      <c r="I37" s="15"/>
      <c r="J37" s="15"/>
      <c r="K37" s="15"/>
      <c r="L37" s="15"/>
      <c r="M37" s="15"/>
      <c r="N37" s="15"/>
      <c r="O37" s="15"/>
      <c r="P37" s="15" t="s">
        <v>85</v>
      </c>
      <c r="Q37" s="15"/>
      <c r="R37" s="42">
        <f>IF(R34="",0,1)</f>
        <v>1</v>
      </c>
      <c r="S37" s="15"/>
      <c r="T37" s="15"/>
      <c r="U37" s="42">
        <f>IF(R36="",0,1)</f>
        <v>1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ht="13.5" customHeight="1">
      <c r="A38" s="15"/>
      <c r="B38" s="15"/>
      <c r="C38" s="15"/>
      <c r="D38" s="15"/>
      <c r="E38" s="15"/>
      <c r="F38" s="24"/>
      <c r="G38" s="15"/>
      <c r="H38" s="15"/>
      <c r="I38" s="24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7"/>
      <c r="AM38" s="15"/>
      <c r="AN38" s="15"/>
    </row>
    <row r="39" ht="13.5" customHeight="1">
      <c r="A39" s="15"/>
      <c r="B39" s="28" t="str">
        <f>AE14</f>
        <v>James Farrugia / Jean Paul Vella</v>
      </c>
      <c r="C39" s="29">
        <v>6.0</v>
      </c>
      <c r="D39" s="30">
        <f>IF(C39&gt;C41,1,0)</f>
        <v>1</v>
      </c>
      <c r="E39" s="31"/>
      <c r="F39" s="29">
        <v>6.0</v>
      </c>
      <c r="G39" s="30">
        <f>IF(F39&gt;F41,1,0)</f>
        <v>1</v>
      </c>
      <c r="H39" s="31"/>
      <c r="I39" s="32"/>
      <c r="J39" s="15">
        <f>IF(I39&gt;I41,1,0)</f>
        <v>0</v>
      </c>
      <c r="K39" s="15">
        <f>IF(D39+G39=2,3,IF(D39+G39=1,1,0))</f>
        <v>3</v>
      </c>
      <c r="L39" s="15">
        <f>IF(K39=3,3,IF(J39+K39=2,2,IF(K39=1,1,0)))</f>
        <v>3</v>
      </c>
      <c r="M39" s="15">
        <f>C39+F39</f>
        <v>12</v>
      </c>
      <c r="N39" s="15">
        <f>D39+G39+J39</f>
        <v>2</v>
      </c>
      <c r="O39" s="15"/>
      <c r="P39" s="15"/>
      <c r="Q39" s="28" t="str">
        <f>AE14</f>
        <v>James Farrugia / Jean Paul Vella</v>
      </c>
      <c r="R39" s="29">
        <v>6.0</v>
      </c>
      <c r="S39" s="30">
        <f>IF(R39&gt;R41,1,0)</f>
        <v>1</v>
      </c>
      <c r="T39" s="31"/>
      <c r="U39" s="29">
        <v>6.0</v>
      </c>
      <c r="V39" s="30">
        <f>IF(U39&gt;U41,1,0)</f>
        <v>1</v>
      </c>
      <c r="W39" s="31"/>
      <c r="X39" s="32"/>
      <c r="Y39" s="15">
        <f>IF(X39&gt;X41,1,0)</f>
        <v>0</v>
      </c>
      <c r="Z39" s="15">
        <f>IF(S39+V39=2,3,IF(S39+V39=1,1,0))</f>
        <v>3</v>
      </c>
      <c r="AA39" s="15">
        <f>IF(Z39=3,3,IF(Y39+Z39=2,2,IF(Z39=1,1,0)))</f>
        <v>3</v>
      </c>
      <c r="AB39" s="15">
        <f>R39+U39</f>
        <v>12</v>
      </c>
      <c r="AC39" s="15">
        <f>S39+V39+Y39</f>
        <v>2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ht="15.0" customHeight="1">
      <c r="A40" s="15"/>
      <c r="B40" s="36" t="s">
        <v>84</v>
      </c>
      <c r="I40" s="37"/>
      <c r="J40" s="38"/>
      <c r="K40" s="15"/>
      <c r="L40" s="15"/>
      <c r="M40" s="15"/>
      <c r="N40" s="15"/>
      <c r="O40" s="15"/>
      <c r="P40" s="15"/>
      <c r="Q40" s="36" t="s">
        <v>84</v>
      </c>
      <c r="X40" s="37"/>
      <c r="Y40" s="38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ht="13.5" customHeight="1">
      <c r="A41" s="15"/>
      <c r="B41" s="39" t="str">
        <f>AE19</f>
        <v>Manuel Mifsud / Julian Esposito</v>
      </c>
      <c r="C41" s="29">
        <v>4.0</v>
      </c>
      <c r="D41" s="40">
        <f>IF(C41&gt;C39,1,0)</f>
        <v>0</v>
      </c>
      <c r="E41" s="41"/>
      <c r="F41" s="29">
        <v>1.0</v>
      </c>
      <c r="G41" s="40">
        <f>IF(F41&gt;F39,1,0)</f>
        <v>0</v>
      </c>
      <c r="H41" s="41"/>
      <c r="I41" s="32"/>
      <c r="J41" s="15">
        <f>IF(I41&gt;I39,1,0)</f>
        <v>0</v>
      </c>
      <c r="K41" s="15">
        <f>IF(D41+G41=2,3,IF(D41+G41=1,1,0))</f>
        <v>0</v>
      </c>
      <c r="L41" s="15">
        <f>IF(K41=3,3,IF(J41+K41=2,2,IF(K41=1,1,0)))</f>
        <v>0</v>
      </c>
      <c r="M41" s="15">
        <f>C41+F41</f>
        <v>5</v>
      </c>
      <c r="N41" s="15">
        <f>D41+G41+J41</f>
        <v>0</v>
      </c>
      <c r="O41" s="15"/>
      <c r="P41" s="15"/>
      <c r="Q41" s="39" t="str">
        <f>AE21</f>
        <v>Stephen Belli / Matthew Schembri</v>
      </c>
      <c r="R41" s="29">
        <v>2.0</v>
      </c>
      <c r="S41" s="40">
        <f>IF(R41&gt;R39,1,0)</f>
        <v>0</v>
      </c>
      <c r="T41" s="41"/>
      <c r="U41" s="29">
        <v>4.0</v>
      </c>
      <c r="V41" s="40">
        <f>IF(U41&gt;U39,1,0)</f>
        <v>0</v>
      </c>
      <c r="W41" s="41"/>
      <c r="X41" s="32"/>
      <c r="Y41" s="15">
        <f>IF(X41&gt;X39,1,0)</f>
        <v>0</v>
      </c>
      <c r="Z41" s="15">
        <f>IF(S41+V41=2,3,IF(S41+V41=1,1,0))</f>
        <v>0</v>
      </c>
      <c r="AA41" s="15">
        <f>IF(Z41=3,3,IF(Y41+Z41=2,2,IF(Z41=1,1,0)))</f>
        <v>0</v>
      </c>
      <c r="AB41" s="15">
        <f>R41+U41</f>
        <v>6</v>
      </c>
      <c r="AC41" s="15">
        <f>S41+V41+Y41</f>
        <v>0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ht="13.5" hidden="1" customHeight="1">
      <c r="A42" s="15" t="s">
        <v>85</v>
      </c>
      <c r="B42" s="15"/>
      <c r="C42" s="42">
        <f>IF(C39="",0,1)</f>
        <v>1</v>
      </c>
      <c r="D42" s="15"/>
      <c r="E42" s="15"/>
      <c r="F42" s="42">
        <f>IF(C41="",0,1)</f>
        <v>1</v>
      </c>
      <c r="G42" s="15"/>
      <c r="H42" s="15"/>
      <c r="I42" s="15"/>
      <c r="J42" s="15"/>
      <c r="K42" s="15"/>
      <c r="L42" s="15"/>
      <c r="M42" s="15"/>
      <c r="N42" s="15"/>
      <c r="O42" s="15"/>
      <c r="P42" s="15" t="s">
        <v>85</v>
      </c>
      <c r="Q42" s="15"/>
      <c r="R42" s="42">
        <f>IF(R39="",0,1)</f>
        <v>1</v>
      </c>
      <c r="S42" s="15"/>
      <c r="T42" s="15"/>
      <c r="U42" s="42">
        <f>IF(R41="",0,1)</f>
        <v>1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24"/>
      <c r="AI43" s="15"/>
      <c r="AJ43" s="15"/>
      <c r="AK43" s="24"/>
      <c r="AL43" s="15"/>
      <c r="AM43" s="15"/>
      <c r="AN43" s="15"/>
    </row>
    <row r="44" ht="13.5" customHeight="1">
      <c r="A44" s="15"/>
      <c r="B44" s="28" t="str">
        <f>AE16</f>
        <v>Denis Caruana / Kristen Cachia</v>
      </c>
      <c r="C44" s="29">
        <v>6.0</v>
      </c>
      <c r="D44" s="30">
        <f>IF(C44&gt;C46,1,0)</f>
        <v>1</v>
      </c>
      <c r="E44" s="31"/>
      <c r="F44" s="29">
        <v>6.0</v>
      </c>
      <c r="G44" s="30">
        <f>IF(F44&gt;F46,1,0)</f>
        <v>0</v>
      </c>
      <c r="H44" s="31"/>
      <c r="I44" s="29">
        <v>10.0</v>
      </c>
      <c r="J44" s="15">
        <f>IF(I44&gt;I46,1,0)</f>
        <v>1</v>
      </c>
      <c r="K44" s="15">
        <f>IF(D44+G44=2,3,IF(D44+G44=1,1,0))</f>
        <v>1</v>
      </c>
      <c r="L44" s="15">
        <f>IF(K44=3,3,IF(J44+K44=2,2,IF(K44=1,1,0)))</f>
        <v>2</v>
      </c>
      <c r="M44" s="15">
        <f>C44+F44</f>
        <v>12</v>
      </c>
      <c r="N44" s="15">
        <f>D44+G44+J44</f>
        <v>2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24"/>
      <c r="AL44" s="15"/>
      <c r="AM44" s="15"/>
      <c r="AN44" s="15"/>
    </row>
    <row r="45" ht="13.5" customHeight="1">
      <c r="A45" s="15"/>
      <c r="B45" s="36" t="s">
        <v>84</v>
      </c>
      <c r="I45" s="37"/>
      <c r="J45" s="38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48"/>
      <c r="AK45" s="15"/>
      <c r="AL45" s="15"/>
      <c r="AM45" s="15"/>
      <c r="AN45" s="15"/>
    </row>
    <row r="46" ht="13.5" customHeight="1">
      <c r="A46" s="15"/>
      <c r="B46" s="39" t="str">
        <f>AE19</f>
        <v>Manuel Mifsud / Julian Esposito</v>
      </c>
      <c r="C46" s="29">
        <v>1.0</v>
      </c>
      <c r="D46" s="40">
        <f>IF(C46&gt;C44,1,0)</f>
        <v>0</v>
      </c>
      <c r="E46" s="41"/>
      <c r="F46" s="29">
        <v>7.0</v>
      </c>
      <c r="G46" s="40">
        <f>IF(F46&gt;F44,1,0)</f>
        <v>1</v>
      </c>
      <c r="H46" s="41"/>
      <c r="I46" s="29">
        <v>8.0</v>
      </c>
      <c r="J46" s="15">
        <f>IF(I46&gt;I44,1,0)</f>
        <v>0</v>
      </c>
      <c r="K46" s="15">
        <f>IF(D46+G46=2,3,IF(D46+G46=1,1,0))</f>
        <v>1</v>
      </c>
      <c r="L46" s="15">
        <f>IF(K46=3,3,IF(J46+K46=2,2,IF(K46=1,1,0)))</f>
        <v>1</v>
      </c>
      <c r="M46" s="15">
        <f>C46+F46</f>
        <v>8</v>
      </c>
      <c r="N46" s="15">
        <f>D46+G46+J46</f>
        <v>1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ht="13.5" hidden="1" customHeight="1">
      <c r="A47" s="15" t="s">
        <v>85</v>
      </c>
      <c r="B47" s="15"/>
      <c r="C47" s="42">
        <f>IF(C44="",0,1)</f>
        <v>1</v>
      </c>
      <c r="D47" s="15"/>
      <c r="E47" s="15"/>
      <c r="F47" s="42">
        <f>IF(C46="",0,1)</f>
        <v>1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ht="15.0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48"/>
      <c r="AK49" s="15"/>
      <c r="AL49" s="15"/>
      <c r="AM49" s="15"/>
      <c r="AN49" s="15"/>
    </row>
    <row r="50" ht="15.0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48"/>
      <c r="AK54" s="15"/>
      <c r="AL54" s="24"/>
      <c r="AM54" s="15"/>
      <c r="AN54" s="15"/>
    </row>
    <row r="55" ht="15.0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ht="15.0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48"/>
      <c r="AK59" s="15"/>
      <c r="AL59" s="15"/>
      <c r="AM59" s="15"/>
      <c r="AN59" s="24"/>
    </row>
    <row r="60" ht="15.0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24"/>
      <c r="AI63" s="15"/>
      <c r="AJ63" s="15"/>
      <c r="AK63" s="24"/>
      <c r="AL63" s="15"/>
      <c r="AM63" s="15"/>
      <c r="AN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24"/>
      <c r="S113" s="24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</row>
    <row r="164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</row>
    <row r="165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</row>
    <row r="166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</row>
    <row r="167" ht="1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</row>
    <row r="168" ht="1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</row>
    <row r="169" ht="1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</row>
    <row r="170" ht="13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</row>
    <row r="171" ht="13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</row>
    <row r="172" ht="13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</row>
    <row r="173" ht="13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</row>
    <row r="174" ht="13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</row>
    <row r="175" ht="13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</row>
    <row r="176" ht="13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</row>
    <row r="177" ht="1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</row>
    <row r="178" ht="13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</row>
    <row r="179" ht="13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</row>
    <row r="180" ht="13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</row>
    <row r="181" ht="13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</row>
    <row r="182" ht="13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</row>
    <row r="183" ht="13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</row>
    <row r="184" ht="13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</row>
    <row r="185" ht="1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</row>
    <row r="186" ht="13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</row>
    <row r="187" ht="13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</row>
    <row r="188" ht="13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</row>
    <row r="189" ht="13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</row>
    <row r="190" ht="13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</row>
    <row r="191" ht="1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</row>
    <row r="192" ht="13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</row>
    <row r="193" ht="13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</row>
    <row r="194" ht="13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</row>
    <row r="195" ht="13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</row>
    <row r="196" ht="13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</row>
    <row r="197" ht="13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</row>
    <row r="198" ht="13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</row>
    <row r="199" ht="13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</row>
    <row r="200" ht="13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</row>
    <row r="201" ht="13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</row>
    <row r="202" ht="13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</row>
    <row r="203" ht="13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</row>
    <row r="204" ht="13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</row>
    <row r="205" ht="13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</row>
    <row r="206" ht="13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</row>
    <row r="207" ht="13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</row>
    <row r="208" ht="13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</row>
    <row r="209" ht="13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</row>
    <row r="210" ht="13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</row>
    <row r="211" ht="13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</row>
    <row r="212" ht="1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</row>
    <row r="213" ht="13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</row>
    <row r="214" ht="13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</row>
    <row r="215" ht="13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</row>
    <row r="216" ht="13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</row>
    <row r="217" ht="13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</row>
    <row r="218" ht="13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</row>
    <row r="219" ht="13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</row>
    <row r="220" ht="13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</row>
    <row r="221" ht="13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</row>
    <row r="222" ht="13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</row>
    <row r="223" ht="13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</row>
    <row r="224" ht="13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</row>
    <row r="225" ht="13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</row>
    <row r="226" ht="13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</row>
    <row r="227" ht="13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</row>
    <row r="228" ht="13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</row>
    <row r="229" ht="13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</row>
    <row r="230" ht="13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</row>
    <row r="231" ht="13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</row>
    <row r="232" ht="13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</row>
    <row r="233" ht="13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</row>
    <row r="234" ht="13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</row>
    <row r="235" ht="13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</row>
    <row r="236" ht="13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</row>
    <row r="237" ht="13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</row>
    <row r="238" ht="13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</row>
    <row r="239" ht="13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</row>
    <row r="240" ht="13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</row>
    <row r="241" ht="13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</row>
    <row r="242" ht="13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</row>
    <row r="243" ht="13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</row>
    <row r="244" ht="13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</row>
    <row r="245" ht="1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</row>
    <row r="246" ht="13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</row>
    <row r="247" ht="13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</row>
    <row r="248" ht="13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</row>
    <row r="249" ht="13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</row>
    <row r="250" ht="13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</row>
    <row r="251" ht="13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</row>
    <row r="252" ht="13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</row>
    <row r="253" ht="13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</row>
    <row r="254" ht="13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</row>
    <row r="255" ht="13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</row>
    <row r="256" ht="13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</row>
    <row r="257" ht="13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</row>
    <row r="258" ht="13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</row>
    <row r="259" ht="13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</row>
    <row r="260" ht="13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</row>
    <row r="261" ht="13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</row>
    <row r="262" ht="13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</row>
    <row r="263" ht="13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</row>
    <row r="264" ht="13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</row>
    <row r="265" ht="13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</row>
    <row r="266" ht="1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</row>
    <row r="267" ht="13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</row>
    <row r="268" ht="13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</row>
    <row r="269" ht="13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</row>
    <row r="270" ht="13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</row>
    <row r="271" ht="13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</row>
    <row r="272" ht="13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</row>
    <row r="273" ht="13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</row>
    <row r="274" ht="13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</row>
    <row r="275" ht="13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</row>
    <row r="276" ht="13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</row>
    <row r="277" ht="13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</row>
    <row r="278" ht="13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</row>
    <row r="279" ht="13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</row>
    <row r="280" ht="13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</row>
    <row r="281" ht="13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</row>
    <row r="282" ht="13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</row>
    <row r="283" ht="13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</row>
    <row r="284" ht="13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</row>
    <row r="285" ht="1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</row>
    <row r="286" ht="13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</row>
    <row r="287" ht="13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</row>
    <row r="288" ht="13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</row>
    <row r="289" ht="13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</row>
    <row r="290" ht="13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</row>
    <row r="291" ht="13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</row>
    <row r="292" ht="13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</row>
    <row r="293" ht="13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</row>
    <row r="294" ht="1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</row>
    <row r="295" ht="13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</row>
    <row r="296" ht="13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</row>
    <row r="297" ht="13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</row>
    <row r="298" ht="13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</row>
    <row r="299" ht="13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</row>
    <row r="300" ht="13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</row>
    <row r="301" ht="1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</row>
    <row r="302" ht="13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</row>
    <row r="303" ht="13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</row>
    <row r="304" ht="13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</row>
    <row r="305" ht="13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</row>
    <row r="306" ht="13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</row>
    <row r="307" ht="13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</row>
    <row r="308" ht="1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</row>
    <row r="309" ht="13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</row>
    <row r="310" ht="13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</row>
    <row r="311" ht="13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</row>
    <row r="312" ht="13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</row>
    <row r="313" ht="13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</row>
    <row r="314" ht="13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</row>
    <row r="315" ht="13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</row>
    <row r="316" ht="13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</row>
    <row r="317" ht="13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</row>
    <row r="318" ht="13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</row>
    <row r="319" ht="13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</row>
    <row r="320" ht="13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</row>
    <row r="321" ht="13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</row>
    <row r="322" ht="13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</row>
    <row r="323" ht="13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</row>
    <row r="324" ht="13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</row>
    <row r="325" ht="13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</row>
    <row r="326" ht="13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</row>
    <row r="327" ht="13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</row>
    <row r="328" ht="13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</row>
    <row r="329" ht="13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</row>
    <row r="330" ht="13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</row>
    <row r="331" ht="13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</row>
    <row r="332" ht="13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</row>
    <row r="333" ht="13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</row>
    <row r="334" ht="13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</row>
    <row r="335" ht="13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</row>
    <row r="336" ht="13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</row>
    <row r="337" ht="13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</row>
    <row r="338" ht="13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</row>
    <row r="339" ht="13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</row>
    <row r="340" ht="13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</row>
    <row r="341" ht="13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</row>
    <row r="342" ht="13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</row>
    <row r="343" ht="13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</row>
    <row r="344" ht="13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</row>
    <row r="345" ht="13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</row>
    <row r="346" ht="13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</row>
    <row r="347" ht="13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</row>
    <row r="348" ht="13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</row>
    <row r="349" ht="13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</row>
    <row r="350" ht="13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</row>
    <row r="351" ht="13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</row>
    <row r="352" ht="13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</row>
    <row r="353" ht="13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</row>
    <row r="354" ht="13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</row>
    <row r="355" ht="13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</row>
    <row r="356" ht="13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</row>
    <row r="357" ht="13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</row>
    <row r="358" ht="13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</row>
    <row r="359" ht="13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</row>
    <row r="360" ht="13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</row>
    <row r="361" ht="13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</row>
    <row r="362" ht="13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</row>
    <row r="363" ht="13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</row>
    <row r="364" ht="13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</row>
    <row r="365" ht="13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</row>
    <row r="366" ht="13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</row>
    <row r="367" ht="13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</row>
    <row r="368" ht="13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</row>
    <row r="369" ht="13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</row>
    <row r="370" ht="13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</row>
    <row r="371" ht="13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</row>
    <row r="372" ht="13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</row>
    <row r="373" ht="13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</row>
    <row r="374" ht="13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</row>
    <row r="375" ht="13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</row>
    <row r="376" ht="13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</row>
    <row r="377" ht="13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</row>
    <row r="378" ht="13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</row>
    <row r="379" ht="13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</row>
    <row r="380" ht="13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</row>
    <row r="381" ht="13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</row>
    <row r="382" ht="13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</row>
    <row r="383" ht="13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</row>
    <row r="384" ht="13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</row>
    <row r="385" ht="13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</row>
    <row r="386" ht="13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</row>
    <row r="387" ht="13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</row>
    <row r="388" ht="13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</row>
    <row r="389" ht="13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</row>
    <row r="390" ht="13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</row>
    <row r="391" ht="13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</row>
    <row r="392" ht="13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</row>
    <row r="393" ht="13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</row>
    <row r="394" ht="13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</row>
    <row r="395" ht="13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</row>
    <row r="396" ht="13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</row>
    <row r="397" ht="13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</row>
    <row r="398" ht="13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</row>
    <row r="399" ht="13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</row>
    <row r="400" ht="13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</row>
    <row r="401" ht="13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</row>
    <row r="402" ht="13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</row>
    <row r="403" ht="13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</row>
    <row r="404" ht="13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</row>
    <row r="405" ht="13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</row>
    <row r="406" ht="13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</row>
    <row r="407" ht="13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</row>
    <row r="408" ht="13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</row>
    <row r="409" ht="13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</row>
    <row r="410" ht="13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</row>
    <row r="411" ht="13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</row>
    <row r="412" ht="13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</row>
    <row r="413" ht="13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</row>
    <row r="414" ht="13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</row>
    <row r="415" ht="13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</row>
    <row r="416" ht="13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</row>
    <row r="417" ht="13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</row>
    <row r="418" ht="13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</row>
    <row r="419" ht="13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</row>
    <row r="420" ht="13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</row>
    <row r="421" ht="13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</row>
    <row r="422" ht="13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</row>
    <row r="423" ht="13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</row>
    <row r="424" ht="13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</row>
    <row r="425" ht="13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</row>
    <row r="426" ht="13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</row>
    <row r="427" ht="13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</row>
    <row r="428" ht="13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</row>
    <row r="429" ht="13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</row>
    <row r="430" ht="13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</row>
    <row r="431" ht="13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</row>
    <row r="432" ht="13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</row>
    <row r="433" ht="13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</row>
    <row r="434" ht="13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</row>
    <row r="435" ht="13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</row>
    <row r="436" ht="13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</row>
    <row r="437" ht="13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</row>
    <row r="438" ht="13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</row>
    <row r="439" ht="13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</row>
    <row r="440" ht="13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</row>
    <row r="441" ht="13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</row>
    <row r="442" ht="13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</row>
    <row r="443" ht="13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</row>
    <row r="444" ht="13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</row>
    <row r="445" ht="13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</row>
    <row r="446" ht="13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</row>
    <row r="447" ht="13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</row>
    <row r="448" ht="13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</row>
    <row r="449" ht="13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</row>
    <row r="450" ht="13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</row>
    <row r="451" ht="13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</row>
    <row r="452" ht="13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</row>
    <row r="453" ht="13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</row>
    <row r="454" ht="13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</row>
    <row r="455" ht="13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</row>
    <row r="456" ht="13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</row>
    <row r="457" ht="13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</row>
    <row r="458" ht="13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</row>
    <row r="459" ht="13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</row>
    <row r="460" ht="13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</row>
    <row r="461" ht="13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</row>
    <row r="462" ht="13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</row>
    <row r="463" ht="13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</row>
    <row r="464" ht="13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</row>
    <row r="465" ht="13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</row>
    <row r="466" ht="13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</row>
    <row r="467" ht="13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</row>
    <row r="468" ht="13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</row>
    <row r="469" ht="13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</row>
    <row r="470" ht="13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</row>
    <row r="471" ht="13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</row>
    <row r="472" ht="13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</row>
    <row r="473" ht="13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</row>
    <row r="474" ht="13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</row>
    <row r="475" ht="13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</row>
    <row r="476" ht="13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</row>
    <row r="477" ht="13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</row>
    <row r="478" ht="13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</row>
    <row r="479" ht="13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</row>
    <row r="480" ht="13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</row>
    <row r="481" ht="13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</row>
    <row r="482" ht="13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</row>
    <row r="483" ht="13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</row>
    <row r="484" ht="13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</row>
    <row r="485" ht="13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</row>
    <row r="486" ht="13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</row>
    <row r="487" ht="13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</row>
    <row r="488" ht="13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</row>
    <row r="489" ht="13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</row>
    <row r="490" ht="13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</row>
    <row r="491" ht="13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</row>
    <row r="492" ht="13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</row>
    <row r="493" ht="13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</row>
    <row r="494" ht="13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</row>
    <row r="495" ht="13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</row>
    <row r="496" ht="13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</row>
    <row r="497" ht="13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</row>
    <row r="498" ht="13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</row>
    <row r="499" ht="13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</row>
    <row r="500" ht="13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</row>
    <row r="501" ht="13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</row>
    <row r="502" ht="13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</row>
    <row r="503" ht="13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</row>
    <row r="504" ht="13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</row>
    <row r="505" ht="13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</row>
    <row r="506" ht="13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</row>
    <row r="507" ht="13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</row>
    <row r="508" ht="13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</row>
    <row r="509" ht="13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</row>
    <row r="510" ht="13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</row>
    <row r="511" ht="13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</row>
    <row r="512" ht="13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</row>
    <row r="513" ht="13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</row>
    <row r="514" ht="13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</row>
    <row r="515" ht="13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</row>
    <row r="516" ht="13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</row>
    <row r="517" ht="13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</row>
    <row r="518" ht="13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</row>
    <row r="519" ht="13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</row>
    <row r="520" ht="13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</row>
    <row r="521" ht="13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</row>
    <row r="522" ht="13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</row>
    <row r="523" ht="13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</row>
    <row r="524" ht="13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</row>
    <row r="525" ht="13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</row>
    <row r="526" ht="13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</row>
    <row r="527" ht="13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</row>
    <row r="528" ht="13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</row>
    <row r="529" ht="13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</row>
    <row r="530" ht="13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</row>
    <row r="531" ht="13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</row>
    <row r="532" ht="13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</row>
    <row r="533" ht="13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</row>
    <row r="534" ht="13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</row>
    <row r="535" ht="13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</row>
    <row r="536" ht="13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</row>
    <row r="537" ht="13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</row>
    <row r="538" ht="13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</row>
    <row r="539" ht="13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</row>
    <row r="540" ht="13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</row>
    <row r="541" ht="13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</row>
    <row r="542" ht="13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</row>
    <row r="543" ht="13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</row>
    <row r="544" ht="13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</row>
    <row r="545" ht="13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</row>
    <row r="546" ht="13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</row>
    <row r="547" ht="13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</row>
    <row r="548" ht="13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</row>
    <row r="549" ht="13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</row>
    <row r="550" ht="13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</row>
    <row r="551" ht="13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</row>
    <row r="552" ht="13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</row>
    <row r="553" ht="13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</row>
    <row r="554" ht="13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</row>
    <row r="555" ht="13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</row>
    <row r="556" ht="13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</row>
    <row r="557" ht="13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</row>
    <row r="558" ht="13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</row>
    <row r="559" ht="13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</row>
    <row r="560" ht="13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</row>
    <row r="561" ht="13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</row>
    <row r="562" ht="13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</row>
    <row r="563" ht="13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</row>
    <row r="564" ht="13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</row>
    <row r="565" ht="13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</row>
    <row r="566" ht="13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</row>
    <row r="567" ht="13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</row>
    <row r="568" ht="13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</row>
    <row r="569" ht="13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</row>
    <row r="570" ht="13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</row>
    <row r="571" ht="13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</row>
    <row r="572" ht="13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</row>
    <row r="573" ht="13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</row>
    <row r="574" ht="13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</row>
    <row r="575" ht="13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</row>
    <row r="576" ht="13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</row>
    <row r="577" ht="13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</row>
    <row r="578" ht="13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</row>
    <row r="579" ht="13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</row>
    <row r="580" ht="13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</row>
    <row r="581" ht="13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</row>
    <row r="582" ht="13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</row>
    <row r="583" ht="13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</row>
    <row r="584" ht="13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</row>
    <row r="585" ht="13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</row>
    <row r="586" ht="13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</row>
    <row r="587" ht="13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</row>
    <row r="588" ht="13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</row>
    <row r="589" ht="13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</row>
    <row r="590" ht="13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</row>
    <row r="591" ht="13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</row>
    <row r="592" ht="13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</row>
    <row r="593" ht="13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</row>
    <row r="594" ht="13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</row>
    <row r="595" ht="13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</row>
    <row r="596" ht="13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</row>
    <row r="597" ht="13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</row>
    <row r="598" ht="13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</row>
    <row r="599" ht="13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</row>
    <row r="600" ht="13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</row>
    <row r="601" ht="13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</row>
    <row r="602" ht="13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</row>
    <row r="603" ht="13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</row>
    <row r="604" ht="13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</row>
    <row r="605" ht="13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</row>
    <row r="606" ht="13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</row>
    <row r="607" ht="13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</row>
    <row r="608" ht="13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</row>
    <row r="609" ht="13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</row>
    <row r="610" ht="13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</row>
    <row r="611" ht="13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</row>
    <row r="612" ht="13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</row>
    <row r="613" ht="13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</row>
    <row r="614" ht="13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</row>
    <row r="615" ht="13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</row>
    <row r="616" ht="13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</row>
    <row r="617" ht="13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</row>
    <row r="618" ht="13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</row>
    <row r="619" ht="13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</row>
    <row r="620" ht="13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</row>
    <row r="621" ht="13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</row>
    <row r="622" ht="13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</row>
    <row r="623" ht="13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</row>
    <row r="624" ht="13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</row>
    <row r="625" ht="13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</row>
    <row r="626" ht="13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</row>
    <row r="627" ht="13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</row>
    <row r="628" ht="13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</row>
    <row r="629" ht="13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</row>
    <row r="630" ht="13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</row>
    <row r="631" ht="13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</row>
    <row r="632" ht="13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</row>
    <row r="633" ht="13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</row>
    <row r="634" ht="13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</row>
    <row r="635" ht="13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</row>
    <row r="636" ht="13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</row>
    <row r="637" ht="13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</row>
    <row r="638" ht="13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</row>
    <row r="639" ht="13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</row>
    <row r="640" ht="13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</row>
    <row r="641" ht="13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</row>
    <row r="642" ht="13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</row>
    <row r="643" ht="13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</row>
    <row r="644" ht="13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</row>
    <row r="645" ht="13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</row>
    <row r="646" ht="13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</row>
    <row r="647" ht="13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</row>
    <row r="648" ht="13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</row>
    <row r="649" ht="13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</row>
    <row r="650" ht="13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</row>
    <row r="651" ht="13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</row>
    <row r="652" ht="13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</row>
    <row r="653" ht="13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</row>
    <row r="654" ht="13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</row>
    <row r="655" ht="13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</row>
    <row r="656" ht="13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</row>
    <row r="657" ht="13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</row>
    <row r="658" ht="13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</row>
    <row r="659" ht="13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</row>
    <row r="660" ht="13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</row>
    <row r="661" ht="13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</row>
    <row r="662" ht="13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</row>
    <row r="663" ht="13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</row>
    <row r="664" ht="13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</row>
    <row r="665" ht="13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</row>
    <row r="666" ht="13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</row>
    <row r="667" ht="13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</row>
    <row r="668" ht="13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</row>
    <row r="669" ht="13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</row>
    <row r="670" ht="13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</row>
    <row r="671" ht="13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</row>
    <row r="672" ht="13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</row>
    <row r="673" ht="13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</row>
    <row r="674" ht="13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</row>
    <row r="675" ht="13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</row>
    <row r="676" ht="13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</row>
    <row r="677" ht="13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</row>
    <row r="678" ht="13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</row>
    <row r="679" ht="13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</row>
    <row r="680" ht="13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</row>
    <row r="681" ht="13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</row>
    <row r="682" ht="13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</row>
    <row r="683" ht="13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</row>
    <row r="684" ht="13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</row>
    <row r="685" ht="13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</row>
    <row r="686" ht="13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</row>
    <row r="687" ht="13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</row>
    <row r="688" ht="13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</row>
    <row r="689" ht="13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</row>
    <row r="690" ht="13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</row>
    <row r="691" ht="13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</row>
    <row r="692" ht="13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</row>
    <row r="693" ht="13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</row>
    <row r="694" ht="13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</row>
    <row r="695" ht="13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</row>
    <row r="696" ht="13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</row>
    <row r="697" ht="13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</row>
    <row r="698" ht="13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</row>
    <row r="699" ht="13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</row>
    <row r="700" ht="13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</row>
    <row r="701" ht="13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</row>
    <row r="702" ht="13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</row>
    <row r="703" ht="13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</row>
    <row r="704" ht="13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</row>
    <row r="705" ht="13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</row>
    <row r="706" ht="13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</row>
    <row r="707" ht="13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</row>
    <row r="708" ht="13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</row>
    <row r="709" ht="13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</row>
    <row r="710" ht="13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</row>
    <row r="711" ht="13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</row>
    <row r="712" ht="13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</row>
    <row r="713" ht="13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</row>
    <row r="714" ht="13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</row>
    <row r="715" ht="13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</row>
    <row r="716" ht="13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</row>
    <row r="717" ht="13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</row>
    <row r="718" ht="13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</row>
    <row r="719" ht="13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</row>
    <row r="720" ht="13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</row>
    <row r="721" ht="13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</row>
    <row r="722" ht="13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</row>
    <row r="723" ht="13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</row>
    <row r="724" ht="13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</row>
    <row r="725" ht="13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</row>
    <row r="726" ht="13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</row>
    <row r="727" ht="13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</row>
    <row r="728" ht="13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</row>
    <row r="729" ht="13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</row>
    <row r="730" ht="13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</row>
    <row r="731" ht="13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</row>
    <row r="732" ht="13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</row>
    <row r="733" ht="13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</row>
    <row r="734" ht="13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</row>
    <row r="735" ht="13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</row>
    <row r="736" ht="13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</row>
    <row r="737" ht="13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</row>
    <row r="738" ht="13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</row>
    <row r="739" ht="13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</row>
    <row r="740" ht="13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</row>
    <row r="741" ht="13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</row>
    <row r="742" ht="13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</row>
    <row r="743" ht="13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</row>
    <row r="744" ht="13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</row>
    <row r="745" ht="13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</row>
    <row r="746" ht="13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</row>
    <row r="747" ht="13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</row>
    <row r="748" ht="13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</row>
    <row r="749" ht="13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</row>
    <row r="750" ht="13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</row>
    <row r="751" ht="13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</row>
    <row r="752" ht="13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</row>
    <row r="753" ht="13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</row>
    <row r="754" ht="13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</row>
    <row r="755" ht="13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</row>
    <row r="756" ht="13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</row>
    <row r="757" ht="13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</row>
    <row r="758" ht="13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</row>
    <row r="759" ht="13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</row>
    <row r="760" ht="13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</row>
    <row r="761" ht="13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</row>
    <row r="762" ht="13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</row>
    <row r="763" ht="13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</row>
    <row r="764" ht="13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</row>
    <row r="765" ht="13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</row>
    <row r="766" ht="13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</row>
    <row r="767" ht="13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</row>
    <row r="768" ht="13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</row>
    <row r="769" ht="13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</row>
    <row r="770" ht="13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</row>
    <row r="771" ht="13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</row>
    <row r="772" ht="13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</row>
    <row r="773" ht="13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</row>
    <row r="774" ht="13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</row>
    <row r="775" ht="13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</row>
    <row r="776" ht="13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</row>
    <row r="777" ht="13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</row>
    <row r="778" ht="13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</row>
    <row r="779" ht="13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</row>
    <row r="780" ht="13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</row>
    <row r="781" ht="13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</row>
    <row r="782" ht="13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</row>
    <row r="783" ht="13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</row>
    <row r="784" ht="13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</row>
    <row r="785" ht="13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</row>
    <row r="786" ht="13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</row>
    <row r="787" ht="13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</row>
    <row r="788" ht="13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</row>
    <row r="789" ht="13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</row>
    <row r="790" ht="13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</row>
    <row r="791" ht="13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</row>
    <row r="792" ht="13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</row>
    <row r="793" ht="13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</row>
    <row r="794" ht="13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</row>
    <row r="795" ht="13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</row>
    <row r="796" ht="13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</row>
    <row r="797" ht="13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</row>
    <row r="798" ht="13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</row>
    <row r="799" ht="13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</row>
    <row r="800" ht="13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</row>
    <row r="801" ht="13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</row>
    <row r="802" ht="13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</row>
    <row r="803" ht="13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</row>
    <row r="804" ht="13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</row>
    <row r="805" ht="13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</row>
    <row r="806" ht="13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</row>
    <row r="807" ht="13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</row>
    <row r="808" ht="13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</row>
    <row r="809" ht="13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</row>
    <row r="810" ht="13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</row>
    <row r="811" ht="13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</row>
    <row r="812" ht="13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</row>
    <row r="813" ht="13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</row>
    <row r="814" ht="13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</row>
    <row r="815" ht="13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</row>
    <row r="816" ht="13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</row>
    <row r="817" ht="13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</row>
    <row r="818" ht="13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</row>
    <row r="819" ht="13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</row>
    <row r="820" ht="13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</row>
    <row r="821" ht="13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</row>
    <row r="822" ht="13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</row>
    <row r="823" ht="13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</row>
    <row r="824" ht="13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</row>
    <row r="825" ht="13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</row>
    <row r="826" ht="13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</row>
    <row r="827" ht="13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</row>
    <row r="828" ht="13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</row>
    <row r="829" ht="13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</row>
    <row r="830" ht="13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</row>
    <row r="831" ht="13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</row>
    <row r="832" ht="13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</row>
    <row r="833" ht="13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</row>
    <row r="834" ht="13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</row>
    <row r="835" ht="13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</row>
    <row r="836" ht="13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</row>
    <row r="837" ht="13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</row>
    <row r="838" ht="13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</row>
    <row r="839" ht="13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</row>
    <row r="840" ht="13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</row>
    <row r="841" ht="13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</row>
    <row r="842" ht="13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</row>
    <row r="843" ht="13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</row>
    <row r="844" ht="13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</row>
    <row r="845" ht="13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</row>
    <row r="846" ht="13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</row>
    <row r="847" ht="13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</row>
    <row r="848" ht="13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</row>
    <row r="849" ht="13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</row>
    <row r="850" ht="13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</row>
    <row r="851" ht="13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</row>
    <row r="852" ht="13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</row>
    <row r="853" ht="13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</row>
    <row r="854" ht="13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</row>
    <row r="855" ht="13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</row>
    <row r="856" ht="13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</row>
    <row r="857" ht="13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</row>
    <row r="858" ht="13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</row>
    <row r="859" ht="13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</row>
    <row r="860" ht="13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</row>
    <row r="861" ht="13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</row>
    <row r="862" ht="13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</row>
    <row r="863" ht="13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</row>
    <row r="864" ht="13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</row>
    <row r="865" ht="13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</row>
    <row r="866" ht="13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</row>
    <row r="867" ht="13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</row>
    <row r="868" ht="13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</row>
    <row r="869" ht="13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</row>
    <row r="870" ht="13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</row>
    <row r="871" ht="13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</row>
    <row r="872" ht="13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</row>
    <row r="873" ht="13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</row>
    <row r="874" ht="13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</row>
    <row r="875" ht="13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</row>
    <row r="876" ht="13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</row>
    <row r="877" ht="13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</row>
    <row r="878" ht="13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</row>
    <row r="879" ht="13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</row>
    <row r="880" ht="13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</row>
    <row r="881" ht="13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</row>
    <row r="882" ht="13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</row>
    <row r="883" ht="13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</row>
    <row r="884" ht="13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</row>
    <row r="885" ht="13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</row>
    <row r="886" ht="13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</row>
    <row r="887" ht="13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</row>
    <row r="888" ht="13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</row>
    <row r="889" ht="13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</row>
    <row r="890" ht="13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</row>
    <row r="891" ht="13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</row>
    <row r="892" ht="13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</row>
    <row r="893" ht="13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</row>
    <row r="894" ht="13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</row>
    <row r="895" ht="13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</row>
    <row r="896" ht="13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</row>
    <row r="897" ht="13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</row>
    <row r="898" ht="13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</row>
    <row r="899" ht="13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</row>
    <row r="900" ht="13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</row>
    <row r="901" ht="13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</row>
    <row r="902" ht="13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</row>
    <row r="903" ht="13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</row>
    <row r="904" ht="13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</row>
    <row r="905" ht="13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</row>
    <row r="906" ht="13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</row>
    <row r="907" ht="13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</row>
    <row r="908" ht="13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</row>
    <row r="909" ht="13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</row>
    <row r="910" ht="13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</row>
    <row r="911" ht="13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</row>
    <row r="912" ht="13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</row>
    <row r="913" ht="13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</row>
    <row r="914" ht="13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</row>
    <row r="915" ht="13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</row>
    <row r="916" ht="13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</row>
    <row r="917" ht="13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</row>
    <row r="918" ht="13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</row>
    <row r="919" ht="13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</row>
    <row r="920" ht="13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</row>
    <row r="921" ht="13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</row>
    <row r="922" ht="13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</row>
    <row r="923" ht="13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</row>
    <row r="924" ht="13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</row>
    <row r="925" ht="13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</row>
    <row r="926" ht="13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</row>
    <row r="927" ht="13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</row>
    <row r="928" ht="13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</row>
    <row r="929" ht="13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</row>
    <row r="930" ht="13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</row>
    <row r="931" ht="13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</row>
    <row r="932" ht="13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</row>
    <row r="933" ht="13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</row>
    <row r="934" ht="13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</row>
    <row r="935" ht="13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</row>
    <row r="936" ht="13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</row>
    <row r="937" ht="13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</row>
    <row r="938" ht="13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</row>
    <row r="939" ht="13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</row>
    <row r="940" ht="13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</row>
    <row r="941" ht="13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</row>
    <row r="942" ht="13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</row>
    <row r="943" ht="13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</row>
    <row r="944" ht="13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</row>
    <row r="945" ht="13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</row>
    <row r="946" ht="13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</row>
    <row r="947" ht="13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</row>
    <row r="948" ht="13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</row>
    <row r="949" ht="13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</row>
    <row r="950" ht="13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</row>
    <row r="951" ht="13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</row>
    <row r="952" ht="13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</row>
    <row r="953" ht="13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</row>
    <row r="954" ht="13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</row>
    <row r="955" ht="13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</row>
    <row r="956" ht="13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</row>
    <row r="957" ht="13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</row>
    <row r="958" ht="13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</row>
    <row r="959" ht="13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</row>
    <row r="960" ht="13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</row>
    <row r="961" ht="13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</row>
    <row r="962" ht="13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</row>
    <row r="963" ht="13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</row>
    <row r="964" ht="13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</row>
    <row r="965" ht="13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</row>
    <row r="966" ht="13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</row>
    <row r="967" ht="13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</row>
    <row r="968" ht="13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</row>
    <row r="969" ht="13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</row>
    <row r="970" ht="13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</row>
    <row r="971" ht="13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</row>
    <row r="972" ht="13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</row>
    <row r="973" ht="13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</row>
    <row r="974" ht="13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</row>
    <row r="975" ht="13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</row>
    <row r="976" ht="13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</row>
    <row r="977" ht="13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</row>
    <row r="978" ht="13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</row>
    <row r="979" ht="13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</row>
    <row r="980" ht="13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</row>
    <row r="981" ht="13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</row>
    <row r="982" ht="13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</row>
    <row r="983" ht="13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</row>
    <row r="984" ht="13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</row>
    <row r="985" ht="13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</row>
    <row r="986" ht="13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</row>
    <row r="987" ht="13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</row>
    <row r="988" ht="13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</row>
    <row r="989" ht="13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</row>
    <row r="990" ht="13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</row>
    <row r="991" ht="13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</row>
    <row r="992" ht="13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</row>
    <row r="993" ht="13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</row>
    <row r="994" ht="13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</row>
    <row r="995" ht="13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</row>
    <row r="996" ht="13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</row>
    <row r="997" ht="13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</row>
    <row r="998" ht="13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</row>
    <row r="999" ht="13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</row>
    <row r="1000" ht="13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</row>
  </sheetData>
  <mergeCells count="24">
    <mergeCell ref="A1:AI1"/>
    <mergeCell ref="A2:AI2"/>
    <mergeCell ref="B5:AI5"/>
    <mergeCell ref="C7:F7"/>
    <mergeCell ref="R7:U7"/>
    <mergeCell ref="B10:I10"/>
    <mergeCell ref="Q10:X10"/>
    <mergeCell ref="AE25:AI25"/>
    <mergeCell ref="AE26:AI26"/>
    <mergeCell ref="AE28:AI28"/>
    <mergeCell ref="B30:I30"/>
    <mergeCell ref="Q30:X30"/>
    <mergeCell ref="B35:I35"/>
    <mergeCell ref="Q35:X35"/>
    <mergeCell ref="B40:I40"/>
    <mergeCell ref="Q40:X40"/>
    <mergeCell ref="B45:I45"/>
    <mergeCell ref="B15:I15"/>
    <mergeCell ref="Q15:X15"/>
    <mergeCell ref="B20:I20"/>
    <mergeCell ref="Q20:X20"/>
    <mergeCell ref="AE24:AI24"/>
    <mergeCell ref="B25:I25"/>
    <mergeCell ref="Q25:X25"/>
  </mergeCells>
  <printOptions/>
  <pageMargins bottom="1.0" footer="0.0" header="0.0" left="0.75" right="0.75" top="1.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hidden="1" min="1" max="1" width="6.0"/>
    <col customWidth="1" min="2" max="2" width="40.88"/>
    <col customWidth="1" min="3" max="3" width="7.0"/>
    <col customWidth="1" hidden="1" min="4" max="4" width="6.13"/>
    <col customWidth="1" min="5" max="5" width="1.63"/>
    <col customWidth="1" min="6" max="6" width="7.0"/>
    <col customWidth="1" hidden="1" min="7" max="7" width="6.13"/>
    <col customWidth="1" min="8" max="8" width="1.63"/>
    <col customWidth="1" min="9" max="9" width="7.0"/>
    <col customWidth="1" hidden="1" min="10" max="10" width="6.13"/>
    <col customWidth="1" hidden="1" min="11" max="11" width="7.5"/>
    <col customWidth="1" hidden="1" min="12" max="12" width="11.38"/>
    <col customWidth="1" hidden="1" min="13" max="13" width="8.0"/>
    <col customWidth="1" hidden="1" min="14" max="14" width="6.13"/>
    <col customWidth="1" min="15" max="15" width="4.5"/>
    <col customWidth="1" hidden="1" min="16" max="16" width="7.38"/>
    <col customWidth="1" min="17" max="17" width="40.88"/>
    <col customWidth="1" min="18" max="18" width="7.0"/>
    <col customWidth="1" hidden="1" min="19" max="19" width="6.13"/>
    <col customWidth="1" min="20" max="20" width="1.63"/>
    <col customWidth="1" min="21" max="21" width="7.0"/>
    <col customWidth="1" hidden="1" min="22" max="22" width="6.13"/>
    <col customWidth="1" min="23" max="23" width="1.63"/>
    <col customWidth="1" min="24" max="24" width="7.0"/>
    <col customWidth="1" hidden="1" min="25" max="25" width="6.13"/>
    <col customWidth="1" hidden="1" min="26" max="26" width="7.5"/>
    <col customWidth="1" hidden="1" min="27" max="27" width="11.38"/>
    <col customWidth="1" hidden="1" min="28" max="28" width="8.0"/>
    <col customWidth="1" hidden="1" min="29" max="29" width="6.13"/>
    <col customWidth="1" min="30" max="30" width="5.5"/>
    <col customWidth="1" min="31" max="31" width="44.0"/>
    <col customWidth="1" min="32" max="32" width="7.88"/>
    <col customWidth="1" min="33" max="33" width="7.13"/>
    <col customWidth="1" min="34" max="35" width="8.63"/>
    <col customWidth="1" hidden="1" min="36" max="36" width="9.38"/>
    <col customWidth="1" hidden="1" min="37" max="37" width="8.0"/>
    <col customWidth="1" hidden="1" min="38" max="38" width="41.13"/>
    <col customWidth="1" min="39" max="40" width="9.38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2" s="1" t="s">
        <v>1</v>
      </c>
      <c r="AJ2" s="4"/>
      <c r="AK2" s="4"/>
      <c r="AL2" s="4"/>
      <c r="AM2" s="4"/>
      <c r="AN2" s="4"/>
    </row>
    <row r="3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30.0" customHeight="1">
      <c r="A5" s="15"/>
      <c r="B5" s="64" t="s">
        <v>39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  <c r="AJ5" s="15"/>
      <c r="AK5" s="15"/>
      <c r="AL5" s="15"/>
      <c r="AM5" s="15"/>
      <c r="AN5" s="15"/>
    </row>
    <row r="6" ht="13.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ht="13.5" customHeight="1">
      <c r="A7" s="15"/>
      <c r="B7" s="65" t="s">
        <v>65</v>
      </c>
      <c r="C7" s="66" t="s">
        <v>66</v>
      </c>
      <c r="D7" s="21"/>
      <c r="E7" s="21"/>
      <c r="F7" s="7"/>
      <c r="G7" s="67"/>
      <c r="H7" s="68"/>
      <c r="I7" s="65" t="s">
        <v>67</v>
      </c>
      <c r="J7" s="15"/>
      <c r="K7" s="15"/>
      <c r="L7" s="15"/>
      <c r="M7" s="24"/>
      <c r="N7" s="24"/>
      <c r="O7" s="15"/>
      <c r="P7" s="15"/>
      <c r="Q7" s="65" t="s">
        <v>65</v>
      </c>
      <c r="R7" s="66" t="s">
        <v>66</v>
      </c>
      <c r="S7" s="21"/>
      <c r="T7" s="21"/>
      <c r="U7" s="7"/>
      <c r="V7" s="67"/>
      <c r="W7" s="68"/>
      <c r="X7" s="65" t="s">
        <v>67</v>
      </c>
      <c r="Y7" s="24"/>
      <c r="Z7" s="24"/>
      <c r="AA7" s="24"/>
      <c r="AB7" s="24"/>
      <c r="AC7" s="24"/>
      <c r="AD7" s="15"/>
      <c r="AE7" s="65" t="s">
        <v>68</v>
      </c>
      <c r="AF7" s="65" t="s">
        <v>69</v>
      </c>
      <c r="AG7" s="65" t="s">
        <v>70</v>
      </c>
      <c r="AH7" s="65" t="s">
        <v>71</v>
      </c>
      <c r="AI7" s="65" t="s">
        <v>72</v>
      </c>
      <c r="AJ7" s="24"/>
      <c r="AK7" s="24"/>
      <c r="AL7" s="24"/>
      <c r="AM7" s="15"/>
      <c r="AN7" s="15"/>
    </row>
    <row r="8" ht="13.5" hidden="1" customHeight="1">
      <c r="A8" s="15"/>
      <c r="B8" s="15"/>
      <c r="C8" s="25" t="s">
        <v>73</v>
      </c>
      <c r="D8" s="25" t="s">
        <v>74</v>
      </c>
      <c r="E8" s="25"/>
      <c r="F8" s="25" t="s">
        <v>73</v>
      </c>
      <c r="G8" s="25" t="s">
        <v>75</v>
      </c>
      <c r="H8" s="25"/>
      <c r="I8" s="25" t="s">
        <v>73</v>
      </c>
      <c r="J8" s="25" t="s">
        <v>76</v>
      </c>
      <c r="K8" s="25" t="s">
        <v>77</v>
      </c>
      <c r="L8" s="25" t="s">
        <v>78</v>
      </c>
      <c r="M8" s="25" t="s">
        <v>79</v>
      </c>
      <c r="N8" s="25" t="s">
        <v>80</v>
      </c>
      <c r="O8" s="15"/>
      <c r="P8" s="15"/>
      <c r="Q8" s="15"/>
      <c r="R8" s="25" t="s">
        <v>73</v>
      </c>
      <c r="S8" s="25" t="s">
        <v>74</v>
      </c>
      <c r="T8" s="25"/>
      <c r="U8" s="25" t="s">
        <v>73</v>
      </c>
      <c r="V8" s="25" t="s">
        <v>75</v>
      </c>
      <c r="W8" s="25"/>
      <c r="X8" s="25" t="s">
        <v>73</v>
      </c>
      <c r="Y8" s="25" t="s">
        <v>76</v>
      </c>
      <c r="Z8" s="25" t="s">
        <v>77</v>
      </c>
      <c r="AA8" s="25" t="s">
        <v>78</v>
      </c>
      <c r="AB8" s="25" t="s">
        <v>79</v>
      </c>
      <c r="AC8" s="25" t="s">
        <v>80</v>
      </c>
      <c r="AD8" s="15"/>
      <c r="AE8" s="24"/>
      <c r="AF8" s="24"/>
      <c r="AG8" s="24"/>
      <c r="AH8" s="24"/>
      <c r="AI8" s="24"/>
      <c r="AJ8" s="25" t="s">
        <v>81</v>
      </c>
      <c r="AK8" s="26" t="s">
        <v>82</v>
      </c>
      <c r="AL8" s="27" t="s">
        <v>83</v>
      </c>
      <c r="AM8" s="15"/>
      <c r="AN8" s="15"/>
    </row>
    <row r="9" ht="15.0" customHeight="1">
      <c r="A9" s="15"/>
      <c r="B9" s="28" t="str">
        <f>AE9</f>
        <v>Charles Micallef / Twanny Pule</v>
      </c>
      <c r="C9" s="29">
        <v>6.0</v>
      </c>
      <c r="D9" s="30">
        <f>IF(C9&gt;C11,1,0)</f>
        <v>1</v>
      </c>
      <c r="E9" s="31"/>
      <c r="F9" s="29">
        <v>6.0</v>
      </c>
      <c r="G9" s="30">
        <f>IF(F9&gt;F11,1,0)</f>
        <v>1</v>
      </c>
      <c r="H9" s="31"/>
      <c r="I9" s="32"/>
      <c r="J9" s="15">
        <f>IF(I9&gt;I11,1,0)</f>
        <v>0</v>
      </c>
      <c r="K9" s="15">
        <f>IF(D9+G9=2,3,IF(D9+G9=1,1,0))</f>
        <v>3</v>
      </c>
      <c r="L9" s="15">
        <f>IF(K9=3,3,IF(J9+K9=2,2,IF(K9=1,1,0)))</f>
        <v>3</v>
      </c>
      <c r="M9" s="15">
        <f>C9+F9</f>
        <v>12</v>
      </c>
      <c r="N9" s="15">
        <f>D9+G9+J9</f>
        <v>2</v>
      </c>
      <c r="O9" s="15"/>
      <c r="P9" s="15"/>
      <c r="Q9" s="28" t="str">
        <f>AE9</f>
        <v>Charles Micallef / Twanny Pule</v>
      </c>
      <c r="R9" s="29">
        <v>7.0</v>
      </c>
      <c r="S9" s="30">
        <f>IF(R9&gt;R11,1,0)</f>
        <v>1</v>
      </c>
      <c r="T9" s="31"/>
      <c r="U9" s="29">
        <v>1.0</v>
      </c>
      <c r="V9" s="30">
        <f>IF(U9&gt;U11,1,0)</f>
        <v>0</v>
      </c>
      <c r="W9" s="31"/>
      <c r="X9" s="29">
        <v>9.0</v>
      </c>
      <c r="Y9" s="15">
        <f>IF(X9&gt;X11,1,0)</f>
        <v>0</v>
      </c>
      <c r="Z9" s="15">
        <f>IF(S9+V9=2,3,IF(S9+V9=1,1,0))</f>
        <v>1</v>
      </c>
      <c r="AA9" s="15">
        <f>IF(Z9=3,3,IF(Y9+Z9=2,2,IF(Z9=1,1,0)))</f>
        <v>1</v>
      </c>
      <c r="AB9" s="15">
        <f>R9+U9</f>
        <v>8</v>
      </c>
      <c r="AC9" s="15">
        <f>S9+V9+Y9</f>
        <v>1</v>
      </c>
      <c r="AD9" s="15"/>
      <c r="AE9" s="69" t="str">
        <f>'Players Men'!B29&amp; " / " &amp;'Players Men'!C29</f>
        <v>Charles Micallef / Twanny Pule</v>
      </c>
      <c r="AF9" s="34">
        <f>C12+R12+C17+R17+C22</f>
        <v>5</v>
      </c>
      <c r="AG9" s="34">
        <f t="shared" ref="AG9:AI9" si="1">L9+AA9+L14+AA14+L19</f>
        <v>9</v>
      </c>
      <c r="AH9" s="34">
        <f t="shared" si="1"/>
        <v>47</v>
      </c>
      <c r="AI9" s="35">
        <f t="shared" si="1"/>
        <v>7</v>
      </c>
      <c r="AJ9" s="15">
        <f>MAX(AG16,AG14,AG11,AG9,AG19,AG21)</f>
        <v>15</v>
      </c>
      <c r="AK9" s="15">
        <f>SUM(AF9:AF21)</f>
        <v>30</v>
      </c>
      <c r="AL9" s="15" t="str">
        <f>IF(AG9=$AJ$9,AE9,IF(AG11=$AJ$9,AE11,IF(AG14=$AJ$9,AE14,IF(AG16=$AJ$9,AE16,IF(AG19=$AJ$9,AE19,IF(AG21=$AJ$9,AE21,""))))))</f>
        <v>Jayboy Lastimosa / Cyril Lastimosa</v>
      </c>
      <c r="AM9" s="15"/>
      <c r="AN9" s="15"/>
    </row>
    <row r="10" ht="13.5" customHeight="1">
      <c r="A10" s="15"/>
      <c r="B10" s="36" t="s">
        <v>84</v>
      </c>
      <c r="I10" s="37"/>
      <c r="J10" s="38"/>
      <c r="K10" s="15"/>
      <c r="L10" s="15"/>
      <c r="M10" s="15"/>
      <c r="N10" s="15"/>
      <c r="O10" s="15"/>
      <c r="P10" s="15"/>
      <c r="Q10" s="36" t="s">
        <v>84</v>
      </c>
      <c r="X10" s="37"/>
      <c r="Y10" s="3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24"/>
      <c r="AL10" s="24"/>
      <c r="AM10" s="15"/>
      <c r="AN10" s="15"/>
    </row>
    <row r="11" ht="13.5" customHeight="1">
      <c r="A11" s="15"/>
      <c r="B11" s="39" t="str">
        <f>AE11</f>
        <v>Simone Re / David Camilleri</v>
      </c>
      <c r="C11" s="29">
        <v>4.0</v>
      </c>
      <c r="D11" s="40">
        <f>IF(C11&gt;C9,1,0)</f>
        <v>0</v>
      </c>
      <c r="E11" s="41"/>
      <c r="F11" s="29">
        <v>4.0</v>
      </c>
      <c r="G11" s="40">
        <f>IF(F11&gt;F9,1,0)</f>
        <v>0</v>
      </c>
      <c r="H11" s="41"/>
      <c r="I11" s="32"/>
      <c r="J11" s="15">
        <f>IF(I11&gt;I9,1,0)</f>
        <v>0</v>
      </c>
      <c r="K11" s="15">
        <f>IF(D11+G11=2,3,IF(D11+G11=1,1,0))</f>
        <v>0</v>
      </c>
      <c r="L11" s="15">
        <f>IF(K11=3,3,IF(J11+K11=2,2,IF(K11=1,1,0)))</f>
        <v>0</v>
      </c>
      <c r="M11" s="15">
        <f>C11+F11</f>
        <v>8</v>
      </c>
      <c r="N11" s="15">
        <f>D11+G11+J11</f>
        <v>0</v>
      </c>
      <c r="O11" s="15"/>
      <c r="P11" s="15"/>
      <c r="Q11" s="39" t="str">
        <f>AE14</f>
        <v>Ryan Ebejer / Etienne Formosa Carabez</v>
      </c>
      <c r="R11" s="29">
        <v>6.0</v>
      </c>
      <c r="S11" s="40">
        <f>IF(R11&gt;R9,1,0)</f>
        <v>0</v>
      </c>
      <c r="T11" s="41"/>
      <c r="U11" s="29">
        <v>6.0</v>
      </c>
      <c r="V11" s="40">
        <f>IF(U11&gt;U9,1,0)</f>
        <v>1</v>
      </c>
      <c r="W11" s="41"/>
      <c r="X11" s="29">
        <v>11.0</v>
      </c>
      <c r="Y11" s="15">
        <f>IF(X11&gt;X9,1,0)</f>
        <v>1</v>
      </c>
      <c r="Z11" s="15">
        <f>IF(S11+V11=2,3,IF(S11+V11=1,1,0))</f>
        <v>1</v>
      </c>
      <c r="AA11" s="15">
        <f>IF(Z11=3,3,IF(Y11+Z11=2,2,IF(Z11=1,1,0)))</f>
        <v>2</v>
      </c>
      <c r="AB11" s="15">
        <f>R11+U11</f>
        <v>12</v>
      </c>
      <c r="AC11" s="15">
        <f>S11+V11+Y11</f>
        <v>2</v>
      </c>
      <c r="AD11" s="15"/>
      <c r="AE11" s="69" t="str">
        <f>'Players Men'!B30&amp; " / " &amp;'Players Men'!C30</f>
        <v>Simone Re / David Camilleri</v>
      </c>
      <c r="AF11" s="34">
        <f>F12+R32+C32+R27+C27</f>
        <v>5</v>
      </c>
      <c r="AG11" s="34">
        <f t="shared" ref="AG11:AI11" si="2">L11+AA29+L29+AA24+L24</f>
        <v>6</v>
      </c>
      <c r="AH11" s="34">
        <f t="shared" si="2"/>
        <v>39</v>
      </c>
      <c r="AI11" s="35">
        <f t="shared" si="2"/>
        <v>5</v>
      </c>
      <c r="AJ11" s="24"/>
      <c r="AK11" s="24"/>
      <c r="AL11" s="24"/>
      <c r="AM11" s="15"/>
      <c r="AN11" s="15"/>
    </row>
    <row r="12" ht="13.5" hidden="1" customHeight="1">
      <c r="A12" s="15" t="s">
        <v>85</v>
      </c>
      <c r="B12" s="15"/>
      <c r="C12" s="42">
        <f>IF(C9="",0,1)</f>
        <v>1</v>
      </c>
      <c r="D12" s="15"/>
      <c r="E12" s="15"/>
      <c r="F12" s="42">
        <f>IF(C11="",0,1)</f>
        <v>1</v>
      </c>
      <c r="G12" s="15"/>
      <c r="H12" s="15"/>
      <c r="I12" s="15"/>
      <c r="J12" s="15"/>
      <c r="K12" s="15"/>
      <c r="L12" s="15"/>
      <c r="M12" s="15"/>
      <c r="N12" s="15"/>
      <c r="O12" s="15"/>
      <c r="P12" s="15" t="s">
        <v>85</v>
      </c>
      <c r="Q12" s="15"/>
      <c r="R12" s="42">
        <f>IF(R9="",0,1)</f>
        <v>1</v>
      </c>
      <c r="S12" s="15"/>
      <c r="T12" s="15"/>
      <c r="U12" s="42">
        <f>IF(R11="",0,1)</f>
        <v>1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24"/>
      <c r="AG12" s="24"/>
      <c r="AH12" s="24"/>
      <c r="AI12" s="24"/>
      <c r="AJ12" s="24"/>
      <c r="AK12" s="15"/>
      <c r="AL12" s="15"/>
      <c r="AM12" s="15"/>
      <c r="AN12" s="15"/>
    </row>
    <row r="13" ht="13.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24"/>
      <c r="AG13" s="24"/>
      <c r="AH13" s="24"/>
      <c r="AI13" s="24"/>
      <c r="AJ13" s="24"/>
      <c r="AK13" s="24"/>
      <c r="AL13" s="24"/>
      <c r="AM13" s="15"/>
      <c r="AN13" s="15"/>
    </row>
    <row r="14" ht="13.5" customHeight="1">
      <c r="A14" s="15"/>
      <c r="B14" s="28" t="str">
        <f>AE9</f>
        <v>Charles Micallef / Twanny Pule</v>
      </c>
      <c r="C14" s="29">
        <v>1.0</v>
      </c>
      <c r="D14" s="30">
        <f>IF(C14&gt;C16,1,0)</f>
        <v>0</v>
      </c>
      <c r="E14" s="31"/>
      <c r="F14" s="29">
        <v>4.0</v>
      </c>
      <c r="G14" s="30">
        <f>IF(F14&gt;F16,1,0)</f>
        <v>0</v>
      </c>
      <c r="H14" s="31"/>
      <c r="I14" s="32"/>
      <c r="J14" s="15">
        <f>IF(I14&gt;I16,1,0)</f>
        <v>0</v>
      </c>
      <c r="K14" s="15">
        <f>IF(D14+G14=2,3,IF(D14+G14=1,1,0))</f>
        <v>0</v>
      </c>
      <c r="L14" s="15">
        <f>IF(K14=3,3,IF(J14+K14=2,2,IF(K14=1,1,0)))</f>
        <v>0</v>
      </c>
      <c r="M14" s="15">
        <f>C14+F14</f>
        <v>5</v>
      </c>
      <c r="N14" s="15">
        <f>D14+G14+J14</f>
        <v>0</v>
      </c>
      <c r="O14" s="15"/>
      <c r="P14" s="15"/>
      <c r="Q14" s="28" t="str">
        <f>AE9</f>
        <v>Charles Micallef / Twanny Pule</v>
      </c>
      <c r="R14" s="29">
        <v>3.0</v>
      </c>
      <c r="S14" s="30">
        <f>IF(R14&gt;R16,1,0)</f>
        <v>0</v>
      </c>
      <c r="T14" s="31"/>
      <c r="U14" s="29">
        <v>7.0</v>
      </c>
      <c r="V14" s="30">
        <f>IF(U14&gt;U16,1,0)</f>
        <v>1</v>
      </c>
      <c r="W14" s="31"/>
      <c r="X14" s="29">
        <v>10.0</v>
      </c>
      <c r="Y14" s="15">
        <f>IF(X14&gt;X16,1,0)</f>
        <v>1</v>
      </c>
      <c r="Z14" s="15">
        <f>IF(S14+V14=2,3,IF(S14+V14=1,1,0))</f>
        <v>1</v>
      </c>
      <c r="AA14" s="15">
        <f>IF(Z14=3,3,IF(Y14+Z14=2,2,IF(Z14=1,1,0)))</f>
        <v>2</v>
      </c>
      <c r="AB14" s="15">
        <f>R14+U14</f>
        <v>10</v>
      </c>
      <c r="AC14" s="15">
        <f>S14+V14+Y14</f>
        <v>2</v>
      </c>
      <c r="AD14" s="15"/>
      <c r="AE14" s="69" t="str">
        <f>'Players Men'!B31&amp; " / " &amp;'Players Men'!C31</f>
        <v>Ryan Ebejer / Etienne Formosa Carabez</v>
      </c>
      <c r="AF14" s="34">
        <f>R37+U12+R42+C42+F27</f>
        <v>5</v>
      </c>
      <c r="AG14" s="34">
        <f t="shared" ref="AG14:AI14" si="3">AA34+AA11+AA39+L39+L26</f>
        <v>10</v>
      </c>
      <c r="AH14" s="34">
        <f t="shared" si="3"/>
        <v>51</v>
      </c>
      <c r="AI14" s="35">
        <f t="shared" si="3"/>
        <v>8</v>
      </c>
      <c r="AJ14" s="24"/>
      <c r="AK14" s="24"/>
      <c r="AL14" s="24"/>
      <c r="AM14" s="15"/>
      <c r="AN14" s="15"/>
    </row>
    <row r="15" ht="13.5" customHeight="1">
      <c r="A15" s="15"/>
      <c r="B15" s="36" t="s">
        <v>84</v>
      </c>
      <c r="I15" s="37"/>
      <c r="J15" s="38"/>
      <c r="K15" s="15"/>
      <c r="L15" s="15"/>
      <c r="M15" s="15"/>
      <c r="N15" s="15"/>
      <c r="O15" s="15"/>
      <c r="P15" s="15"/>
      <c r="Q15" s="36" t="s">
        <v>84</v>
      </c>
      <c r="X15" s="37"/>
      <c r="Y15" s="38"/>
      <c r="Z15" s="15"/>
      <c r="AA15" s="15"/>
      <c r="AB15" s="15"/>
      <c r="AC15" s="15"/>
      <c r="AD15" s="15"/>
      <c r="AE15" s="15"/>
      <c r="AF15" s="24"/>
      <c r="AG15" s="24"/>
      <c r="AH15" s="24"/>
      <c r="AI15" s="24"/>
      <c r="AJ15" s="24"/>
      <c r="AK15" s="24"/>
      <c r="AL15" s="24"/>
      <c r="AM15" s="15"/>
      <c r="AN15" s="15"/>
    </row>
    <row r="16" ht="13.5" customHeight="1">
      <c r="A16" s="15"/>
      <c r="B16" s="39" t="str">
        <f>AE16</f>
        <v>Jayboy Lastimosa / Cyril Lastimosa</v>
      </c>
      <c r="C16" s="29">
        <v>6.0</v>
      </c>
      <c r="D16" s="40">
        <f>IF(C16&gt;C14,1,0)</f>
        <v>1</v>
      </c>
      <c r="E16" s="41"/>
      <c r="F16" s="29">
        <v>6.0</v>
      </c>
      <c r="G16" s="40">
        <f>IF(F16&gt;F14,1,0)</f>
        <v>1</v>
      </c>
      <c r="H16" s="41"/>
      <c r="I16" s="32"/>
      <c r="J16" s="15">
        <f>IF(I16&gt;I14,1,0)</f>
        <v>0</v>
      </c>
      <c r="K16" s="15">
        <f>IF(D16+G16=2,3,IF(D16+G16=1,1,0))</f>
        <v>3</v>
      </c>
      <c r="L16" s="15">
        <f>IF(K16=3,3,IF(J16+K16=2,2,IF(K16=1,1,0)))</f>
        <v>3</v>
      </c>
      <c r="M16" s="15">
        <f>C16+F16</f>
        <v>12</v>
      </c>
      <c r="N16" s="15">
        <f>D16+G16+J16</f>
        <v>2</v>
      </c>
      <c r="O16" s="15"/>
      <c r="P16" s="15"/>
      <c r="Q16" s="39" t="str">
        <f>AE19</f>
        <v>Isaac Joseph Zammit / Conrad Treeby Ward</v>
      </c>
      <c r="R16" s="29">
        <v>6.0</v>
      </c>
      <c r="S16" s="40">
        <f>IF(R16&gt;R14,1,0)</f>
        <v>1</v>
      </c>
      <c r="T16" s="41"/>
      <c r="U16" s="29">
        <v>5.0</v>
      </c>
      <c r="V16" s="40">
        <f>IF(U16&gt;U14,1,0)</f>
        <v>0</v>
      </c>
      <c r="W16" s="41"/>
      <c r="X16" s="29">
        <v>5.0</v>
      </c>
      <c r="Y16" s="15">
        <f>IF(X16&gt;X14,1,0)</f>
        <v>0</v>
      </c>
      <c r="Z16" s="15">
        <f>IF(S16+V16=2,3,IF(S16+V16=1,1,0))</f>
        <v>1</v>
      </c>
      <c r="AA16" s="15">
        <f>IF(Z16=3,3,IF(Y16+Z16=2,2,IF(Z16=1,1,0)))</f>
        <v>1</v>
      </c>
      <c r="AB16" s="15">
        <f>R16+U16</f>
        <v>11</v>
      </c>
      <c r="AC16" s="15">
        <f>S16+V16+Y16</f>
        <v>1</v>
      </c>
      <c r="AD16" s="15"/>
      <c r="AE16" s="69" t="str">
        <f>'Players Men'!B32&amp; " / " &amp;'Players Men'!C32</f>
        <v>Jayboy Lastimosa / Cyril Lastimosa</v>
      </c>
      <c r="AF16" s="34">
        <f>U37+C47+F17+U27+C37</f>
        <v>5</v>
      </c>
      <c r="AG16" s="34">
        <f t="shared" ref="AG16:AI16" si="4">AA36+L44+L16+AA26+L34</f>
        <v>15</v>
      </c>
      <c r="AH16" s="34">
        <f t="shared" si="4"/>
        <v>60</v>
      </c>
      <c r="AI16" s="35">
        <f t="shared" si="4"/>
        <v>10</v>
      </c>
      <c r="AJ16" s="24"/>
      <c r="AK16" s="24"/>
      <c r="AL16" s="24"/>
      <c r="AM16" s="15"/>
      <c r="AN16" s="15"/>
    </row>
    <row r="17" ht="13.5" hidden="1" customHeight="1">
      <c r="A17" s="15" t="s">
        <v>85</v>
      </c>
      <c r="B17" s="15"/>
      <c r="C17" s="42">
        <f>IF(C14="",0,1)</f>
        <v>1</v>
      </c>
      <c r="D17" s="15"/>
      <c r="E17" s="15"/>
      <c r="F17" s="42">
        <f>IF(C16="",0,1)</f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 t="s">
        <v>85</v>
      </c>
      <c r="Q17" s="15"/>
      <c r="R17" s="42">
        <f>IF(R14="",0,1)</f>
        <v>1</v>
      </c>
      <c r="S17" s="15"/>
      <c r="T17" s="15"/>
      <c r="U17" s="42">
        <f>IF(R16="",0,1)</f>
        <v>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24"/>
      <c r="AG17" s="24"/>
      <c r="AH17" s="24"/>
      <c r="AI17" s="24"/>
      <c r="AJ17" s="24"/>
      <c r="AK17" s="15"/>
      <c r="AL17" s="15"/>
      <c r="AM17" s="15"/>
      <c r="AN17" s="15"/>
    </row>
    <row r="18" ht="13.5" customHeight="1">
      <c r="A18" s="15"/>
      <c r="B18" s="15"/>
      <c r="C18" s="2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24"/>
      <c r="AG18" s="24"/>
      <c r="AH18" s="24"/>
      <c r="AI18" s="24"/>
      <c r="AJ18" s="24"/>
      <c r="AK18" s="24"/>
      <c r="AL18" s="24"/>
      <c r="AM18" s="15"/>
      <c r="AN18" s="15"/>
    </row>
    <row r="19" ht="13.5" customHeight="1">
      <c r="A19" s="15"/>
      <c r="B19" s="28" t="str">
        <f>AE9</f>
        <v>Charles Micallef / Twanny Pule</v>
      </c>
      <c r="C19" s="29">
        <v>6.0</v>
      </c>
      <c r="D19" s="30">
        <f>IF(C19&gt;C21,1,0)</f>
        <v>1</v>
      </c>
      <c r="E19" s="31"/>
      <c r="F19" s="29">
        <v>6.0</v>
      </c>
      <c r="G19" s="30">
        <f>IF(F19&gt;F21,1,0)</f>
        <v>1</v>
      </c>
      <c r="H19" s="31"/>
      <c r="I19" s="32"/>
      <c r="J19" s="15">
        <f>IF(I19&gt;I21,1,0)</f>
        <v>0</v>
      </c>
      <c r="K19" s="15">
        <f>IF(D19+G19=2,3,IF(D19+G19=1,1,0))</f>
        <v>3</v>
      </c>
      <c r="L19" s="15">
        <f>IF(K19=3,3,IF(J19+K19=2,2,IF(K19=1,1,0)))</f>
        <v>3</v>
      </c>
      <c r="M19" s="15">
        <f>C19+F19</f>
        <v>12</v>
      </c>
      <c r="N19" s="15">
        <f>D19+G19+J19</f>
        <v>2</v>
      </c>
      <c r="O19" s="15"/>
      <c r="P19" s="15"/>
      <c r="Q19" s="28" t="str">
        <f>AE19</f>
        <v>Isaac Joseph Zammit / Conrad Treeby Ward</v>
      </c>
      <c r="R19" s="29">
        <v>7.0</v>
      </c>
      <c r="S19" s="30">
        <f>IF(R19&gt;R21,1,0)</f>
        <v>1</v>
      </c>
      <c r="T19" s="31"/>
      <c r="U19" s="29">
        <v>6.0</v>
      </c>
      <c r="V19" s="30">
        <f>IF(U19&gt;U21,1,0)</f>
        <v>1</v>
      </c>
      <c r="W19" s="31"/>
      <c r="X19" s="32"/>
      <c r="Y19" s="15">
        <f>IF(X19&gt;X21,1,0)</f>
        <v>0</v>
      </c>
      <c r="Z19" s="15">
        <f>IF(S19+V19=2,3,IF(S19+V19=1,1,0))</f>
        <v>3</v>
      </c>
      <c r="AA19" s="15">
        <f>IF(Z19=3,3,IF(Y19+Z19=2,2,IF(Z19=1,1,0)))</f>
        <v>3</v>
      </c>
      <c r="AB19" s="15">
        <f>R19+U19</f>
        <v>13</v>
      </c>
      <c r="AC19" s="15">
        <f>S19+V19+Y19</f>
        <v>2</v>
      </c>
      <c r="AD19" s="15"/>
      <c r="AE19" s="69" t="str">
        <f>'Players Men'!B33&amp; " / " &amp;'Players Men'!C33</f>
        <v>Isaac Joseph Zammit / Conrad Treeby Ward</v>
      </c>
      <c r="AF19" s="34">
        <f>R22+F47+F32+U17+F42</f>
        <v>5</v>
      </c>
      <c r="AG19" s="34">
        <f t="shared" ref="AG19:AI19" si="5">AA19+L46+L31+AA16+L41</f>
        <v>5</v>
      </c>
      <c r="AH19" s="34">
        <f t="shared" si="5"/>
        <v>37</v>
      </c>
      <c r="AI19" s="35">
        <f t="shared" si="5"/>
        <v>4</v>
      </c>
      <c r="AJ19" s="24"/>
      <c r="AK19" s="24"/>
      <c r="AL19" s="24"/>
      <c r="AM19" s="15"/>
      <c r="AN19" s="15"/>
    </row>
    <row r="20" ht="13.5" customHeight="1">
      <c r="A20" s="15"/>
      <c r="B20" s="36" t="s">
        <v>84</v>
      </c>
      <c r="I20" s="37"/>
      <c r="J20" s="38"/>
      <c r="K20" s="15"/>
      <c r="L20" s="15"/>
      <c r="M20" s="15"/>
      <c r="N20" s="15"/>
      <c r="O20" s="15"/>
      <c r="P20" s="15"/>
      <c r="Q20" s="36" t="s">
        <v>84</v>
      </c>
      <c r="X20" s="37"/>
      <c r="Y20" s="38"/>
      <c r="Z20" s="15"/>
      <c r="AA20" s="15"/>
      <c r="AB20" s="15"/>
      <c r="AC20" s="15"/>
      <c r="AD20" s="15"/>
      <c r="AE20" s="15"/>
      <c r="AF20" s="24"/>
      <c r="AG20" s="24"/>
      <c r="AH20" s="24"/>
      <c r="AI20" s="24"/>
      <c r="AJ20" s="24"/>
      <c r="AK20" s="24"/>
      <c r="AL20" s="24"/>
      <c r="AM20" s="15"/>
      <c r="AN20" s="15"/>
    </row>
    <row r="21" ht="13.5" customHeight="1">
      <c r="A21" s="15"/>
      <c r="B21" s="39" t="str">
        <f>AE21</f>
        <v>Ivan Saliba / Clayton Saliba Hersey</v>
      </c>
      <c r="C21" s="29">
        <v>3.0</v>
      </c>
      <c r="D21" s="40">
        <f>IF(C21&gt;C19,1,0)</f>
        <v>0</v>
      </c>
      <c r="E21" s="41"/>
      <c r="F21" s="29">
        <v>3.0</v>
      </c>
      <c r="G21" s="40">
        <f>IF(F21&gt;F19,1,0)</f>
        <v>0</v>
      </c>
      <c r="H21" s="41"/>
      <c r="I21" s="32"/>
      <c r="J21" s="15">
        <f>IF(I21&gt;I19,1,0)</f>
        <v>0</v>
      </c>
      <c r="K21" s="15">
        <f>IF(D21+G21=2,3,IF(D21+G21=1,1,0))</f>
        <v>0</v>
      </c>
      <c r="L21" s="15">
        <f>IF(K21=3,3,IF(J21+K21=2,2,IF(K21=1,1,0)))</f>
        <v>0</v>
      </c>
      <c r="M21" s="15">
        <f>C21+F21</f>
        <v>6</v>
      </c>
      <c r="N21" s="15">
        <f>D21+G21+J21</f>
        <v>0</v>
      </c>
      <c r="O21" s="15"/>
      <c r="P21" s="15"/>
      <c r="Q21" s="39" t="str">
        <f>AE21</f>
        <v>Ivan Saliba / Clayton Saliba Hersey</v>
      </c>
      <c r="R21" s="29">
        <v>5.0</v>
      </c>
      <c r="S21" s="40">
        <f>IF(R21&gt;R19,1,0)</f>
        <v>0</v>
      </c>
      <c r="T21" s="41"/>
      <c r="U21" s="29">
        <v>3.0</v>
      </c>
      <c r="V21" s="40">
        <f>IF(U21&gt;U19,1,0)</f>
        <v>0</v>
      </c>
      <c r="W21" s="41"/>
      <c r="X21" s="32"/>
      <c r="Y21" s="15">
        <f>IF(X21&gt;X19,1,0)</f>
        <v>0</v>
      </c>
      <c r="Z21" s="15">
        <f>IF(S21+V21=2,3,IF(S21+V21=1,1,0))</f>
        <v>0</v>
      </c>
      <c r="AA21" s="15">
        <f>IF(Z21=3,3,IF(Y21+Z21=2,2,IF(Z21=1,1,0)))</f>
        <v>0</v>
      </c>
      <c r="AB21" s="15">
        <f>R21+U21</f>
        <v>8</v>
      </c>
      <c r="AC21" s="15">
        <f>S21+V21+Y21</f>
        <v>0</v>
      </c>
      <c r="AD21" s="15"/>
      <c r="AE21" s="69" t="str">
        <f>'Players Men'!B34&amp; " / " &amp;'Players Men'!C34</f>
        <v>Ivan Saliba / Clayton Saliba Hersey</v>
      </c>
      <c r="AF21" s="34">
        <f>U22+U32+U42+F22+F37</f>
        <v>5</v>
      </c>
      <c r="AG21" s="34">
        <f t="shared" ref="AG21:AI21" si="6">AA21+AA31+AA41+L21+L36</f>
        <v>0</v>
      </c>
      <c r="AH21" s="34">
        <f t="shared" si="6"/>
        <v>25</v>
      </c>
      <c r="AI21" s="35">
        <f t="shared" si="6"/>
        <v>0</v>
      </c>
      <c r="AJ21" s="24"/>
      <c r="AK21" s="24"/>
      <c r="AL21" s="24"/>
      <c r="AM21" s="15"/>
      <c r="AN21" s="15"/>
    </row>
    <row r="22" ht="13.5" hidden="1" customHeight="1">
      <c r="A22" s="15" t="s">
        <v>85</v>
      </c>
      <c r="B22" s="15"/>
      <c r="C22" s="42">
        <f>IF(C19="",0,1)</f>
        <v>1</v>
      </c>
      <c r="D22" s="15"/>
      <c r="E22" s="15"/>
      <c r="F22" s="42">
        <f>IF(C21="",0,1)</f>
        <v>1</v>
      </c>
      <c r="G22" s="15"/>
      <c r="H22" s="15"/>
      <c r="I22" s="15"/>
      <c r="J22" s="15"/>
      <c r="K22" s="15"/>
      <c r="L22" s="15"/>
      <c r="M22" s="15"/>
      <c r="N22" s="15"/>
      <c r="O22" s="15"/>
      <c r="P22" s="15" t="s">
        <v>85</v>
      </c>
      <c r="Q22" s="15"/>
      <c r="R22" s="42">
        <f>IF(R19="",0,1)</f>
        <v>1</v>
      </c>
      <c r="S22" s="15"/>
      <c r="T22" s="15"/>
      <c r="U22" s="42">
        <f>IF(R21="",0,1)</f>
        <v>1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24"/>
      <c r="AG22" s="24"/>
      <c r="AH22" s="24"/>
      <c r="AI22" s="24"/>
      <c r="AJ22" s="24"/>
      <c r="AK22" s="15"/>
      <c r="AL22" s="15"/>
      <c r="AM22" s="15"/>
      <c r="AN22" s="15"/>
    </row>
    <row r="23" ht="13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24"/>
      <c r="AK23" s="24"/>
      <c r="AL23" s="15"/>
      <c r="AM23" s="15"/>
      <c r="AN23" s="15"/>
    </row>
    <row r="24" ht="13.5" customHeight="1">
      <c r="A24" s="15"/>
      <c r="B24" s="28" t="str">
        <f>AE11</f>
        <v>Simone Re / David Camilleri</v>
      </c>
      <c r="C24" s="29">
        <v>7.0</v>
      </c>
      <c r="D24" s="30">
        <f>IF(C24&gt;C26,1,0)</f>
        <v>1</v>
      </c>
      <c r="E24" s="31"/>
      <c r="F24" s="29">
        <v>2.0</v>
      </c>
      <c r="G24" s="30">
        <f>IF(F24&gt;F26,1,0)</f>
        <v>0</v>
      </c>
      <c r="H24" s="31"/>
      <c r="I24" s="29">
        <v>5.0</v>
      </c>
      <c r="J24" s="15">
        <f>IF(I24&gt;I26,1,0)</f>
        <v>0</v>
      </c>
      <c r="K24" s="15">
        <f>IF(D24+G24=2,3,IF(D24+G24=1,1,0))</f>
        <v>1</v>
      </c>
      <c r="L24" s="15">
        <f>IF(K24=3,3,IF(J24+K24=2,2,IF(K24=1,1,0)))</f>
        <v>1</v>
      </c>
      <c r="M24" s="15">
        <f>C24+F24</f>
        <v>9</v>
      </c>
      <c r="N24" s="15">
        <f>D24+G24+J24</f>
        <v>1</v>
      </c>
      <c r="O24" s="15"/>
      <c r="P24" s="15"/>
      <c r="Q24" s="28" t="str">
        <f>AE11</f>
        <v>Simone Re / David Camilleri</v>
      </c>
      <c r="R24" s="29">
        <v>0.0</v>
      </c>
      <c r="S24" s="30">
        <f>IF(R24&gt;R26,1,0)</f>
        <v>0</v>
      </c>
      <c r="T24" s="31"/>
      <c r="U24" s="29">
        <v>0.0</v>
      </c>
      <c r="V24" s="30">
        <f>IF(U24&gt;U26,1,0)</f>
        <v>0</v>
      </c>
      <c r="W24" s="31"/>
      <c r="X24" s="32"/>
      <c r="Y24" s="15">
        <f>IF(X24&gt;X26,1,0)</f>
        <v>0</v>
      </c>
      <c r="Z24" s="15">
        <f>IF(S24+V24=2,3,IF(S24+V24=1,1,0))</f>
        <v>0</v>
      </c>
      <c r="AA24" s="15">
        <f>IF(Z24=3,3,IF(Y24+Z24=2,2,IF(Z24=1,1,0)))</f>
        <v>0</v>
      </c>
      <c r="AB24" s="15">
        <f>R24+U24</f>
        <v>0</v>
      </c>
      <c r="AC24" s="15">
        <f>S24+V24+Y24</f>
        <v>0</v>
      </c>
      <c r="AD24" s="15"/>
      <c r="AE24" s="66" t="s">
        <v>86</v>
      </c>
      <c r="AF24" s="21"/>
      <c r="AG24" s="21"/>
      <c r="AH24" s="21"/>
      <c r="AI24" s="7"/>
      <c r="AJ24" s="24"/>
      <c r="AK24" s="15"/>
      <c r="AL24" s="15"/>
      <c r="AM24" s="15"/>
      <c r="AN24" s="15"/>
    </row>
    <row r="25" ht="13.5" customHeight="1">
      <c r="A25" s="15"/>
      <c r="B25" s="36" t="s">
        <v>84</v>
      </c>
      <c r="I25" s="37"/>
      <c r="J25" s="38"/>
      <c r="K25" s="15"/>
      <c r="L25" s="15"/>
      <c r="M25" s="15"/>
      <c r="N25" s="15"/>
      <c r="O25" s="15"/>
      <c r="P25" s="15"/>
      <c r="Q25" s="36" t="s">
        <v>84</v>
      </c>
      <c r="X25" s="37"/>
      <c r="Y25" s="38"/>
      <c r="Z25" s="15"/>
      <c r="AA25" s="15"/>
      <c r="AB25" s="15"/>
      <c r="AC25" s="15"/>
      <c r="AD25" s="15"/>
      <c r="AE25" s="43" t="s">
        <v>94</v>
      </c>
      <c r="AF25" s="21"/>
      <c r="AG25" s="21"/>
      <c r="AH25" s="21"/>
      <c r="AI25" s="7"/>
      <c r="AJ25" s="24"/>
      <c r="AK25" s="24"/>
      <c r="AL25" s="15"/>
      <c r="AM25" s="15"/>
      <c r="AN25" s="15"/>
    </row>
    <row r="26" ht="13.5" customHeight="1">
      <c r="A26" s="15"/>
      <c r="B26" s="39" t="str">
        <f>AE14</f>
        <v>Ryan Ebejer / Etienne Formosa Carabez</v>
      </c>
      <c r="C26" s="29">
        <v>5.0</v>
      </c>
      <c r="D26" s="40">
        <f>IF(C26&gt;C24,1,0)</f>
        <v>0</v>
      </c>
      <c r="E26" s="41"/>
      <c r="F26" s="29">
        <v>6.0</v>
      </c>
      <c r="G26" s="40">
        <f>IF(F26&gt;F24,1,0)</f>
        <v>1</v>
      </c>
      <c r="H26" s="41"/>
      <c r="I26" s="29">
        <v>10.0</v>
      </c>
      <c r="J26" s="15">
        <f>IF(I26&gt;I24,1,0)</f>
        <v>1</v>
      </c>
      <c r="K26" s="15">
        <f>IF(D26+G26=2,3,IF(D26+G26=1,1,0))</f>
        <v>1</v>
      </c>
      <c r="L26" s="15">
        <f>IF(K26=3,3,IF(J26+K26=2,2,IF(K26=1,1,0)))</f>
        <v>2</v>
      </c>
      <c r="M26" s="15">
        <f>C26+F26</f>
        <v>11</v>
      </c>
      <c r="N26" s="15">
        <f>D26+G26+J26</f>
        <v>2</v>
      </c>
      <c r="O26" s="15"/>
      <c r="P26" s="15"/>
      <c r="Q26" s="39" t="str">
        <f>AE16</f>
        <v>Jayboy Lastimosa / Cyril Lastimosa</v>
      </c>
      <c r="R26" s="29">
        <v>6.0</v>
      </c>
      <c r="S26" s="40">
        <f>IF(R26&gt;R24,1,0)</f>
        <v>1</v>
      </c>
      <c r="T26" s="41"/>
      <c r="U26" s="29">
        <v>6.0</v>
      </c>
      <c r="V26" s="40">
        <f>IF(U26&gt;U24,1,0)</f>
        <v>1</v>
      </c>
      <c r="W26" s="41"/>
      <c r="X26" s="32"/>
      <c r="Y26" s="15">
        <f>IF(X26&gt;X24,1,0)</f>
        <v>0</v>
      </c>
      <c r="Z26" s="15">
        <f>IF(S26+V26=2,3,IF(S26+V26=1,1,0))</f>
        <v>3</v>
      </c>
      <c r="AA26" s="15">
        <f>IF(Z26=3,3,IF(Y26+Z26=2,2,IF(Z26=1,1,0)))</f>
        <v>3</v>
      </c>
      <c r="AB26" s="15">
        <f>R26+U26</f>
        <v>12</v>
      </c>
      <c r="AC26" s="15">
        <f>S26+V26+Y26</f>
        <v>2</v>
      </c>
      <c r="AD26" s="15"/>
      <c r="AE26" s="70" t="s">
        <v>95</v>
      </c>
      <c r="AF26" s="21"/>
      <c r="AG26" s="21"/>
      <c r="AH26" s="21"/>
      <c r="AI26" s="7"/>
      <c r="AJ26" s="15"/>
      <c r="AK26" s="15"/>
      <c r="AL26" s="15"/>
      <c r="AM26" s="15"/>
      <c r="AN26" s="15"/>
    </row>
    <row r="27" ht="13.5" hidden="1" customHeight="1">
      <c r="A27" s="15" t="s">
        <v>85</v>
      </c>
      <c r="B27" s="15"/>
      <c r="C27" s="42">
        <f>IF(C24="",0,1)</f>
        <v>1</v>
      </c>
      <c r="D27" s="15"/>
      <c r="E27" s="15"/>
      <c r="F27" s="42">
        <f>IF(C26="",0,1)</f>
        <v>1</v>
      </c>
      <c r="G27" s="15"/>
      <c r="H27" s="15"/>
      <c r="I27" s="15"/>
      <c r="J27" s="15"/>
      <c r="K27" s="15"/>
      <c r="L27" s="15"/>
      <c r="M27" s="15"/>
      <c r="N27" s="15"/>
      <c r="O27" s="15"/>
      <c r="P27" s="15" t="s">
        <v>85</v>
      </c>
      <c r="Q27" s="15"/>
      <c r="R27" s="42">
        <f>IF(R24="",0,1)</f>
        <v>1</v>
      </c>
      <c r="S27" s="15"/>
      <c r="T27" s="15"/>
      <c r="U27" s="42">
        <f>IF(R26="",0,1)</f>
        <v>1</v>
      </c>
      <c r="V27" s="15"/>
      <c r="W27" s="15"/>
      <c r="X27" s="15"/>
      <c r="Y27" s="15"/>
      <c r="Z27" s="15"/>
      <c r="AA27" s="15"/>
      <c r="AB27" s="15"/>
      <c r="AC27" s="15"/>
      <c r="AD27" s="15"/>
      <c r="AE27" s="71" t="str">
        <f>IF(AK11=42,AL11,"")</f>
        <v/>
      </c>
      <c r="AF27" s="21"/>
      <c r="AG27" s="21"/>
      <c r="AH27" s="21"/>
      <c r="AI27" s="7"/>
      <c r="AJ27" s="15"/>
      <c r="AK27" s="15"/>
      <c r="AL27" s="15"/>
      <c r="AM27" s="15"/>
      <c r="AN27" s="15"/>
    </row>
    <row r="28" ht="15.0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43" t="s">
        <v>96</v>
      </c>
      <c r="AF28" s="21"/>
      <c r="AG28" s="21"/>
      <c r="AH28" s="21"/>
      <c r="AI28" s="7"/>
      <c r="AJ28" s="15"/>
      <c r="AK28" s="15"/>
      <c r="AL28" s="15"/>
      <c r="AM28" s="15"/>
      <c r="AN28" s="15"/>
    </row>
    <row r="29" ht="13.5" customHeight="1">
      <c r="A29" s="15"/>
      <c r="B29" s="28" t="str">
        <f>AE11</f>
        <v>Simone Re / David Camilleri</v>
      </c>
      <c r="C29" s="29">
        <v>3.0</v>
      </c>
      <c r="D29" s="30">
        <f>IF(C29&gt;C31,1,0)</f>
        <v>0</v>
      </c>
      <c r="E29" s="31"/>
      <c r="F29" s="29">
        <v>6.0</v>
      </c>
      <c r="G29" s="30">
        <f>IF(F29&gt;F31,1,0)</f>
        <v>1</v>
      </c>
      <c r="H29" s="31"/>
      <c r="I29" s="29">
        <v>10.0</v>
      </c>
      <c r="J29" s="15">
        <f>IF(I29&gt;I31,1,0)</f>
        <v>1</v>
      </c>
      <c r="K29" s="15">
        <f>IF(D29+G29=2,3,IF(D29+G29=1,1,0))</f>
        <v>1</v>
      </c>
      <c r="L29" s="15">
        <f>IF(K29=3,3,IF(J29+K29=2,2,IF(K29=1,1,0)))</f>
        <v>2</v>
      </c>
      <c r="M29" s="15">
        <f>C29+F29</f>
        <v>9</v>
      </c>
      <c r="N29" s="15">
        <f>D29+G29+J29</f>
        <v>2</v>
      </c>
      <c r="O29" s="15"/>
      <c r="P29" s="15"/>
      <c r="Q29" s="28" t="str">
        <f>AE11</f>
        <v>Simone Re / David Camilleri</v>
      </c>
      <c r="R29" s="29">
        <v>7.0</v>
      </c>
      <c r="S29" s="30">
        <f>IF(R29&gt;R31,1,0)</f>
        <v>1</v>
      </c>
      <c r="T29" s="31"/>
      <c r="U29" s="29">
        <v>6.0</v>
      </c>
      <c r="V29" s="30">
        <f>IF(U29&gt;U31,1,0)</f>
        <v>1</v>
      </c>
      <c r="W29" s="31"/>
      <c r="X29" s="32"/>
      <c r="Y29" s="15">
        <f>IF(X29&gt;X31,1,0)</f>
        <v>0</v>
      </c>
      <c r="Z29" s="15">
        <f>IF(S29+V29=2,3,IF(S29+V29=1,1,0))</f>
        <v>3</v>
      </c>
      <c r="AA29" s="15">
        <f>IF(Z29=3,3,IF(Y29+Z29=2,2,IF(Z29=1,1,0)))</f>
        <v>3</v>
      </c>
      <c r="AB29" s="15">
        <f>R29+U29</f>
        <v>13</v>
      </c>
      <c r="AC29" s="15">
        <f>S29+V29+Y29</f>
        <v>2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ht="13.5" customHeight="1">
      <c r="A30" s="15"/>
      <c r="B30" s="36" t="s">
        <v>84</v>
      </c>
      <c r="I30" s="37"/>
      <c r="J30" s="38"/>
      <c r="K30" s="15"/>
      <c r="L30" s="15"/>
      <c r="M30" s="15"/>
      <c r="N30" s="15"/>
      <c r="O30" s="15"/>
      <c r="P30" s="15"/>
      <c r="Q30" s="36" t="s">
        <v>84</v>
      </c>
      <c r="X30" s="37"/>
      <c r="Y30" s="38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ht="13.5" customHeight="1">
      <c r="A31" s="15"/>
      <c r="B31" s="39" t="str">
        <f>AE19</f>
        <v>Isaac Joseph Zammit / Conrad Treeby Ward</v>
      </c>
      <c r="C31" s="29">
        <v>6.0</v>
      </c>
      <c r="D31" s="40">
        <f>IF(C31&gt;C29,1,0)</f>
        <v>1</v>
      </c>
      <c r="E31" s="41"/>
      <c r="F31" s="29">
        <v>0.0</v>
      </c>
      <c r="G31" s="40">
        <f>IF(F31&gt;F29,1,0)</f>
        <v>0</v>
      </c>
      <c r="H31" s="41"/>
      <c r="I31" s="29">
        <v>8.0</v>
      </c>
      <c r="J31" s="15">
        <f>IF(I31&gt;I29,1,0)</f>
        <v>0</v>
      </c>
      <c r="K31" s="15">
        <f>IF(D31+G31=2,3,IF(D31+G31=1,1,0))</f>
        <v>1</v>
      </c>
      <c r="L31" s="15">
        <f>IF(K31=3,3,IF(J31+K31=2,2,IF(K31=1,1,0)))</f>
        <v>1</v>
      </c>
      <c r="M31" s="15">
        <f>C31+F31</f>
        <v>6</v>
      </c>
      <c r="N31" s="15">
        <f>D31+G31+J31</f>
        <v>1</v>
      </c>
      <c r="O31" s="15"/>
      <c r="P31" s="15"/>
      <c r="Q31" s="39" t="str">
        <f>AE21</f>
        <v>Ivan Saliba / Clayton Saliba Hersey</v>
      </c>
      <c r="R31" s="29">
        <v>5.0</v>
      </c>
      <c r="S31" s="40">
        <f>IF(R31&gt;R29,1,0)</f>
        <v>0</v>
      </c>
      <c r="T31" s="41"/>
      <c r="U31" s="29">
        <v>1.0</v>
      </c>
      <c r="V31" s="40">
        <f>IF(U31&gt;U29,1,0)</f>
        <v>0</v>
      </c>
      <c r="W31" s="41"/>
      <c r="X31" s="32"/>
      <c r="Y31" s="15">
        <f>IF(X31&gt;X29,1,0)</f>
        <v>0</v>
      </c>
      <c r="Z31" s="15">
        <f>IF(S31+V31=2,3,IF(S31+V31=1,1,0))</f>
        <v>0</v>
      </c>
      <c r="AA31" s="15">
        <f>IF(Z31=3,3,IF(Y31+Z31=2,2,IF(Z31=1,1,0)))</f>
        <v>0</v>
      </c>
      <c r="AB31" s="15">
        <f>R31+U31</f>
        <v>6</v>
      </c>
      <c r="AC31" s="15">
        <f>S31+V31+Y31</f>
        <v>0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ht="13.5" hidden="1" customHeight="1">
      <c r="A32" s="15" t="s">
        <v>85</v>
      </c>
      <c r="B32" s="15"/>
      <c r="C32" s="42">
        <f>IF(C29="",0,1)</f>
        <v>1</v>
      </c>
      <c r="D32" s="15"/>
      <c r="E32" s="15"/>
      <c r="F32" s="42">
        <f>IF(C31="",0,1)</f>
        <v>1</v>
      </c>
      <c r="G32" s="15"/>
      <c r="H32" s="15"/>
      <c r="I32" s="15"/>
      <c r="J32" s="15"/>
      <c r="K32" s="15"/>
      <c r="L32" s="15"/>
      <c r="M32" s="15"/>
      <c r="N32" s="15"/>
      <c r="O32" s="15"/>
      <c r="P32" s="15" t="s">
        <v>85</v>
      </c>
      <c r="Q32" s="15"/>
      <c r="R32" s="42">
        <f>IF(R29="",0,1)</f>
        <v>1</v>
      </c>
      <c r="S32" s="15"/>
      <c r="T32" s="15"/>
      <c r="U32" s="42">
        <f>IF(R31="",0,1)</f>
        <v>1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24"/>
      <c r="AI33" s="15"/>
      <c r="AJ33" s="15"/>
      <c r="AK33" s="15"/>
      <c r="AL33" s="15"/>
      <c r="AM33" s="15"/>
      <c r="AN33" s="15"/>
    </row>
    <row r="34" ht="13.5" customHeight="1">
      <c r="A34" s="15"/>
      <c r="B34" s="28" t="str">
        <f>AE16</f>
        <v>Jayboy Lastimosa / Cyril Lastimosa</v>
      </c>
      <c r="C34" s="29">
        <v>6.0</v>
      </c>
      <c r="D34" s="30">
        <f>IF(C34&gt;C36,1,0)</f>
        <v>1</v>
      </c>
      <c r="E34" s="31"/>
      <c r="F34" s="29">
        <v>6.0</v>
      </c>
      <c r="G34" s="30">
        <f>IF(F34&gt;F36,1,0)</f>
        <v>1</v>
      </c>
      <c r="H34" s="31"/>
      <c r="I34" s="32"/>
      <c r="J34" s="15">
        <f>IF(I34&gt;I36,1,0)</f>
        <v>0</v>
      </c>
      <c r="K34" s="15">
        <f>IF(D34+G34=2,3,IF(D34+G34=1,1,0))</f>
        <v>3</v>
      </c>
      <c r="L34" s="15">
        <f>IF(K34=3,3,IF(J34+K34=2,2,IF(K34=1,1,0)))</f>
        <v>3</v>
      </c>
      <c r="M34" s="15">
        <f>C34+F34</f>
        <v>12</v>
      </c>
      <c r="N34" s="15">
        <f>D34+G34+J34</f>
        <v>2</v>
      </c>
      <c r="O34" s="15"/>
      <c r="P34" s="15"/>
      <c r="Q34" s="28" t="str">
        <f>AE14</f>
        <v>Ryan Ebejer / Etienne Formosa Carabez</v>
      </c>
      <c r="R34" s="29">
        <v>2.0</v>
      </c>
      <c r="S34" s="30">
        <f>IF(R34&gt;R36,1,0)</f>
        <v>0</v>
      </c>
      <c r="T34" s="31"/>
      <c r="U34" s="29">
        <v>2.0</v>
      </c>
      <c r="V34" s="30">
        <f>IF(U34&gt;U36,1,0)</f>
        <v>0</v>
      </c>
      <c r="W34" s="31"/>
      <c r="X34" s="32"/>
      <c r="Y34" s="15">
        <f>IF(X34&gt;X36,1,0)</f>
        <v>0</v>
      </c>
      <c r="Z34" s="15">
        <f>IF(S34+V34=2,3,IF(S34+V34=1,1,0))</f>
        <v>0</v>
      </c>
      <c r="AA34" s="15">
        <f>IF(Z34=3,3,IF(Y34+Z34=2,2,IF(Z34=1,1,0)))</f>
        <v>0</v>
      </c>
      <c r="AB34" s="15">
        <f>R34+U34</f>
        <v>4</v>
      </c>
      <c r="AC34" s="15">
        <f>S34+V34+Y34</f>
        <v>0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ht="13.5" customHeight="1">
      <c r="A35" s="15"/>
      <c r="B35" s="36" t="s">
        <v>84</v>
      </c>
      <c r="I35" s="37"/>
      <c r="J35" s="38"/>
      <c r="K35" s="15"/>
      <c r="L35" s="15"/>
      <c r="M35" s="15"/>
      <c r="N35" s="15"/>
      <c r="O35" s="15"/>
      <c r="P35" s="15"/>
      <c r="Q35" s="36" t="s">
        <v>84</v>
      </c>
      <c r="X35" s="37"/>
      <c r="Y35" s="38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7"/>
      <c r="AM35" s="15"/>
      <c r="AN35" s="15"/>
    </row>
    <row r="36" ht="13.5" customHeight="1">
      <c r="A36" s="15"/>
      <c r="B36" s="39" t="str">
        <f>AE21</f>
        <v>Ivan Saliba / Clayton Saliba Hersey</v>
      </c>
      <c r="C36" s="29">
        <v>0.0</v>
      </c>
      <c r="D36" s="40">
        <f>IF(C36&gt;C34,1,0)</f>
        <v>0</v>
      </c>
      <c r="E36" s="41"/>
      <c r="F36" s="29">
        <v>2.0</v>
      </c>
      <c r="G36" s="40">
        <f>IF(F36&gt;F34,1,0)</f>
        <v>0</v>
      </c>
      <c r="H36" s="41"/>
      <c r="I36" s="32"/>
      <c r="J36" s="15">
        <f>IF(I36&gt;I34,1,0)</f>
        <v>0</v>
      </c>
      <c r="K36" s="15">
        <f>IF(D36+G36=2,3,IF(D36+G36=1,1,0))</f>
        <v>0</v>
      </c>
      <c r="L36" s="15">
        <f>IF(K36=3,3,IF(J36+K36=2,2,IF(K36=1,1,0)))</f>
        <v>0</v>
      </c>
      <c r="M36" s="15">
        <f>C36+F36</f>
        <v>2</v>
      </c>
      <c r="N36" s="15">
        <f>D36+G36+J36</f>
        <v>0</v>
      </c>
      <c r="O36" s="15"/>
      <c r="P36" s="15"/>
      <c r="Q36" s="39" t="str">
        <f>AE16</f>
        <v>Jayboy Lastimosa / Cyril Lastimosa</v>
      </c>
      <c r="R36" s="29">
        <v>6.0</v>
      </c>
      <c r="S36" s="40">
        <f>IF(R36&gt;R34,1,0)</f>
        <v>1</v>
      </c>
      <c r="T36" s="41"/>
      <c r="U36" s="29">
        <v>6.0</v>
      </c>
      <c r="V36" s="40">
        <f>IF(U36&gt;U34,1,0)</f>
        <v>1</v>
      </c>
      <c r="W36" s="41"/>
      <c r="X36" s="32"/>
      <c r="Y36" s="15">
        <f>IF(X36&gt;X34,1,0)</f>
        <v>0</v>
      </c>
      <c r="Z36" s="15">
        <f>IF(S36+V36=2,3,IF(S36+V36=1,1,0))</f>
        <v>3</v>
      </c>
      <c r="AA36" s="15">
        <f>IF(Z36=3,3,IF(Y36+Z36=2,2,IF(Z36=1,1,0)))</f>
        <v>3</v>
      </c>
      <c r="AB36" s="15">
        <f>R36+U36</f>
        <v>12</v>
      </c>
      <c r="AC36" s="15">
        <f>S36+V36+Y36</f>
        <v>2</v>
      </c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24"/>
    </row>
    <row r="37" ht="14.25" hidden="1" customHeight="1">
      <c r="A37" s="15" t="s">
        <v>85</v>
      </c>
      <c r="B37" s="15"/>
      <c r="C37" s="42">
        <f>IF(C34="",0,1)</f>
        <v>1</v>
      </c>
      <c r="D37" s="15"/>
      <c r="E37" s="15"/>
      <c r="F37" s="42">
        <f>IF(C36="",0,1)</f>
        <v>1</v>
      </c>
      <c r="G37" s="15"/>
      <c r="H37" s="15"/>
      <c r="I37" s="15"/>
      <c r="J37" s="15"/>
      <c r="K37" s="15"/>
      <c r="L37" s="15"/>
      <c r="M37" s="15"/>
      <c r="N37" s="15"/>
      <c r="O37" s="15"/>
      <c r="P37" s="15" t="s">
        <v>85</v>
      </c>
      <c r="Q37" s="15"/>
      <c r="R37" s="42">
        <f>IF(R34="",0,1)</f>
        <v>1</v>
      </c>
      <c r="S37" s="15"/>
      <c r="T37" s="15"/>
      <c r="U37" s="42">
        <f>IF(R36="",0,1)</f>
        <v>1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ht="13.5" customHeight="1">
      <c r="A38" s="15"/>
      <c r="B38" s="15"/>
      <c r="C38" s="15"/>
      <c r="D38" s="15"/>
      <c r="E38" s="15"/>
      <c r="F38" s="24"/>
      <c r="G38" s="15"/>
      <c r="H38" s="15"/>
      <c r="I38" s="24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7"/>
      <c r="AM38" s="15"/>
      <c r="AN38" s="15"/>
    </row>
    <row r="39" ht="13.5" customHeight="1">
      <c r="A39" s="15"/>
      <c r="B39" s="28" t="str">
        <f>AE14</f>
        <v>Ryan Ebejer / Etienne Formosa Carabez</v>
      </c>
      <c r="C39" s="29">
        <v>6.0</v>
      </c>
      <c r="D39" s="30">
        <f>IF(C39&gt;C41,1,0)</f>
        <v>1</v>
      </c>
      <c r="E39" s="31"/>
      <c r="F39" s="29">
        <v>6.0</v>
      </c>
      <c r="G39" s="30">
        <f>IF(F39&gt;F41,1,0)</f>
        <v>1</v>
      </c>
      <c r="H39" s="31"/>
      <c r="I39" s="32"/>
      <c r="J39" s="15">
        <f>IF(I39&gt;I41,1,0)</f>
        <v>0</v>
      </c>
      <c r="K39" s="15">
        <f>IF(D39+G39=2,3,IF(D39+G39=1,1,0))</f>
        <v>3</v>
      </c>
      <c r="L39" s="15">
        <f>IF(K39=3,3,IF(J39+K39=2,2,IF(K39=1,1,0)))</f>
        <v>3</v>
      </c>
      <c r="M39" s="15">
        <f>C39+F39</f>
        <v>12</v>
      </c>
      <c r="N39" s="15">
        <f>D39+G39+J39</f>
        <v>2</v>
      </c>
      <c r="O39" s="15"/>
      <c r="P39" s="15"/>
      <c r="Q39" s="28" t="str">
        <f>AE14</f>
        <v>Ryan Ebejer / Etienne Formosa Carabez</v>
      </c>
      <c r="R39" s="29">
        <v>6.0</v>
      </c>
      <c r="S39" s="30">
        <f>IF(R39&gt;R41,1,0)</f>
        <v>1</v>
      </c>
      <c r="T39" s="31"/>
      <c r="U39" s="29">
        <v>6.0</v>
      </c>
      <c r="V39" s="30">
        <f>IF(U39&gt;U41,1,0)</f>
        <v>1</v>
      </c>
      <c r="W39" s="31"/>
      <c r="X39" s="32"/>
      <c r="Y39" s="15">
        <f>IF(X39&gt;X41,1,0)</f>
        <v>0</v>
      </c>
      <c r="Z39" s="15">
        <f>IF(S39+V39=2,3,IF(S39+V39=1,1,0))</f>
        <v>3</v>
      </c>
      <c r="AA39" s="15">
        <f>IF(Z39=3,3,IF(Y39+Z39=2,2,IF(Z39=1,1,0)))</f>
        <v>3</v>
      </c>
      <c r="AB39" s="15">
        <f>R39+U39</f>
        <v>12</v>
      </c>
      <c r="AC39" s="15">
        <f>S39+V39+Y39</f>
        <v>2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ht="15.0" customHeight="1">
      <c r="A40" s="15"/>
      <c r="B40" s="36" t="s">
        <v>84</v>
      </c>
      <c r="I40" s="37"/>
      <c r="J40" s="38"/>
      <c r="K40" s="15"/>
      <c r="L40" s="15"/>
      <c r="M40" s="15"/>
      <c r="N40" s="15"/>
      <c r="O40" s="15"/>
      <c r="P40" s="15"/>
      <c r="Q40" s="36" t="s">
        <v>84</v>
      </c>
      <c r="X40" s="37"/>
      <c r="Y40" s="38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ht="13.5" customHeight="1">
      <c r="A41" s="15"/>
      <c r="B41" s="39" t="str">
        <f>AE19</f>
        <v>Isaac Joseph Zammit / Conrad Treeby Ward</v>
      </c>
      <c r="C41" s="29">
        <v>2.0</v>
      </c>
      <c r="D41" s="40">
        <f>IF(C41&gt;C39,1,0)</f>
        <v>0</v>
      </c>
      <c r="E41" s="41"/>
      <c r="F41" s="29">
        <v>2.0</v>
      </c>
      <c r="G41" s="40">
        <f>IF(F41&gt;F39,1,0)</f>
        <v>0</v>
      </c>
      <c r="H41" s="41"/>
      <c r="I41" s="32"/>
      <c r="J41" s="15">
        <f>IF(I41&gt;I39,1,0)</f>
        <v>0</v>
      </c>
      <c r="K41" s="15">
        <f>IF(D41+G41=2,3,IF(D41+G41=1,1,0))</f>
        <v>0</v>
      </c>
      <c r="L41" s="15">
        <f>IF(K41=3,3,IF(J41+K41=2,2,IF(K41=1,1,0)))</f>
        <v>0</v>
      </c>
      <c r="M41" s="15">
        <f>C41+F41</f>
        <v>4</v>
      </c>
      <c r="N41" s="15">
        <f>D41+G41+J41</f>
        <v>0</v>
      </c>
      <c r="O41" s="15"/>
      <c r="P41" s="15"/>
      <c r="Q41" s="39" t="str">
        <f>AE21</f>
        <v>Ivan Saliba / Clayton Saliba Hersey</v>
      </c>
      <c r="R41" s="29">
        <v>3.0</v>
      </c>
      <c r="S41" s="40">
        <f>IF(R41&gt;R39,1,0)</f>
        <v>0</v>
      </c>
      <c r="T41" s="41"/>
      <c r="U41" s="29">
        <v>0.0</v>
      </c>
      <c r="V41" s="40">
        <f>IF(U41&gt;U39,1,0)</f>
        <v>0</v>
      </c>
      <c r="W41" s="41"/>
      <c r="X41" s="32"/>
      <c r="Y41" s="15">
        <f>IF(X41&gt;X39,1,0)</f>
        <v>0</v>
      </c>
      <c r="Z41" s="15">
        <f>IF(S41+V41=2,3,IF(S41+V41=1,1,0))</f>
        <v>0</v>
      </c>
      <c r="AA41" s="15">
        <f>IF(Z41=3,3,IF(Y41+Z41=2,2,IF(Z41=1,1,0)))</f>
        <v>0</v>
      </c>
      <c r="AB41" s="15">
        <f>R41+U41</f>
        <v>3</v>
      </c>
      <c r="AC41" s="15">
        <f>S41+V41+Y41</f>
        <v>0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ht="13.5" hidden="1" customHeight="1">
      <c r="A42" s="15" t="s">
        <v>85</v>
      </c>
      <c r="B42" s="15"/>
      <c r="C42" s="42">
        <f>IF(C39="",0,1)</f>
        <v>1</v>
      </c>
      <c r="D42" s="15"/>
      <c r="E42" s="15"/>
      <c r="F42" s="42">
        <f>IF(C41="",0,1)</f>
        <v>1</v>
      </c>
      <c r="G42" s="15"/>
      <c r="H42" s="15"/>
      <c r="I42" s="15"/>
      <c r="J42" s="15"/>
      <c r="K42" s="15"/>
      <c r="L42" s="15"/>
      <c r="M42" s="15"/>
      <c r="N42" s="15"/>
      <c r="O42" s="15"/>
      <c r="P42" s="15" t="s">
        <v>85</v>
      </c>
      <c r="Q42" s="15"/>
      <c r="R42" s="42">
        <f>IF(R39="",0,1)</f>
        <v>1</v>
      </c>
      <c r="S42" s="15"/>
      <c r="T42" s="15"/>
      <c r="U42" s="42">
        <f>IF(R41="",0,1)</f>
        <v>1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24"/>
      <c r="AI43" s="15"/>
      <c r="AJ43" s="15"/>
      <c r="AK43" s="24"/>
      <c r="AL43" s="15"/>
      <c r="AM43" s="15"/>
      <c r="AN43" s="15"/>
    </row>
    <row r="44" ht="13.5" customHeight="1">
      <c r="A44" s="15"/>
      <c r="B44" s="28" t="str">
        <f>AE16</f>
        <v>Jayboy Lastimosa / Cyril Lastimosa</v>
      </c>
      <c r="C44" s="29">
        <v>6.0</v>
      </c>
      <c r="D44" s="30">
        <f>IF(C44&gt;C46,1,0)</f>
        <v>1</v>
      </c>
      <c r="E44" s="31"/>
      <c r="F44" s="29">
        <v>6.0</v>
      </c>
      <c r="G44" s="30">
        <f>IF(F44&gt;F46,1,0)</f>
        <v>1</v>
      </c>
      <c r="H44" s="31"/>
      <c r="I44" s="32"/>
      <c r="J44" s="15">
        <f>IF(I44&gt;I46,1,0)</f>
        <v>0</v>
      </c>
      <c r="K44" s="15">
        <f>IF(D44+G44=2,3,IF(D44+G44=1,1,0))</f>
        <v>3</v>
      </c>
      <c r="L44" s="15">
        <f>IF(K44=3,3,IF(J44+K44=2,2,IF(K44=1,1,0)))</f>
        <v>3</v>
      </c>
      <c r="M44" s="15">
        <f>C44+F44</f>
        <v>12</v>
      </c>
      <c r="N44" s="15">
        <f>D44+G44+J44</f>
        <v>2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24"/>
      <c r="AL44" s="15"/>
      <c r="AM44" s="15"/>
      <c r="AN44" s="15"/>
    </row>
    <row r="45" ht="13.5" customHeight="1">
      <c r="A45" s="15"/>
      <c r="B45" s="36" t="s">
        <v>84</v>
      </c>
      <c r="I45" s="37"/>
      <c r="J45" s="38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48"/>
      <c r="AK45" s="15"/>
      <c r="AL45" s="15"/>
      <c r="AM45" s="15"/>
      <c r="AN45" s="15"/>
    </row>
    <row r="46" ht="13.5" customHeight="1">
      <c r="A46" s="15"/>
      <c r="B46" s="39" t="str">
        <f>AE19</f>
        <v>Isaac Joseph Zammit / Conrad Treeby Ward</v>
      </c>
      <c r="C46" s="29">
        <v>2.0</v>
      </c>
      <c r="D46" s="40">
        <f>IF(C46&gt;C44,1,0)</f>
        <v>0</v>
      </c>
      <c r="E46" s="41"/>
      <c r="F46" s="29">
        <v>1.0</v>
      </c>
      <c r="G46" s="40">
        <f>IF(F46&gt;F44,1,0)</f>
        <v>0</v>
      </c>
      <c r="H46" s="41"/>
      <c r="I46" s="32"/>
      <c r="J46" s="15">
        <f>IF(I46&gt;I44,1,0)</f>
        <v>0</v>
      </c>
      <c r="K46" s="15">
        <f>IF(D46+G46=2,3,IF(D46+G46=1,1,0))</f>
        <v>0</v>
      </c>
      <c r="L46" s="15">
        <f>IF(K46=3,3,IF(J46+K46=2,2,IF(K46=1,1,0)))</f>
        <v>0</v>
      </c>
      <c r="M46" s="15">
        <f>C46+F46</f>
        <v>3</v>
      </c>
      <c r="N46" s="15">
        <f>D46+G46+J46</f>
        <v>0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ht="13.5" hidden="1" customHeight="1">
      <c r="A47" s="15" t="s">
        <v>85</v>
      </c>
      <c r="B47" s="15"/>
      <c r="C47" s="42">
        <f>IF(C44="",0,1)</f>
        <v>1</v>
      </c>
      <c r="D47" s="15"/>
      <c r="E47" s="15"/>
      <c r="F47" s="42">
        <f>IF(C46="",0,1)</f>
        <v>1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ht="15.0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48"/>
      <c r="AK49" s="15"/>
      <c r="AL49" s="15"/>
      <c r="AM49" s="15"/>
      <c r="AN49" s="15"/>
    </row>
    <row r="50" ht="15.0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48"/>
      <c r="AK54" s="15"/>
      <c r="AL54" s="24"/>
      <c r="AM54" s="15"/>
      <c r="AN54" s="15"/>
    </row>
    <row r="55" ht="15.0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ht="15.0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48"/>
      <c r="AK59" s="15"/>
      <c r="AL59" s="15"/>
      <c r="AM59" s="15"/>
      <c r="AN59" s="24"/>
    </row>
    <row r="60" ht="15.0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24"/>
      <c r="AI63" s="15"/>
      <c r="AJ63" s="15"/>
      <c r="AK63" s="24"/>
      <c r="AL63" s="15"/>
      <c r="AM63" s="15"/>
      <c r="AN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24"/>
      <c r="S113" s="24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</row>
    <row r="164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</row>
    <row r="165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</row>
    <row r="166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</row>
    <row r="167" ht="1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</row>
    <row r="168" ht="1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</row>
    <row r="169" ht="1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</row>
    <row r="170" ht="13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</row>
    <row r="171" ht="13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</row>
    <row r="172" ht="13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</row>
    <row r="173" ht="13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</row>
    <row r="174" ht="13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</row>
    <row r="175" ht="13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</row>
    <row r="176" ht="13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</row>
    <row r="177" ht="1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</row>
    <row r="178" ht="13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</row>
    <row r="179" ht="13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</row>
    <row r="180" ht="13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</row>
    <row r="181" ht="13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</row>
    <row r="182" ht="13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</row>
    <row r="183" ht="13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</row>
    <row r="184" ht="13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</row>
    <row r="185" ht="1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</row>
    <row r="186" ht="13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</row>
    <row r="187" ht="13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</row>
    <row r="188" ht="13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</row>
    <row r="189" ht="13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</row>
    <row r="190" ht="13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</row>
    <row r="191" ht="1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</row>
    <row r="192" ht="13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</row>
    <row r="193" ht="13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</row>
    <row r="194" ht="13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</row>
    <row r="195" ht="13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</row>
    <row r="196" ht="13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</row>
    <row r="197" ht="13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</row>
    <row r="198" ht="13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</row>
    <row r="199" ht="13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</row>
    <row r="200" ht="13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</row>
    <row r="201" ht="13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</row>
    <row r="202" ht="13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</row>
    <row r="203" ht="13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</row>
    <row r="204" ht="13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</row>
    <row r="205" ht="13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</row>
    <row r="206" ht="13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</row>
    <row r="207" ht="13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</row>
    <row r="208" ht="13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</row>
    <row r="209" ht="13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</row>
    <row r="210" ht="13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</row>
    <row r="211" ht="13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</row>
    <row r="212" ht="1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</row>
    <row r="213" ht="13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</row>
    <row r="214" ht="13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</row>
    <row r="215" ht="13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</row>
    <row r="216" ht="13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</row>
    <row r="217" ht="13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</row>
    <row r="218" ht="13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</row>
    <row r="219" ht="13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</row>
    <row r="220" ht="13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</row>
    <row r="221" ht="13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</row>
    <row r="222" ht="13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</row>
    <row r="223" ht="13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</row>
    <row r="224" ht="13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</row>
    <row r="225" ht="13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</row>
    <row r="226" ht="13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</row>
    <row r="227" ht="13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</row>
    <row r="228" ht="13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</row>
    <row r="229" ht="13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</row>
    <row r="230" ht="13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</row>
    <row r="231" ht="13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</row>
    <row r="232" ht="13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</row>
    <row r="233" ht="13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</row>
    <row r="234" ht="13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</row>
    <row r="235" ht="13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</row>
    <row r="236" ht="13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</row>
    <row r="237" ht="13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</row>
    <row r="238" ht="13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</row>
    <row r="239" ht="13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</row>
    <row r="240" ht="13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</row>
    <row r="241" ht="13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</row>
    <row r="242" ht="13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</row>
    <row r="243" ht="13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</row>
    <row r="244" ht="13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</row>
    <row r="245" ht="1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</row>
    <row r="246" ht="13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</row>
    <row r="247" ht="13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</row>
    <row r="248" ht="13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</row>
    <row r="249" ht="13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</row>
    <row r="250" ht="13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</row>
    <row r="251" ht="13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</row>
    <row r="252" ht="13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</row>
    <row r="253" ht="13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</row>
    <row r="254" ht="13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</row>
    <row r="255" ht="13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</row>
    <row r="256" ht="13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</row>
    <row r="257" ht="13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</row>
    <row r="258" ht="13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</row>
    <row r="259" ht="13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</row>
    <row r="260" ht="13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</row>
    <row r="261" ht="13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</row>
    <row r="262" ht="13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</row>
    <row r="263" ht="13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</row>
    <row r="264" ht="13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</row>
    <row r="265" ht="13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</row>
    <row r="266" ht="1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</row>
    <row r="267" ht="13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</row>
    <row r="268" ht="13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</row>
    <row r="269" ht="13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</row>
    <row r="270" ht="13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</row>
    <row r="271" ht="13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</row>
    <row r="272" ht="13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</row>
    <row r="273" ht="13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</row>
    <row r="274" ht="13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</row>
    <row r="275" ht="13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</row>
    <row r="276" ht="13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</row>
    <row r="277" ht="13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</row>
    <row r="278" ht="13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</row>
    <row r="279" ht="13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</row>
    <row r="280" ht="13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</row>
    <row r="281" ht="13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</row>
    <row r="282" ht="13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</row>
    <row r="283" ht="13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</row>
    <row r="284" ht="13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</row>
    <row r="285" ht="1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</row>
    <row r="286" ht="13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</row>
    <row r="287" ht="13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</row>
    <row r="288" ht="13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</row>
    <row r="289" ht="13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</row>
    <row r="290" ht="13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</row>
    <row r="291" ht="13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</row>
    <row r="292" ht="13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</row>
    <row r="293" ht="13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</row>
    <row r="294" ht="1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</row>
    <row r="295" ht="13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</row>
    <row r="296" ht="13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</row>
    <row r="297" ht="13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</row>
    <row r="298" ht="13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</row>
    <row r="299" ht="13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</row>
    <row r="300" ht="13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</row>
    <row r="301" ht="1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</row>
    <row r="302" ht="13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</row>
    <row r="303" ht="13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</row>
    <row r="304" ht="13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</row>
    <row r="305" ht="13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</row>
    <row r="306" ht="13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</row>
    <row r="307" ht="13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</row>
    <row r="308" ht="1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</row>
    <row r="309" ht="13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</row>
    <row r="310" ht="13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</row>
    <row r="311" ht="13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</row>
    <row r="312" ht="13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</row>
    <row r="313" ht="13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</row>
    <row r="314" ht="13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</row>
    <row r="315" ht="13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</row>
    <row r="316" ht="13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</row>
    <row r="317" ht="13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</row>
    <row r="318" ht="13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</row>
    <row r="319" ht="13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</row>
    <row r="320" ht="13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</row>
    <row r="321" ht="13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</row>
    <row r="322" ht="13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</row>
    <row r="323" ht="13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</row>
    <row r="324" ht="13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</row>
    <row r="325" ht="13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</row>
    <row r="326" ht="13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</row>
    <row r="327" ht="13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</row>
    <row r="328" ht="13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</row>
    <row r="329" ht="13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</row>
    <row r="330" ht="13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</row>
    <row r="331" ht="13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</row>
    <row r="332" ht="13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</row>
    <row r="333" ht="13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</row>
    <row r="334" ht="13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</row>
    <row r="335" ht="13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</row>
    <row r="336" ht="13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</row>
    <row r="337" ht="13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</row>
    <row r="338" ht="13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</row>
    <row r="339" ht="13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</row>
    <row r="340" ht="13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</row>
    <row r="341" ht="13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</row>
    <row r="342" ht="13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</row>
    <row r="343" ht="13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</row>
    <row r="344" ht="13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</row>
    <row r="345" ht="13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</row>
    <row r="346" ht="13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</row>
    <row r="347" ht="13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</row>
    <row r="348" ht="13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</row>
    <row r="349" ht="13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</row>
    <row r="350" ht="13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</row>
    <row r="351" ht="13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</row>
    <row r="352" ht="13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</row>
    <row r="353" ht="13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</row>
    <row r="354" ht="13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</row>
    <row r="355" ht="13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</row>
    <row r="356" ht="13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</row>
    <row r="357" ht="13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</row>
    <row r="358" ht="13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</row>
    <row r="359" ht="13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</row>
    <row r="360" ht="13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</row>
    <row r="361" ht="13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</row>
    <row r="362" ht="13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</row>
    <row r="363" ht="13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</row>
    <row r="364" ht="13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</row>
    <row r="365" ht="13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</row>
    <row r="366" ht="13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</row>
    <row r="367" ht="13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</row>
    <row r="368" ht="13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</row>
    <row r="369" ht="13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</row>
    <row r="370" ht="13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</row>
    <row r="371" ht="13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</row>
    <row r="372" ht="13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</row>
    <row r="373" ht="13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</row>
    <row r="374" ht="13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</row>
    <row r="375" ht="13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</row>
    <row r="376" ht="13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</row>
    <row r="377" ht="13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</row>
    <row r="378" ht="13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</row>
    <row r="379" ht="13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</row>
    <row r="380" ht="13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</row>
    <row r="381" ht="13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</row>
    <row r="382" ht="13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</row>
    <row r="383" ht="13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</row>
    <row r="384" ht="13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</row>
    <row r="385" ht="13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</row>
    <row r="386" ht="13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</row>
    <row r="387" ht="13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</row>
    <row r="388" ht="13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</row>
    <row r="389" ht="13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</row>
    <row r="390" ht="13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</row>
    <row r="391" ht="13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</row>
    <row r="392" ht="13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</row>
    <row r="393" ht="13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</row>
    <row r="394" ht="13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</row>
    <row r="395" ht="13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</row>
    <row r="396" ht="13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</row>
    <row r="397" ht="13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</row>
    <row r="398" ht="13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</row>
    <row r="399" ht="13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</row>
    <row r="400" ht="13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</row>
    <row r="401" ht="13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</row>
    <row r="402" ht="13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</row>
    <row r="403" ht="13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</row>
    <row r="404" ht="13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</row>
    <row r="405" ht="13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</row>
    <row r="406" ht="13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</row>
    <row r="407" ht="13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</row>
    <row r="408" ht="13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</row>
    <row r="409" ht="13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</row>
    <row r="410" ht="13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</row>
    <row r="411" ht="13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</row>
    <row r="412" ht="13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</row>
    <row r="413" ht="13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</row>
    <row r="414" ht="13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</row>
    <row r="415" ht="13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</row>
    <row r="416" ht="13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</row>
    <row r="417" ht="13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</row>
    <row r="418" ht="13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</row>
    <row r="419" ht="13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</row>
    <row r="420" ht="13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</row>
    <row r="421" ht="13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</row>
    <row r="422" ht="13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</row>
    <row r="423" ht="13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</row>
    <row r="424" ht="13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</row>
    <row r="425" ht="13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</row>
    <row r="426" ht="13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</row>
    <row r="427" ht="13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</row>
    <row r="428" ht="13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</row>
    <row r="429" ht="13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</row>
    <row r="430" ht="13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</row>
    <row r="431" ht="13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</row>
    <row r="432" ht="13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</row>
    <row r="433" ht="13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</row>
    <row r="434" ht="13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</row>
    <row r="435" ht="13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</row>
    <row r="436" ht="13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</row>
    <row r="437" ht="13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</row>
    <row r="438" ht="13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</row>
    <row r="439" ht="13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</row>
    <row r="440" ht="13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</row>
    <row r="441" ht="13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</row>
    <row r="442" ht="13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</row>
    <row r="443" ht="13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</row>
    <row r="444" ht="13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</row>
    <row r="445" ht="13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</row>
    <row r="446" ht="13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</row>
    <row r="447" ht="13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</row>
    <row r="448" ht="13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</row>
    <row r="449" ht="13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</row>
    <row r="450" ht="13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</row>
    <row r="451" ht="13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</row>
    <row r="452" ht="13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</row>
    <row r="453" ht="13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</row>
    <row r="454" ht="13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</row>
    <row r="455" ht="13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</row>
    <row r="456" ht="13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</row>
    <row r="457" ht="13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</row>
    <row r="458" ht="13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</row>
    <row r="459" ht="13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</row>
    <row r="460" ht="13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</row>
    <row r="461" ht="13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</row>
    <row r="462" ht="13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</row>
    <row r="463" ht="13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</row>
    <row r="464" ht="13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</row>
    <row r="465" ht="13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</row>
    <row r="466" ht="13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</row>
    <row r="467" ht="13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</row>
    <row r="468" ht="13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</row>
    <row r="469" ht="13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</row>
    <row r="470" ht="13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</row>
    <row r="471" ht="13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</row>
    <row r="472" ht="13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</row>
    <row r="473" ht="13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</row>
    <row r="474" ht="13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</row>
    <row r="475" ht="13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</row>
    <row r="476" ht="13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</row>
    <row r="477" ht="13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</row>
    <row r="478" ht="13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</row>
    <row r="479" ht="13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</row>
    <row r="480" ht="13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</row>
    <row r="481" ht="13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</row>
    <row r="482" ht="13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</row>
    <row r="483" ht="13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</row>
    <row r="484" ht="13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</row>
    <row r="485" ht="13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</row>
    <row r="486" ht="13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</row>
    <row r="487" ht="13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</row>
    <row r="488" ht="13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</row>
    <row r="489" ht="13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</row>
    <row r="490" ht="13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</row>
    <row r="491" ht="13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</row>
    <row r="492" ht="13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</row>
    <row r="493" ht="13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</row>
    <row r="494" ht="13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</row>
    <row r="495" ht="13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</row>
    <row r="496" ht="13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</row>
    <row r="497" ht="13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</row>
    <row r="498" ht="13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</row>
    <row r="499" ht="13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</row>
    <row r="500" ht="13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</row>
    <row r="501" ht="13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</row>
    <row r="502" ht="13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</row>
    <row r="503" ht="13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</row>
    <row r="504" ht="13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</row>
    <row r="505" ht="13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</row>
    <row r="506" ht="13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</row>
    <row r="507" ht="13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</row>
    <row r="508" ht="13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</row>
    <row r="509" ht="13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</row>
    <row r="510" ht="13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</row>
    <row r="511" ht="13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</row>
    <row r="512" ht="13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</row>
    <row r="513" ht="13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</row>
    <row r="514" ht="13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</row>
    <row r="515" ht="13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</row>
    <row r="516" ht="13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</row>
    <row r="517" ht="13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</row>
    <row r="518" ht="13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</row>
    <row r="519" ht="13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</row>
    <row r="520" ht="13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</row>
    <row r="521" ht="13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</row>
    <row r="522" ht="13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</row>
    <row r="523" ht="13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</row>
    <row r="524" ht="13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</row>
    <row r="525" ht="13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</row>
    <row r="526" ht="13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</row>
    <row r="527" ht="13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</row>
    <row r="528" ht="13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</row>
    <row r="529" ht="13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</row>
    <row r="530" ht="13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</row>
    <row r="531" ht="13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</row>
    <row r="532" ht="13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</row>
    <row r="533" ht="13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</row>
    <row r="534" ht="13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</row>
    <row r="535" ht="13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</row>
    <row r="536" ht="13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</row>
    <row r="537" ht="13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</row>
    <row r="538" ht="13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</row>
    <row r="539" ht="13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</row>
    <row r="540" ht="13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</row>
    <row r="541" ht="13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</row>
    <row r="542" ht="13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</row>
    <row r="543" ht="13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</row>
    <row r="544" ht="13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</row>
    <row r="545" ht="13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</row>
    <row r="546" ht="13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</row>
    <row r="547" ht="13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</row>
    <row r="548" ht="13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</row>
    <row r="549" ht="13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</row>
    <row r="550" ht="13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</row>
    <row r="551" ht="13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</row>
    <row r="552" ht="13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</row>
    <row r="553" ht="13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</row>
    <row r="554" ht="13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</row>
    <row r="555" ht="13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</row>
    <row r="556" ht="13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</row>
    <row r="557" ht="13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</row>
    <row r="558" ht="13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</row>
    <row r="559" ht="13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</row>
    <row r="560" ht="13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</row>
    <row r="561" ht="13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</row>
    <row r="562" ht="13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</row>
    <row r="563" ht="13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</row>
    <row r="564" ht="13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</row>
    <row r="565" ht="13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</row>
    <row r="566" ht="13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</row>
    <row r="567" ht="13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</row>
    <row r="568" ht="13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</row>
    <row r="569" ht="13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</row>
    <row r="570" ht="13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</row>
    <row r="571" ht="13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</row>
    <row r="572" ht="13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</row>
    <row r="573" ht="13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</row>
    <row r="574" ht="13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</row>
    <row r="575" ht="13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</row>
    <row r="576" ht="13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</row>
    <row r="577" ht="13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</row>
    <row r="578" ht="13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</row>
    <row r="579" ht="13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</row>
    <row r="580" ht="13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</row>
    <row r="581" ht="13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</row>
    <row r="582" ht="13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</row>
    <row r="583" ht="13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</row>
    <row r="584" ht="13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</row>
    <row r="585" ht="13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</row>
    <row r="586" ht="13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</row>
    <row r="587" ht="13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</row>
    <row r="588" ht="13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</row>
    <row r="589" ht="13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</row>
    <row r="590" ht="13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</row>
    <row r="591" ht="13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</row>
    <row r="592" ht="13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</row>
    <row r="593" ht="13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</row>
    <row r="594" ht="13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</row>
    <row r="595" ht="13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</row>
    <row r="596" ht="13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</row>
    <row r="597" ht="13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</row>
    <row r="598" ht="13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</row>
    <row r="599" ht="13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</row>
    <row r="600" ht="13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</row>
    <row r="601" ht="13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</row>
    <row r="602" ht="13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</row>
    <row r="603" ht="13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</row>
    <row r="604" ht="13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</row>
    <row r="605" ht="13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</row>
    <row r="606" ht="13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</row>
    <row r="607" ht="13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</row>
    <row r="608" ht="13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</row>
    <row r="609" ht="13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</row>
    <row r="610" ht="13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</row>
    <row r="611" ht="13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</row>
    <row r="612" ht="13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</row>
    <row r="613" ht="13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</row>
    <row r="614" ht="13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</row>
    <row r="615" ht="13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</row>
    <row r="616" ht="13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</row>
    <row r="617" ht="13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</row>
    <row r="618" ht="13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</row>
    <row r="619" ht="13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</row>
    <row r="620" ht="13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</row>
    <row r="621" ht="13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</row>
    <row r="622" ht="13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</row>
    <row r="623" ht="13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</row>
    <row r="624" ht="13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</row>
    <row r="625" ht="13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</row>
    <row r="626" ht="13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</row>
    <row r="627" ht="13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</row>
    <row r="628" ht="13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</row>
    <row r="629" ht="13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</row>
    <row r="630" ht="13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</row>
    <row r="631" ht="13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</row>
    <row r="632" ht="13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</row>
    <row r="633" ht="13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</row>
    <row r="634" ht="13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</row>
    <row r="635" ht="13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</row>
    <row r="636" ht="13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</row>
    <row r="637" ht="13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</row>
    <row r="638" ht="13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</row>
    <row r="639" ht="13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</row>
    <row r="640" ht="13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</row>
    <row r="641" ht="13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</row>
    <row r="642" ht="13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</row>
    <row r="643" ht="13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</row>
    <row r="644" ht="13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</row>
    <row r="645" ht="13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</row>
    <row r="646" ht="13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</row>
    <row r="647" ht="13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</row>
    <row r="648" ht="13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</row>
    <row r="649" ht="13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</row>
    <row r="650" ht="13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</row>
    <row r="651" ht="13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</row>
    <row r="652" ht="13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</row>
    <row r="653" ht="13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</row>
    <row r="654" ht="13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</row>
    <row r="655" ht="13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</row>
    <row r="656" ht="13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</row>
    <row r="657" ht="13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</row>
    <row r="658" ht="13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</row>
    <row r="659" ht="13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</row>
    <row r="660" ht="13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</row>
    <row r="661" ht="13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</row>
    <row r="662" ht="13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</row>
    <row r="663" ht="13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</row>
    <row r="664" ht="13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</row>
    <row r="665" ht="13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</row>
    <row r="666" ht="13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</row>
    <row r="667" ht="13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</row>
    <row r="668" ht="13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</row>
    <row r="669" ht="13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</row>
    <row r="670" ht="13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</row>
    <row r="671" ht="13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</row>
    <row r="672" ht="13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</row>
    <row r="673" ht="13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</row>
    <row r="674" ht="13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</row>
    <row r="675" ht="13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</row>
    <row r="676" ht="13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</row>
    <row r="677" ht="13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</row>
    <row r="678" ht="13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</row>
    <row r="679" ht="13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</row>
    <row r="680" ht="13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</row>
    <row r="681" ht="13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</row>
    <row r="682" ht="13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</row>
    <row r="683" ht="13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</row>
    <row r="684" ht="13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</row>
    <row r="685" ht="13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</row>
    <row r="686" ht="13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</row>
    <row r="687" ht="13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</row>
    <row r="688" ht="13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</row>
    <row r="689" ht="13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</row>
    <row r="690" ht="13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</row>
    <row r="691" ht="13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</row>
    <row r="692" ht="13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</row>
    <row r="693" ht="13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</row>
    <row r="694" ht="13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</row>
    <row r="695" ht="13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</row>
    <row r="696" ht="13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</row>
    <row r="697" ht="13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</row>
    <row r="698" ht="13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</row>
    <row r="699" ht="13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</row>
    <row r="700" ht="13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</row>
    <row r="701" ht="13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</row>
    <row r="702" ht="13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</row>
    <row r="703" ht="13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</row>
    <row r="704" ht="13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</row>
    <row r="705" ht="13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</row>
    <row r="706" ht="13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</row>
    <row r="707" ht="13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</row>
    <row r="708" ht="13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</row>
    <row r="709" ht="13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</row>
    <row r="710" ht="13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</row>
    <row r="711" ht="13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</row>
    <row r="712" ht="13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</row>
    <row r="713" ht="13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</row>
    <row r="714" ht="13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</row>
    <row r="715" ht="13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</row>
    <row r="716" ht="13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</row>
    <row r="717" ht="13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</row>
    <row r="718" ht="13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</row>
    <row r="719" ht="13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</row>
    <row r="720" ht="13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</row>
    <row r="721" ht="13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</row>
    <row r="722" ht="13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</row>
    <row r="723" ht="13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</row>
    <row r="724" ht="13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</row>
    <row r="725" ht="13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</row>
    <row r="726" ht="13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</row>
    <row r="727" ht="13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</row>
    <row r="728" ht="13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</row>
    <row r="729" ht="13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</row>
    <row r="730" ht="13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</row>
    <row r="731" ht="13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</row>
    <row r="732" ht="13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</row>
    <row r="733" ht="13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</row>
    <row r="734" ht="13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</row>
    <row r="735" ht="13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</row>
    <row r="736" ht="13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</row>
    <row r="737" ht="13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</row>
    <row r="738" ht="13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</row>
    <row r="739" ht="13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</row>
    <row r="740" ht="13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</row>
    <row r="741" ht="13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</row>
    <row r="742" ht="13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</row>
    <row r="743" ht="13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</row>
    <row r="744" ht="13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</row>
    <row r="745" ht="13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</row>
    <row r="746" ht="13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</row>
    <row r="747" ht="13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</row>
    <row r="748" ht="13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</row>
    <row r="749" ht="13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</row>
    <row r="750" ht="13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</row>
    <row r="751" ht="13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</row>
    <row r="752" ht="13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</row>
    <row r="753" ht="13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</row>
    <row r="754" ht="13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</row>
    <row r="755" ht="13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</row>
    <row r="756" ht="13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</row>
    <row r="757" ht="13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</row>
    <row r="758" ht="13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</row>
    <row r="759" ht="13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</row>
    <row r="760" ht="13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</row>
    <row r="761" ht="13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</row>
    <row r="762" ht="13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</row>
    <row r="763" ht="13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</row>
    <row r="764" ht="13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</row>
    <row r="765" ht="13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</row>
    <row r="766" ht="13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</row>
    <row r="767" ht="13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</row>
    <row r="768" ht="13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</row>
    <row r="769" ht="13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</row>
    <row r="770" ht="13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</row>
    <row r="771" ht="13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</row>
    <row r="772" ht="13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</row>
    <row r="773" ht="13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</row>
    <row r="774" ht="13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</row>
    <row r="775" ht="13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</row>
    <row r="776" ht="13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</row>
    <row r="777" ht="13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</row>
    <row r="778" ht="13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</row>
    <row r="779" ht="13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</row>
    <row r="780" ht="13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</row>
    <row r="781" ht="13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</row>
    <row r="782" ht="13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</row>
    <row r="783" ht="13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</row>
    <row r="784" ht="13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</row>
    <row r="785" ht="13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</row>
    <row r="786" ht="13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</row>
    <row r="787" ht="13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</row>
    <row r="788" ht="13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</row>
    <row r="789" ht="13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</row>
    <row r="790" ht="13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</row>
    <row r="791" ht="13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</row>
    <row r="792" ht="13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</row>
    <row r="793" ht="13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</row>
    <row r="794" ht="13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</row>
    <row r="795" ht="13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</row>
    <row r="796" ht="13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</row>
    <row r="797" ht="13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</row>
    <row r="798" ht="13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</row>
    <row r="799" ht="13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</row>
    <row r="800" ht="13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</row>
    <row r="801" ht="13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</row>
    <row r="802" ht="13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</row>
    <row r="803" ht="13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</row>
    <row r="804" ht="13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</row>
    <row r="805" ht="13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</row>
    <row r="806" ht="13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</row>
    <row r="807" ht="13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</row>
    <row r="808" ht="13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</row>
    <row r="809" ht="13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</row>
    <row r="810" ht="13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</row>
    <row r="811" ht="13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</row>
    <row r="812" ht="13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</row>
    <row r="813" ht="13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</row>
    <row r="814" ht="13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</row>
    <row r="815" ht="13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</row>
    <row r="816" ht="13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</row>
    <row r="817" ht="13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</row>
    <row r="818" ht="13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</row>
    <row r="819" ht="13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</row>
    <row r="820" ht="13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</row>
    <row r="821" ht="13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</row>
    <row r="822" ht="13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</row>
    <row r="823" ht="13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</row>
    <row r="824" ht="13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</row>
    <row r="825" ht="13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</row>
    <row r="826" ht="13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</row>
    <row r="827" ht="13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</row>
    <row r="828" ht="13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</row>
    <row r="829" ht="13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</row>
    <row r="830" ht="13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</row>
    <row r="831" ht="13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</row>
    <row r="832" ht="13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</row>
    <row r="833" ht="13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</row>
    <row r="834" ht="13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</row>
    <row r="835" ht="13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</row>
    <row r="836" ht="13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</row>
    <row r="837" ht="13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</row>
    <row r="838" ht="13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</row>
    <row r="839" ht="13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</row>
    <row r="840" ht="13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</row>
    <row r="841" ht="13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</row>
    <row r="842" ht="13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</row>
    <row r="843" ht="13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</row>
    <row r="844" ht="13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</row>
    <row r="845" ht="13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</row>
    <row r="846" ht="13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</row>
    <row r="847" ht="13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</row>
    <row r="848" ht="13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</row>
    <row r="849" ht="13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</row>
    <row r="850" ht="13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</row>
    <row r="851" ht="13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</row>
    <row r="852" ht="13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</row>
    <row r="853" ht="13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</row>
    <row r="854" ht="13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</row>
    <row r="855" ht="13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</row>
    <row r="856" ht="13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</row>
    <row r="857" ht="13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</row>
    <row r="858" ht="13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</row>
    <row r="859" ht="13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</row>
    <row r="860" ht="13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</row>
    <row r="861" ht="13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</row>
    <row r="862" ht="13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</row>
    <row r="863" ht="13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</row>
    <row r="864" ht="13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</row>
    <row r="865" ht="13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</row>
    <row r="866" ht="13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</row>
    <row r="867" ht="13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</row>
    <row r="868" ht="13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</row>
    <row r="869" ht="13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</row>
    <row r="870" ht="13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</row>
    <row r="871" ht="13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</row>
    <row r="872" ht="13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</row>
    <row r="873" ht="13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</row>
    <row r="874" ht="13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</row>
    <row r="875" ht="13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</row>
    <row r="876" ht="13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</row>
    <row r="877" ht="13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</row>
    <row r="878" ht="13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</row>
    <row r="879" ht="13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</row>
    <row r="880" ht="13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</row>
    <row r="881" ht="13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</row>
    <row r="882" ht="13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</row>
    <row r="883" ht="13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</row>
    <row r="884" ht="13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</row>
    <row r="885" ht="13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</row>
    <row r="886" ht="13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</row>
    <row r="887" ht="13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</row>
    <row r="888" ht="13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</row>
    <row r="889" ht="13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</row>
    <row r="890" ht="13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</row>
    <row r="891" ht="13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</row>
    <row r="892" ht="13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</row>
    <row r="893" ht="13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</row>
    <row r="894" ht="13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</row>
    <row r="895" ht="13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</row>
    <row r="896" ht="13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</row>
    <row r="897" ht="13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</row>
    <row r="898" ht="13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</row>
    <row r="899" ht="13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</row>
    <row r="900" ht="13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</row>
    <row r="901" ht="13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</row>
    <row r="902" ht="13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</row>
    <row r="903" ht="13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</row>
    <row r="904" ht="13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</row>
    <row r="905" ht="13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</row>
    <row r="906" ht="13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</row>
    <row r="907" ht="13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</row>
    <row r="908" ht="13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</row>
    <row r="909" ht="13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</row>
    <row r="910" ht="13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</row>
    <row r="911" ht="13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</row>
    <row r="912" ht="13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</row>
    <row r="913" ht="13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</row>
    <row r="914" ht="13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</row>
    <row r="915" ht="13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</row>
    <row r="916" ht="13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</row>
    <row r="917" ht="13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</row>
    <row r="918" ht="13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</row>
    <row r="919" ht="13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</row>
    <row r="920" ht="13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</row>
    <row r="921" ht="13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</row>
    <row r="922" ht="13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</row>
    <row r="923" ht="13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</row>
    <row r="924" ht="13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</row>
    <row r="925" ht="13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</row>
    <row r="926" ht="13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</row>
    <row r="927" ht="13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</row>
    <row r="928" ht="13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</row>
    <row r="929" ht="13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</row>
    <row r="930" ht="13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</row>
    <row r="931" ht="13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</row>
    <row r="932" ht="13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</row>
    <row r="933" ht="13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</row>
    <row r="934" ht="13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</row>
    <row r="935" ht="13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</row>
    <row r="936" ht="13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</row>
    <row r="937" ht="13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</row>
    <row r="938" ht="13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</row>
    <row r="939" ht="13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</row>
    <row r="940" ht="13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</row>
    <row r="941" ht="13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</row>
    <row r="942" ht="13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</row>
    <row r="943" ht="13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</row>
    <row r="944" ht="13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</row>
    <row r="945" ht="13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</row>
    <row r="946" ht="13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</row>
    <row r="947" ht="13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</row>
    <row r="948" ht="13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</row>
    <row r="949" ht="13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</row>
    <row r="950" ht="13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</row>
    <row r="951" ht="13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</row>
    <row r="952" ht="13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</row>
    <row r="953" ht="13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</row>
    <row r="954" ht="13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</row>
    <row r="955" ht="13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</row>
    <row r="956" ht="13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</row>
    <row r="957" ht="13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</row>
    <row r="958" ht="13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</row>
    <row r="959" ht="13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</row>
    <row r="960" ht="13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</row>
    <row r="961" ht="13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</row>
    <row r="962" ht="13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</row>
    <row r="963" ht="13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</row>
    <row r="964" ht="13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</row>
    <row r="965" ht="13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</row>
    <row r="966" ht="13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</row>
    <row r="967" ht="13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</row>
    <row r="968" ht="13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</row>
    <row r="969" ht="13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</row>
    <row r="970" ht="13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</row>
    <row r="971" ht="13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</row>
    <row r="972" ht="13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</row>
    <row r="973" ht="13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</row>
    <row r="974" ht="13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</row>
    <row r="975" ht="13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</row>
    <row r="976" ht="13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</row>
    <row r="977" ht="13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</row>
    <row r="978" ht="13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</row>
    <row r="979" ht="13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</row>
    <row r="980" ht="13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</row>
    <row r="981" ht="13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</row>
    <row r="982" ht="13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</row>
    <row r="983" ht="13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</row>
    <row r="984" ht="13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</row>
    <row r="985" ht="13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</row>
    <row r="986" ht="13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</row>
    <row r="987" ht="13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</row>
    <row r="988" ht="13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</row>
    <row r="989" ht="13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</row>
    <row r="990" ht="13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</row>
    <row r="991" ht="13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</row>
    <row r="992" ht="13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</row>
    <row r="993" ht="13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</row>
    <row r="994" ht="13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</row>
    <row r="995" ht="13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</row>
    <row r="996" ht="13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</row>
    <row r="997" ht="13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</row>
    <row r="998" ht="13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</row>
    <row r="999" ht="13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</row>
    <row r="1000" ht="13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</row>
  </sheetData>
  <mergeCells count="25">
    <mergeCell ref="A1:AI1"/>
    <mergeCell ref="A2:AI2"/>
    <mergeCell ref="B5:AI5"/>
    <mergeCell ref="C7:F7"/>
    <mergeCell ref="R7:U7"/>
    <mergeCell ref="B10:I10"/>
    <mergeCell ref="Q10:X10"/>
    <mergeCell ref="AE25:AI25"/>
    <mergeCell ref="AE26:AI26"/>
    <mergeCell ref="AE27:AI27"/>
    <mergeCell ref="AE28:AI28"/>
    <mergeCell ref="B30:I30"/>
    <mergeCell ref="Q30:X30"/>
    <mergeCell ref="B35:I35"/>
    <mergeCell ref="Q35:X35"/>
    <mergeCell ref="B40:I40"/>
    <mergeCell ref="Q40:X40"/>
    <mergeCell ref="B45:I45"/>
    <mergeCell ref="B15:I15"/>
    <mergeCell ref="Q15:X15"/>
    <mergeCell ref="B20:I20"/>
    <mergeCell ref="Q20:X20"/>
    <mergeCell ref="AE24:AI24"/>
    <mergeCell ref="B25:I25"/>
    <mergeCell ref="Q25:X25"/>
  </mergeCells>
  <printOptions/>
  <pageMargins bottom="1.0" footer="0.0" header="0.0" left="0.75" right="0.75" top="1.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hidden="1" min="1" max="1" width="6.0"/>
    <col customWidth="1" min="2" max="2" width="33.63"/>
    <col customWidth="1" min="3" max="3" width="7.0"/>
    <col customWidth="1" hidden="1" min="4" max="4" width="6.13"/>
    <col customWidth="1" min="5" max="5" width="1.63"/>
    <col customWidth="1" min="6" max="6" width="7.0"/>
    <col customWidth="1" hidden="1" min="7" max="7" width="6.13"/>
    <col customWidth="1" min="8" max="8" width="1.63"/>
    <col customWidth="1" min="9" max="9" width="7.0"/>
    <col customWidth="1" hidden="1" min="10" max="10" width="6.13"/>
    <col customWidth="1" hidden="1" min="11" max="11" width="7.5"/>
    <col customWidth="1" hidden="1" min="12" max="12" width="11.38"/>
    <col customWidth="1" hidden="1" min="13" max="13" width="8.0"/>
    <col customWidth="1" hidden="1" min="14" max="14" width="6.13"/>
    <col customWidth="1" min="15" max="15" width="4.75"/>
    <col customWidth="1" hidden="1" min="16" max="16" width="7.38"/>
    <col customWidth="1" min="17" max="17" width="45.63"/>
    <col customWidth="1" min="18" max="18" width="7.0"/>
    <col customWidth="1" hidden="1" min="19" max="19" width="6.13"/>
    <col customWidth="1" min="20" max="20" width="1.63"/>
    <col customWidth="1" min="21" max="21" width="7.0"/>
    <col customWidth="1" hidden="1" min="22" max="22" width="6.13"/>
    <col customWidth="1" min="23" max="23" width="1.63"/>
    <col customWidth="1" min="24" max="24" width="7.0"/>
    <col customWidth="1" hidden="1" min="25" max="25" width="6.13"/>
    <col customWidth="1" hidden="1" min="26" max="26" width="7.5"/>
    <col customWidth="1" hidden="1" min="27" max="27" width="11.38"/>
    <col customWidth="1" hidden="1" min="28" max="28" width="8.0"/>
    <col customWidth="1" hidden="1" min="29" max="29" width="6.13"/>
    <col customWidth="1" min="30" max="30" width="6.25"/>
    <col customWidth="1" min="31" max="31" width="36.13"/>
    <col customWidth="1" min="32" max="35" width="8.63"/>
    <col customWidth="1" hidden="1" min="36" max="36" width="9.38"/>
    <col customWidth="1" hidden="1" min="37" max="37" width="8.0"/>
    <col customWidth="1" hidden="1" min="38" max="38" width="41.13"/>
    <col customWidth="1" min="39" max="40" width="9.38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2" s="1" t="s">
        <v>1</v>
      </c>
      <c r="AJ2" s="4"/>
      <c r="AK2" s="4"/>
      <c r="AL2" s="4"/>
      <c r="AM2" s="4"/>
      <c r="AN2" s="4"/>
    </row>
    <row r="3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30.0" customHeight="1">
      <c r="A5" s="15"/>
      <c r="B5" s="72" t="s">
        <v>52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  <c r="AJ5" s="15"/>
      <c r="AK5" s="15"/>
      <c r="AL5" s="15"/>
      <c r="AM5" s="15"/>
      <c r="AN5" s="15"/>
    </row>
    <row r="6" ht="13.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ht="13.5" customHeight="1">
      <c r="A7" s="15"/>
      <c r="B7" s="73" t="s">
        <v>65</v>
      </c>
      <c r="C7" s="74" t="s">
        <v>66</v>
      </c>
      <c r="D7" s="21"/>
      <c r="E7" s="21"/>
      <c r="F7" s="7"/>
      <c r="G7" s="75"/>
      <c r="H7" s="76"/>
      <c r="I7" s="73" t="s">
        <v>67</v>
      </c>
      <c r="J7" s="15"/>
      <c r="K7" s="15"/>
      <c r="L7" s="15"/>
      <c r="M7" s="24"/>
      <c r="N7" s="24"/>
      <c r="O7" s="15"/>
      <c r="P7" s="15"/>
      <c r="Q7" s="73" t="s">
        <v>65</v>
      </c>
      <c r="R7" s="74" t="s">
        <v>66</v>
      </c>
      <c r="S7" s="21"/>
      <c r="T7" s="21"/>
      <c r="U7" s="7"/>
      <c r="V7" s="75"/>
      <c r="W7" s="76"/>
      <c r="X7" s="73" t="s">
        <v>67</v>
      </c>
      <c r="Y7" s="24"/>
      <c r="Z7" s="24"/>
      <c r="AA7" s="24"/>
      <c r="AB7" s="24"/>
      <c r="AC7" s="24"/>
      <c r="AD7" s="15"/>
      <c r="AE7" s="73" t="s">
        <v>68</v>
      </c>
      <c r="AF7" s="73" t="s">
        <v>69</v>
      </c>
      <c r="AG7" s="73" t="s">
        <v>70</v>
      </c>
      <c r="AH7" s="73" t="s">
        <v>71</v>
      </c>
      <c r="AI7" s="73" t="s">
        <v>72</v>
      </c>
      <c r="AJ7" s="24"/>
      <c r="AK7" s="24"/>
      <c r="AL7" s="24"/>
      <c r="AM7" s="15"/>
      <c r="AN7" s="15"/>
    </row>
    <row r="8" ht="13.5" hidden="1" customHeight="1">
      <c r="A8" s="15"/>
      <c r="B8" s="15"/>
      <c r="C8" s="25" t="s">
        <v>73</v>
      </c>
      <c r="D8" s="25" t="s">
        <v>74</v>
      </c>
      <c r="E8" s="25"/>
      <c r="F8" s="25" t="s">
        <v>73</v>
      </c>
      <c r="G8" s="25" t="s">
        <v>75</v>
      </c>
      <c r="H8" s="25"/>
      <c r="I8" s="25" t="s">
        <v>73</v>
      </c>
      <c r="J8" s="25" t="s">
        <v>76</v>
      </c>
      <c r="K8" s="25" t="s">
        <v>77</v>
      </c>
      <c r="L8" s="25" t="s">
        <v>78</v>
      </c>
      <c r="M8" s="25" t="s">
        <v>79</v>
      </c>
      <c r="N8" s="25" t="s">
        <v>80</v>
      </c>
      <c r="O8" s="15"/>
      <c r="P8" s="15"/>
      <c r="Q8" s="15"/>
      <c r="R8" s="25" t="s">
        <v>73</v>
      </c>
      <c r="S8" s="25" t="s">
        <v>74</v>
      </c>
      <c r="T8" s="25"/>
      <c r="U8" s="25" t="s">
        <v>73</v>
      </c>
      <c r="V8" s="25" t="s">
        <v>75</v>
      </c>
      <c r="W8" s="25"/>
      <c r="X8" s="25" t="s">
        <v>73</v>
      </c>
      <c r="Y8" s="25" t="s">
        <v>76</v>
      </c>
      <c r="Z8" s="25" t="s">
        <v>77</v>
      </c>
      <c r="AA8" s="25" t="s">
        <v>78</v>
      </c>
      <c r="AB8" s="25" t="s">
        <v>79</v>
      </c>
      <c r="AC8" s="25" t="s">
        <v>80</v>
      </c>
      <c r="AD8" s="15"/>
      <c r="AE8" s="24"/>
      <c r="AF8" s="24"/>
      <c r="AG8" s="24"/>
      <c r="AH8" s="24"/>
      <c r="AI8" s="24"/>
      <c r="AJ8" s="25" t="s">
        <v>81</v>
      </c>
      <c r="AK8" s="26" t="s">
        <v>82</v>
      </c>
      <c r="AL8" s="27" t="s">
        <v>83</v>
      </c>
      <c r="AM8" s="15"/>
      <c r="AN8" s="15"/>
    </row>
    <row r="9" ht="15.0" customHeight="1">
      <c r="A9" s="15"/>
      <c r="B9" s="28" t="str">
        <f>AE9</f>
        <v>Kenneth Farrugia / Juan Sammut</v>
      </c>
      <c r="C9" s="29">
        <v>6.0</v>
      </c>
      <c r="D9" s="30">
        <f>IF(C9&gt;C11,1,0)</f>
        <v>1</v>
      </c>
      <c r="E9" s="31"/>
      <c r="F9" s="29">
        <v>6.0</v>
      </c>
      <c r="G9" s="30">
        <f>IF(F9&gt;F11,1,0)</f>
        <v>1</v>
      </c>
      <c r="H9" s="31"/>
      <c r="I9" s="32"/>
      <c r="J9" s="15">
        <f>IF(I9&gt;I11,1,0)</f>
        <v>0</v>
      </c>
      <c r="K9" s="15">
        <f>IF(D9+G9=2,3,IF(D9+G9=1,1,0))</f>
        <v>3</v>
      </c>
      <c r="L9" s="15">
        <f>IF(K9=3,3,IF(J9+K9=2,2,IF(K9=1,1,0)))</f>
        <v>3</v>
      </c>
      <c r="M9" s="15">
        <f>C9+F9</f>
        <v>12</v>
      </c>
      <c r="N9" s="15">
        <f>D9+G9+J9</f>
        <v>2</v>
      </c>
      <c r="O9" s="15"/>
      <c r="P9" s="15"/>
      <c r="Q9" s="28" t="str">
        <f>AE9</f>
        <v>Kenneth Farrugia / Juan Sammut</v>
      </c>
      <c r="R9" s="29">
        <v>6.0</v>
      </c>
      <c r="S9" s="30">
        <f>IF(R9&gt;R11,1,0)</f>
        <v>1</v>
      </c>
      <c r="T9" s="31"/>
      <c r="U9" s="29">
        <v>1.0</v>
      </c>
      <c r="V9" s="30">
        <f>IF(U9&gt;U11,1,0)</f>
        <v>0</v>
      </c>
      <c r="W9" s="31"/>
      <c r="X9" s="29">
        <v>10.0</v>
      </c>
      <c r="Y9" s="15">
        <f>IF(X9&gt;X11,1,0)</f>
        <v>1</v>
      </c>
      <c r="Z9" s="15">
        <f>IF(S9+V9=2,3,IF(S9+V9=1,1,0))</f>
        <v>1</v>
      </c>
      <c r="AA9" s="15">
        <f>IF(Z9=3,3,IF(Y9+Z9=2,2,IF(Z9=1,1,0)))</f>
        <v>2</v>
      </c>
      <c r="AB9" s="15">
        <f>R9+U9</f>
        <v>7</v>
      </c>
      <c r="AC9" s="15">
        <f>S9+V9+Y9</f>
        <v>2</v>
      </c>
      <c r="AD9" s="15"/>
      <c r="AE9" s="77" t="str">
        <f>'Players Men'!B37&amp; " / " &amp;'Players Men'!C37</f>
        <v>Kenneth Farrugia / Juan Sammut</v>
      </c>
      <c r="AF9" s="34">
        <f>C12+R12+C17+R17+C22</f>
        <v>4</v>
      </c>
      <c r="AG9" s="34">
        <f t="shared" ref="AG9:AI9" si="1">L9+AA9+L14+AA14+L19</f>
        <v>7</v>
      </c>
      <c r="AH9" s="34">
        <f t="shared" si="1"/>
        <v>36</v>
      </c>
      <c r="AI9" s="35">
        <f t="shared" si="1"/>
        <v>6</v>
      </c>
      <c r="AJ9" s="15">
        <f>MAX(AG16,AG14,AG11,AG9,AG19,AG21)</f>
        <v>9</v>
      </c>
      <c r="AK9" s="15">
        <f>SUM(AF9:AF21)</f>
        <v>20</v>
      </c>
      <c r="AL9" s="15" t="str">
        <f>IF(AG9=$AJ$9,AE9,IF(AG11=$AJ$9,AE11,IF(AG14=$AJ$9,AE14,IF(AG16=$AJ$9,AE16,IF(AG19=$AJ$9,AE19,IF(AG21=$AJ$9,AE21,""))))))</f>
        <v>Sean Cachia / Antoine Bugeja</v>
      </c>
      <c r="AM9" s="15"/>
      <c r="AN9" s="15"/>
    </row>
    <row r="10" ht="13.5" customHeight="1">
      <c r="A10" s="15"/>
      <c r="B10" s="36" t="s">
        <v>84</v>
      </c>
      <c r="I10" s="37"/>
      <c r="J10" s="38"/>
      <c r="K10" s="15"/>
      <c r="L10" s="15"/>
      <c r="M10" s="15"/>
      <c r="N10" s="15"/>
      <c r="O10" s="15"/>
      <c r="P10" s="15"/>
      <c r="Q10" s="36" t="s">
        <v>84</v>
      </c>
      <c r="X10" s="37"/>
      <c r="Y10" s="3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24"/>
      <c r="AL10" s="24"/>
      <c r="AM10" s="15"/>
      <c r="AN10" s="15"/>
    </row>
    <row r="11" ht="13.5" customHeight="1">
      <c r="A11" s="15"/>
      <c r="B11" s="39" t="str">
        <f>AE11</f>
        <v>Donald Deguzman / Teddy Padullon</v>
      </c>
      <c r="C11" s="29">
        <v>0.0</v>
      </c>
      <c r="D11" s="40">
        <f>IF(C11&gt;C9,1,0)</f>
        <v>0</v>
      </c>
      <c r="E11" s="41"/>
      <c r="F11" s="29">
        <v>0.0</v>
      </c>
      <c r="G11" s="40">
        <f>IF(F11&gt;F9,1,0)</f>
        <v>0</v>
      </c>
      <c r="H11" s="41"/>
      <c r="I11" s="32"/>
      <c r="J11" s="15">
        <f>IF(I11&gt;I9,1,0)</f>
        <v>0</v>
      </c>
      <c r="K11" s="15">
        <f>IF(D11+G11=2,3,IF(D11+G11=1,1,0))</f>
        <v>0</v>
      </c>
      <c r="L11" s="15">
        <f>IF(K11=3,3,IF(J11+K11=2,2,IF(K11=1,1,0)))</f>
        <v>0</v>
      </c>
      <c r="M11" s="15">
        <f>C11+F11</f>
        <v>0</v>
      </c>
      <c r="N11" s="15">
        <f>D11+G11+J11</f>
        <v>0</v>
      </c>
      <c r="O11" s="15"/>
      <c r="P11" s="15"/>
      <c r="Q11" s="39" t="str">
        <f>AE14</f>
        <v>Mark Cini / Dunstan Vella</v>
      </c>
      <c r="R11" s="29">
        <v>4.0</v>
      </c>
      <c r="S11" s="40">
        <f>IF(R11&gt;R9,1,0)</f>
        <v>0</v>
      </c>
      <c r="T11" s="41"/>
      <c r="U11" s="29">
        <v>6.0</v>
      </c>
      <c r="V11" s="40">
        <f>IF(U11&gt;U9,1,0)</f>
        <v>1</v>
      </c>
      <c r="W11" s="41"/>
      <c r="X11" s="29">
        <v>5.0</v>
      </c>
      <c r="Y11" s="15">
        <f>IF(X11&gt;X9,1,0)</f>
        <v>0</v>
      </c>
      <c r="Z11" s="15">
        <f>IF(S11+V11=2,3,IF(S11+V11=1,1,0))</f>
        <v>1</v>
      </c>
      <c r="AA11" s="15">
        <f>IF(Z11=3,3,IF(Y11+Z11=2,2,IF(Z11=1,1,0)))</f>
        <v>1</v>
      </c>
      <c r="AB11" s="15">
        <f>R11+U11</f>
        <v>10</v>
      </c>
      <c r="AC11" s="15">
        <f>S11+V11+Y11</f>
        <v>1</v>
      </c>
      <c r="AD11" s="15"/>
      <c r="AE11" s="77" t="str">
        <f>'Players Men'!B38&amp; " / " &amp;'Players Men'!C38</f>
        <v>Donald Deguzman / Teddy Padullon</v>
      </c>
      <c r="AF11" s="34">
        <f>F12+R32+C32+R27+C27</f>
        <v>4</v>
      </c>
      <c r="AG11" s="34">
        <f t="shared" ref="AG11:AI11" si="2">L11+AA29+L29+AA24+L24</f>
        <v>3</v>
      </c>
      <c r="AH11" s="34">
        <f t="shared" si="2"/>
        <v>15</v>
      </c>
      <c r="AI11" s="35">
        <f t="shared" si="2"/>
        <v>2</v>
      </c>
      <c r="AJ11" s="24"/>
      <c r="AK11" s="24"/>
      <c r="AL11" s="24"/>
      <c r="AM11" s="15"/>
      <c r="AN11" s="15"/>
    </row>
    <row r="12" ht="13.5" hidden="1" customHeight="1">
      <c r="A12" s="15" t="s">
        <v>85</v>
      </c>
      <c r="B12" s="15"/>
      <c r="C12" s="42">
        <f>IF(C9="",0,1)</f>
        <v>1</v>
      </c>
      <c r="D12" s="15"/>
      <c r="E12" s="15"/>
      <c r="F12" s="42">
        <f>IF(C11="",0,1)</f>
        <v>1</v>
      </c>
      <c r="G12" s="15"/>
      <c r="H12" s="15"/>
      <c r="I12" s="15"/>
      <c r="J12" s="15"/>
      <c r="K12" s="15"/>
      <c r="L12" s="15"/>
      <c r="M12" s="15"/>
      <c r="N12" s="15"/>
      <c r="O12" s="15"/>
      <c r="P12" s="15" t="s">
        <v>85</v>
      </c>
      <c r="Q12" s="15"/>
      <c r="R12" s="42">
        <f>IF(R9="",0,1)</f>
        <v>1</v>
      </c>
      <c r="S12" s="15"/>
      <c r="T12" s="15"/>
      <c r="U12" s="42">
        <f>IF(R11="",0,1)</f>
        <v>1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24"/>
      <c r="AG12" s="24"/>
      <c r="AH12" s="24"/>
      <c r="AI12" s="24"/>
      <c r="AJ12" s="24"/>
      <c r="AK12" s="15"/>
      <c r="AL12" s="15"/>
      <c r="AM12" s="15"/>
      <c r="AN12" s="15"/>
    </row>
    <row r="13" ht="13.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24"/>
      <c r="AG13" s="24"/>
      <c r="AH13" s="24"/>
      <c r="AI13" s="24"/>
      <c r="AJ13" s="24"/>
      <c r="AK13" s="24"/>
      <c r="AL13" s="24"/>
      <c r="AM13" s="15"/>
      <c r="AN13" s="15"/>
    </row>
    <row r="14" ht="13.5" customHeight="1">
      <c r="A14" s="15"/>
      <c r="B14" s="28" t="str">
        <f>AE9</f>
        <v>Kenneth Farrugia / Juan Sammut</v>
      </c>
      <c r="C14" s="29">
        <v>4.0</v>
      </c>
      <c r="D14" s="30">
        <f>IF(C14&gt;C16,1,0)</f>
        <v>0</v>
      </c>
      <c r="E14" s="31"/>
      <c r="F14" s="29">
        <v>1.0</v>
      </c>
      <c r="G14" s="30">
        <f>IF(F14&gt;F16,1,0)</f>
        <v>0</v>
      </c>
      <c r="H14" s="31"/>
      <c r="I14" s="32"/>
      <c r="J14" s="15">
        <f>IF(I14&gt;I16,1,0)</f>
        <v>0</v>
      </c>
      <c r="K14" s="15">
        <f>IF(D14+G14=2,3,IF(D14+G14=1,1,0))</f>
        <v>0</v>
      </c>
      <c r="L14" s="15">
        <f>IF(K14=3,3,IF(J14+K14=2,2,IF(K14=1,1,0)))</f>
        <v>0</v>
      </c>
      <c r="M14" s="15">
        <f>C14+F14</f>
        <v>5</v>
      </c>
      <c r="N14" s="15">
        <f>D14+G14+J14</f>
        <v>0</v>
      </c>
      <c r="O14" s="15"/>
      <c r="P14" s="15"/>
      <c r="Q14" s="28" t="str">
        <f>AE9</f>
        <v>Kenneth Farrugia / Juan Sammut</v>
      </c>
      <c r="R14" s="29">
        <v>6.0</v>
      </c>
      <c r="S14" s="30">
        <f>IF(R14&gt;R16,1,0)</f>
        <v>1</v>
      </c>
      <c r="T14" s="31"/>
      <c r="U14" s="29">
        <v>6.0</v>
      </c>
      <c r="V14" s="30">
        <f>IF(U14&gt;U16,1,0)</f>
        <v>0</v>
      </c>
      <c r="W14" s="31"/>
      <c r="X14" s="29">
        <v>10.0</v>
      </c>
      <c r="Y14" s="15">
        <f>IF(X14&gt;X16,1,0)</f>
        <v>1</v>
      </c>
      <c r="Z14" s="15">
        <f>IF(S14+V14=2,3,IF(S14+V14=1,1,0))</f>
        <v>1</v>
      </c>
      <c r="AA14" s="15">
        <f>IF(Z14=3,3,IF(Y14+Z14=2,2,IF(Z14=1,1,0)))</f>
        <v>2</v>
      </c>
      <c r="AB14" s="15">
        <f>R14+U14</f>
        <v>12</v>
      </c>
      <c r="AC14" s="15">
        <f>S14+V14+Y14</f>
        <v>2</v>
      </c>
      <c r="AD14" s="15"/>
      <c r="AE14" s="77" t="str">
        <f>'Players Men'!B39&amp; " / " &amp;'Players Men'!C39</f>
        <v>Mark Cini / Dunstan Vella</v>
      </c>
      <c r="AF14" s="34">
        <f>R37+U12+R42+C42+F27</f>
        <v>4</v>
      </c>
      <c r="AG14" s="34">
        <f t="shared" ref="AG14:AI14" si="3">AA34+AA11+AA39+L39+L26</f>
        <v>7</v>
      </c>
      <c r="AH14" s="34">
        <f t="shared" si="3"/>
        <v>34</v>
      </c>
      <c r="AI14" s="35">
        <f t="shared" si="3"/>
        <v>5</v>
      </c>
      <c r="AJ14" s="24"/>
      <c r="AK14" s="24"/>
      <c r="AL14" s="24"/>
      <c r="AM14" s="15"/>
      <c r="AN14" s="15"/>
    </row>
    <row r="15" ht="13.5" customHeight="1">
      <c r="A15" s="15"/>
      <c r="B15" s="36" t="s">
        <v>84</v>
      </c>
      <c r="I15" s="37"/>
      <c r="J15" s="38"/>
      <c r="K15" s="15"/>
      <c r="L15" s="15"/>
      <c r="M15" s="15"/>
      <c r="N15" s="15"/>
      <c r="O15" s="15"/>
      <c r="P15" s="15"/>
      <c r="Q15" s="36" t="s">
        <v>84</v>
      </c>
      <c r="X15" s="37"/>
      <c r="Y15" s="38"/>
      <c r="Z15" s="15"/>
      <c r="AA15" s="15"/>
      <c r="AB15" s="15"/>
      <c r="AC15" s="15"/>
      <c r="AD15" s="15"/>
      <c r="AE15" s="15"/>
      <c r="AF15" s="24"/>
      <c r="AG15" s="24"/>
      <c r="AH15" s="24"/>
      <c r="AI15" s="24"/>
      <c r="AJ15" s="24"/>
      <c r="AK15" s="24"/>
      <c r="AL15" s="24"/>
      <c r="AM15" s="15"/>
      <c r="AN15" s="15"/>
    </row>
    <row r="16" ht="13.5" customHeight="1">
      <c r="A16" s="15"/>
      <c r="B16" s="39" t="str">
        <f>AE16</f>
        <v>Sean Cachia / Antoine Bugeja</v>
      </c>
      <c r="C16" s="29">
        <v>6.0</v>
      </c>
      <c r="D16" s="40">
        <f>IF(C16&gt;C14,1,0)</f>
        <v>1</v>
      </c>
      <c r="E16" s="41"/>
      <c r="F16" s="29">
        <v>6.0</v>
      </c>
      <c r="G16" s="40">
        <f>IF(F16&gt;F14,1,0)</f>
        <v>1</v>
      </c>
      <c r="H16" s="41"/>
      <c r="I16" s="32"/>
      <c r="J16" s="15">
        <f>IF(I16&gt;I14,1,0)</f>
        <v>0</v>
      </c>
      <c r="K16" s="15">
        <f>IF(D16+G16=2,3,IF(D16+G16=1,1,0))</f>
        <v>3</v>
      </c>
      <c r="L16" s="15">
        <f>IF(K16=3,3,IF(J16+K16=2,2,IF(K16=1,1,0)))</f>
        <v>3</v>
      </c>
      <c r="M16" s="15">
        <f>C16+F16</f>
        <v>12</v>
      </c>
      <c r="N16" s="15">
        <f>D16+G16+J16</f>
        <v>2</v>
      </c>
      <c r="O16" s="15"/>
      <c r="P16" s="15"/>
      <c r="Q16" s="39" t="str">
        <f>AE19</f>
        <v>Robert Attard / Kevin Wood</v>
      </c>
      <c r="R16" s="29">
        <v>3.0</v>
      </c>
      <c r="S16" s="40">
        <f>IF(R16&gt;R14,1,0)</f>
        <v>0</v>
      </c>
      <c r="T16" s="41"/>
      <c r="U16" s="29">
        <v>7.0</v>
      </c>
      <c r="V16" s="40">
        <f>IF(U16&gt;U14,1,0)</f>
        <v>1</v>
      </c>
      <c r="W16" s="41"/>
      <c r="X16" s="29">
        <v>8.0</v>
      </c>
      <c r="Y16" s="15">
        <f>IF(X16&gt;X14,1,0)</f>
        <v>0</v>
      </c>
      <c r="Z16" s="15">
        <f>IF(S16+V16=2,3,IF(S16+V16=1,1,0))</f>
        <v>1</v>
      </c>
      <c r="AA16" s="15">
        <f>IF(Z16=3,3,IF(Y16+Z16=2,2,IF(Z16=1,1,0)))</f>
        <v>1</v>
      </c>
      <c r="AB16" s="15">
        <f>R16+U16</f>
        <v>10</v>
      </c>
      <c r="AC16" s="15">
        <f>S16+V16+Y16</f>
        <v>1</v>
      </c>
      <c r="AD16" s="15"/>
      <c r="AE16" s="77" t="str">
        <f>'Players Men'!B40&amp; " / " &amp;'Players Men'!C40</f>
        <v>Sean Cachia / Antoine Bugeja</v>
      </c>
      <c r="AF16" s="34">
        <f>U37+C47+F17+U27+C37</f>
        <v>4</v>
      </c>
      <c r="AG16" s="34">
        <f t="shared" ref="AG16:AI16" si="4">AA36+L44+L16+AA26+L34</f>
        <v>9</v>
      </c>
      <c r="AH16" s="34">
        <f t="shared" si="4"/>
        <v>43</v>
      </c>
      <c r="AI16" s="35">
        <f t="shared" si="4"/>
        <v>6</v>
      </c>
      <c r="AJ16" s="24"/>
      <c r="AK16" s="24"/>
      <c r="AL16" s="24"/>
      <c r="AM16" s="15"/>
      <c r="AN16" s="15"/>
    </row>
    <row r="17" ht="13.5" hidden="1" customHeight="1">
      <c r="A17" s="15" t="s">
        <v>85</v>
      </c>
      <c r="B17" s="15"/>
      <c r="C17" s="42">
        <f>IF(C14="",0,1)</f>
        <v>1</v>
      </c>
      <c r="D17" s="15"/>
      <c r="E17" s="15"/>
      <c r="F17" s="42">
        <f>IF(C16="",0,1)</f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 t="s">
        <v>85</v>
      </c>
      <c r="Q17" s="15"/>
      <c r="R17" s="42">
        <f>IF(R14="",0,1)</f>
        <v>1</v>
      </c>
      <c r="S17" s="15"/>
      <c r="T17" s="15"/>
      <c r="U17" s="42">
        <f>IF(R16="",0,1)</f>
        <v>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24"/>
      <c r="AG17" s="24"/>
      <c r="AH17" s="24"/>
      <c r="AI17" s="24"/>
      <c r="AJ17" s="24"/>
      <c r="AK17" s="15"/>
      <c r="AL17" s="15"/>
      <c r="AM17" s="15"/>
      <c r="AN17" s="15"/>
    </row>
    <row r="18" ht="13.5" customHeight="1">
      <c r="A18" s="15"/>
      <c r="B18" s="15"/>
      <c r="C18" s="2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24"/>
      <c r="AG18" s="24"/>
      <c r="AH18" s="24"/>
      <c r="AI18" s="24"/>
      <c r="AJ18" s="24"/>
      <c r="AK18" s="24"/>
      <c r="AL18" s="24"/>
      <c r="AM18" s="15"/>
      <c r="AN18" s="15"/>
    </row>
    <row r="19" ht="13.5" customHeight="1">
      <c r="A19" s="15"/>
      <c r="B19" s="78" t="str">
        <f>AE9</f>
        <v>Kenneth Farrugia / Juan Sammut</v>
      </c>
      <c r="C19" s="79"/>
      <c r="D19" s="80"/>
      <c r="E19" s="81"/>
      <c r="F19" s="79"/>
      <c r="G19" s="80"/>
      <c r="H19" s="81"/>
      <c r="I19" s="82"/>
      <c r="J19" s="15">
        <f>IF(I19&gt;I21,1,0)</f>
        <v>0</v>
      </c>
      <c r="K19" s="15">
        <f>IF(D19+G19=2,3,IF(D19+G19=1,1,0))</f>
        <v>0</v>
      </c>
      <c r="L19" s="15">
        <f>IF(K19=3,3,IF(J19+K19=2,2,IF(K19=1,1,0)))</f>
        <v>0</v>
      </c>
      <c r="M19" s="15">
        <f>C19+F19</f>
        <v>0</v>
      </c>
      <c r="N19" s="15">
        <f>D19+G19+J19</f>
        <v>0</v>
      </c>
      <c r="O19" s="15"/>
      <c r="P19" s="15"/>
      <c r="Q19" s="78" t="str">
        <f>AE19</f>
        <v>Robert Attard / Kevin Wood</v>
      </c>
      <c r="R19" s="82"/>
      <c r="S19" s="80">
        <f>IF(R19&gt;R21,1,0)</f>
        <v>0</v>
      </c>
      <c r="T19" s="81"/>
      <c r="U19" s="82"/>
      <c r="V19" s="80">
        <f>IF(U19&gt;U21,1,0)</f>
        <v>0</v>
      </c>
      <c r="W19" s="81"/>
      <c r="X19" s="82"/>
      <c r="Y19" s="15">
        <f>IF(X19&gt;X21,1,0)</f>
        <v>0</v>
      </c>
      <c r="Z19" s="15">
        <f>IF(S19+V19=2,3,IF(S19+V19=1,1,0))</f>
        <v>0</v>
      </c>
      <c r="AA19" s="15">
        <f>IF(Z19=3,3,IF(Y19+Z19=2,2,IF(Z19=1,1,0)))</f>
        <v>0</v>
      </c>
      <c r="AB19" s="15">
        <f>R19+U19</f>
        <v>0</v>
      </c>
      <c r="AC19" s="15">
        <f>S19+V19+Y19</f>
        <v>0</v>
      </c>
      <c r="AD19" s="15"/>
      <c r="AE19" s="77" t="str">
        <f>'Players Men'!B41&amp; " / " &amp;'Players Men'!C41</f>
        <v>Robert Attard / Kevin Wood</v>
      </c>
      <c r="AF19" s="34">
        <f>R22+F47+F32+U17+F42</f>
        <v>4</v>
      </c>
      <c r="AG19" s="34">
        <f t="shared" ref="AG19:AI19" si="5">AA19+L46+L31+AA16+L41</f>
        <v>4</v>
      </c>
      <c r="AH19" s="34">
        <f t="shared" si="5"/>
        <v>37</v>
      </c>
      <c r="AI19" s="35">
        <f t="shared" si="5"/>
        <v>3</v>
      </c>
      <c r="AJ19" s="24"/>
      <c r="AK19" s="24"/>
      <c r="AL19" s="24"/>
      <c r="AM19" s="15"/>
      <c r="AN19" s="15"/>
    </row>
    <row r="20" ht="13.5" customHeight="1">
      <c r="A20" s="15"/>
      <c r="B20" s="83" t="s">
        <v>84</v>
      </c>
      <c r="I20" s="37"/>
      <c r="J20" s="38"/>
      <c r="K20" s="15"/>
      <c r="L20" s="15"/>
      <c r="M20" s="15"/>
      <c r="N20" s="15"/>
      <c r="O20" s="15"/>
      <c r="P20" s="15"/>
      <c r="Q20" s="83" t="s">
        <v>84</v>
      </c>
      <c r="X20" s="37"/>
      <c r="Y20" s="38"/>
      <c r="Z20" s="15"/>
      <c r="AA20" s="15"/>
      <c r="AB20" s="15"/>
      <c r="AC20" s="15"/>
      <c r="AD20" s="15"/>
      <c r="AE20" s="15"/>
      <c r="AF20" s="24"/>
      <c r="AG20" s="24"/>
      <c r="AH20" s="24"/>
      <c r="AI20" s="24"/>
      <c r="AJ20" s="24"/>
      <c r="AK20" s="24"/>
      <c r="AL20" s="24"/>
      <c r="AM20" s="15"/>
      <c r="AN20" s="15"/>
    </row>
    <row r="21" ht="13.5" customHeight="1">
      <c r="A21" s="15"/>
      <c r="B21" s="84" t="str">
        <f>AE21</f>
        <v>Matthew Micallef / Chris Vella</v>
      </c>
      <c r="C21" s="79"/>
      <c r="D21" s="85"/>
      <c r="E21" s="86"/>
      <c r="F21" s="79"/>
      <c r="G21" s="85"/>
      <c r="H21" s="86"/>
      <c r="I21" s="82"/>
      <c r="J21" s="15">
        <f>IF(I21&gt;I19,1,0)</f>
        <v>0</v>
      </c>
      <c r="K21" s="15">
        <f>IF(D21+G21=2,3,IF(D21+G21=1,1,0))</f>
        <v>0</v>
      </c>
      <c r="L21" s="15">
        <f>IF(K21=3,3,IF(J21+K21=2,2,IF(K21=1,1,0)))</f>
        <v>0</v>
      </c>
      <c r="M21" s="15">
        <f>C21+F21</f>
        <v>0</v>
      </c>
      <c r="N21" s="15">
        <f>D21+G21+J21</f>
        <v>0</v>
      </c>
      <c r="O21" s="87" t="s">
        <v>97</v>
      </c>
      <c r="P21" s="15"/>
      <c r="Q21" s="84" t="str">
        <f>AE21</f>
        <v>Matthew Micallef / Chris Vella</v>
      </c>
      <c r="R21" s="82"/>
      <c r="S21" s="85">
        <f>IF(R21&gt;R19,1,0)</f>
        <v>0</v>
      </c>
      <c r="T21" s="86"/>
      <c r="U21" s="82"/>
      <c r="V21" s="85">
        <f>IF(U21&gt;U19,1,0)</f>
        <v>0</v>
      </c>
      <c r="W21" s="86"/>
      <c r="X21" s="82"/>
      <c r="Y21" s="15">
        <f>IF(X21&gt;X19,1,0)</f>
        <v>0</v>
      </c>
      <c r="Z21" s="15">
        <f>IF(S21+V21=2,3,IF(S21+V21=1,1,0))</f>
        <v>0</v>
      </c>
      <c r="AA21" s="15">
        <f>IF(Z21=3,3,IF(Y21+Z21=2,2,IF(Z21=1,1,0)))</f>
        <v>0</v>
      </c>
      <c r="AB21" s="15">
        <f>R21+U21</f>
        <v>0</v>
      </c>
      <c r="AC21" s="15">
        <f>S21+V21+Y21</f>
        <v>0</v>
      </c>
      <c r="AD21" s="15"/>
      <c r="AE21" s="77" t="str">
        <f>'Players Men'!B42&amp; " / " &amp;'Players Men'!C42</f>
        <v>Matthew Micallef / Chris Vella</v>
      </c>
      <c r="AF21" s="88">
        <f>U22+U32+U42+F22+F37</f>
        <v>0</v>
      </c>
      <c r="AG21" s="88">
        <f t="shared" ref="AG21:AI21" si="6">AA21+AA31+AA41+L21+L36</f>
        <v>0</v>
      </c>
      <c r="AH21" s="88">
        <f t="shared" si="6"/>
        <v>0</v>
      </c>
      <c r="AI21" s="89">
        <f t="shared" si="6"/>
        <v>0</v>
      </c>
      <c r="AJ21" s="24"/>
      <c r="AK21" s="24"/>
      <c r="AL21" s="24"/>
      <c r="AM21" s="87" t="s">
        <v>98</v>
      </c>
      <c r="AN21" s="15"/>
    </row>
    <row r="22" ht="13.5" hidden="1" customHeight="1">
      <c r="A22" s="15" t="s">
        <v>85</v>
      </c>
      <c r="B22" s="15"/>
      <c r="C22" s="42">
        <f>IF(C19="",0,1)</f>
        <v>0</v>
      </c>
      <c r="D22" s="15"/>
      <c r="E22" s="15"/>
      <c r="F22" s="42">
        <f>IF(C21="",0,1)</f>
        <v>0</v>
      </c>
      <c r="G22" s="15"/>
      <c r="H22" s="15"/>
      <c r="I22" s="15"/>
      <c r="J22" s="15"/>
      <c r="K22" s="15"/>
      <c r="L22" s="15"/>
      <c r="M22" s="15"/>
      <c r="N22" s="15"/>
      <c r="O22" s="15"/>
      <c r="P22" s="15" t="s">
        <v>85</v>
      </c>
      <c r="Q22" s="15"/>
      <c r="R22" s="42">
        <f>IF(R19="",0,1)</f>
        <v>0</v>
      </c>
      <c r="S22" s="15"/>
      <c r="T22" s="15"/>
      <c r="U22" s="42">
        <f>IF(R21="",0,1)</f>
        <v>0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24"/>
      <c r="AG22" s="24"/>
      <c r="AH22" s="24"/>
      <c r="AI22" s="24"/>
      <c r="AJ22" s="24"/>
      <c r="AK22" s="15"/>
      <c r="AL22" s="15"/>
      <c r="AM22" s="15"/>
      <c r="AN22" s="15"/>
    </row>
    <row r="23" ht="13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24"/>
      <c r="AK23" s="24"/>
      <c r="AL23" s="15"/>
      <c r="AM23" s="15"/>
      <c r="AN23" s="15"/>
    </row>
    <row r="24" ht="13.5" customHeight="1">
      <c r="A24" s="15"/>
      <c r="B24" s="28" t="str">
        <f>AE11</f>
        <v>Donald Deguzman / Teddy Padullon</v>
      </c>
      <c r="C24" s="29">
        <v>2.0</v>
      </c>
      <c r="D24" s="30">
        <f>IF(C24&gt;C26,1,0)</f>
        <v>0</v>
      </c>
      <c r="E24" s="31"/>
      <c r="F24" s="29">
        <v>0.0</v>
      </c>
      <c r="G24" s="30">
        <f>IF(F24&gt;F26,1,0)</f>
        <v>0</v>
      </c>
      <c r="H24" s="31"/>
      <c r="I24" s="32"/>
      <c r="J24" s="15">
        <f>IF(I24&gt;I26,1,0)</f>
        <v>0</v>
      </c>
      <c r="K24" s="15">
        <f>IF(D24+G24=2,3,IF(D24+G24=1,1,0))</f>
        <v>0</v>
      </c>
      <c r="L24" s="15">
        <f>IF(K24=3,3,IF(J24+K24=2,2,IF(K24=1,1,0)))</f>
        <v>0</v>
      </c>
      <c r="M24" s="15">
        <f>C24+F24</f>
        <v>2</v>
      </c>
      <c r="N24" s="15">
        <f>D24+G24+J24</f>
        <v>0</v>
      </c>
      <c r="O24" s="15"/>
      <c r="P24" s="15"/>
      <c r="Q24" s="28" t="str">
        <f>AE11</f>
        <v>Donald Deguzman / Teddy Padullon</v>
      </c>
      <c r="R24" s="29">
        <v>0.0</v>
      </c>
      <c r="S24" s="30">
        <f>IF(R24&gt;R26,1,0)</f>
        <v>0</v>
      </c>
      <c r="T24" s="31"/>
      <c r="U24" s="29">
        <v>0.0</v>
      </c>
      <c r="V24" s="30">
        <f>IF(U24&gt;U26,1,0)</f>
        <v>0</v>
      </c>
      <c r="W24" s="31"/>
      <c r="X24" s="32"/>
      <c r="Y24" s="15">
        <f>IF(X24&gt;X26,1,0)</f>
        <v>0</v>
      </c>
      <c r="Z24" s="15">
        <f>IF(S24+V24=2,3,IF(S24+V24=1,1,0))</f>
        <v>0</v>
      </c>
      <c r="AA24" s="15">
        <f>IF(Z24=3,3,IF(Y24+Z24=2,2,IF(Z24=1,1,0)))</f>
        <v>0</v>
      </c>
      <c r="AB24" s="15">
        <f>R24+U24</f>
        <v>0</v>
      </c>
      <c r="AC24" s="15">
        <f>S24+V24+Y24</f>
        <v>0</v>
      </c>
      <c r="AD24" s="15"/>
      <c r="AE24" s="74" t="s">
        <v>86</v>
      </c>
      <c r="AF24" s="21"/>
      <c r="AG24" s="21"/>
      <c r="AH24" s="21"/>
      <c r="AI24" s="7"/>
      <c r="AJ24" s="24"/>
      <c r="AK24" s="15"/>
      <c r="AL24" s="15"/>
      <c r="AM24" s="15"/>
      <c r="AN24" s="15"/>
    </row>
    <row r="25" ht="13.5" customHeight="1">
      <c r="A25" s="15"/>
      <c r="B25" s="36" t="s">
        <v>84</v>
      </c>
      <c r="I25" s="37"/>
      <c r="J25" s="38"/>
      <c r="K25" s="15"/>
      <c r="L25" s="15"/>
      <c r="M25" s="15"/>
      <c r="N25" s="15"/>
      <c r="O25" s="15"/>
      <c r="P25" s="15"/>
      <c r="Q25" s="36" t="s">
        <v>84</v>
      </c>
      <c r="X25" s="37"/>
      <c r="Y25" s="38"/>
      <c r="Z25" s="15"/>
      <c r="AA25" s="15"/>
      <c r="AB25" s="15"/>
      <c r="AC25" s="15"/>
      <c r="AD25" s="15"/>
      <c r="AE25" s="43" t="s">
        <v>99</v>
      </c>
      <c r="AF25" s="21"/>
      <c r="AG25" s="21"/>
      <c r="AH25" s="21"/>
      <c r="AI25" s="7"/>
      <c r="AJ25" s="24"/>
      <c r="AK25" s="24"/>
      <c r="AL25" s="15"/>
      <c r="AM25" s="15"/>
      <c r="AN25" s="15"/>
    </row>
    <row r="26" ht="13.5" customHeight="1">
      <c r="A26" s="15"/>
      <c r="B26" s="39" t="str">
        <f>AE14</f>
        <v>Mark Cini / Dunstan Vella</v>
      </c>
      <c r="C26" s="29">
        <v>6.0</v>
      </c>
      <c r="D26" s="40">
        <f>IF(C26&gt;C24,1,0)</f>
        <v>1</v>
      </c>
      <c r="E26" s="41"/>
      <c r="F26" s="29">
        <v>6.0</v>
      </c>
      <c r="G26" s="40">
        <f>IF(F26&gt;F24,1,0)</f>
        <v>1</v>
      </c>
      <c r="H26" s="41"/>
      <c r="I26" s="32"/>
      <c r="J26" s="15">
        <f>IF(I26&gt;I24,1,0)</f>
        <v>0</v>
      </c>
      <c r="K26" s="15">
        <f>IF(D26+G26=2,3,IF(D26+G26=1,1,0))</f>
        <v>3</v>
      </c>
      <c r="L26" s="15">
        <f>IF(K26=3,3,IF(J26+K26=2,2,IF(K26=1,1,0)))</f>
        <v>3</v>
      </c>
      <c r="M26" s="15">
        <f>C26+F26</f>
        <v>12</v>
      </c>
      <c r="N26" s="15">
        <f>D26+G26+J26</f>
        <v>2</v>
      </c>
      <c r="O26" s="15"/>
      <c r="P26" s="15"/>
      <c r="Q26" s="39" t="str">
        <f>AE16</f>
        <v>Sean Cachia / Antoine Bugeja</v>
      </c>
      <c r="R26" s="29">
        <v>6.0</v>
      </c>
      <c r="S26" s="40">
        <f>IF(R26&gt;R24,1,0)</f>
        <v>1</v>
      </c>
      <c r="T26" s="41"/>
      <c r="U26" s="29">
        <v>6.0</v>
      </c>
      <c r="V26" s="40">
        <f>IF(U26&gt;U24,1,0)</f>
        <v>1</v>
      </c>
      <c r="W26" s="41"/>
      <c r="X26" s="32"/>
      <c r="Y26" s="15">
        <f>IF(X26&gt;X24,1,0)</f>
        <v>0</v>
      </c>
      <c r="Z26" s="15">
        <f>IF(S26+V26=2,3,IF(S26+V26=1,1,0))</f>
        <v>3</v>
      </c>
      <c r="AA26" s="15">
        <f>IF(Z26=3,3,IF(Y26+Z26=2,2,IF(Z26=1,1,0)))</f>
        <v>3</v>
      </c>
      <c r="AB26" s="15">
        <f>R26+U26</f>
        <v>12</v>
      </c>
      <c r="AC26" s="15">
        <f>S26+V26+Y26</f>
        <v>2</v>
      </c>
      <c r="AD26" s="15"/>
      <c r="AE26" s="90" t="s">
        <v>95</v>
      </c>
      <c r="AF26" s="21"/>
      <c r="AG26" s="21"/>
      <c r="AH26" s="21"/>
      <c r="AI26" s="7"/>
      <c r="AJ26" s="15"/>
      <c r="AK26" s="15"/>
      <c r="AL26" s="15"/>
      <c r="AM26" s="15"/>
      <c r="AN26" s="15"/>
    </row>
    <row r="27" ht="13.5" hidden="1" customHeight="1">
      <c r="A27" s="15" t="s">
        <v>85</v>
      </c>
      <c r="B27" s="15"/>
      <c r="C27" s="42">
        <f>IF(C24="",0,1)</f>
        <v>1</v>
      </c>
      <c r="D27" s="15"/>
      <c r="E27" s="15"/>
      <c r="F27" s="42">
        <f>IF(C26="",0,1)</f>
        <v>1</v>
      </c>
      <c r="G27" s="15"/>
      <c r="H27" s="15"/>
      <c r="I27" s="15"/>
      <c r="J27" s="15"/>
      <c r="K27" s="15"/>
      <c r="L27" s="15"/>
      <c r="M27" s="15"/>
      <c r="N27" s="15"/>
      <c r="O27" s="15"/>
      <c r="P27" s="15" t="s">
        <v>85</v>
      </c>
      <c r="Q27" s="15"/>
      <c r="R27" s="42">
        <f>IF(R24="",0,1)</f>
        <v>1</v>
      </c>
      <c r="S27" s="15"/>
      <c r="T27" s="15"/>
      <c r="U27" s="42">
        <f>IF(R26="",0,1)</f>
        <v>1</v>
      </c>
      <c r="V27" s="15"/>
      <c r="W27" s="15"/>
      <c r="X27" s="15"/>
      <c r="Y27" s="15"/>
      <c r="Z27" s="15"/>
      <c r="AA27" s="15"/>
      <c r="AB27" s="15"/>
      <c r="AC27" s="15"/>
      <c r="AD27" s="15"/>
      <c r="AE27" s="71" t="str">
        <f>IF(AK11=42,AL11,"")</f>
        <v/>
      </c>
      <c r="AF27" s="21"/>
      <c r="AG27" s="21"/>
      <c r="AH27" s="21"/>
      <c r="AI27" s="7"/>
      <c r="AJ27" s="15"/>
      <c r="AK27" s="15"/>
      <c r="AL27" s="15"/>
      <c r="AM27" s="15"/>
      <c r="AN27" s="15"/>
    </row>
    <row r="28" ht="15.0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43" t="s">
        <v>100</v>
      </c>
      <c r="AF28" s="21"/>
      <c r="AG28" s="21"/>
      <c r="AH28" s="21"/>
      <c r="AI28" s="7"/>
      <c r="AJ28" s="15"/>
      <c r="AK28" s="15"/>
      <c r="AL28" s="15"/>
      <c r="AM28" s="15"/>
      <c r="AN28" s="15"/>
    </row>
    <row r="29" ht="13.5" customHeight="1">
      <c r="A29" s="15"/>
      <c r="B29" s="28" t="str">
        <f>AE11</f>
        <v>Donald Deguzman / Teddy Padullon</v>
      </c>
      <c r="C29" s="29">
        <v>6.0</v>
      </c>
      <c r="D29" s="30">
        <f>IF(C29&gt;C31,1,0)</f>
        <v>1</v>
      </c>
      <c r="E29" s="31"/>
      <c r="F29" s="29">
        <v>7.0</v>
      </c>
      <c r="G29" s="30">
        <f>IF(F29&gt;F31,1,0)</f>
        <v>1</v>
      </c>
      <c r="H29" s="31"/>
      <c r="I29" s="32"/>
      <c r="J29" s="15">
        <f>IF(I29&gt;I31,1,0)</f>
        <v>0</v>
      </c>
      <c r="K29" s="15">
        <f>IF(D29+G29=2,3,IF(D29+G29=1,1,0))</f>
        <v>3</v>
      </c>
      <c r="L29" s="15">
        <f>IF(K29=3,3,IF(J29+K29=2,2,IF(K29=1,1,0)))</f>
        <v>3</v>
      </c>
      <c r="M29" s="15">
        <f>C29+F29</f>
        <v>13</v>
      </c>
      <c r="N29" s="15">
        <f>D29+G29+J29</f>
        <v>2</v>
      </c>
      <c r="O29" s="15"/>
      <c r="P29" s="15"/>
      <c r="Q29" s="78" t="str">
        <f>AE11</f>
        <v>Donald Deguzman / Teddy Padullon</v>
      </c>
      <c r="R29" s="82"/>
      <c r="S29" s="80">
        <f>IF(R29&gt;R31,1,0)</f>
        <v>0</v>
      </c>
      <c r="T29" s="81"/>
      <c r="U29" s="82"/>
      <c r="V29" s="80">
        <f>IF(U29&gt;U31,1,0)</f>
        <v>0</v>
      </c>
      <c r="W29" s="81"/>
      <c r="X29" s="82"/>
      <c r="Y29" s="15">
        <f>IF(X29&gt;X31,1,0)</f>
        <v>0</v>
      </c>
      <c r="Z29" s="15">
        <f>IF(S29+V29=2,3,IF(S29+V29=1,1,0))</f>
        <v>0</v>
      </c>
      <c r="AA29" s="15">
        <f>IF(Z29=3,3,IF(Y29+Z29=2,2,IF(Z29=1,1,0)))</f>
        <v>0</v>
      </c>
      <c r="AB29" s="15">
        <f>R29+U29</f>
        <v>0</v>
      </c>
      <c r="AC29" s="15">
        <f>S29+V29+Y29</f>
        <v>0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ht="13.5" customHeight="1">
      <c r="A30" s="15"/>
      <c r="B30" s="36" t="s">
        <v>84</v>
      </c>
      <c r="I30" s="37"/>
      <c r="J30" s="38"/>
      <c r="K30" s="15"/>
      <c r="L30" s="15"/>
      <c r="M30" s="15"/>
      <c r="N30" s="15"/>
      <c r="O30" s="15"/>
      <c r="P30" s="15"/>
      <c r="Q30" s="83" t="s">
        <v>84</v>
      </c>
      <c r="X30" s="37"/>
      <c r="Y30" s="38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ht="13.5" customHeight="1">
      <c r="A31" s="15"/>
      <c r="B31" s="39" t="str">
        <f>AE19</f>
        <v>Robert Attard / Kevin Wood</v>
      </c>
      <c r="C31" s="29">
        <v>2.0</v>
      </c>
      <c r="D31" s="40">
        <f>IF(C31&gt;C29,1,0)</f>
        <v>0</v>
      </c>
      <c r="E31" s="41"/>
      <c r="F31" s="29">
        <v>5.0</v>
      </c>
      <c r="G31" s="40">
        <f>IF(F31&gt;F29,1,0)</f>
        <v>0</v>
      </c>
      <c r="H31" s="41"/>
      <c r="I31" s="32"/>
      <c r="J31" s="15">
        <f>IF(I31&gt;I29,1,0)</f>
        <v>0</v>
      </c>
      <c r="K31" s="15">
        <f>IF(D31+G31=2,3,IF(D31+G31=1,1,0))</f>
        <v>0</v>
      </c>
      <c r="L31" s="15">
        <f>IF(K31=3,3,IF(J31+K31=2,2,IF(K31=1,1,0)))</f>
        <v>0</v>
      </c>
      <c r="M31" s="15">
        <f>C31+F31</f>
        <v>7</v>
      </c>
      <c r="N31" s="15">
        <f>D31+G31+J31</f>
        <v>0</v>
      </c>
      <c r="O31" s="15"/>
      <c r="P31" s="15"/>
      <c r="Q31" s="84" t="str">
        <f>AE21</f>
        <v>Matthew Micallef / Chris Vella</v>
      </c>
      <c r="R31" s="82"/>
      <c r="S31" s="85">
        <f>IF(R31&gt;R29,1,0)</f>
        <v>0</v>
      </c>
      <c r="T31" s="86"/>
      <c r="U31" s="82"/>
      <c r="V31" s="85">
        <f>IF(U31&gt;U29,1,0)</f>
        <v>0</v>
      </c>
      <c r="W31" s="86"/>
      <c r="X31" s="82"/>
      <c r="Y31" s="15">
        <f>IF(X31&gt;X29,1,0)</f>
        <v>0</v>
      </c>
      <c r="Z31" s="15">
        <f>IF(S31+V31=2,3,IF(S31+V31=1,1,0))</f>
        <v>0</v>
      </c>
      <c r="AA31" s="15">
        <f>IF(Z31=3,3,IF(Y31+Z31=2,2,IF(Z31=1,1,0)))</f>
        <v>0</v>
      </c>
      <c r="AB31" s="15">
        <f>R31+U31</f>
        <v>0</v>
      </c>
      <c r="AC31" s="15">
        <f>S31+V31+Y31</f>
        <v>0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ht="13.5" hidden="1" customHeight="1">
      <c r="A32" s="15" t="s">
        <v>85</v>
      </c>
      <c r="B32" s="15"/>
      <c r="C32" s="42">
        <f>IF(C29="",0,1)</f>
        <v>1</v>
      </c>
      <c r="D32" s="15"/>
      <c r="E32" s="15"/>
      <c r="F32" s="42">
        <f>IF(C31="",0,1)</f>
        <v>1</v>
      </c>
      <c r="G32" s="15"/>
      <c r="H32" s="15"/>
      <c r="I32" s="15"/>
      <c r="J32" s="15"/>
      <c r="K32" s="15"/>
      <c r="L32" s="15"/>
      <c r="M32" s="15"/>
      <c r="N32" s="15"/>
      <c r="O32" s="15"/>
      <c r="P32" s="15" t="s">
        <v>85</v>
      </c>
      <c r="Q32" s="15"/>
      <c r="R32" s="42">
        <f>IF(R29="",0,1)</f>
        <v>0</v>
      </c>
      <c r="S32" s="15"/>
      <c r="T32" s="15"/>
      <c r="U32" s="42">
        <f>IF(R31="",0,1)</f>
        <v>0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24"/>
      <c r="AI33" s="15"/>
      <c r="AJ33" s="15"/>
      <c r="AK33" s="15"/>
      <c r="AL33" s="15"/>
      <c r="AM33" s="15"/>
      <c r="AN33" s="15"/>
    </row>
    <row r="34" ht="13.5" customHeight="1">
      <c r="A34" s="15"/>
      <c r="B34" s="78" t="str">
        <f>AE16</f>
        <v>Sean Cachia / Antoine Bugeja</v>
      </c>
      <c r="C34" s="79"/>
      <c r="D34" s="80"/>
      <c r="E34" s="81"/>
      <c r="F34" s="79"/>
      <c r="G34" s="80"/>
      <c r="H34" s="81"/>
      <c r="I34" s="82"/>
      <c r="J34" s="15">
        <f>IF(I34&gt;I36,1,0)</f>
        <v>0</v>
      </c>
      <c r="K34" s="15">
        <f>IF(D34+G34=2,3,IF(D34+G34=1,1,0))</f>
        <v>0</v>
      </c>
      <c r="L34" s="15">
        <f>IF(K34=3,3,IF(J34+K34=2,2,IF(K34=1,1,0)))</f>
        <v>0</v>
      </c>
      <c r="M34" s="15">
        <f>C34+F34</f>
        <v>0</v>
      </c>
      <c r="N34" s="15">
        <f>D34+G34+J34</f>
        <v>0</v>
      </c>
      <c r="O34" s="15"/>
      <c r="P34" s="15"/>
      <c r="Q34" s="28" t="str">
        <f>AE14</f>
        <v>Mark Cini / Dunstan Vella</v>
      </c>
      <c r="R34" s="29">
        <v>0.0</v>
      </c>
      <c r="S34" s="30">
        <f>IF(R34&gt;R36,1,0)</f>
        <v>0</v>
      </c>
      <c r="T34" s="31"/>
      <c r="U34" s="29">
        <v>0.0</v>
      </c>
      <c r="V34" s="30">
        <f>IF(U34&gt;U36,1,0)</f>
        <v>0</v>
      </c>
      <c r="W34" s="31"/>
      <c r="X34" s="32"/>
      <c r="Y34" s="15">
        <f>IF(X34&gt;X36,1,0)</f>
        <v>0</v>
      </c>
      <c r="Z34" s="15">
        <f>IF(S34+V34=2,3,IF(S34+V34=1,1,0))</f>
        <v>0</v>
      </c>
      <c r="AA34" s="15">
        <f>IF(Z34=3,3,IF(Y34+Z34=2,2,IF(Z34=1,1,0)))</f>
        <v>0</v>
      </c>
      <c r="AB34" s="15">
        <f>R34+U34</f>
        <v>0</v>
      </c>
      <c r="AC34" s="15">
        <f>S34+V34+Y34</f>
        <v>0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ht="13.5" customHeight="1">
      <c r="A35" s="15"/>
      <c r="B35" s="83" t="s">
        <v>84</v>
      </c>
      <c r="I35" s="37"/>
      <c r="J35" s="38"/>
      <c r="K35" s="15"/>
      <c r="L35" s="15"/>
      <c r="M35" s="15"/>
      <c r="N35" s="15"/>
      <c r="O35" s="15"/>
      <c r="P35" s="15"/>
      <c r="Q35" s="36" t="s">
        <v>84</v>
      </c>
      <c r="X35" s="37"/>
      <c r="Y35" s="38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7"/>
      <c r="AM35" s="15"/>
      <c r="AN35" s="15"/>
    </row>
    <row r="36" ht="13.5" customHeight="1">
      <c r="A36" s="15"/>
      <c r="B36" s="84" t="str">
        <f>AE21</f>
        <v>Matthew Micallef / Chris Vella</v>
      </c>
      <c r="C36" s="79"/>
      <c r="D36" s="85"/>
      <c r="E36" s="86"/>
      <c r="F36" s="79"/>
      <c r="G36" s="85"/>
      <c r="H36" s="86"/>
      <c r="I36" s="82"/>
      <c r="J36" s="15">
        <f>IF(I36&gt;I34,1,0)</f>
        <v>0</v>
      </c>
      <c r="K36" s="15">
        <f>IF(D36+G36=2,3,IF(D36+G36=1,1,0))</f>
        <v>0</v>
      </c>
      <c r="L36" s="15">
        <f>IF(K36=3,3,IF(J36+K36=2,2,IF(K36=1,1,0)))</f>
        <v>0</v>
      </c>
      <c r="M36" s="15">
        <f>C36+F36</f>
        <v>0</v>
      </c>
      <c r="N36" s="15">
        <f>D36+G36+J36</f>
        <v>0</v>
      </c>
      <c r="O36" s="15"/>
      <c r="P36" s="15"/>
      <c r="Q36" s="39" t="str">
        <f>AE16</f>
        <v>Sean Cachia / Antoine Bugeja</v>
      </c>
      <c r="R36" s="29">
        <v>6.0</v>
      </c>
      <c r="S36" s="40">
        <f>IF(R36&gt;R34,1,0)</f>
        <v>1</v>
      </c>
      <c r="T36" s="41"/>
      <c r="U36" s="29">
        <v>6.0</v>
      </c>
      <c r="V36" s="40">
        <f>IF(U36&gt;U34,1,0)</f>
        <v>1</v>
      </c>
      <c r="W36" s="41"/>
      <c r="X36" s="32"/>
      <c r="Y36" s="15">
        <f>IF(X36&gt;X34,1,0)</f>
        <v>0</v>
      </c>
      <c r="Z36" s="15">
        <f>IF(S36+V36=2,3,IF(S36+V36=1,1,0))</f>
        <v>3</v>
      </c>
      <c r="AA36" s="15">
        <f>IF(Z36=3,3,IF(Y36+Z36=2,2,IF(Z36=1,1,0)))</f>
        <v>3</v>
      </c>
      <c r="AB36" s="15">
        <f>R36+U36</f>
        <v>12</v>
      </c>
      <c r="AC36" s="15">
        <f>S36+V36+Y36</f>
        <v>2</v>
      </c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24"/>
    </row>
    <row r="37" ht="14.25" hidden="1" customHeight="1">
      <c r="A37" s="15" t="s">
        <v>85</v>
      </c>
      <c r="B37" s="15"/>
      <c r="C37" s="42">
        <f>IF(C34="",0,1)</f>
        <v>0</v>
      </c>
      <c r="D37" s="15"/>
      <c r="E37" s="15"/>
      <c r="F37" s="42">
        <f>IF(C36="",0,1)</f>
        <v>0</v>
      </c>
      <c r="G37" s="15"/>
      <c r="H37" s="15"/>
      <c r="I37" s="15"/>
      <c r="J37" s="15"/>
      <c r="K37" s="15"/>
      <c r="L37" s="15"/>
      <c r="M37" s="15"/>
      <c r="N37" s="15"/>
      <c r="O37" s="15"/>
      <c r="P37" s="15" t="s">
        <v>85</v>
      </c>
      <c r="Q37" s="15"/>
      <c r="R37" s="42">
        <f>IF(R34="",0,1)</f>
        <v>1</v>
      </c>
      <c r="S37" s="15"/>
      <c r="T37" s="15"/>
      <c r="U37" s="42">
        <f>IF(R36="",0,1)</f>
        <v>1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ht="13.5" customHeight="1">
      <c r="A38" s="15"/>
      <c r="B38" s="15"/>
      <c r="C38" s="15"/>
      <c r="D38" s="15"/>
      <c r="E38" s="15"/>
      <c r="F38" s="24"/>
      <c r="G38" s="15"/>
      <c r="H38" s="15"/>
      <c r="I38" s="24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7"/>
      <c r="AM38" s="15"/>
      <c r="AN38" s="15"/>
    </row>
    <row r="39" ht="13.5" customHeight="1">
      <c r="A39" s="15"/>
      <c r="B39" s="28" t="str">
        <f>AE14</f>
        <v>Mark Cini / Dunstan Vella</v>
      </c>
      <c r="C39" s="29">
        <v>6.0</v>
      </c>
      <c r="D39" s="30">
        <f>IF(C39&gt;C41,1,0)</f>
        <v>1</v>
      </c>
      <c r="E39" s="31"/>
      <c r="F39" s="29">
        <v>6.0</v>
      </c>
      <c r="G39" s="30">
        <f>IF(F39&gt;F41,1,0)</f>
        <v>1</v>
      </c>
      <c r="H39" s="31"/>
      <c r="I39" s="32"/>
      <c r="J39" s="15">
        <f>IF(I39&gt;I41,1,0)</f>
        <v>0</v>
      </c>
      <c r="K39" s="15">
        <f>IF(D39+G39=2,3,IF(D39+G39=1,1,0))</f>
        <v>3</v>
      </c>
      <c r="L39" s="15">
        <f>IF(K39=3,3,IF(J39+K39=2,2,IF(K39=1,1,0)))</f>
        <v>3</v>
      </c>
      <c r="M39" s="15">
        <f>C39+F39</f>
        <v>12</v>
      </c>
      <c r="N39" s="15">
        <f>D39+G39+J39</f>
        <v>2</v>
      </c>
      <c r="O39" s="15"/>
      <c r="P39" s="15"/>
      <c r="Q39" s="78" t="str">
        <f>AE14</f>
        <v>Mark Cini / Dunstan Vella</v>
      </c>
      <c r="R39" s="82"/>
      <c r="S39" s="80">
        <f>IF(R39&gt;R41,1,0)</f>
        <v>0</v>
      </c>
      <c r="T39" s="81"/>
      <c r="U39" s="82"/>
      <c r="V39" s="80">
        <f>IF(U39&gt;U41,1,0)</f>
        <v>0</v>
      </c>
      <c r="W39" s="81"/>
      <c r="X39" s="82"/>
      <c r="Y39" s="15">
        <f>IF(X39&gt;X41,1,0)</f>
        <v>0</v>
      </c>
      <c r="Z39" s="15">
        <f>IF(S39+V39=2,3,IF(S39+V39=1,1,0))</f>
        <v>0</v>
      </c>
      <c r="AA39" s="15">
        <f>IF(Z39=3,3,IF(Y39+Z39=2,2,IF(Z39=1,1,0)))</f>
        <v>0</v>
      </c>
      <c r="AB39" s="15">
        <f>R39+U39</f>
        <v>0</v>
      </c>
      <c r="AC39" s="15">
        <f>S39+V39+Y39</f>
        <v>0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ht="15.0" customHeight="1">
      <c r="A40" s="15"/>
      <c r="B40" s="36" t="s">
        <v>84</v>
      </c>
      <c r="I40" s="37"/>
      <c r="J40" s="38"/>
      <c r="K40" s="15"/>
      <c r="L40" s="15"/>
      <c r="M40" s="15"/>
      <c r="N40" s="15"/>
      <c r="O40" s="15"/>
      <c r="P40" s="15"/>
      <c r="Q40" s="83" t="s">
        <v>84</v>
      </c>
      <c r="X40" s="37"/>
      <c r="Y40" s="38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ht="13.5" customHeight="1">
      <c r="A41" s="15"/>
      <c r="B41" s="39" t="str">
        <f>AE19</f>
        <v>Robert Attard / Kevin Wood</v>
      </c>
      <c r="C41" s="29">
        <v>4.0</v>
      </c>
      <c r="D41" s="40">
        <f>IF(C41&gt;C39,1,0)</f>
        <v>0</v>
      </c>
      <c r="E41" s="41"/>
      <c r="F41" s="29">
        <v>4.0</v>
      </c>
      <c r="G41" s="40">
        <f>IF(F41&gt;F39,1,0)</f>
        <v>0</v>
      </c>
      <c r="H41" s="41"/>
      <c r="I41" s="32"/>
      <c r="J41" s="15">
        <f>IF(I41&gt;I39,1,0)</f>
        <v>0</v>
      </c>
      <c r="K41" s="15">
        <f>IF(D41+G41=2,3,IF(D41+G41=1,1,0))</f>
        <v>0</v>
      </c>
      <c r="L41" s="15">
        <f>IF(K41=3,3,IF(J41+K41=2,2,IF(K41=1,1,0)))</f>
        <v>0</v>
      </c>
      <c r="M41" s="15">
        <f>C41+F41</f>
        <v>8</v>
      </c>
      <c r="N41" s="15">
        <f>D41+G41+J41</f>
        <v>0</v>
      </c>
      <c r="O41" s="15"/>
      <c r="P41" s="15"/>
      <c r="Q41" s="84" t="str">
        <f>AE21</f>
        <v>Matthew Micallef / Chris Vella</v>
      </c>
      <c r="R41" s="82"/>
      <c r="S41" s="85">
        <f>IF(R41&gt;R39,1,0)</f>
        <v>0</v>
      </c>
      <c r="T41" s="86"/>
      <c r="U41" s="82"/>
      <c r="V41" s="85">
        <f>IF(U41&gt;U39,1,0)</f>
        <v>0</v>
      </c>
      <c r="W41" s="86"/>
      <c r="X41" s="82"/>
      <c r="Y41" s="15">
        <f>IF(X41&gt;X39,1,0)</f>
        <v>0</v>
      </c>
      <c r="Z41" s="15">
        <f>IF(S41+V41=2,3,IF(S41+V41=1,1,0))</f>
        <v>0</v>
      </c>
      <c r="AA41" s="15">
        <f>IF(Z41=3,3,IF(Y41+Z41=2,2,IF(Z41=1,1,0)))</f>
        <v>0</v>
      </c>
      <c r="AB41" s="15">
        <f>R41+U41</f>
        <v>0</v>
      </c>
      <c r="AC41" s="15">
        <f>S41+V41+Y41</f>
        <v>0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ht="13.5" hidden="1" customHeight="1">
      <c r="A42" s="15" t="s">
        <v>85</v>
      </c>
      <c r="B42" s="15"/>
      <c r="C42" s="42">
        <f>IF(C39="",0,1)</f>
        <v>1</v>
      </c>
      <c r="D42" s="15"/>
      <c r="E42" s="15"/>
      <c r="F42" s="42">
        <f>IF(C41="",0,1)</f>
        <v>1</v>
      </c>
      <c r="G42" s="15"/>
      <c r="H42" s="15"/>
      <c r="I42" s="15"/>
      <c r="J42" s="15"/>
      <c r="K42" s="15"/>
      <c r="L42" s="15"/>
      <c r="M42" s="15"/>
      <c r="N42" s="15"/>
      <c r="O42" s="15"/>
      <c r="P42" s="15" t="s">
        <v>85</v>
      </c>
      <c r="Q42" s="15"/>
      <c r="R42" s="42">
        <f>IF(R39="",0,1)</f>
        <v>0</v>
      </c>
      <c r="S42" s="15"/>
      <c r="T42" s="15"/>
      <c r="U42" s="42">
        <f>IF(R41="",0,1)</f>
        <v>0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24"/>
      <c r="AI43" s="15"/>
      <c r="AJ43" s="15"/>
      <c r="AK43" s="24"/>
      <c r="AL43" s="15"/>
      <c r="AM43" s="15"/>
      <c r="AN43" s="15"/>
    </row>
    <row r="44" ht="13.5" customHeight="1">
      <c r="A44" s="15"/>
      <c r="B44" s="28" t="str">
        <f>AE16</f>
        <v>Sean Cachia / Antoine Bugeja</v>
      </c>
      <c r="C44" s="29">
        <v>3.0</v>
      </c>
      <c r="D44" s="30">
        <f>IF(C44&gt;C46,1,0)</f>
        <v>0</v>
      </c>
      <c r="E44" s="31"/>
      <c r="F44" s="29">
        <v>4.0</v>
      </c>
      <c r="G44" s="30">
        <f>IF(F44&gt;F46,1,0)</f>
        <v>0</v>
      </c>
      <c r="H44" s="31"/>
      <c r="I44" s="32"/>
      <c r="J44" s="15">
        <f>IF(I44&gt;I46,1,0)</f>
        <v>0</v>
      </c>
      <c r="K44" s="15">
        <f>IF(D44+G44=2,3,IF(D44+G44=1,1,0))</f>
        <v>0</v>
      </c>
      <c r="L44" s="15">
        <f>IF(K44=3,3,IF(J44+K44=2,2,IF(K44=1,1,0)))</f>
        <v>0</v>
      </c>
      <c r="M44" s="15">
        <f>C44+F44</f>
        <v>7</v>
      </c>
      <c r="N44" s="15">
        <f>D44+G44+J44</f>
        <v>0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24"/>
      <c r="AL44" s="15"/>
      <c r="AM44" s="15"/>
      <c r="AN44" s="15"/>
    </row>
    <row r="45" ht="13.5" customHeight="1">
      <c r="A45" s="15"/>
      <c r="B45" s="36" t="s">
        <v>84</v>
      </c>
      <c r="I45" s="37"/>
      <c r="J45" s="38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48"/>
      <c r="AK45" s="15"/>
      <c r="AL45" s="15"/>
      <c r="AM45" s="15"/>
      <c r="AN45" s="15"/>
    </row>
    <row r="46" ht="13.5" customHeight="1">
      <c r="A46" s="15"/>
      <c r="B46" s="39" t="str">
        <f>AE19</f>
        <v>Robert Attard / Kevin Wood</v>
      </c>
      <c r="C46" s="29">
        <v>6.0</v>
      </c>
      <c r="D46" s="40">
        <f>IF(C46&gt;C44,1,0)</f>
        <v>1</v>
      </c>
      <c r="E46" s="41"/>
      <c r="F46" s="29">
        <v>6.0</v>
      </c>
      <c r="G46" s="40">
        <f>IF(F46&gt;F44,1,0)</f>
        <v>1</v>
      </c>
      <c r="H46" s="41"/>
      <c r="I46" s="32"/>
      <c r="J46" s="15">
        <f>IF(I46&gt;I44,1,0)</f>
        <v>0</v>
      </c>
      <c r="K46" s="15">
        <f>IF(D46+G46=2,3,IF(D46+G46=1,1,0))</f>
        <v>3</v>
      </c>
      <c r="L46" s="15">
        <f>IF(K46=3,3,IF(J46+K46=2,2,IF(K46=1,1,0)))</f>
        <v>3</v>
      </c>
      <c r="M46" s="15">
        <f>C46+F46</f>
        <v>12</v>
      </c>
      <c r="N46" s="15">
        <f>D46+G46+J46</f>
        <v>2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ht="13.5" hidden="1" customHeight="1">
      <c r="A47" s="15" t="s">
        <v>85</v>
      </c>
      <c r="B47" s="15"/>
      <c r="C47" s="42">
        <f>IF(C44="",0,1)</f>
        <v>1</v>
      </c>
      <c r="D47" s="15"/>
      <c r="E47" s="15"/>
      <c r="F47" s="42">
        <f>IF(C46="",0,1)</f>
        <v>1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ht="15.0" customHeight="1">
      <c r="A48" s="15"/>
      <c r="B48" s="15"/>
      <c r="C48" s="15"/>
      <c r="D48" s="15"/>
      <c r="E48" s="15"/>
      <c r="F48" s="15"/>
      <c r="G48" s="15"/>
      <c r="H48" s="15"/>
      <c r="I48" s="87" t="s">
        <v>101</v>
      </c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48"/>
      <c r="AK49" s="15"/>
      <c r="AL49" s="15"/>
      <c r="AM49" s="15"/>
      <c r="AN49" s="15"/>
    </row>
    <row r="50" ht="15.0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48"/>
      <c r="AK54" s="15"/>
      <c r="AL54" s="24"/>
      <c r="AM54" s="15"/>
      <c r="AN54" s="15"/>
    </row>
    <row r="55" ht="15.0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ht="15.0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48"/>
      <c r="AK59" s="15"/>
      <c r="AL59" s="15"/>
      <c r="AM59" s="15"/>
      <c r="AN59" s="24"/>
    </row>
    <row r="60" ht="15.0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24"/>
      <c r="AI63" s="15"/>
      <c r="AJ63" s="15"/>
      <c r="AK63" s="24"/>
      <c r="AL63" s="15"/>
      <c r="AM63" s="15"/>
      <c r="AN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24"/>
      <c r="S113" s="24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</row>
    <row r="164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</row>
    <row r="165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</row>
    <row r="166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</row>
    <row r="167" ht="1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</row>
    <row r="168" ht="1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</row>
    <row r="169" ht="1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</row>
    <row r="170" ht="13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</row>
    <row r="171" ht="13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</row>
    <row r="172" ht="13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</row>
    <row r="173" ht="13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</row>
    <row r="174" ht="13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</row>
    <row r="175" ht="13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</row>
    <row r="176" ht="13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</row>
    <row r="177" ht="1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</row>
    <row r="178" ht="13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</row>
    <row r="179" ht="13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</row>
    <row r="180" ht="13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</row>
    <row r="181" ht="13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</row>
    <row r="182" ht="13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</row>
    <row r="183" ht="13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</row>
    <row r="184" ht="13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</row>
    <row r="185" ht="1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</row>
    <row r="186" ht="13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</row>
    <row r="187" ht="13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</row>
    <row r="188" ht="13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</row>
    <row r="189" ht="13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</row>
    <row r="190" ht="13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</row>
    <row r="191" ht="1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</row>
    <row r="192" ht="13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</row>
    <row r="193" ht="13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</row>
    <row r="194" ht="13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</row>
    <row r="195" ht="13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</row>
    <row r="196" ht="13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</row>
    <row r="197" ht="13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</row>
    <row r="198" ht="13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</row>
    <row r="199" ht="13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</row>
    <row r="200" ht="13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</row>
    <row r="201" ht="13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</row>
    <row r="202" ht="13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</row>
    <row r="203" ht="13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</row>
    <row r="204" ht="13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</row>
    <row r="205" ht="13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</row>
    <row r="206" ht="13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</row>
    <row r="207" ht="13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</row>
    <row r="208" ht="13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</row>
    <row r="209" ht="13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</row>
    <row r="210" ht="13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</row>
    <row r="211" ht="13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</row>
    <row r="212" ht="1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</row>
    <row r="213" ht="13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</row>
    <row r="214" ht="13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</row>
    <row r="215" ht="13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</row>
    <row r="216" ht="13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</row>
    <row r="217" ht="13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</row>
    <row r="218" ht="13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</row>
    <row r="219" ht="13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</row>
    <row r="220" ht="13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</row>
    <row r="221" ht="13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</row>
    <row r="222" ht="13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</row>
    <row r="223" ht="13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</row>
    <row r="224" ht="13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</row>
    <row r="225" ht="13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</row>
    <row r="226" ht="13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</row>
    <row r="227" ht="13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</row>
    <row r="228" ht="13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</row>
    <row r="229" ht="13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</row>
    <row r="230" ht="13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</row>
    <row r="231" ht="13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</row>
    <row r="232" ht="13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</row>
    <row r="233" ht="13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</row>
    <row r="234" ht="13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</row>
    <row r="235" ht="13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</row>
    <row r="236" ht="13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</row>
    <row r="237" ht="13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</row>
    <row r="238" ht="13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</row>
    <row r="239" ht="13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</row>
    <row r="240" ht="13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</row>
    <row r="241" ht="13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</row>
    <row r="242" ht="13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</row>
    <row r="243" ht="13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</row>
    <row r="244" ht="13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</row>
    <row r="245" ht="1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</row>
    <row r="246" ht="13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</row>
    <row r="247" ht="13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</row>
    <row r="248" ht="13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</row>
    <row r="249" ht="13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</row>
    <row r="250" ht="13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</row>
    <row r="251" ht="13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</row>
    <row r="252" ht="13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</row>
    <row r="253" ht="13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</row>
    <row r="254" ht="13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</row>
    <row r="255" ht="13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</row>
    <row r="256" ht="13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</row>
    <row r="257" ht="13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</row>
    <row r="258" ht="13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</row>
    <row r="259" ht="13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</row>
    <row r="260" ht="13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</row>
    <row r="261" ht="13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</row>
    <row r="262" ht="13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</row>
    <row r="263" ht="13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</row>
    <row r="264" ht="13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</row>
    <row r="265" ht="13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</row>
    <row r="266" ht="1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</row>
    <row r="267" ht="13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</row>
    <row r="268" ht="13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</row>
    <row r="269" ht="13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</row>
    <row r="270" ht="13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</row>
    <row r="271" ht="13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</row>
    <row r="272" ht="13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</row>
    <row r="273" ht="13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</row>
    <row r="274" ht="13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</row>
    <row r="275" ht="13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</row>
    <row r="276" ht="13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</row>
    <row r="277" ht="13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</row>
    <row r="278" ht="13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</row>
    <row r="279" ht="13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</row>
    <row r="280" ht="13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</row>
    <row r="281" ht="13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</row>
    <row r="282" ht="13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</row>
    <row r="283" ht="13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</row>
    <row r="284" ht="13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</row>
    <row r="285" ht="1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</row>
    <row r="286" ht="13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</row>
    <row r="287" ht="13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</row>
    <row r="288" ht="13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</row>
    <row r="289" ht="13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</row>
    <row r="290" ht="13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</row>
    <row r="291" ht="13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</row>
    <row r="292" ht="13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</row>
    <row r="293" ht="13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</row>
    <row r="294" ht="1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</row>
    <row r="295" ht="13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</row>
    <row r="296" ht="13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</row>
    <row r="297" ht="13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</row>
    <row r="298" ht="13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</row>
    <row r="299" ht="13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</row>
    <row r="300" ht="13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</row>
    <row r="301" ht="1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</row>
    <row r="302" ht="13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</row>
    <row r="303" ht="13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</row>
    <row r="304" ht="13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</row>
    <row r="305" ht="13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</row>
    <row r="306" ht="13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</row>
    <row r="307" ht="13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</row>
    <row r="308" ht="1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</row>
    <row r="309" ht="13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</row>
    <row r="310" ht="13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</row>
    <row r="311" ht="13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</row>
    <row r="312" ht="13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</row>
    <row r="313" ht="13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</row>
    <row r="314" ht="13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</row>
    <row r="315" ht="13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</row>
    <row r="316" ht="13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</row>
    <row r="317" ht="13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</row>
    <row r="318" ht="13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</row>
    <row r="319" ht="13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</row>
    <row r="320" ht="13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</row>
    <row r="321" ht="13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</row>
    <row r="322" ht="13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</row>
    <row r="323" ht="13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</row>
    <row r="324" ht="13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</row>
    <row r="325" ht="13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</row>
    <row r="326" ht="13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</row>
    <row r="327" ht="13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</row>
    <row r="328" ht="13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</row>
    <row r="329" ht="13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</row>
    <row r="330" ht="13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</row>
    <row r="331" ht="13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</row>
    <row r="332" ht="13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</row>
    <row r="333" ht="13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</row>
    <row r="334" ht="13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</row>
    <row r="335" ht="13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</row>
    <row r="336" ht="13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</row>
    <row r="337" ht="13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</row>
    <row r="338" ht="13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</row>
    <row r="339" ht="13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</row>
    <row r="340" ht="13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</row>
    <row r="341" ht="13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</row>
    <row r="342" ht="13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</row>
    <row r="343" ht="13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</row>
    <row r="344" ht="13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</row>
    <row r="345" ht="13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</row>
    <row r="346" ht="13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</row>
    <row r="347" ht="13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</row>
    <row r="348" ht="13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</row>
    <row r="349" ht="13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</row>
    <row r="350" ht="13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</row>
    <row r="351" ht="13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</row>
    <row r="352" ht="13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</row>
    <row r="353" ht="13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</row>
    <row r="354" ht="13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</row>
    <row r="355" ht="13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</row>
    <row r="356" ht="13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</row>
    <row r="357" ht="13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</row>
    <row r="358" ht="13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</row>
    <row r="359" ht="13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</row>
    <row r="360" ht="13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</row>
    <row r="361" ht="13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</row>
    <row r="362" ht="13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</row>
    <row r="363" ht="13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</row>
    <row r="364" ht="13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</row>
    <row r="365" ht="13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</row>
    <row r="366" ht="13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</row>
    <row r="367" ht="13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</row>
    <row r="368" ht="13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</row>
    <row r="369" ht="13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</row>
    <row r="370" ht="13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</row>
    <row r="371" ht="13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</row>
    <row r="372" ht="13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</row>
    <row r="373" ht="13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</row>
    <row r="374" ht="13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</row>
    <row r="375" ht="13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</row>
    <row r="376" ht="13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</row>
    <row r="377" ht="13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</row>
    <row r="378" ht="13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</row>
    <row r="379" ht="13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</row>
    <row r="380" ht="13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</row>
    <row r="381" ht="13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</row>
    <row r="382" ht="13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</row>
    <row r="383" ht="13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</row>
    <row r="384" ht="13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</row>
    <row r="385" ht="13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</row>
    <row r="386" ht="13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</row>
    <row r="387" ht="13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</row>
    <row r="388" ht="13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</row>
    <row r="389" ht="13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</row>
    <row r="390" ht="13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</row>
    <row r="391" ht="13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</row>
    <row r="392" ht="13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</row>
    <row r="393" ht="13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</row>
    <row r="394" ht="13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</row>
    <row r="395" ht="13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</row>
    <row r="396" ht="13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</row>
    <row r="397" ht="13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</row>
    <row r="398" ht="13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</row>
    <row r="399" ht="13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</row>
    <row r="400" ht="13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</row>
    <row r="401" ht="13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</row>
    <row r="402" ht="13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</row>
    <row r="403" ht="13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</row>
    <row r="404" ht="13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</row>
    <row r="405" ht="13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</row>
    <row r="406" ht="13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</row>
    <row r="407" ht="13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</row>
    <row r="408" ht="13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</row>
    <row r="409" ht="13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</row>
    <row r="410" ht="13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</row>
    <row r="411" ht="13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</row>
    <row r="412" ht="13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</row>
    <row r="413" ht="13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</row>
    <row r="414" ht="13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</row>
    <row r="415" ht="13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</row>
    <row r="416" ht="13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</row>
    <row r="417" ht="13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</row>
    <row r="418" ht="13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</row>
    <row r="419" ht="13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</row>
    <row r="420" ht="13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</row>
    <row r="421" ht="13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</row>
    <row r="422" ht="13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</row>
    <row r="423" ht="13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</row>
    <row r="424" ht="13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</row>
    <row r="425" ht="13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</row>
    <row r="426" ht="13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</row>
    <row r="427" ht="13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</row>
    <row r="428" ht="13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</row>
    <row r="429" ht="13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</row>
    <row r="430" ht="13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</row>
    <row r="431" ht="13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</row>
    <row r="432" ht="13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</row>
    <row r="433" ht="13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</row>
    <row r="434" ht="13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</row>
    <row r="435" ht="13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</row>
    <row r="436" ht="13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</row>
    <row r="437" ht="13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</row>
    <row r="438" ht="13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</row>
    <row r="439" ht="13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</row>
    <row r="440" ht="13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</row>
    <row r="441" ht="13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</row>
    <row r="442" ht="13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</row>
    <row r="443" ht="13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</row>
    <row r="444" ht="13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</row>
    <row r="445" ht="13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</row>
    <row r="446" ht="13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</row>
    <row r="447" ht="13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</row>
    <row r="448" ht="13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</row>
    <row r="449" ht="13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</row>
    <row r="450" ht="13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</row>
    <row r="451" ht="13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</row>
    <row r="452" ht="13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</row>
    <row r="453" ht="13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</row>
    <row r="454" ht="13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</row>
    <row r="455" ht="13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</row>
    <row r="456" ht="13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</row>
    <row r="457" ht="13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</row>
    <row r="458" ht="13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</row>
    <row r="459" ht="13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</row>
    <row r="460" ht="13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</row>
    <row r="461" ht="13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</row>
    <row r="462" ht="13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</row>
    <row r="463" ht="13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</row>
    <row r="464" ht="13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</row>
    <row r="465" ht="13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</row>
    <row r="466" ht="13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</row>
    <row r="467" ht="13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</row>
    <row r="468" ht="13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</row>
    <row r="469" ht="13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</row>
    <row r="470" ht="13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</row>
    <row r="471" ht="13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</row>
    <row r="472" ht="13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</row>
    <row r="473" ht="13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</row>
    <row r="474" ht="13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</row>
    <row r="475" ht="13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</row>
    <row r="476" ht="13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</row>
    <row r="477" ht="13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</row>
    <row r="478" ht="13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</row>
    <row r="479" ht="13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</row>
    <row r="480" ht="13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</row>
    <row r="481" ht="13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</row>
    <row r="482" ht="13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</row>
    <row r="483" ht="13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</row>
    <row r="484" ht="13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</row>
    <row r="485" ht="13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</row>
    <row r="486" ht="13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</row>
    <row r="487" ht="13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</row>
    <row r="488" ht="13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</row>
    <row r="489" ht="13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</row>
    <row r="490" ht="13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</row>
    <row r="491" ht="13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</row>
    <row r="492" ht="13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</row>
    <row r="493" ht="13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</row>
    <row r="494" ht="13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</row>
    <row r="495" ht="13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</row>
    <row r="496" ht="13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</row>
    <row r="497" ht="13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</row>
    <row r="498" ht="13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</row>
    <row r="499" ht="13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</row>
    <row r="500" ht="13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</row>
    <row r="501" ht="13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</row>
    <row r="502" ht="13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</row>
    <row r="503" ht="13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</row>
    <row r="504" ht="13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</row>
    <row r="505" ht="13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</row>
    <row r="506" ht="13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</row>
    <row r="507" ht="13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</row>
    <row r="508" ht="13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</row>
    <row r="509" ht="13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</row>
    <row r="510" ht="13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</row>
    <row r="511" ht="13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</row>
    <row r="512" ht="13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</row>
    <row r="513" ht="13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</row>
    <row r="514" ht="13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</row>
    <row r="515" ht="13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</row>
    <row r="516" ht="13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</row>
    <row r="517" ht="13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</row>
    <row r="518" ht="13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</row>
    <row r="519" ht="13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</row>
    <row r="520" ht="13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</row>
    <row r="521" ht="13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</row>
    <row r="522" ht="13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</row>
    <row r="523" ht="13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</row>
    <row r="524" ht="13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</row>
    <row r="525" ht="13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</row>
    <row r="526" ht="13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</row>
    <row r="527" ht="13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</row>
    <row r="528" ht="13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</row>
    <row r="529" ht="13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</row>
    <row r="530" ht="13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</row>
    <row r="531" ht="13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</row>
    <row r="532" ht="13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</row>
    <row r="533" ht="13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</row>
    <row r="534" ht="13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</row>
    <row r="535" ht="13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</row>
    <row r="536" ht="13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</row>
    <row r="537" ht="13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</row>
    <row r="538" ht="13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</row>
    <row r="539" ht="13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</row>
    <row r="540" ht="13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</row>
    <row r="541" ht="13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</row>
    <row r="542" ht="13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</row>
    <row r="543" ht="13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</row>
    <row r="544" ht="13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</row>
    <row r="545" ht="13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</row>
    <row r="546" ht="13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</row>
    <row r="547" ht="13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</row>
    <row r="548" ht="13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</row>
    <row r="549" ht="13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</row>
    <row r="550" ht="13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</row>
    <row r="551" ht="13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</row>
    <row r="552" ht="13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</row>
    <row r="553" ht="13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</row>
    <row r="554" ht="13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</row>
    <row r="555" ht="13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</row>
    <row r="556" ht="13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</row>
    <row r="557" ht="13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</row>
    <row r="558" ht="13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</row>
    <row r="559" ht="13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</row>
    <row r="560" ht="13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</row>
    <row r="561" ht="13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</row>
    <row r="562" ht="13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</row>
    <row r="563" ht="13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</row>
    <row r="564" ht="13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</row>
    <row r="565" ht="13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</row>
    <row r="566" ht="13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</row>
    <row r="567" ht="13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</row>
    <row r="568" ht="13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</row>
    <row r="569" ht="13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</row>
    <row r="570" ht="13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</row>
    <row r="571" ht="13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</row>
    <row r="572" ht="13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</row>
    <row r="573" ht="13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</row>
    <row r="574" ht="13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</row>
    <row r="575" ht="13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</row>
    <row r="576" ht="13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</row>
    <row r="577" ht="13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</row>
    <row r="578" ht="13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</row>
    <row r="579" ht="13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</row>
    <row r="580" ht="13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</row>
    <row r="581" ht="13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</row>
    <row r="582" ht="13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</row>
    <row r="583" ht="13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</row>
    <row r="584" ht="13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</row>
    <row r="585" ht="13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</row>
    <row r="586" ht="13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</row>
    <row r="587" ht="13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</row>
    <row r="588" ht="13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</row>
    <row r="589" ht="13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</row>
    <row r="590" ht="13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</row>
    <row r="591" ht="13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</row>
    <row r="592" ht="13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</row>
    <row r="593" ht="13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</row>
    <row r="594" ht="13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</row>
    <row r="595" ht="13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</row>
    <row r="596" ht="13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</row>
    <row r="597" ht="13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</row>
    <row r="598" ht="13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</row>
    <row r="599" ht="13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</row>
    <row r="600" ht="13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</row>
    <row r="601" ht="13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</row>
    <row r="602" ht="13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</row>
    <row r="603" ht="13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</row>
    <row r="604" ht="13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</row>
    <row r="605" ht="13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</row>
    <row r="606" ht="13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</row>
    <row r="607" ht="13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</row>
    <row r="608" ht="13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</row>
    <row r="609" ht="13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</row>
    <row r="610" ht="13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</row>
    <row r="611" ht="13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</row>
    <row r="612" ht="13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</row>
    <row r="613" ht="13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</row>
    <row r="614" ht="13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</row>
    <row r="615" ht="13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</row>
    <row r="616" ht="13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</row>
    <row r="617" ht="13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</row>
    <row r="618" ht="13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</row>
    <row r="619" ht="13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</row>
    <row r="620" ht="13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</row>
    <row r="621" ht="13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</row>
    <row r="622" ht="13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</row>
    <row r="623" ht="13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</row>
    <row r="624" ht="13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</row>
    <row r="625" ht="13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</row>
    <row r="626" ht="13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</row>
    <row r="627" ht="13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</row>
    <row r="628" ht="13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</row>
    <row r="629" ht="13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</row>
    <row r="630" ht="13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</row>
    <row r="631" ht="13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</row>
    <row r="632" ht="13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</row>
    <row r="633" ht="13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</row>
    <row r="634" ht="13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</row>
    <row r="635" ht="13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</row>
    <row r="636" ht="13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</row>
    <row r="637" ht="13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</row>
    <row r="638" ht="13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</row>
    <row r="639" ht="13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</row>
    <row r="640" ht="13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</row>
    <row r="641" ht="13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</row>
    <row r="642" ht="13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</row>
    <row r="643" ht="13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</row>
    <row r="644" ht="13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</row>
    <row r="645" ht="13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</row>
    <row r="646" ht="13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</row>
    <row r="647" ht="13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</row>
    <row r="648" ht="13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</row>
    <row r="649" ht="13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</row>
    <row r="650" ht="13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</row>
    <row r="651" ht="13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</row>
    <row r="652" ht="13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</row>
    <row r="653" ht="13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</row>
    <row r="654" ht="13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</row>
    <row r="655" ht="13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</row>
    <row r="656" ht="13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</row>
    <row r="657" ht="13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</row>
    <row r="658" ht="13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</row>
    <row r="659" ht="13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</row>
    <row r="660" ht="13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</row>
    <row r="661" ht="13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</row>
    <row r="662" ht="13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</row>
    <row r="663" ht="13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</row>
    <row r="664" ht="13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</row>
    <row r="665" ht="13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</row>
    <row r="666" ht="13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</row>
    <row r="667" ht="13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</row>
    <row r="668" ht="13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</row>
    <row r="669" ht="13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</row>
    <row r="670" ht="13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</row>
    <row r="671" ht="13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</row>
    <row r="672" ht="13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</row>
    <row r="673" ht="13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</row>
    <row r="674" ht="13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</row>
    <row r="675" ht="13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</row>
    <row r="676" ht="13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</row>
    <row r="677" ht="13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</row>
    <row r="678" ht="13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</row>
    <row r="679" ht="13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</row>
    <row r="680" ht="13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</row>
    <row r="681" ht="13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</row>
    <row r="682" ht="13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</row>
    <row r="683" ht="13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</row>
    <row r="684" ht="13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</row>
    <row r="685" ht="13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</row>
    <row r="686" ht="13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</row>
    <row r="687" ht="13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</row>
    <row r="688" ht="13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</row>
    <row r="689" ht="13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</row>
    <row r="690" ht="13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</row>
    <row r="691" ht="13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</row>
    <row r="692" ht="13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</row>
    <row r="693" ht="13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</row>
    <row r="694" ht="13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</row>
    <row r="695" ht="13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</row>
    <row r="696" ht="13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</row>
    <row r="697" ht="13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</row>
    <row r="698" ht="13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</row>
    <row r="699" ht="13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</row>
    <row r="700" ht="13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</row>
    <row r="701" ht="13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</row>
    <row r="702" ht="13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</row>
    <row r="703" ht="13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</row>
    <row r="704" ht="13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</row>
    <row r="705" ht="13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</row>
    <row r="706" ht="13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</row>
    <row r="707" ht="13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</row>
    <row r="708" ht="13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</row>
    <row r="709" ht="13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</row>
    <row r="710" ht="13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</row>
    <row r="711" ht="13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</row>
    <row r="712" ht="13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</row>
    <row r="713" ht="13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</row>
    <row r="714" ht="13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</row>
    <row r="715" ht="13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</row>
    <row r="716" ht="13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</row>
    <row r="717" ht="13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</row>
    <row r="718" ht="13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</row>
    <row r="719" ht="13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</row>
    <row r="720" ht="13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</row>
    <row r="721" ht="13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</row>
    <row r="722" ht="13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</row>
    <row r="723" ht="13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</row>
    <row r="724" ht="13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</row>
    <row r="725" ht="13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</row>
    <row r="726" ht="13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</row>
    <row r="727" ht="13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</row>
    <row r="728" ht="13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</row>
    <row r="729" ht="13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</row>
    <row r="730" ht="13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</row>
    <row r="731" ht="13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</row>
    <row r="732" ht="13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</row>
    <row r="733" ht="13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</row>
    <row r="734" ht="13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</row>
    <row r="735" ht="13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</row>
    <row r="736" ht="13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</row>
    <row r="737" ht="13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</row>
    <row r="738" ht="13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</row>
    <row r="739" ht="13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</row>
    <row r="740" ht="13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</row>
    <row r="741" ht="13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</row>
    <row r="742" ht="13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</row>
    <row r="743" ht="13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</row>
    <row r="744" ht="13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</row>
    <row r="745" ht="13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</row>
    <row r="746" ht="13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</row>
    <row r="747" ht="13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</row>
    <row r="748" ht="13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</row>
    <row r="749" ht="13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</row>
    <row r="750" ht="13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</row>
    <row r="751" ht="13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</row>
    <row r="752" ht="13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</row>
    <row r="753" ht="13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</row>
    <row r="754" ht="13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</row>
    <row r="755" ht="13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</row>
    <row r="756" ht="13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</row>
    <row r="757" ht="13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</row>
    <row r="758" ht="13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</row>
    <row r="759" ht="13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</row>
    <row r="760" ht="13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</row>
    <row r="761" ht="13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</row>
    <row r="762" ht="13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</row>
    <row r="763" ht="13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</row>
    <row r="764" ht="13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</row>
    <row r="765" ht="13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</row>
    <row r="766" ht="13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</row>
    <row r="767" ht="13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</row>
    <row r="768" ht="13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</row>
    <row r="769" ht="13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</row>
    <row r="770" ht="13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</row>
    <row r="771" ht="13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</row>
    <row r="772" ht="13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</row>
    <row r="773" ht="13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</row>
    <row r="774" ht="13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</row>
    <row r="775" ht="13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</row>
    <row r="776" ht="13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</row>
    <row r="777" ht="13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</row>
    <row r="778" ht="13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</row>
    <row r="779" ht="13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</row>
    <row r="780" ht="13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</row>
    <row r="781" ht="13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</row>
    <row r="782" ht="13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</row>
    <row r="783" ht="13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</row>
    <row r="784" ht="13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</row>
    <row r="785" ht="13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</row>
    <row r="786" ht="13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</row>
    <row r="787" ht="13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</row>
    <row r="788" ht="13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</row>
    <row r="789" ht="13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</row>
    <row r="790" ht="13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</row>
    <row r="791" ht="13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</row>
    <row r="792" ht="13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</row>
    <row r="793" ht="13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</row>
    <row r="794" ht="13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</row>
    <row r="795" ht="13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</row>
    <row r="796" ht="13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</row>
    <row r="797" ht="13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</row>
    <row r="798" ht="13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</row>
    <row r="799" ht="13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</row>
    <row r="800" ht="13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</row>
    <row r="801" ht="13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</row>
    <row r="802" ht="13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</row>
    <row r="803" ht="13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</row>
    <row r="804" ht="13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</row>
    <row r="805" ht="13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</row>
    <row r="806" ht="13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</row>
    <row r="807" ht="13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</row>
    <row r="808" ht="13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</row>
    <row r="809" ht="13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</row>
    <row r="810" ht="13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</row>
    <row r="811" ht="13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</row>
    <row r="812" ht="13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</row>
    <row r="813" ht="13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</row>
    <row r="814" ht="13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</row>
    <row r="815" ht="13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</row>
    <row r="816" ht="13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</row>
    <row r="817" ht="13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</row>
    <row r="818" ht="13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</row>
    <row r="819" ht="13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</row>
    <row r="820" ht="13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</row>
    <row r="821" ht="13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</row>
    <row r="822" ht="13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</row>
    <row r="823" ht="13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</row>
    <row r="824" ht="13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</row>
    <row r="825" ht="13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</row>
    <row r="826" ht="13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</row>
    <row r="827" ht="13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</row>
    <row r="828" ht="13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</row>
    <row r="829" ht="13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</row>
    <row r="830" ht="13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</row>
    <row r="831" ht="13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</row>
    <row r="832" ht="13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</row>
    <row r="833" ht="13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</row>
    <row r="834" ht="13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</row>
    <row r="835" ht="13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</row>
    <row r="836" ht="13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</row>
    <row r="837" ht="13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</row>
    <row r="838" ht="13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</row>
    <row r="839" ht="13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</row>
    <row r="840" ht="13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</row>
    <row r="841" ht="13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</row>
    <row r="842" ht="13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</row>
    <row r="843" ht="13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</row>
    <row r="844" ht="13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</row>
    <row r="845" ht="13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</row>
    <row r="846" ht="13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</row>
    <row r="847" ht="13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</row>
    <row r="848" ht="13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</row>
    <row r="849" ht="13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</row>
    <row r="850" ht="13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</row>
    <row r="851" ht="13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</row>
    <row r="852" ht="13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</row>
    <row r="853" ht="13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</row>
    <row r="854" ht="13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</row>
    <row r="855" ht="13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</row>
    <row r="856" ht="13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</row>
    <row r="857" ht="13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</row>
    <row r="858" ht="13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</row>
    <row r="859" ht="13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</row>
    <row r="860" ht="13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</row>
    <row r="861" ht="13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</row>
    <row r="862" ht="13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</row>
    <row r="863" ht="13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</row>
    <row r="864" ht="13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</row>
    <row r="865" ht="13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</row>
    <row r="866" ht="13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</row>
    <row r="867" ht="13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</row>
    <row r="868" ht="13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</row>
    <row r="869" ht="13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</row>
    <row r="870" ht="13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</row>
    <row r="871" ht="13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</row>
    <row r="872" ht="13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</row>
    <row r="873" ht="13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</row>
    <row r="874" ht="13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</row>
    <row r="875" ht="13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</row>
    <row r="876" ht="13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</row>
    <row r="877" ht="13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</row>
    <row r="878" ht="13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</row>
    <row r="879" ht="13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</row>
    <row r="880" ht="13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</row>
    <row r="881" ht="13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</row>
    <row r="882" ht="13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</row>
    <row r="883" ht="13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</row>
    <row r="884" ht="13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</row>
    <row r="885" ht="13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</row>
    <row r="886" ht="13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</row>
    <row r="887" ht="13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</row>
    <row r="888" ht="13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</row>
    <row r="889" ht="13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</row>
    <row r="890" ht="13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</row>
    <row r="891" ht="13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</row>
    <row r="892" ht="13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</row>
    <row r="893" ht="13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</row>
    <row r="894" ht="13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</row>
    <row r="895" ht="13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</row>
    <row r="896" ht="13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</row>
    <row r="897" ht="13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</row>
    <row r="898" ht="13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</row>
    <row r="899" ht="13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</row>
    <row r="900" ht="13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</row>
    <row r="901" ht="13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</row>
    <row r="902" ht="13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</row>
    <row r="903" ht="13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</row>
    <row r="904" ht="13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</row>
    <row r="905" ht="13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</row>
    <row r="906" ht="13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</row>
    <row r="907" ht="13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</row>
    <row r="908" ht="13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</row>
    <row r="909" ht="13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</row>
    <row r="910" ht="13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</row>
    <row r="911" ht="13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</row>
    <row r="912" ht="13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</row>
    <row r="913" ht="13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</row>
    <row r="914" ht="13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</row>
    <row r="915" ht="13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</row>
    <row r="916" ht="13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</row>
    <row r="917" ht="13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</row>
    <row r="918" ht="13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</row>
    <row r="919" ht="13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</row>
    <row r="920" ht="13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</row>
    <row r="921" ht="13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</row>
    <row r="922" ht="13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</row>
    <row r="923" ht="13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</row>
    <row r="924" ht="13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</row>
    <row r="925" ht="13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</row>
    <row r="926" ht="13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</row>
    <row r="927" ht="13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</row>
    <row r="928" ht="13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</row>
    <row r="929" ht="13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</row>
    <row r="930" ht="13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</row>
    <row r="931" ht="13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</row>
    <row r="932" ht="13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</row>
    <row r="933" ht="13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</row>
    <row r="934" ht="13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</row>
    <row r="935" ht="13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</row>
    <row r="936" ht="13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</row>
    <row r="937" ht="13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</row>
    <row r="938" ht="13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</row>
    <row r="939" ht="13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</row>
    <row r="940" ht="13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</row>
    <row r="941" ht="13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</row>
    <row r="942" ht="13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</row>
    <row r="943" ht="13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</row>
    <row r="944" ht="13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</row>
    <row r="945" ht="13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</row>
    <row r="946" ht="13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</row>
    <row r="947" ht="13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</row>
    <row r="948" ht="13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</row>
    <row r="949" ht="13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</row>
    <row r="950" ht="13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</row>
    <row r="951" ht="13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</row>
    <row r="952" ht="13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</row>
    <row r="953" ht="13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</row>
    <row r="954" ht="13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</row>
    <row r="955" ht="13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</row>
    <row r="956" ht="13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</row>
    <row r="957" ht="13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</row>
    <row r="958" ht="13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</row>
    <row r="959" ht="13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</row>
    <row r="960" ht="13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</row>
    <row r="961" ht="13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</row>
    <row r="962" ht="13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</row>
    <row r="963" ht="13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</row>
    <row r="964" ht="13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</row>
    <row r="965" ht="13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</row>
    <row r="966" ht="13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</row>
    <row r="967" ht="13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</row>
    <row r="968" ht="13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</row>
    <row r="969" ht="13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</row>
    <row r="970" ht="13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</row>
    <row r="971" ht="13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</row>
    <row r="972" ht="13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</row>
    <row r="973" ht="13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</row>
    <row r="974" ht="13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</row>
    <row r="975" ht="13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</row>
    <row r="976" ht="13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</row>
    <row r="977" ht="13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</row>
    <row r="978" ht="13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</row>
    <row r="979" ht="13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</row>
    <row r="980" ht="13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</row>
    <row r="981" ht="13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</row>
    <row r="982" ht="13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</row>
    <row r="983" ht="13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</row>
    <row r="984" ht="13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</row>
    <row r="985" ht="13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</row>
    <row r="986" ht="13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</row>
    <row r="987" ht="13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</row>
    <row r="988" ht="13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</row>
    <row r="989" ht="13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</row>
    <row r="990" ht="13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</row>
    <row r="991" ht="13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</row>
    <row r="992" ht="13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</row>
    <row r="993" ht="13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</row>
    <row r="994" ht="13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</row>
    <row r="995" ht="13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</row>
    <row r="996" ht="13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</row>
    <row r="997" ht="13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</row>
    <row r="998" ht="13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</row>
    <row r="999" ht="13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</row>
    <row r="1000" ht="13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</row>
  </sheetData>
  <mergeCells count="25">
    <mergeCell ref="A1:AI1"/>
    <mergeCell ref="A2:AI2"/>
    <mergeCell ref="B5:AI5"/>
    <mergeCell ref="C7:F7"/>
    <mergeCell ref="R7:U7"/>
    <mergeCell ref="B10:I10"/>
    <mergeCell ref="Q10:X10"/>
    <mergeCell ref="AE25:AI25"/>
    <mergeCell ref="AE26:AI26"/>
    <mergeCell ref="AE27:AI27"/>
    <mergeCell ref="AE28:AI28"/>
    <mergeCell ref="B30:I30"/>
    <mergeCell ref="Q30:X30"/>
    <mergeCell ref="B35:I35"/>
    <mergeCell ref="Q35:X35"/>
    <mergeCell ref="B40:I40"/>
    <mergeCell ref="Q40:X40"/>
    <mergeCell ref="B45:I45"/>
    <mergeCell ref="B15:I15"/>
    <mergeCell ref="Q15:X15"/>
    <mergeCell ref="B20:I20"/>
    <mergeCell ref="Q20:X20"/>
    <mergeCell ref="AE24:AI24"/>
    <mergeCell ref="B25:I25"/>
    <mergeCell ref="Q25:X25"/>
  </mergeCells>
  <printOptions/>
  <pageMargins bottom="1.0" footer="0.0" header="0.0" left="0.75" right="0.75" top="1.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3" width="44.63"/>
    <col customWidth="1" min="4" max="4" width="9.13"/>
    <col customWidth="1" min="5" max="5" width="24.63"/>
    <col customWidth="1" min="6" max="26" width="9.13"/>
  </cols>
  <sheetData>
    <row r="1" ht="21.0" customHeight="1">
      <c r="A1" s="1" t="s">
        <v>0</v>
      </c>
      <c r="D1" s="2"/>
      <c r="E1" s="3"/>
      <c r="F1" s="3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1" t="s">
        <v>1</v>
      </c>
      <c r="D2" s="2"/>
      <c r="E2" s="3"/>
      <c r="F2" s="3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91"/>
      <c r="B5" s="92" t="s">
        <v>102</v>
      </c>
      <c r="C5" s="7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8">
        <v>1.0</v>
      </c>
      <c r="B6" s="8" t="s">
        <v>103</v>
      </c>
      <c r="C6" s="8" t="s">
        <v>104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8">
        <v>2.0</v>
      </c>
      <c r="B7" s="8" t="s">
        <v>105</v>
      </c>
      <c r="C7" s="8" t="s">
        <v>106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8">
        <v>3.0</v>
      </c>
      <c r="B8" s="8" t="s">
        <v>107</v>
      </c>
      <c r="C8" s="8" t="s">
        <v>108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8">
        <v>4.0</v>
      </c>
      <c r="B9" s="8" t="s">
        <v>109</v>
      </c>
      <c r="C9" s="8" t="s">
        <v>110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8">
        <v>5.0</v>
      </c>
      <c r="B10" s="8" t="s">
        <v>111</v>
      </c>
      <c r="C10" s="8" t="s">
        <v>112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8">
        <v>6.0</v>
      </c>
      <c r="B11" s="8" t="s">
        <v>113</v>
      </c>
      <c r="C11" s="8" t="s">
        <v>114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5"/>
      <c r="B12" s="5"/>
      <c r="C12" s="5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91"/>
      <c r="B13" s="93" t="s">
        <v>115</v>
      </c>
      <c r="C13" s="7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8">
        <v>1.0</v>
      </c>
      <c r="B14" s="8" t="s">
        <v>116</v>
      </c>
      <c r="C14" s="8" t="s">
        <v>117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8">
        <v>2.0</v>
      </c>
      <c r="B15" s="8" t="s">
        <v>118</v>
      </c>
      <c r="C15" s="8" t="s">
        <v>119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8">
        <v>3.0</v>
      </c>
      <c r="B16" s="8" t="s">
        <v>120</v>
      </c>
      <c r="C16" s="8" t="s">
        <v>121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8">
        <v>4.0</v>
      </c>
      <c r="B17" s="8" t="s">
        <v>122</v>
      </c>
      <c r="C17" s="8" t="s">
        <v>123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8">
        <v>5.0</v>
      </c>
      <c r="B18" s="8" t="s">
        <v>124</v>
      </c>
      <c r="C18" s="8" t="s">
        <v>125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1.0" customHeight="1">
      <c r="A19" s="8">
        <v>6.0</v>
      </c>
      <c r="B19" s="8" t="s">
        <v>126</v>
      </c>
      <c r="C19" s="8" t="s">
        <v>127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5"/>
      <c r="B20" s="5"/>
      <c r="C20" s="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91"/>
      <c r="B21" s="94" t="s">
        <v>128</v>
      </c>
      <c r="C21" s="7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8">
        <v>1.0</v>
      </c>
      <c r="B22" s="8" t="s">
        <v>129</v>
      </c>
      <c r="C22" s="8" t="s">
        <v>130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8">
        <v>2.0</v>
      </c>
      <c r="B23" s="8" t="s">
        <v>131</v>
      </c>
      <c r="C23" s="8" t="s">
        <v>132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8">
        <v>3.0</v>
      </c>
      <c r="B24" s="8" t="s">
        <v>133</v>
      </c>
      <c r="C24" s="8" t="s">
        <v>134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8">
        <v>4.0</v>
      </c>
      <c r="B25" s="8" t="s">
        <v>135</v>
      </c>
      <c r="C25" s="8" t="s">
        <v>136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8">
        <v>5.0</v>
      </c>
      <c r="B26" s="8" t="s">
        <v>137</v>
      </c>
      <c r="C26" s="8" t="s">
        <v>138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8">
        <v>6.0</v>
      </c>
      <c r="B27" s="8" t="s">
        <v>139</v>
      </c>
      <c r="C27" s="8" t="s">
        <v>140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5"/>
      <c r="B28" s="5"/>
      <c r="C28" s="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91"/>
      <c r="B29" s="95" t="s">
        <v>141</v>
      </c>
      <c r="C29" s="7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8">
        <v>1.0</v>
      </c>
      <c r="B30" s="8" t="s">
        <v>142</v>
      </c>
      <c r="C30" s="8" t="s">
        <v>143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8">
        <v>2.0</v>
      </c>
      <c r="B31" s="8" t="s">
        <v>144</v>
      </c>
      <c r="C31" s="8" t="s">
        <v>145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8">
        <v>3.0</v>
      </c>
      <c r="B32" s="8" t="s">
        <v>146</v>
      </c>
      <c r="C32" s="8" t="s">
        <v>147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8">
        <v>4.0</v>
      </c>
      <c r="B33" s="8" t="s">
        <v>148</v>
      </c>
      <c r="C33" s="8" t="s">
        <v>149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8">
        <v>5.0</v>
      </c>
      <c r="B34" s="8" t="s">
        <v>150</v>
      </c>
      <c r="C34" s="8" t="s">
        <v>151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8">
        <v>6.0</v>
      </c>
      <c r="B35" s="8" t="s">
        <v>152</v>
      </c>
      <c r="C35" s="8" t="s">
        <v>153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5"/>
      <c r="B36" s="5"/>
      <c r="C36" s="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C1"/>
    <mergeCell ref="A2:C2"/>
    <mergeCell ref="B5:C5"/>
    <mergeCell ref="B13:C13"/>
    <mergeCell ref="B21:C21"/>
    <mergeCell ref="B29:C29"/>
  </mergeCells>
  <printOptions/>
  <pageMargins bottom="0.75" footer="0.0" header="0.0" left="0.25" right="0.25" top="0.75"/>
  <pageSetup paperSize="9" scale="8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hidden="1" min="1" max="1" width="6.0"/>
    <col customWidth="1" min="2" max="2" width="32.5"/>
    <col customWidth="1" min="3" max="3" width="7.0"/>
    <col customWidth="1" hidden="1" min="4" max="4" width="6.13"/>
    <col customWidth="1" min="5" max="5" width="1.63"/>
    <col customWidth="1" min="6" max="6" width="7.0"/>
    <col customWidth="1" hidden="1" min="7" max="7" width="6.13"/>
    <col customWidth="1" min="8" max="8" width="1.63"/>
    <col customWidth="1" min="9" max="9" width="7.0"/>
    <col customWidth="1" hidden="1" min="10" max="10" width="6.13"/>
    <col customWidth="1" hidden="1" min="11" max="11" width="7.5"/>
    <col customWidth="1" hidden="1" min="12" max="12" width="11.38"/>
    <col customWidth="1" hidden="1" min="13" max="13" width="8.0"/>
    <col customWidth="1" hidden="1" min="14" max="14" width="6.13"/>
    <col customWidth="1" min="15" max="15" width="5.5"/>
    <col customWidth="1" hidden="1" min="16" max="16" width="7.38"/>
    <col customWidth="1" min="17" max="17" width="32.5"/>
    <col customWidth="1" min="18" max="18" width="7.0"/>
    <col customWidth="1" hidden="1" min="19" max="19" width="6.13"/>
    <col customWidth="1" min="20" max="20" width="1.63"/>
    <col customWidth="1" min="21" max="21" width="7.0"/>
    <col customWidth="1" hidden="1" min="22" max="22" width="6.13"/>
    <col customWidth="1" min="23" max="23" width="1.63"/>
    <col customWidth="1" min="24" max="24" width="7.0"/>
    <col customWidth="1" hidden="1" min="25" max="25" width="6.13"/>
    <col customWidth="1" hidden="1" min="26" max="26" width="7.5"/>
    <col customWidth="1" hidden="1" min="27" max="27" width="11.38"/>
    <col customWidth="1" hidden="1" min="28" max="28" width="8.0"/>
    <col customWidth="1" hidden="1" min="29" max="29" width="6.13"/>
    <col customWidth="1" min="30" max="30" width="5.5"/>
    <col customWidth="1" min="31" max="31" width="35.63"/>
    <col customWidth="1" min="32" max="35" width="8.63"/>
    <col customWidth="1" hidden="1" min="36" max="36" width="9.38"/>
    <col customWidth="1" hidden="1" min="37" max="37" width="8.0"/>
    <col customWidth="1" hidden="1" min="38" max="38" width="41.13"/>
    <col customWidth="1" min="39" max="40" width="9.38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2" s="1" t="s">
        <v>1</v>
      </c>
      <c r="AJ2" s="4"/>
      <c r="AK2" s="4"/>
      <c r="AL2" s="4"/>
      <c r="AM2" s="4"/>
      <c r="AN2" s="4"/>
    </row>
    <row r="3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30.0" customHeight="1">
      <c r="A5" s="15"/>
      <c r="B5" s="96" t="s">
        <v>102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  <c r="AJ5" s="15"/>
      <c r="AK5" s="15"/>
      <c r="AL5" s="15"/>
      <c r="AM5" s="15"/>
      <c r="AN5" s="15"/>
    </row>
    <row r="6" ht="13.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ht="13.5" customHeight="1">
      <c r="A7" s="15"/>
      <c r="B7" s="97" t="s">
        <v>65</v>
      </c>
      <c r="C7" s="98" t="s">
        <v>66</v>
      </c>
      <c r="D7" s="21"/>
      <c r="E7" s="21"/>
      <c r="F7" s="7"/>
      <c r="G7" s="99"/>
      <c r="H7" s="100"/>
      <c r="I7" s="97" t="s">
        <v>67</v>
      </c>
      <c r="J7" s="15"/>
      <c r="K7" s="15"/>
      <c r="L7" s="15"/>
      <c r="M7" s="24"/>
      <c r="N7" s="24"/>
      <c r="O7" s="15"/>
      <c r="P7" s="15"/>
      <c r="Q7" s="97" t="s">
        <v>65</v>
      </c>
      <c r="R7" s="98" t="s">
        <v>66</v>
      </c>
      <c r="S7" s="21"/>
      <c r="T7" s="21"/>
      <c r="U7" s="7"/>
      <c r="V7" s="99"/>
      <c r="W7" s="100"/>
      <c r="X7" s="97" t="s">
        <v>67</v>
      </c>
      <c r="Y7" s="24"/>
      <c r="Z7" s="24"/>
      <c r="AA7" s="24"/>
      <c r="AB7" s="24"/>
      <c r="AC7" s="24"/>
      <c r="AD7" s="15"/>
      <c r="AE7" s="97" t="s">
        <v>68</v>
      </c>
      <c r="AF7" s="97" t="s">
        <v>69</v>
      </c>
      <c r="AG7" s="97" t="s">
        <v>70</v>
      </c>
      <c r="AH7" s="97" t="s">
        <v>71</v>
      </c>
      <c r="AI7" s="97" t="s">
        <v>72</v>
      </c>
      <c r="AJ7" s="24"/>
      <c r="AK7" s="24"/>
      <c r="AL7" s="24"/>
      <c r="AM7" s="15"/>
      <c r="AN7" s="15"/>
    </row>
    <row r="8" ht="13.5" hidden="1" customHeight="1">
      <c r="A8" s="15"/>
      <c r="B8" s="15"/>
      <c r="C8" s="25" t="s">
        <v>73</v>
      </c>
      <c r="D8" s="25" t="s">
        <v>74</v>
      </c>
      <c r="E8" s="25"/>
      <c r="F8" s="25" t="s">
        <v>73</v>
      </c>
      <c r="G8" s="25" t="s">
        <v>75</v>
      </c>
      <c r="H8" s="25"/>
      <c r="I8" s="25" t="s">
        <v>73</v>
      </c>
      <c r="J8" s="25" t="s">
        <v>76</v>
      </c>
      <c r="K8" s="25" t="s">
        <v>77</v>
      </c>
      <c r="L8" s="25" t="s">
        <v>78</v>
      </c>
      <c r="M8" s="25" t="s">
        <v>79</v>
      </c>
      <c r="N8" s="25" t="s">
        <v>80</v>
      </c>
      <c r="O8" s="15"/>
      <c r="P8" s="15"/>
      <c r="Q8" s="15"/>
      <c r="R8" s="25" t="s">
        <v>73</v>
      </c>
      <c r="S8" s="25" t="s">
        <v>74</v>
      </c>
      <c r="T8" s="25"/>
      <c r="U8" s="25" t="s">
        <v>73</v>
      </c>
      <c r="V8" s="25" t="s">
        <v>75</v>
      </c>
      <c r="W8" s="25"/>
      <c r="X8" s="25" t="s">
        <v>73</v>
      </c>
      <c r="Y8" s="25" t="s">
        <v>76</v>
      </c>
      <c r="Z8" s="25" t="s">
        <v>77</v>
      </c>
      <c r="AA8" s="25" t="s">
        <v>78</v>
      </c>
      <c r="AB8" s="25" t="s">
        <v>79</v>
      </c>
      <c r="AC8" s="25" t="s">
        <v>80</v>
      </c>
      <c r="AD8" s="15"/>
      <c r="AE8" s="24"/>
      <c r="AF8" s="24"/>
      <c r="AG8" s="24"/>
      <c r="AH8" s="24"/>
      <c r="AI8" s="24"/>
      <c r="AJ8" s="25" t="s">
        <v>81</v>
      </c>
      <c r="AK8" s="26" t="s">
        <v>82</v>
      </c>
      <c r="AL8" s="27" t="s">
        <v>83</v>
      </c>
      <c r="AM8" s="15"/>
      <c r="AN8" s="15"/>
    </row>
    <row r="9" ht="15.0" customHeight="1">
      <c r="A9" s="15"/>
      <c r="B9" s="28" t="str">
        <f>AE9</f>
        <v>Martina Cuschieri / Elaine Grech</v>
      </c>
      <c r="C9" s="29">
        <v>1.0</v>
      </c>
      <c r="D9" s="30">
        <f>IF(C9&gt;C11,1,0)</f>
        <v>0</v>
      </c>
      <c r="E9" s="31"/>
      <c r="F9" s="29">
        <v>6.0</v>
      </c>
      <c r="G9" s="30">
        <f>IF(F9&gt;F11,1,0)</f>
        <v>1</v>
      </c>
      <c r="H9" s="31"/>
      <c r="I9" s="29">
        <v>10.0</v>
      </c>
      <c r="J9" s="15">
        <f>IF(I9&gt;I11,1,0)</f>
        <v>1</v>
      </c>
      <c r="K9" s="15">
        <f>IF(D9+G9=2,3,IF(D9+G9=1,1,0))</f>
        <v>1</v>
      </c>
      <c r="L9" s="15">
        <f>IF(K9=3,3,IF(J9+K9=2,2,IF(K9=1,1,0)))</f>
        <v>2</v>
      </c>
      <c r="M9" s="15">
        <f>C9+F9</f>
        <v>7</v>
      </c>
      <c r="N9" s="15">
        <f>D9+G9+J9</f>
        <v>2</v>
      </c>
      <c r="O9" s="15"/>
      <c r="P9" s="15"/>
      <c r="Q9" s="28" t="str">
        <f>AE9</f>
        <v>Martina Cuschieri / Elaine Grech</v>
      </c>
      <c r="R9" s="29">
        <v>6.0</v>
      </c>
      <c r="S9" s="30">
        <f>IF(R9&gt;R11,1,0)</f>
        <v>1</v>
      </c>
      <c r="T9" s="31"/>
      <c r="U9" s="29">
        <v>6.0</v>
      </c>
      <c r="V9" s="30">
        <f>IF(U9&gt;U11,1,0)</f>
        <v>1</v>
      </c>
      <c r="W9" s="31"/>
      <c r="X9" s="32"/>
      <c r="Y9" s="15">
        <f>IF(X9&gt;X11,1,0)</f>
        <v>0</v>
      </c>
      <c r="Z9" s="15">
        <f>IF(S9+V9=2,3,IF(S9+V9=1,1,0))</f>
        <v>3</v>
      </c>
      <c r="AA9" s="15">
        <f>IF(Z9=3,3,IF(Y9+Z9=2,2,IF(Z9=1,1,0)))</f>
        <v>3</v>
      </c>
      <c r="AB9" s="15">
        <f>R9+U9</f>
        <v>12</v>
      </c>
      <c r="AC9" s="15">
        <f>S9+V9+Y9</f>
        <v>2</v>
      </c>
      <c r="AD9" s="15"/>
      <c r="AE9" s="101" t="str">
        <f>'Players Ladies'!B6&amp; " / " &amp;'Players Ladies'!C6</f>
        <v>Martina Cuschieri / Elaine Grech</v>
      </c>
      <c r="AF9" s="34">
        <f>C12+R12+C17+R17+C22</f>
        <v>5</v>
      </c>
      <c r="AG9" s="34">
        <f t="shared" ref="AG9:AI9" si="1">L9+AA9+L14+AA14+L19</f>
        <v>12</v>
      </c>
      <c r="AH9" s="34">
        <f t="shared" si="1"/>
        <v>53</v>
      </c>
      <c r="AI9" s="35">
        <f t="shared" si="1"/>
        <v>9</v>
      </c>
      <c r="AJ9" s="15">
        <f>MAX(AG16,AG14,AG11,AG9,AG19,AG21)</f>
        <v>12</v>
      </c>
      <c r="AK9" s="15">
        <f>SUM(AF9:AF21)</f>
        <v>30</v>
      </c>
      <c r="AL9" s="15" t="str">
        <f>IF(AG9=$AJ$9,AE9,IF(AG11=$AJ$9,AE11,IF(AG14=$AJ$9,AE14,IF(AG16=$AJ$9,AE16,IF(AG19=$AJ$9,AE19,IF(AG21=$AJ$9,AE21,""))))))</f>
        <v>Martina Cuschieri / Elaine Grech</v>
      </c>
      <c r="AM9" s="15"/>
      <c r="AN9" s="15"/>
    </row>
    <row r="10" ht="13.5" customHeight="1">
      <c r="A10" s="15"/>
      <c r="B10" s="36" t="s">
        <v>84</v>
      </c>
      <c r="I10" s="37"/>
      <c r="J10" s="38"/>
      <c r="K10" s="15"/>
      <c r="L10" s="15"/>
      <c r="M10" s="15"/>
      <c r="N10" s="15"/>
      <c r="O10" s="15"/>
      <c r="P10" s="15"/>
      <c r="Q10" s="36" t="s">
        <v>84</v>
      </c>
      <c r="X10" s="37"/>
      <c r="Y10" s="3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24"/>
      <c r="AL10" s="24"/>
      <c r="AM10" s="15"/>
      <c r="AN10" s="15"/>
    </row>
    <row r="11" ht="13.5" customHeight="1">
      <c r="A11" s="15"/>
      <c r="B11" s="39" t="str">
        <f>AE11</f>
        <v>Erika Azzopardi / Pamela Cohen</v>
      </c>
      <c r="C11" s="29">
        <v>6.0</v>
      </c>
      <c r="D11" s="40">
        <f>IF(C11&gt;C9,1,0)</f>
        <v>1</v>
      </c>
      <c r="E11" s="41"/>
      <c r="F11" s="29">
        <v>3.0</v>
      </c>
      <c r="G11" s="40">
        <f>IF(F11&gt;F9,1,0)</f>
        <v>0</v>
      </c>
      <c r="H11" s="41"/>
      <c r="I11" s="29">
        <v>6.0</v>
      </c>
      <c r="J11" s="15">
        <f>IF(I11&gt;I9,1,0)</f>
        <v>0</v>
      </c>
      <c r="K11" s="15">
        <f>IF(D11+G11=2,3,IF(D11+G11=1,1,0))</f>
        <v>1</v>
      </c>
      <c r="L11" s="15">
        <f>IF(K11=3,3,IF(J11+K11=2,2,IF(K11=1,1,0)))</f>
        <v>1</v>
      </c>
      <c r="M11" s="15">
        <f>C11+F11</f>
        <v>9</v>
      </c>
      <c r="N11" s="15">
        <f>D11+G11+J11</f>
        <v>1</v>
      </c>
      <c r="O11" s="15"/>
      <c r="P11" s="15"/>
      <c r="Q11" s="39" t="str">
        <f>AE14</f>
        <v>Roberta Fenech / Christina Bonett</v>
      </c>
      <c r="R11" s="29">
        <v>4.0</v>
      </c>
      <c r="S11" s="40">
        <f>IF(R11&gt;R9,1,0)</f>
        <v>0</v>
      </c>
      <c r="T11" s="41"/>
      <c r="U11" s="29">
        <v>2.0</v>
      </c>
      <c r="V11" s="40">
        <f>IF(U11&gt;U9,1,0)</f>
        <v>0</v>
      </c>
      <c r="W11" s="41"/>
      <c r="X11" s="32"/>
      <c r="Y11" s="15">
        <f>IF(X11&gt;X9,1,0)</f>
        <v>0</v>
      </c>
      <c r="Z11" s="15">
        <f>IF(S11+V11=2,3,IF(S11+V11=1,1,0))</f>
        <v>0</v>
      </c>
      <c r="AA11" s="15">
        <f>IF(Z11=3,3,IF(Y11+Z11=2,2,IF(Z11=1,1,0)))</f>
        <v>0</v>
      </c>
      <c r="AB11" s="15">
        <f>R11+U11</f>
        <v>6</v>
      </c>
      <c r="AC11" s="15">
        <f>S11+V11+Y11</f>
        <v>0</v>
      </c>
      <c r="AD11" s="15"/>
      <c r="AE11" s="101" t="str">
        <f>'Players Ladies'!B7&amp; " / " &amp;'Players Ladies'!C7</f>
        <v>Erika Azzopardi / Pamela Cohen</v>
      </c>
      <c r="AF11" s="34">
        <f>F12+R32+C27+R27+R22</f>
        <v>5</v>
      </c>
      <c r="AG11" s="34">
        <f t="shared" ref="AG11:AI11" si="2">L11+AA29+L24+AA24+AA19</f>
        <v>8</v>
      </c>
      <c r="AH11" s="34">
        <f t="shared" si="2"/>
        <v>45</v>
      </c>
      <c r="AI11" s="35">
        <f t="shared" si="2"/>
        <v>8</v>
      </c>
      <c r="AJ11" s="24"/>
      <c r="AK11" s="24"/>
      <c r="AL11" s="24"/>
      <c r="AM11" s="15"/>
      <c r="AN11" s="15"/>
    </row>
    <row r="12" ht="13.5" hidden="1" customHeight="1">
      <c r="A12" s="15" t="s">
        <v>85</v>
      </c>
      <c r="B12" s="15"/>
      <c r="C12" s="42">
        <f>IF(C9="",0,1)</f>
        <v>1</v>
      </c>
      <c r="D12" s="15"/>
      <c r="E12" s="15"/>
      <c r="F12" s="42">
        <f>IF(C11="",0,1)</f>
        <v>1</v>
      </c>
      <c r="G12" s="15"/>
      <c r="H12" s="15"/>
      <c r="I12" s="15"/>
      <c r="J12" s="15"/>
      <c r="K12" s="15"/>
      <c r="L12" s="15"/>
      <c r="M12" s="15"/>
      <c r="N12" s="15"/>
      <c r="O12" s="15"/>
      <c r="P12" s="15" t="s">
        <v>85</v>
      </c>
      <c r="Q12" s="15"/>
      <c r="R12" s="42">
        <f>IF(R9="",0,1)</f>
        <v>1</v>
      </c>
      <c r="S12" s="15"/>
      <c r="T12" s="15"/>
      <c r="U12" s="42">
        <f>IF(R11="",0,1)</f>
        <v>1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24"/>
      <c r="AG12" s="24"/>
      <c r="AH12" s="24"/>
      <c r="AI12" s="24"/>
      <c r="AJ12" s="24"/>
      <c r="AK12" s="15"/>
      <c r="AL12" s="15"/>
      <c r="AM12" s="15"/>
      <c r="AN12" s="15"/>
    </row>
    <row r="13" ht="13.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24"/>
      <c r="AG13" s="24"/>
      <c r="AH13" s="24"/>
      <c r="AI13" s="24"/>
      <c r="AJ13" s="24"/>
      <c r="AK13" s="24"/>
      <c r="AL13" s="24"/>
      <c r="AM13" s="15"/>
      <c r="AN13" s="15"/>
    </row>
    <row r="14" ht="13.5" customHeight="1">
      <c r="A14" s="15"/>
      <c r="B14" s="28" t="str">
        <f>AE9</f>
        <v>Martina Cuschieri / Elaine Grech</v>
      </c>
      <c r="C14" s="29">
        <v>6.0</v>
      </c>
      <c r="D14" s="30">
        <f>IF(C14&gt;C16,1,0)</f>
        <v>1</v>
      </c>
      <c r="E14" s="31"/>
      <c r="F14" s="29">
        <v>7.0</v>
      </c>
      <c r="G14" s="30">
        <f>IF(F14&gt;F16,1,0)</f>
        <v>1</v>
      </c>
      <c r="H14" s="31"/>
      <c r="I14" s="32"/>
      <c r="J14" s="15">
        <f>IF(I14&gt;I16,1,0)</f>
        <v>0</v>
      </c>
      <c r="K14" s="15">
        <f>IF(D14+G14=2,3,IF(D14+G14=1,1,0))</f>
        <v>3</v>
      </c>
      <c r="L14" s="15">
        <f>IF(K14=3,3,IF(J14+K14=2,2,IF(K14=1,1,0)))</f>
        <v>3</v>
      </c>
      <c r="M14" s="15">
        <f>C14+F14</f>
        <v>13</v>
      </c>
      <c r="N14" s="15">
        <f>D14+G14+J14</f>
        <v>2</v>
      </c>
      <c r="O14" s="15"/>
      <c r="P14" s="15"/>
      <c r="Q14" s="28" t="str">
        <f>AE9</f>
        <v>Martina Cuschieri / Elaine Grech</v>
      </c>
      <c r="R14" s="29">
        <v>3.0</v>
      </c>
      <c r="S14" s="30">
        <f>IF(R14&gt;R16,1,0)</f>
        <v>0</v>
      </c>
      <c r="T14" s="31"/>
      <c r="U14" s="29">
        <v>6.0</v>
      </c>
      <c r="V14" s="30">
        <f>IF(U14&gt;U16,1,0)</f>
        <v>1</v>
      </c>
      <c r="W14" s="31"/>
      <c r="X14" s="29">
        <v>6.0</v>
      </c>
      <c r="Y14" s="15">
        <f>IF(X14&gt;X16,1,0)</f>
        <v>0</v>
      </c>
      <c r="Z14" s="15">
        <f>IF(S14+V14=2,3,IF(S14+V14=1,1,0))</f>
        <v>1</v>
      </c>
      <c r="AA14" s="15">
        <f>IF(Z14=3,3,IF(Y14+Z14=2,2,IF(Z14=1,1,0)))</f>
        <v>1</v>
      </c>
      <c r="AB14" s="15">
        <f>R14+U14</f>
        <v>9</v>
      </c>
      <c r="AC14" s="15">
        <f>S14+V14+Y14</f>
        <v>1</v>
      </c>
      <c r="AD14" s="15"/>
      <c r="AE14" s="101" t="str">
        <f>'Players Ladies'!B8&amp; " / " &amp;'Players Ladies'!C8</f>
        <v>Roberta Fenech / Christina Bonett</v>
      </c>
      <c r="AF14" s="34">
        <f>R37+U12+R42+C32+U22</f>
        <v>5</v>
      </c>
      <c r="AG14" s="34">
        <f t="shared" ref="AG14:AI14" si="3">AA34+AA11+AA39+L29+AA21</f>
        <v>7</v>
      </c>
      <c r="AH14" s="34">
        <f t="shared" si="3"/>
        <v>48</v>
      </c>
      <c r="AI14" s="35">
        <f t="shared" si="3"/>
        <v>5</v>
      </c>
      <c r="AJ14" s="24"/>
      <c r="AK14" s="24"/>
      <c r="AL14" s="24"/>
      <c r="AM14" s="15"/>
      <c r="AN14" s="15"/>
    </row>
    <row r="15" ht="13.5" customHeight="1">
      <c r="A15" s="15"/>
      <c r="B15" s="36"/>
      <c r="I15" s="37"/>
      <c r="J15" s="38"/>
      <c r="K15" s="15"/>
      <c r="L15" s="15"/>
      <c r="M15" s="15"/>
      <c r="N15" s="15"/>
      <c r="O15" s="15"/>
      <c r="P15" s="15"/>
      <c r="Q15" s="36" t="s">
        <v>84</v>
      </c>
      <c r="X15" s="37"/>
      <c r="Y15" s="38"/>
      <c r="Z15" s="15"/>
      <c r="AA15" s="15"/>
      <c r="AB15" s="15"/>
      <c r="AC15" s="15"/>
      <c r="AD15" s="15"/>
      <c r="AE15" s="15"/>
      <c r="AF15" s="24"/>
      <c r="AG15" s="24"/>
      <c r="AH15" s="24"/>
      <c r="AI15" s="24"/>
      <c r="AJ15" s="24"/>
      <c r="AK15" s="24"/>
      <c r="AL15" s="24"/>
      <c r="AM15" s="15"/>
      <c r="AN15" s="15"/>
    </row>
    <row r="16" ht="13.5" customHeight="1">
      <c r="A16" s="15"/>
      <c r="B16" s="39" t="str">
        <f>AE16</f>
        <v>Natalya Abela / Yana Cachia</v>
      </c>
      <c r="C16" s="29">
        <v>4.0</v>
      </c>
      <c r="D16" s="40">
        <f>IF(C16&gt;C14,1,0)</f>
        <v>0</v>
      </c>
      <c r="E16" s="41"/>
      <c r="F16" s="29">
        <v>5.0</v>
      </c>
      <c r="G16" s="40">
        <f>IF(F16&gt;F14,1,0)</f>
        <v>0</v>
      </c>
      <c r="H16" s="41"/>
      <c r="I16" s="32"/>
      <c r="J16" s="15">
        <f>IF(I16&gt;I14,1,0)</f>
        <v>0</v>
      </c>
      <c r="K16" s="15">
        <f>IF(D16+G16=2,3,IF(D16+G16=1,1,0))</f>
        <v>0</v>
      </c>
      <c r="L16" s="15">
        <f>IF(K16=3,3,IF(J16+K16=2,2,IF(K16=1,1,0)))</f>
        <v>0</v>
      </c>
      <c r="M16" s="15">
        <f>C16+F16</f>
        <v>9</v>
      </c>
      <c r="N16" s="15">
        <f>D16+G16+J16</f>
        <v>0</v>
      </c>
      <c r="O16" s="15"/>
      <c r="P16" s="15"/>
      <c r="Q16" s="39" t="str">
        <f>AE19</f>
        <v>Sharon Mizzi / Alexia Spiteri Willets</v>
      </c>
      <c r="R16" s="29">
        <v>6.0</v>
      </c>
      <c r="S16" s="40">
        <f>IF(R16&gt;R14,1,0)</f>
        <v>1</v>
      </c>
      <c r="T16" s="41"/>
      <c r="U16" s="29">
        <v>4.0</v>
      </c>
      <c r="V16" s="40">
        <f>IF(U16&gt;U14,1,0)</f>
        <v>0</v>
      </c>
      <c r="W16" s="41"/>
      <c r="X16" s="29">
        <v>10.0</v>
      </c>
      <c r="Y16" s="15">
        <f>IF(X16&gt;X14,1,0)</f>
        <v>1</v>
      </c>
      <c r="Z16" s="15">
        <f>IF(S16+V16=2,3,IF(S16+V16=1,1,0))</f>
        <v>1</v>
      </c>
      <c r="AA16" s="15">
        <f>IF(Z16=3,3,IF(Y16+Z16=2,2,IF(Z16=1,1,0)))</f>
        <v>2</v>
      </c>
      <c r="AB16" s="15">
        <f>R16+U16</f>
        <v>10</v>
      </c>
      <c r="AC16" s="15">
        <f>S16+V16+Y16</f>
        <v>2</v>
      </c>
      <c r="AD16" s="15"/>
      <c r="AE16" s="101" t="str">
        <f>'Players Ladies'!B9&amp; " / " &amp;'Players Ladies'!C9</f>
        <v>Natalya Abela / Yana Cachia</v>
      </c>
      <c r="AF16" s="34">
        <f>U37+C47+F17+U27+C37</f>
        <v>5</v>
      </c>
      <c r="AG16" s="34">
        <f t="shared" ref="AG16:AI16" si="4">AA36+L44+L16+AA26+L34</f>
        <v>5</v>
      </c>
      <c r="AH16" s="34">
        <f t="shared" si="4"/>
        <v>45</v>
      </c>
      <c r="AI16" s="35">
        <f t="shared" si="4"/>
        <v>4</v>
      </c>
      <c r="AJ16" s="24"/>
      <c r="AK16" s="24"/>
      <c r="AL16" s="24"/>
      <c r="AM16" s="15"/>
      <c r="AN16" s="15"/>
    </row>
    <row r="17" ht="13.5" hidden="1" customHeight="1">
      <c r="A17" s="15" t="s">
        <v>85</v>
      </c>
      <c r="B17" s="15"/>
      <c r="C17" s="42">
        <f>IF(C14="",0,1)</f>
        <v>1</v>
      </c>
      <c r="D17" s="15"/>
      <c r="E17" s="15"/>
      <c r="F17" s="42">
        <f>IF(C16="",0,1)</f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 t="s">
        <v>85</v>
      </c>
      <c r="Q17" s="15"/>
      <c r="R17" s="42">
        <f>IF(R14="",0,1)</f>
        <v>1</v>
      </c>
      <c r="S17" s="15"/>
      <c r="T17" s="15"/>
      <c r="U17" s="42">
        <f>IF(R16="",0,1)</f>
        <v>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24"/>
      <c r="AG17" s="24"/>
      <c r="AH17" s="24"/>
      <c r="AI17" s="24"/>
      <c r="AJ17" s="24"/>
      <c r="AK17" s="15"/>
      <c r="AL17" s="15"/>
      <c r="AM17" s="15"/>
      <c r="AN17" s="15"/>
    </row>
    <row r="18" ht="13.5" customHeight="1">
      <c r="A18" s="15"/>
      <c r="B18" s="15"/>
      <c r="C18" s="2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24"/>
      <c r="AG18" s="24"/>
      <c r="AH18" s="24"/>
      <c r="AI18" s="24"/>
      <c r="AJ18" s="24"/>
      <c r="AK18" s="24"/>
      <c r="AL18" s="24"/>
      <c r="AM18" s="15"/>
      <c r="AN18" s="15"/>
    </row>
    <row r="19" ht="13.5" customHeight="1">
      <c r="A19" s="15"/>
      <c r="B19" s="28" t="str">
        <f>AE9</f>
        <v>Martina Cuschieri / Elaine Grech</v>
      </c>
      <c r="C19" s="29">
        <v>6.0</v>
      </c>
      <c r="D19" s="30">
        <f>IF(C19&gt;C21,1,0)</f>
        <v>1</v>
      </c>
      <c r="E19" s="31"/>
      <c r="F19" s="29">
        <v>6.0</v>
      </c>
      <c r="G19" s="30">
        <f>IF(F19&gt;F21,1,0)</f>
        <v>1</v>
      </c>
      <c r="H19" s="31"/>
      <c r="I19" s="32"/>
      <c r="J19" s="15">
        <f>IF(I19&gt;I21,1,0)</f>
        <v>0</v>
      </c>
      <c r="K19" s="15">
        <f>IF(D19+G19=2,3,IF(D19+G19=1,1,0))</f>
        <v>3</v>
      </c>
      <c r="L19" s="15">
        <f>IF(K19=3,3,IF(J19+K19=2,2,IF(K19=1,1,0)))</f>
        <v>3</v>
      </c>
      <c r="M19" s="15">
        <f>C19+F19</f>
        <v>12</v>
      </c>
      <c r="N19" s="15">
        <f>D19+G19+J19</f>
        <v>2</v>
      </c>
      <c r="O19" s="15"/>
      <c r="P19" s="15"/>
      <c r="Q19" s="28" t="str">
        <f>AE11</f>
        <v>Erika Azzopardi / Pamela Cohen</v>
      </c>
      <c r="R19" s="29">
        <v>6.0</v>
      </c>
      <c r="S19" s="30">
        <f>IF(R19&gt;R21,1,0)</f>
        <v>1</v>
      </c>
      <c r="T19" s="31"/>
      <c r="U19" s="29">
        <v>4.0</v>
      </c>
      <c r="V19" s="30">
        <f>IF(U19&gt;U21,1,0)</f>
        <v>0</v>
      </c>
      <c r="W19" s="31"/>
      <c r="X19" s="29">
        <v>10.0</v>
      </c>
      <c r="Y19" s="15">
        <f>IF(X19&gt;X21,1,0)</f>
        <v>1</v>
      </c>
      <c r="Z19" s="15">
        <f>IF(S19+V19=2,3,IF(S19+V19=1,1,0))</f>
        <v>1</v>
      </c>
      <c r="AA19" s="15">
        <f>IF(Z19=3,3,IF(Y19+Z19=2,2,IF(Z19=1,1,0)))</f>
        <v>2</v>
      </c>
      <c r="AB19" s="15">
        <f>R19+U19</f>
        <v>10</v>
      </c>
      <c r="AC19" s="15">
        <f>S19+V19+Y19</f>
        <v>2</v>
      </c>
      <c r="AD19" s="15"/>
      <c r="AE19" s="101" t="str">
        <f>'Players Ladies'!B10&amp; " / " &amp;'Players Ladies'!C10</f>
        <v>Sharon Mizzi / Alexia Spiteri Willets</v>
      </c>
      <c r="AF19" s="34">
        <f>C42+F47+F27+U17+F32</f>
        <v>5</v>
      </c>
      <c r="AG19" s="34">
        <f t="shared" ref="AG19:AI19" si="5">L39+L46+L26+AA16+L31</f>
        <v>12</v>
      </c>
      <c r="AH19" s="34">
        <f t="shared" si="5"/>
        <v>58</v>
      </c>
      <c r="AI19" s="35">
        <f t="shared" si="5"/>
        <v>9</v>
      </c>
      <c r="AJ19" s="24"/>
      <c r="AK19" s="24"/>
      <c r="AL19" s="24"/>
      <c r="AM19" s="15"/>
      <c r="AN19" s="15"/>
    </row>
    <row r="20" ht="13.5" customHeight="1">
      <c r="A20" s="15"/>
      <c r="B20" s="36" t="s">
        <v>84</v>
      </c>
      <c r="I20" s="37"/>
      <c r="J20" s="38"/>
      <c r="K20" s="15"/>
      <c r="L20" s="15"/>
      <c r="M20" s="15"/>
      <c r="N20" s="15"/>
      <c r="O20" s="15"/>
      <c r="P20" s="15"/>
      <c r="Q20" s="36" t="s">
        <v>84</v>
      </c>
      <c r="X20" s="37"/>
      <c r="Y20" s="38"/>
      <c r="Z20" s="15"/>
      <c r="AA20" s="15"/>
      <c r="AB20" s="15"/>
      <c r="AC20" s="15"/>
      <c r="AD20" s="15"/>
      <c r="AE20" s="15"/>
      <c r="AF20" s="24"/>
      <c r="AG20" s="24"/>
      <c r="AH20" s="24"/>
      <c r="AI20" s="24"/>
      <c r="AJ20" s="24"/>
      <c r="AK20" s="24"/>
      <c r="AL20" s="24"/>
      <c r="AM20" s="15"/>
      <c r="AN20" s="15"/>
    </row>
    <row r="21" ht="13.5" customHeight="1">
      <c r="A21" s="15"/>
      <c r="B21" s="39" t="str">
        <f>AE21</f>
        <v>Kirsty Mercieca / Alison Muscat</v>
      </c>
      <c r="C21" s="29">
        <v>4.0</v>
      </c>
      <c r="D21" s="40">
        <f>IF(C21&gt;C19,1,0)</f>
        <v>0</v>
      </c>
      <c r="E21" s="41"/>
      <c r="F21" s="29">
        <v>1.0</v>
      </c>
      <c r="G21" s="40">
        <f>IF(F21&gt;F19,1,0)</f>
        <v>0</v>
      </c>
      <c r="H21" s="41"/>
      <c r="I21" s="32"/>
      <c r="J21" s="15">
        <f>IF(I21&gt;I19,1,0)</f>
        <v>0</v>
      </c>
      <c r="K21" s="15">
        <f>IF(D21+G21=2,3,IF(D21+G21=1,1,0))</f>
        <v>0</v>
      </c>
      <c r="L21" s="15">
        <f>IF(K21=3,3,IF(J21+K21=2,2,IF(K21=1,1,0)))</f>
        <v>0</v>
      </c>
      <c r="M21" s="15">
        <f>C21+F21</f>
        <v>5</v>
      </c>
      <c r="N21" s="15">
        <f>D21+G21+J21</f>
        <v>0</v>
      </c>
      <c r="O21" s="15"/>
      <c r="P21" s="15"/>
      <c r="Q21" s="39" t="str">
        <f>AE14</f>
        <v>Roberta Fenech / Christina Bonett</v>
      </c>
      <c r="R21" s="29">
        <v>3.0</v>
      </c>
      <c r="S21" s="40">
        <f>IF(R21&gt;R19,1,0)</f>
        <v>0</v>
      </c>
      <c r="T21" s="41"/>
      <c r="U21" s="29">
        <v>6.0</v>
      </c>
      <c r="V21" s="40">
        <f>IF(U21&gt;U19,1,0)</f>
        <v>1</v>
      </c>
      <c r="W21" s="41"/>
      <c r="X21" s="29">
        <v>6.0</v>
      </c>
      <c r="Y21" s="15">
        <f>IF(X21&gt;X19,1,0)</f>
        <v>0</v>
      </c>
      <c r="Z21" s="15">
        <f>IF(S21+V21=2,3,IF(S21+V21=1,1,0))</f>
        <v>1</v>
      </c>
      <c r="AA21" s="15">
        <f>IF(Z21=3,3,IF(Y21+Z21=2,2,IF(Z21=1,1,0)))</f>
        <v>1</v>
      </c>
      <c r="AB21" s="15">
        <f>R21+U21</f>
        <v>9</v>
      </c>
      <c r="AC21" s="15">
        <f>S21+V21+Y21</f>
        <v>1</v>
      </c>
      <c r="AD21" s="15"/>
      <c r="AE21" s="101" t="str">
        <f>'Players Ladies'!B11&amp; " / " &amp;'Players Ladies'!C11</f>
        <v>Kirsty Mercieca / Alison Muscat</v>
      </c>
      <c r="AF21" s="34">
        <f>F42+U32+U42+F22+F37</f>
        <v>5</v>
      </c>
      <c r="AG21" s="34">
        <f t="shared" ref="AG21:AI21" si="6">L41+AA31+AA41+L21+L36</f>
        <v>1</v>
      </c>
      <c r="AH21" s="34">
        <f t="shared" si="6"/>
        <v>27</v>
      </c>
      <c r="AI21" s="35">
        <f t="shared" si="6"/>
        <v>1</v>
      </c>
      <c r="AJ21" s="24"/>
      <c r="AK21" s="24"/>
      <c r="AL21" s="24"/>
      <c r="AM21" s="15"/>
      <c r="AN21" s="15"/>
    </row>
    <row r="22" ht="13.5" hidden="1" customHeight="1">
      <c r="A22" s="15" t="s">
        <v>85</v>
      </c>
      <c r="B22" s="15"/>
      <c r="C22" s="42">
        <f>IF(C19="",0,1)</f>
        <v>1</v>
      </c>
      <c r="D22" s="15"/>
      <c r="E22" s="15"/>
      <c r="F22" s="42">
        <f>IF(C21="",0,1)</f>
        <v>1</v>
      </c>
      <c r="G22" s="15"/>
      <c r="H22" s="15"/>
      <c r="I22" s="15"/>
      <c r="J22" s="15"/>
      <c r="K22" s="15"/>
      <c r="L22" s="15"/>
      <c r="M22" s="15"/>
      <c r="N22" s="15"/>
      <c r="O22" s="15"/>
      <c r="P22" s="15" t="s">
        <v>85</v>
      </c>
      <c r="Q22" s="15"/>
      <c r="R22" s="42">
        <f>IF(R19="",0,1)</f>
        <v>1</v>
      </c>
      <c r="S22" s="15"/>
      <c r="T22" s="15"/>
      <c r="U22" s="42">
        <f>IF(R21="",0,1)</f>
        <v>1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24"/>
      <c r="AG22" s="24"/>
      <c r="AH22" s="24"/>
      <c r="AI22" s="24"/>
      <c r="AJ22" s="24"/>
      <c r="AK22" s="15"/>
      <c r="AL22" s="15"/>
      <c r="AM22" s="15"/>
      <c r="AN22" s="15"/>
    </row>
    <row r="23" ht="13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24"/>
      <c r="AK23" s="24"/>
      <c r="AL23" s="15"/>
      <c r="AM23" s="15"/>
      <c r="AN23" s="15"/>
    </row>
    <row r="24" ht="13.5" customHeight="1">
      <c r="A24" s="15"/>
      <c r="B24" s="28" t="str">
        <f>AE11</f>
        <v>Erika Azzopardi / Pamela Cohen</v>
      </c>
      <c r="C24" s="29">
        <v>3.0</v>
      </c>
      <c r="D24" s="30">
        <f>IF(C24&gt;C26,1,0)</f>
        <v>0</v>
      </c>
      <c r="E24" s="31"/>
      <c r="F24" s="29">
        <v>7.0</v>
      </c>
      <c r="G24" s="30">
        <f>IF(F24&gt;F26,1,0)</f>
        <v>1</v>
      </c>
      <c r="H24" s="31"/>
      <c r="I24" s="29">
        <v>10.0</v>
      </c>
      <c r="J24" s="15">
        <f>IF(I24&gt;I26,1,0)</f>
        <v>1</v>
      </c>
      <c r="K24" s="15">
        <f>IF(D24+G24=2,3,IF(D24+G24=1,1,0))</f>
        <v>1</v>
      </c>
      <c r="L24" s="15">
        <f>IF(K24=3,3,IF(J24+K24=2,2,IF(K24=1,1,0)))</f>
        <v>2</v>
      </c>
      <c r="M24" s="15">
        <f>C24+F24</f>
        <v>10</v>
      </c>
      <c r="N24" s="15">
        <f>D24+G24+J24</f>
        <v>2</v>
      </c>
      <c r="O24" s="15"/>
      <c r="P24" s="15"/>
      <c r="Q24" s="28" t="str">
        <f>AE11</f>
        <v>Erika Azzopardi / Pamela Cohen</v>
      </c>
      <c r="R24" s="29">
        <v>1.0</v>
      </c>
      <c r="S24" s="30">
        <f>IF(R24&gt;R26,1,0)</f>
        <v>0</v>
      </c>
      <c r="T24" s="31"/>
      <c r="U24" s="29">
        <v>6.0</v>
      </c>
      <c r="V24" s="30">
        <f>IF(U24&gt;U26,1,0)</f>
        <v>1</v>
      </c>
      <c r="W24" s="31"/>
      <c r="X24" s="29">
        <v>10.0</v>
      </c>
      <c r="Y24" s="15">
        <f>IF(X24&gt;X26,1,0)</f>
        <v>0</v>
      </c>
      <c r="Z24" s="15">
        <f>IF(S24+V24=2,3,IF(S24+V24=1,1,0))</f>
        <v>1</v>
      </c>
      <c r="AA24" s="15">
        <f>IF(Z24=3,3,IF(Y24+Z24=2,2,IF(Z24=1,1,0)))</f>
        <v>1</v>
      </c>
      <c r="AB24" s="15">
        <f>R24+U24</f>
        <v>7</v>
      </c>
      <c r="AC24" s="15">
        <f>S24+V24+Y24</f>
        <v>1</v>
      </c>
      <c r="AD24" s="15"/>
      <c r="AE24" s="98" t="s">
        <v>86</v>
      </c>
      <c r="AF24" s="21"/>
      <c r="AG24" s="21"/>
      <c r="AH24" s="21"/>
      <c r="AI24" s="7"/>
      <c r="AJ24" s="24"/>
      <c r="AK24" s="15"/>
      <c r="AL24" s="15"/>
      <c r="AM24" s="15"/>
      <c r="AN24" s="15"/>
    </row>
    <row r="25" ht="13.5" customHeight="1">
      <c r="A25" s="15"/>
      <c r="B25" s="36" t="s">
        <v>84</v>
      </c>
      <c r="I25" s="37"/>
      <c r="J25" s="38"/>
      <c r="K25" s="15"/>
      <c r="L25" s="15"/>
      <c r="M25" s="15"/>
      <c r="N25" s="15"/>
      <c r="O25" s="15"/>
      <c r="P25" s="15"/>
      <c r="Q25" s="36" t="s">
        <v>84</v>
      </c>
      <c r="X25" s="37"/>
      <c r="Y25" s="38"/>
      <c r="Z25" s="15"/>
      <c r="AA25" s="15"/>
      <c r="AB25" s="15"/>
      <c r="AC25" s="15"/>
      <c r="AD25" s="15"/>
      <c r="AE25" s="43" t="s">
        <v>154</v>
      </c>
      <c r="AF25" s="21"/>
      <c r="AG25" s="21"/>
      <c r="AH25" s="21"/>
      <c r="AI25" s="7"/>
      <c r="AJ25" s="24"/>
      <c r="AK25" s="24"/>
      <c r="AL25" s="15"/>
      <c r="AM25" s="15"/>
      <c r="AN25" s="15"/>
    </row>
    <row r="26" ht="13.5" customHeight="1">
      <c r="A26" s="15"/>
      <c r="B26" s="39" t="str">
        <f>AE19</f>
        <v>Sharon Mizzi / Alexia Spiteri Willets</v>
      </c>
      <c r="C26" s="29">
        <v>6.0</v>
      </c>
      <c r="D26" s="40">
        <f>IF(C26&gt;C24,1,0)</f>
        <v>1</v>
      </c>
      <c r="E26" s="41"/>
      <c r="F26" s="29">
        <v>6.0</v>
      </c>
      <c r="G26" s="40">
        <f>IF(F26&gt;F24,1,0)</f>
        <v>0</v>
      </c>
      <c r="H26" s="41"/>
      <c r="I26" s="29">
        <v>8.0</v>
      </c>
      <c r="J26" s="15">
        <f>IF(I26&gt;I24,1,0)</f>
        <v>0</v>
      </c>
      <c r="K26" s="15">
        <f>IF(D26+G26=2,3,IF(D26+G26=1,1,0))</f>
        <v>1</v>
      </c>
      <c r="L26" s="15">
        <f>IF(K26=3,3,IF(J26+K26=2,2,IF(K26=1,1,0)))</f>
        <v>1</v>
      </c>
      <c r="M26" s="15">
        <f>C26+F26</f>
        <v>12</v>
      </c>
      <c r="N26" s="15">
        <f>D26+G26+J26</f>
        <v>1</v>
      </c>
      <c r="O26" s="15"/>
      <c r="P26" s="15"/>
      <c r="Q26" s="39" t="str">
        <f>AE16</f>
        <v>Natalya Abela / Yana Cachia</v>
      </c>
      <c r="R26" s="29">
        <v>6.0</v>
      </c>
      <c r="S26" s="40">
        <f>IF(R26&gt;R24,1,0)</f>
        <v>1</v>
      </c>
      <c r="T26" s="41"/>
      <c r="U26" s="29">
        <v>3.0</v>
      </c>
      <c r="V26" s="40">
        <f>IF(U26&gt;U24,1,0)</f>
        <v>0</v>
      </c>
      <c r="W26" s="41"/>
      <c r="X26" s="29">
        <v>12.0</v>
      </c>
      <c r="Y26" s="15">
        <f>IF(X26&gt;X24,1,0)</f>
        <v>1</v>
      </c>
      <c r="Z26" s="15">
        <f>IF(S26+V26=2,3,IF(S26+V26=1,1,0))</f>
        <v>1</v>
      </c>
      <c r="AA26" s="15">
        <f>IF(Z26=3,3,IF(Y26+Z26=2,2,IF(Z26=1,1,0)))</f>
        <v>2</v>
      </c>
      <c r="AB26" s="15">
        <f>R26+U26</f>
        <v>9</v>
      </c>
      <c r="AC26" s="15">
        <f>S26+V26+Y26</f>
        <v>2</v>
      </c>
      <c r="AD26" s="15"/>
      <c r="AE26" s="102" t="s">
        <v>95</v>
      </c>
      <c r="AF26" s="21"/>
      <c r="AG26" s="21"/>
      <c r="AH26" s="21"/>
      <c r="AI26" s="7"/>
      <c r="AJ26" s="15"/>
      <c r="AK26" s="15"/>
      <c r="AL26" s="15"/>
      <c r="AM26" s="15"/>
      <c r="AN26" s="15"/>
    </row>
    <row r="27" ht="13.5" hidden="1" customHeight="1">
      <c r="A27" s="15" t="s">
        <v>85</v>
      </c>
      <c r="B27" s="15"/>
      <c r="C27" s="42">
        <f>IF(C24="",0,1)</f>
        <v>1</v>
      </c>
      <c r="D27" s="15"/>
      <c r="E27" s="15"/>
      <c r="F27" s="42">
        <f>IF(C26="",0,1)</f>
        <v>1</v>
      </c>
      <c r="G27" s="15"/>
      <c r="H27" s="15"/>
      <c r="I27" s="15"/>
      <c r="J27" s="15"/>
      <c r="K27" s="15"/>
      <c r="L27" s="15"/>
      <c r="M27" s="15"/>
      <c r="N27" s="15"/>
      <c r="O27" s="15"/>
      <c r="P27" s="15" t="s">
        <v>85</v>
      </c>
      <c r="Q27" s="15"/>
      <c r="R27" s="42">
        <f>IF(R24="",0,1)</f>
        <v>1</v>
      </c>
      <c r="S27" s="15"/>
      <c r="T27" s="15"/>
      <c r="U27" s="42">
        <f>IF(R26="",0,1)</f>
        <v>1</v>
      </c>
      <c r="V27" s="15"/>
      <c r="W27" s="15"/>
      <c r="X27" s="15"/>
      <c r="Y27" s="15"/>
      <c r="Z27" s="15"/>
      <c r="AA27" s="15"/>
      <c r="AB27" s="15"/>
      <c r="AC27" s="15"/>
      <c r="AD27" s="15"/>
      <c r="AE27" s="71" t="str">
        <f>IF(AK11=42,AL11,"")</f>
        <v/>
      </c>
      <c r="AF27" s="21"/>
      <c r="AG27" s="21"/>
      <c r="AH27" s="21"/>
      <c r="AI27" s="7"/>
      <c r="AJ27" s="15"/>
      <c r="AK27" s="15"/>
      <c r="AL27" s="15"/>
      <c r="AM27" s="15"/>
      <c r="AN27" s="15"/>
    </row>
    <row r="28" ht="15.0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03" t="s">
        <v>155</v>
      </c>
      <c r="AF28" s="21"/>
      <c r="AG28" s="21"/>
      <c r="AH28" s="21"/>
      <c r="AI28" s="7"/>
      <c r="AJ28" s="15"/>
      <c r="AK28" s="15"/>
      <c r="AL28" s="15"/>
      <c r="AM28" s="15"/>
      <c r="AN28" s="15"/>
    </row>
    <row r="29" ht="13.5" customHeight="1">
      <c r="A29" s="15"/>
      <c r="B29" s="28" t="str">
        <f>AE14</f>
        <v>Roberta Fenech / Christina Bonett</v>
      </c>
      <c r="C29" s="29">
        <v>3.0</v>
      </c>
      <c r="D29" s="30">
        <f>IF(C29&gt;C31,1,0)</f>
        <v>0</v>
      </c>
      <c r="E29" s="31"/>
      <c r="F29" s="29">
        <v>3.0</v>
      </c>
      <c r="G29" s="30">
        <f>IF(F29&gt;F31,1,0)</f>
        <v>0</v>
      </c>
      <c r="H29" s="31"/>
      <c r="I29" s="32"/>
      <c r="J29" s="15">
        <f>IF(I29&gt;I31,1,0)</f>
        <v>0</v>
      </c>
      <c r="K29" s="15">
        <f>IF(D29+G29=2,3,IF(D29+G29=1,1,0))</f>
        <v>0</v>
      </c>
      <c r="L29" s="15">
        <f>IF(K29=3,3,IF(J29+K29=2,2,IF(K29=1,1,0)))</f>
        <v>0</v>
      </c>
      <c r="M29" s="15">
        <f>C29+F29</f>
        <v>6</v>
      </c>
      <c r="N29" s="15">
        <f>D29+G29+J29</f>
        <v>0</v>
      </c>
      <c r="O29" s="15"/>
      <c r="P29" s="15"/>
      <c r="Q29" s="28" t="str">
        <f>AE11</f>
        <v>Erika Azzopardi / Pamela Cohen</v>
      </c>
      <c r="R29" s="29">
        <v>3.0</v>
      </c>
      <c r="S29" s="30">
        <f>IF(R29&gt;R31,1,0)</f>
        <v>0</v>
      </c>
      <c r="T29" s="31"/>
      <c r="U29" s="29">
        <v>6.0</v>
      </c>
      <c r="V29" s="30">
        <f>IF(U29&gt;U31,1,0)</f>
        <v>1</v>
      </c>
      <c r="W29" s="31"/>
      <c r="X29" s="29">
        <v>10.0</v>
      </c>
      <c r="Y29" s="15">
        <f>IF(X29&gt;X31,1,0)</f>
        <v>1</v>
      </c>
      <c r="Z29" s="15">
        <f>IF(S29+V29=2,3,IF(S29+V29=1,1,0))</f>
        <v>1</v>
      </c>
      <c r="AA29" s="15">
        <f>IF(Z29=3,3,IF(Y29+Z29=2,2,IF(Z29=1,1,0)))</f>
        <v>2</v>
      </c>
      <c r="AB29" s="15">
        <f>R29+U29</f>
        <v>9</v>
      </c>
      <c r="AC29" s="15">
        <f>S29+V29+Y29</f>
        <v>2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ht="13.5" customHeight="1">
      <c r="A30" s="15"/>
      <c r="B30" s="36" t="s">
        <v>84</v>
      </c>
      <c r="I30" s="37"/>
      <c r="J30" s="38"/>
      <c r="K30" s="15"/>
      <c r="L30" s="15"/>
      <c r="M30" s="15"/>
      <c r="N30" s="15"/>
      <c r="O30" s="15"/>
      <c r="P30" s="15"/>
      <c r="Q30" s="36" t="s">
        <v>84</v>
      </c>
      <c r="X30" s="37"/>
      <c r="Y30" s="38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ht="13.5" customHeight="1">
      <c r="A31" s="15"/>
      <c r="B31" s="39" t="str">
        <f>AE19</f>
        <v>Sharon Mizzi / Alexia Spiteri Willets</v>
      </c>
      <c r="C31" s="29">
        <v>6.0</v>
      </c>
      <c r="D31" s="40">
        <f>IF(C31&gt;C29,1,0)</f>
        <v>1</v>
      </c>
      <c r="E31" s="41"/>
      <c r="F31" s="29">
        <v>6.0</v>
      </c>
      <c r="G31" s="40">
        <f>IF(F31&gt;F29,1,0)</f>
        <v>1</v>
      </c>
      <c r="H31" s="41"/>
      <c r="I31" s="32"/>
      <c r="J31" s="15">
        <f>IF(I31&gt;I29,1,0)</f>
        <v>0</v>
      </c>
      <c r="K31" s="15">
        <f>IF(D31+G31=2,3,IF(D31+G31=1,1,0))</f>
        <v>3</v>
      </c>
      <c r="L31" s="15">
        <f>IF(K31=3,3,IF(J31+K31=2,2,IF(K31=1,1,0)))</f>
        <v>3</v>
      </c>
      <c r="M31" s="15">
        <f>C31+F31</f>
        <v>12</v>
      </c>
      <c r="N31" s="15">
        <f>D31+G31+J31</f>
        <v>2</v>
      </c>
      <c r="O31" s="15"/>
      <c r="P31" s="15"/>
      <c r="Q31" s="39" t="str">
        <f>AE21</f>
        <v>Kirsty Mercieca / Alison Muscat</v>
      </c>
      <c r="R31" s="29">
        <v>6.0</v>
      </c>
      <c r="S31" s="40">
        <f>IF(R31&gt;R29,1,0)</f>
        <v>1</v>
      </c>
      <c r="T31" s="41"/>
      <c r="U31" s="29">
        <v>1.0</v>
      </c>
      <c r="V31" s="40">
        <f>IF(U31&gt;U29,1,0)</f>
        <v>0</v>
      </c>
      <c r="W31" s="41"/>
      <c r="X31" s="29">
        <v>5.0</v>
      </c>
      <c r="Y31" s="15">
        <f>IF(X31&gt;X29,1,0)</f>
        <v>0</v>
      </c>
      <c r="Z31" s="15">
        <f>IF(S31+V31=2,3,IF(S31+V31=1,1,0))</f>
        <v>1</v>
      </c>
      <c r="AA31" s="15">
        <f>IF(Z31=3,3,IF(Y31+Z31=2,2,IF(Z31=1,1,0)))</f>
        <v>1</v>
      </c>
      <c r="AB31" s="15">
        <f>R31+U31</f>
        <v>7</v>
      </c>
      <c r="AC31" s="15">
        <f>S31+V31+Y31</f>
        <v>1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ht="13.5" hidden="1" customHeight="1">
      <c r="A32" s="15" t="s">
        <v>85</v>
      </c>
      <c r="B32" s="15"/>
      <c r="C32" s="42">
        <f>IF(C29="",0,1)</f>
        <v>1</v>
      </c>
      <c r="D32" s="15"/>
      <c r="E32" s="15"/>
      <c r="F32" s="42">
        <f>IF(C31="",0,1)</f>
        <v>1</v>
      </c>
      <c r="G32" s="15"/>
      <c r="H32" s="15"/>
      <c r="I32" s="15"/>
      <c r="J32" s="15"/>
      <c r="K32" s="15"/>
      <c r="L32" s="15"/>
      <c r="M32" s="15"/>
      <c r="N32" s="15"/>
      <c r="O32" s="15"/>
      <c r="P32" s="15" t="s">
        <v>85</v>
      </c>
      <c r="Q32" s="15"/>
      <c r="R32" s="42">
        <f>IF(R29="",0,1)</f>
        <v>1</v>
      </c>
      <c r="S32" s="15"/>
      <c r="T32" s="15"/>
      <c r="U32" s="42">
        <f>IF(R31="",0,1)</f>
        <v>1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24"/>
      <c r="AI33" s="15"/>
      <c r="AJ33" s="15"/>
      <c r="AK33" s="15"/>
      <c r="AL33" s="15"/>
      <c r="AM33" s="15"/>
      <c r="AN33" s="15"/>
    </row>
    <row r="34" ht="13.5" customHeight="1">
      <c r="A34" s="15"/>
      <c r="B34" s="28" t="str">
        <f>AE16</f>
        <v>Natalya Abela / Yana Cachia</v>
      </c>
      <c r="C34" s="29">
        <v>6.0</v>
      </c>
      <c r="D34" s="30">
        <f>IF(C34&gt;C36,1,0)</f>
        <v>1</v>
      </c>
      <c r="E34" s="31"/>
      <c r="F34" s="29">
        <v>7.0</v>
      </c>
      <c r="G34" s="30">
        <f>IF(F34&gt;F36,1,0)</f>
        <v>1</v>
      </c>
      <c r="H34" s="31"/>
      <c r="I34" s="32"/>
      <c r="J34" s="15">
        <f>IF(I34&gt;I36,1,0)</f>
        <v>0</v>
      </c>
      <c r="K34" s="15">
        <f>IF(D34+G34=2,3,IF(D34+G34=1,1,0))</f>
        <v>3</v>
      </c>
      <c r="L34" s="15">
        <f>IF(K34=3,3,IF(J34+K34=2,2,IF(K34=1,1,0)))</f>
        <v>3</v>
      </c>
      <c r="M34" s="15">
        <f>C34+F34</f>
        <v>13</v>
      </c>
      <c r="N34" s="15">
        <f>D34+G34+J34</f>
        <v>2</v>
      </c>
      <c r="O34" s="15"/>
      <c r="P34" s="15"/>
      <c r="Q34" s="28" t="str">
        <f>AE14</f>
        <v>Roberta Fenech / Christina Bonett</v>
      </c>
      <c r="R34" s="29">
        <v>7.0</v>
      </c>
      <c r="S34" s="30">
        <f>IF(R34&gt;R36,1,0)</f>
        <v>1</v>
      </c>
      <c r="T34" s="31"/>
      <c r="U34" s="29">
        <v>7.0</v>
      </c>
      <c r="V34" s="30">
        <f>IF(U34&gt;U36,1,0)</f>
        <v>1</v>
      </c>
      <c r="W34" s="31"/>
      <c r="X34" s="32"/>
      <c r="Y34" s="15">
        <f>IF(X34&gt;X36,1,0)</f>
        <v>0</v>
      </c>
      <c r="Z34" s="15">
        <f>IF(S34+V34=2,3,IF(S34+V34=1,1,0))</f>
        <v>3</v>
      </c>
      <c r="AA34" s="15">
        <f>IF(Z34=3,3,IF(Y34+Z34=2,2,IF(Z34=1,1,0)))</f>
        <v>3</v>
      </c>
      <c r="AB34" s="15">
        <f>R34+U34</f>
        <v>14</v>
      </c>
      <c r="AC34" s="15">
        <f>S34+V34+Y34</f>
        <v>2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ht="13.5" customHeight="1">
      <c r="A35" s="15"/>
      <c r="B35" s="36" t="s">
        <v>84</v>
      </c>
      <c r="I35" s="37"/>
      <c r="J35" s="38"/>
      <c r="K35" s="15"/>
      <c r="L35" s="15"/>
      <c r="M35" s="15"/>
      <c r="N35" s="15"/>
      <c r="O35" s="15"/>
      <c r="P35" s="15"/>
      <c r="Q35" s="36" t="s">
        <v>84</v>
      </c>
      <c r="X35" s="37"/>
      <c r="Y35" s="38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7"/>
      <c r="AM35" s="15"/>
      <c r="AN35" s="15"/>
    </row>
    <row r="36" ht="13.5" customHeight="1">
      <c r="A36" s="15"/>
      <c r="B36" s="39" t="str">
        <f>AE21</f>
        <v>Kirsty Mercieca / Alison Muscat</v>
      </c>
      <c r="C36" s="29">
        <v>0.0</v>
      </c>
      <c r="D36" s="40">
        <f>IF(C36&gt;C34,1,0)</f>
        <v>0</v>
      </c>
      <c r="E36" s="41"/>
      <c r="F36" s="29">
        <v>5.0</v>
      </c>
      <c r="G36" s="40">
        <f>IF(F36&gt;F34,1,0)</f>
        <v>0</v>
      </c>
      <c r="H36" s="41"/>
      <c r="I36" s="32"/>
      <c r="J36" s="15">
        <f>IF(I36&gt;I34,1,0)</f>
        <v>0</v>
      </c>
      <c r="K36" s="15">
        <f>IF(D36+G36=2,3,IF(D36+G36=1,1,0))</f>
        <v>0</v>
      </c>
      <c r="L36" s="15">
        <f>IF(K36=3,3,IF(J36+K36=2,2,IF(K36=1,1,0)))</f>
        <v>0</v>
      </c>
      <c r="M36" s="15">
        <f>C36+F36</f>
        <v>5</v>
      </c>
      <c r="N36" s="15">
        <f>D36+G36+J36</f>
        <v>0</v>
      </c>
      <c r="O36" s="15"/>
      <c r="P36" s="15"/>
      <c r="Q36" s="39" t="str">
        <f>AE16</f>
        <v>Natalya Abela / Yana Cachia</v>
      </c>
      <c r="R36" s="29">
        <v>5.0</v>
      </c>
      <c r="S36" s="40">
        <f>IF(R36&gt;R34,1,0)</f>
        <v>0</v>
      </c>
      <c r="T36" s="41"/>
      <c r="U36" s="29">
        <v>6.0</v>
      </c>
      <c r="V36" s="40">
        <f>IF(U36&gt;U34,1,0)</f>
        <v>0</v>
      </c>
      <c r="W36" s="41"/>
      <c r="X36" s="32"/>
      <c r="Y36" s="15">
        <f>IF(X36&gt;X34,1,0)</f>
        <v>0</v>
      </c>
      <c r="Z36" s="15">
        <f>IF(S36+V36=2,3,IF(S36+V36=1,1,0))</f>
        <v>0</v>
      </c>
      <c r="AA36" s="15">
        <f>IF(Z36=3,3,IF(Y36+Z36=2,2,IF(Z36=1,1,0)))</f>
        <v>0</v>
      </c>
      <c r="AB36" s="15">
        <f>R36+U36</f>
        <v>11</v>
      </c>
      <c r="AC36" s="15">
        <f>S36+V36+Y36</f>
        <v>0</v>
      </c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24"/>
    </row>
    <row r="37" ht="14.25" hidden="1" customHeight="1">
      <c r="A37" s="15" t="s">
        <v>85</v>
      </c>
      <c r="B37" s="15"/>
      <c r="C37" s="42">
        <f>IF(C34="",0,1)</f>
        <v>1</v>
      </c>
      <c r="D37" s="15"/>
      <c r="E37" s="15"/>
      <c r="F37" s="42">
        <f>IF(C36="",0,1)</f>
        <v>1</v>
      </c>
      <c r="G37" s="15"/>
      <c r="H37" s="15"/>
      <c r="I37" s="15"/>
      <c r="J37" s="15"/>
      <c r="K37" s="15"/>
      <c r="L37" s="15"/>
      <c r="M37" s="15"/>
      <c r="N37" s="15"/>
      <c r="O37" s="15"/>
      <c r="P37" s="15" t="s">
        <v>85</v>
      </c>
      <c r="Q37" s="15"/>
      <c r="R37" s="42">
        <f>IF(R34="",0,1)</f>
        <v>1</v>
      </c>
      <c r="S37" s="15"/>
      <c r="T37" s="15"/>
      <c r="U37" s="42">
        <f>IF(R36="",0,1)</f>
        <v>1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7"/>
      <c r="AM38" s="15"/>
      <c r="AN38" s="15"/>
    </row>
    <row r="39" ht="13.5" customHeight="1">
      <c r="A39" s="15"/>
      <c r="B39" s="28" t="str">
        <f>AE19</f>
        <v>Sharon Mizzi / Alexia Spiteri Willets</v>
      </c>
      <c r="C39" s="29">
        <v>6.0</v>
      </c>
      <c r="D39" s="30">
        <f>IF(C39&gt;C41,1,0)</f>
        <v>1</v>
      </c>
      <c r="E39" s="31"/>
      <c r="F39" s="29">
        <v>6.0</v>
      </c>
      <c r="G39" s="30">
        <f>IF(F39&gt;F41,1,0)</f>
        <v>1</v>
      </c>
      <c r="H39" s="31"/>
      <c r="I39" s="32"/>
      <c r="J39" s="15">
        <f>IF(I39&gt;I41,1,0)</f>
        <v>0</v>
      </c>
      <c r="K39" s="15">
        <f>IF(D39+G39=2,3,IF(D39+G39=1,1,0))</f>
        <v>3</v>
      </c>
      <c r="L39" s="15">
        <f>IF(K39=3,3,IF(J39+K39=2,2,IF(K39=1,1,0)))</f>
        <v>3</v>
      </c>
      <c r="M39" s="15">
        <f>C39+F39</f>
        <v>12</v>
      </c>
      <c r="N39" s="15">
        <f>D39+G39+J39</f>
        <v>2</v>
      </c>
      <c r="O39" s="15"/>
      <c r="P39" s="15"/>
      <c r="Q39" s="28" t="str">
        <f>AE14</f>
        <v>Roberta Fenech / Christina Bonett</v>
      </c>
      <c r="R39" s="29">
        <v>7.0</v>
      </c>
      <c r="S39" s="30">
        <f>IF(R39&gt;R41,1,0)</f>
        <v>1</v>
      </c>
      <c r="T39" s="31"/>
      <c r="U39" s="29">
        <v>6.0</v>
      </c>
      <c r="V39" s="30">
        <f>IF(U39&gt;U41,1,0)</f>
        <v>1</v>
      </c>
      <c r="W39" s="31"/>
      <c r="X39" s="32"/>
      <c r="Y39" s="15">
        <f>IF(X39&gt;X41,1,0)</f>
        <v>0</v>
      </c>
      <c r="Z39" s="15">
        <f>IF(S39+V39=2,3,IF(S39+V39=1,1,0))</f>
        <v>3</v>
      </c>
      <c r="AA39" s="15">
        <f>IF(Z39=3,3,IF(Y39+Z39=2,2,IF(Z39=1,1,0)))</f>
        <v>3</v>
      </c>
      <c r="AB39" s="15">
        <f>R39+U39</f>
        <v>13</v>
      </c>
      <c r="AC39" s="15">
        <f>S39+V39+Y39</f>
        <v>2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ht="15.0" customHeight="1">
      <c r="A40" s="15"/>
      <c r="B40" s="36" t="s">
        <v>84</v>
      </c>
      <c r="I40" s="37"/>
      <c r="J40" s="38"/>
      <c r="K40" s="15"/>
      <c r="L40" s="15"/>
      <c r="M40" s="15"/>
      <c r="N40" s="15"/>
      <c r="O40" s="15"/>
      <c r="P40" s="15"/>
      <c r="Q40" s="36" t="s">
        <v>84</v>
      </c>
      <c r="X40" s="37"/>
      <c r="Y40" s="38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ht="13.5" customHeight="1">
      <c r="A41" s="15"/>
      <c r="B41" s="39" t="str">
        <f>AE21</f>
        <v>Kirsty Mercieca / Alison Muscat</v>
      </c>
      <c r="C41" s="29">
        <v>1.0</v>
      </c>
      <c r="D41" s="40">
        <f>IF(C41&gt;C39,1,0)</f>
        <v>0</v>
      </c>
      <c r="E41" s="41"/>
      <c r="F41" s="29">
        <v>1.0</v>
      </c>
      <c r="G41" s="40">
        <f>IF(F41&gt;F39,1,0)</f>
        <v>0</v>
      </c>
      <c r="H41" s="41"/>
      <c r="I41" s="32"/>
      <c r="J41" s="15">
        <f>IF(I41&gt;I39,1,0)</f>
        <v>0</v>
      </c>
      <c r="K41" s="15">
        <f>IF(D41+G41=2,3,IF(D41+G41=1,1,0))</f>
        <v>0</v>
      </c>
      <c r="L41" s="15">
        <f>IF(K41=3,3,IF(J41+K41=2,2,IF(K41=1,1,0)))</f>
        <v>0</v>
      </c>
      <c r="M41" s="15">
        <f>C41+F41</f>
        <v>2</v>
      </c>
      <c r="N41" s="15">
        <f>D41+G41+J41</f>
        <v>0</v>
      </c>
      <c r="O41" s="15"/>
      <c r="P41" s="15"/>
      <c r="Q41" s="39" t="str">
        <f>AE21</f>
        <v>Kirsty Mercieca / Alison Muscat</v>
      </c>
      <c r="R41" s="29">
        <v>5.0</v>
      </c>
      <c r="S41" s="40">
        <f>IF(R41&gt;R39,1,0)</f>
        <v>0</v>
      </c>
      <c r="T41" s="41"/>
      <c r="U41" s="29">
        <v>3.0</v>
      </c>
      <c r="V41" s="40">
        <f>IF(U41&gt;U39,1,0)</f>
        <v>0</v>
      </c>
      <c r="W41" s="41"/>
      <c r="X41" s="32"/>
      <c r="Y41" s="15">
        <f>IF(X41&gt;X39,1,0)</f>
        <v>0</v>
      </c>
      <c r="Z41" s="15">
        <f>IF(S41+V41=2,3,IF(S41+V41=1,1,0))</f>
        <v>0</v>
      </c>
      <c r="AA41" s="15">
        <f>IF(Z41=3,3,IF(Y41+Z41=2,2,IF(Z41=1,1,0)))</f>
        <v>0</v>
      </c>
      <c r="AB41" s="15">
        <f>R41+U41</f>
        <v>8</v>
      </c>
      <c r="AC41" s="15">
        <f>S41+V41+Y41</f>
        <v>0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ht="13.5" hidden="1" customHeight="1">
      <c r="A42" s="15" t="s">
        <v>85</v>
      </c>
      <c r="B42" s="15"/>
      <c r="C42" s="42">
        <f>IF(C39="",0,1)</f>
        <v>1</v>
      </c>
      <c r="D42" s="15"/>
      <c r="E42" s="15"/>
      <c r="F42" s="42">
        <f>IF(C41="",0,1)</f>
        <v>1</v>
      </c>
      <c r="G42" s="15"/>
      <c r="H42" s="15"/>
      <c r="I42" s="15"/>
      <c r="J42" s="15"/>
      <c r="K42" s="15"/>
      <c r="L42" s="15"/>
      <c r="M42" s="15"/>
      <c r="N42" s="15"/>
      <c r="O42" s="15"/>
      <c r="P42" s="15" t="s">
        <v>85</v>
      </c>
      <c r="Q42" s="15"/>
      <c r="R42" s="42">
        <f>IF(R39="",0,1)</f>
        <v>1</v>
      </c>
      <c r="S42" s="15"/>
      <c r="T42" s="15"/>
      <c r="U42" s="42">
        <f>IF(R41="",0,1)</f>
        <v>1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24"/>
      <c r="AI43" s="15"/>
      <c r="AJ43" s="15"/>
      <c r="AK43" s="24"/>
      <c r="AL43" s="15"/>
      <c r="AM43" s="15"/>
      <c r="AN43" s="15"/>
    </row>
    <row r="44" ht="13.5" customHeight="1">
      <c r="A44" s="15"/>
      <c r="B44" s="28" t="str">
        <f>AE16</f>
        <v>Natalya Abela / Yana Cachia</v>
      </c>
      <c r="C44" s="29">
        <v>0.0</v>
      </c>
      <c r="D44" s="30">
        <f>IF(C44&gt;C46,1,0)</f>
        <v>0</v>
      </c>
      <c r="E44" s="31"/>
      <c r="F44" s="29">
        <v>3.0</v>
      </c>
      <c r="G44" s="30">
        <f>IF(F44&gt;F46,1,0)</f>
        <v>0</v>
      </c>
      <c r="H44" s="31"/>
      <c r="I44" s="32"/>
      <c r="J44" s="15">
        <f>IF(I44&gt;I46,1,0)</f>
        <v>0</v>
      </c>
      <c r="K44" s="15">
        <f>IF(D44+G44=2,3,IF(D44+G44=1,1,0))</f>
        <v>0</v>
      </c>
      <c r="L44" s="15">
        <f>IF(K44=3,3,IF(J44+K44=2,2,IF(K44=1,1,0)))</f>
        <v>0</v>
      </c>
      <c r="M44" s="15">
        <f>C44+F44</f>
        <v>3</v>
      </c>
      <c r="N44" s="15">
        <f>D44+G44+J44</f>
        <v>0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24"/>
      <c r="AL44" s="15"/>
      <c r="AM44" s="15"/>
      <c r="AN44" s="15"/>
    </row>
    <row r="45" ht="13.5" customHeight="1">
      <c r="A45" s="15"/>
      <c r="B45" s="36" t="s">
        <v>84</v>
      </c>
      <c r="I45" s="37"/>
      <c r="J45" s="38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48"/>
      <c r="AK45" s="15"/>
      <c r="AL45" s="15"/>
      <c r="AM45" s="15"/>
      <c r="AN45" s="15"/>
    </row>
    <row r="46" ht="13.5" customHeight="1">
      <c r="A46" s="15"/>
      <c r="B46" s="39" t="str">
        <f>AE19</f>
        <v>Sharon Mizzi / Alexia Spiteri Willets</v>
      </c>
      <c r="C46" s="29">
        <v>6.0</v>
      </c>
      <c r="D46" s="40">
        <f>IF(C46&gt;C44,1,0)</f>
        <v>1</v>
      </c>
      <c r="E46" s="41"/>
      <c r="F46" s="29">
        <v>6.0</v>
      </c>
      <c r="G46" s="40">
        <f>IF(F46&gt;F44,1,0)</f>
        <v>1</v>
      </c>
      <c r="H46" s="41"/>
      <c r="I46" s="32"/>
      <c r="J46" s="15">
        <f>IF(I46&gt;I44,1,0)</f>
        <v>0</v>
      </c>
      <c r="K46" s="15">
        <f>IF(D46+G46=2,3,IF(D46+G46=1,1,0))</f>
        <v>3</v>
      </c>
      <c r="L46" s="15">
        <f>IF(K46=3,3,IF(J46+K46=2,2,IF(K46=1,1,0)))</f>
        <v>3</v>
      </c>
      <c r="M46" s="15">
        <f>C46+F46</f>
        <v>12</v>
      </c>
      <c r="N46" s="15">
        <f>D46+G46+J46</f>
        <v>2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ht="13.5" hidden="1" customHeight="1">
      <c r="A47" s="15" t="s">
        <v>85</v>
      </c>
      <c r="B47" s="15"/>
      <c r="C47" s="42">
        <f>IF(C44="",0,1)</f>
        <v>1</v>
      </c>
      <c r="D47" s="15"/>
      <c r="E47" s="15"/>
      <c r="F47" s="42">
        <f>IF(C46="",0,1)</f>
        <v>1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ht="15.0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48"/>
      <c r="AK49" s="15"/>
      <c r="AL49" s="15"/>
      <c r="AM49" s="15"/>
      <c r="AN49" s="15"/>
    </row>
    <row r="50" ht="15.0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48"/>
      <c r="AK54" s="15"/>
      <c r="AL54" s="24"/>
      <c r="AM54" s="15"/>
      <c r="AN54" s="15"/>
    </row>
    <row r="55" ht="15.0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ht="15.0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48"/>
      <c r="AK59" s="15"/>
      <c r="AL59" s="15"/>
      <c r="AM59" s="15"/>
      <c r="AN59" s="24"/>
    </row>
    <row r="60" ht="15.0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24"/>
      <c r="AI63" s="15"/>
      <c r="AJ63" s="15"/>
      <c r="AK63" s="24"/>
      <c r="AL63" s="15"/>
      <c r="AM63" s="15"/>
      <c r="AN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24"/>
      <c r="S113" s="24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</row>
    <row r="164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</row>
    <row r="165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</row>
    <row r="166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</row>
    <row r="167" ht="1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</row>
    <row r="168" ht="1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</row>
    <row r="169" ht="1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</row>
    <row r="170" ht="13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</row>
    <row r="171" ht="13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</row>
    <row r="172" ht="13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</row>
    <row r="173" ht="13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</row>
    <row r="174" ht="13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</row>
    <row r="175" ht="13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</row>
    <row r="176" ht="13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</row>
    <row r="177" ht="1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</row>
    <row r="178" ht="13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</row>
    <row r="179" ht="13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</row>
    <row r="180" ht="13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</row>
    <row r="181" ht="13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</row>
    <row r="182" ht="13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</row>
    <row r="183" ht="13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</row>
    <row r="184" ht="13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</row>
    <row r="185" ht="1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</row>
    <row r="186" ht="13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</row>
    <row r="187" ht="13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</row>
    <row r="188" ht="13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</row>
    <row r="189" ht="13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</row>
    <row r="190" ht="13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</row>
    <row r="191" ht="1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</row>
    <row r="192" ht="13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</row>
    <row r="193" ht="13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</row>
    <row r="194" ht="13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</row>
    <row r="195" ht="13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</row>
    <row r="196" ht="13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</row>
    <row r="197" ht="13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</row>
    <row r="198" ht="13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</row>
    <row r="199" ht="13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</row>
    <row r="200" ht="13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</row>
    <row r="201" ht="13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</row>
    <row r="202" ht="13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</row>
    <row r="203" ht="13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</row>
    <row r="204" ht="13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</row>
    <row r="205" ht="13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</row>
    <row r="206" ht="13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</row>
    <row r="207" ht="13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</row>
    <row r="208" ht="13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</row>
    <row r="209" ht="13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</row>
    <row r="210" ht="13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</row>
    <row r="211" ht="13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</row>
    <row r="212" ht="1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</row>
    <row r="213" ht="13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</row>
    <row r="214" ht="13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</row>
    <row r="215" ht="13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</row>
    <row r="216" ht="13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</row>
    <row r="217" ht="13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</row>
    <row r="218" ht="13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</row>
    <row r="219" ht="13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</row>
    <row r="220" ht="13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</row>
    <row r="221" ht="13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</row>
    <row r="222" ht="13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</row>
    <row r="223" ht="13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</row>
    <row r="224" ht="13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</row>
    <row r="225" ht="13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</row>
    <row r="226" ht="13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</row>
    <row r="227" ht="13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</row>
    <row r="228" ht="13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</row>
    <row r="229" ht="13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</row>
    <row r="230" ht="13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</row>
    <row r="231" ht="13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</row>
    <row r="232" ht="13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</row>
    <row r="233" ht="13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</row>
    <row r="234" ht="13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</row>
    <row r="235" ht="13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</row>
    <row r="236" ht="13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</row>
    <row r="237" ht="13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</row>
    <row r="238" ht="13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</row>
    <row r="239" ht="13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</row>
    <row r="240" ht="13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</row>
    <row r="241" ht="13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</row>
    <row r="242" ht="13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</row>
    <row r="243" ht="13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</row>
    <row r="244" ht="13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</row>
    <row r="245" ht="1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</row>
    <row r="246" ht="13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</row>
    <row r="247" ht="13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</row>
    <row r="248" ht="13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</row>
    <row r="249" ht="13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</row>
    <row r="250" ht="13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</row>
    <row r="251" ht="13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</row>
    <row r="252" ht="13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</row>
    <row r="253" ht="13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</row>
    <row r="254" ht="13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</row>
    <row r="255" ht="13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</row>
    <row r="256" ht="13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</row>
    <row r="257" ht="13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</row>
    <row r="258" ht="13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</row>
    <row r="259" ht="13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</row>
    <row r="260" ht="13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</row>
    <row r="261" ht="13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</row>
    <row r="262" ht="13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</row>
    <row r="263" ht="13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</row>
    <row r="264" ht="13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</row>
    <row r="265" ht="13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</row>
    <row r="266" ht="1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</row>
    <row r="267" ht="13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</row>
    <row r="268" ht="13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</row>
    <row r="269" ht="13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</row>
    <row r="270" ht="13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</row>
    <row r="271" ht="13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</row>
    <row r="272" ht="13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</row>
    <row r="273" ht="13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</row>
    <row r="274" ht="13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</row>
    <row r="275" ht="13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</row>
    <row r="276" ht="13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</row>
    <row r="277" ht="13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</row>
    <row r="278" ht="13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</row>
    <row r="279" ht="13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</row>
    <row r="280" ht="13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</row>
    <row r="281" ht="13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</row>
    <row r="282" ht="13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</row>
    <row r="283" ht="13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</row>
    <row r="284" ht="13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</row>
    <row r="285" ht="1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</row>
    <row r="286" ht="13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</row>
    <row r="287" ht="13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</row>
    <row r="288" ht="13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</row>
    <row r="289" ht="13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</row>
    <row r="290" ht="13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</row>
    <row r="291" ht="13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</row>
    <row r="292" ht="13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</row>
    <row r="293" ht="13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</row>
    <row r="294" ht="1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</row>
    <row r="295" ht="13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</row>
    <row r="296" ht="13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</row>
    <row r="297" ht="13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</row>
    <row r="298" ht="13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</row>
    <row r="299" ht="13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</row>
    <row r="300" ht="13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</row>
    <row r="301" ht="1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</row>
    <row r="302" ht="13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</row>
    <row r="303" ht="13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</row>
    <row r="304" ht="13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</row>
    <row r="305" ht="13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</row>
    <row r="306" ht="13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</row>
    <row r="307" ht="13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</row>
    <row r="308" ht="1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</row>
    <row r="309" ht="13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</row>
    <row r="310" ht="13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</row>
    <row r="311" ht="13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</row>
    <row r="312" ht="13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</row>
    <row r="313" ht="13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</row>
    <row r="314" ht="13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</row>
    <row r="315" ht="13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</row>
    <row r="316" ht="13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</row>
    <row r="317" ht="13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</row>
    <row r="318" ht="13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</row>
    <row r="319" ht="13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</row>
    <row r="320" ht="13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</row>
    <row r="321" ht="13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</row>
    <row r="322" ht="13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</row>
    <row r="323" ht="13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</row>
    <row r="324" ht="13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</row>
    <row r="325" ht="13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</row>
    <row r="326" ht="13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</row>
    <row r="327" ht="13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</row>
    <row r="328" ht="13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</row>
    <row r="329" ht="13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</row>
    <row r="330" ht="13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</row>
    <row r="331" ht="13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</row>
    <row r="332" ht="13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</row>
    <row r="333" ht="13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</row>
    <row r="334" ht="13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</row>
    <row r="335" ht="13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</row>
    <row r="336" ht="13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</row>
    <row r="337" ht="13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</row>
    <row r="338" ht="13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</row>
    <row r="339" ht="13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</row>
    <row r="340" ht="13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</row>
    <row r="341" ht="13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</row>
    <row r="342" ht="13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</row>
    <row r="343" ht="13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</row>
    <row r="344" ht="13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</row>
    <row r="345" ht="13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</row>
    <row r="346" ht="13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</row>
    <row r="347" ht="13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</row>
    <row r="348" ht="13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</row>
    <row r="349" ht="13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</row>
    <row r="350" ht="13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</row>
    <row r="351" ht="13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</row>
    <row r="352" ht="13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</row>
    <row r="353" ht="13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</row>
    <row r="354" ht="13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</row>
    <row r="355" ht="13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</row>
    <row r="356" ht="13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</row>
    <row r="357" ht="13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</row>
    <row r="358" ht="13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</row>
    <row r="359" ht="13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</row>
    <row r="360" ht="13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</row>
    <row r="361" ht="13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</row>
    <row r="362" ht="13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</row>
    <row r="363" ht="13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</row>
    <row r="364" ht="13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</row>
    <row r="365" ht="13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</row>
    <row r="366" ht="13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</row>
    <row r="367" ht="13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</row>
    <row r="368" ht="13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</row>
    <row r="369" ht="13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</row>
    <row r="370" ht="13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</row>
    <row r="371" ht="13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</row>
    <row r="372" ht="13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</row>
    <row r="373" ht="13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</row>
    <row r="374" ht="13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</row>
    <row r="375" ht="13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</row>
    <row r="376" ht="13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</row>
    <row r="377" ht="13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</row>
    <row r="378" ht="13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</row>
    <row r="379" ht="13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</row>
    <row r="380" ht="13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</row>
    <row r="381" ht="13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</row>
    <row r="382" ht="13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</row>
    <row r="383" ht="13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</row>
    <row r="384" ht="13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</row>
    <row r="385" ht="13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</row>
    <row r="386" ht="13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</row>
    <row r="387" ht="13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</row>
    <row r="388" ht="13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</row>
    <row r="389" ht="13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</row>
    <row r="390" ht="13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</row>
    <row r="391" ht="13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</row>
    <row r="392" ht="13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</row>
    <row r="393" ht="13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</row>
    <row r="394" ht="13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</row>
    <row r="395" ht="13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</row>
    <row r="396" ht="13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</row>
    <row r="397" ht="13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</row>
    <row r="398" ht="13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</row>
    <row r="399" ht="13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</row>
    <row r="400" ht="13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</row>
    <row r="401" ht="13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</row>
    <row r="402" ht="13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</row>
    <row r="403" ht="13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</row>
    <row r="404" ht="13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</row>
    <row r="405" ht="13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</row>
    <row r="406" ht="13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</row>
    <row r="407" ht="13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</row>
    <row r="408" ht="13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</row>
    <row r="409" ht="13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</row>
    <row r="410" ht="13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</row>
    <row r="411" ht="13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</row>
    <row r="412" ht="13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</row>
    <row r="413" ht="13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</row>
    <row r="414" ht="13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</row>
    <row r="415" ht="13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</row>
    <row r="416" ht="13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</row>
    <row r="417" ht="13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</row>
    <row r="418" ht="13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</row>
    <row r="419" ht="13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</row>
    <row r="420" ht="13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</row>
    <row r="421" ht="13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</row>
    <row r="422" ht="13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</row>
    <row r="423" ht="13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</row>
    <row r="424" ht="13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</row>
    <row r="425" ht="13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</row>
    <row r="426" ht="13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</row>
    <row r="427" ht="13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</row>
    <row r="428" ht="13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</row>
    <row r="429" ht="13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</row>
    <row r="430" ht="13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</row>
    <row r="431" ht="13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</row>
    <row r="432" ht="13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</row>
    <row r="433" ht="13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</row>
    <row r="434" ht="13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</row>
    <row r="435" ht="13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</row>
    <row r="436" ht="13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</row>
    <row r="437" ht="13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</row>
    <row r="438" ht="13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</row>
    <row r="439" ht="13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</row>
    <row r="440" ht="13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</row>
    <row r="441" ht="13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</row>
    <row r="442" ht="13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</row>
    <row r="443" ht="13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</row>
    <row r="444" ht="13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</row>
    <row r="445" ht="13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</row>
    <row r="446" ht="13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</row>
    <row r="447" ht="13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</row>
    <row r="448" ht="13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</row>
    <row r="449" ht="13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</row>
    <row r="450" ht="13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</row>
    <row r="451" ht="13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</row>
    <row r="452" ht="13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</row>
    <row r="453" ht="13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</row>
    <row r="454" ht="13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</row>
    <row r="455" ht="13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</row>
    <row r="456" ht="13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</row>
    <row r="457" ht="13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</row>
    <row r="458" ht="13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</row>
    <row r="459" ht="13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</row>
    <row r="460" ht="13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</row>
    <row r="461" ht="13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</row>
    <row r="462" ht="13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</row>
    <row r="463" ht="13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</row>
    <row r="464" ht="13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</row>
    <row r="465" ht="13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</row>
    <row r="466" ht="13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</row>
    <row r="467" ht="13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</row>
    <row r="468" ht="13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</row>
    <row r="469" ht="13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</row>
    <row r="470" ht="13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</row>
    <row r="471" ht="13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</row>
    <row r="472" ht="13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</row>
    <row r="473" ht="13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</row>
    <row r="474" ht="13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</row>
    <row r="475" ht="13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</row>
    <row r="476" ht="13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</row>
    <row r="477" ht="13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</row>
    <row r="478" ht="13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</row>
    <row r="479" ht="13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</row>
    <row r="480" ht="13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</row>
    <row r="481" ht="13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</row>
    <row r="482" ht="13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</row>
    <row r="483" ht="13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</row>
    <row r="484" ht="13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</row>
    <row r="485" ht="13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</row>
    <row r="486" ht="13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</row>
    <row r="487" ht="13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</row>
    <row r="488" ht="13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</row>
    <row r="489" ht="13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</row>
    <row r="490" ht="13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</row>
    <row r="491" ht="13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</row>
    <row r="492" ht="13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</row>
    <row r="493" ht="13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</row>
    <row r="494" ht="13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</row>
    <row r="495" ht="13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</row>
    <row r="496" ht="13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</row>
    <row r="497" ht="13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</row>
    <row r="498" ht="13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</row>
    <row r="499" ht="13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</row>
    <row r="500" ht="13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</row>
    <row r="501" ht="13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</row>
    <row r="502" ht="13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</row>
    <row r="503" ht="13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</row>
    <row r="504" ht="13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</row>
    <row r="505" ht="13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</row>
    <row r="506" ht="13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</row>
    <row r="507" ht="13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</row>
    <row r="508" ht="13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</row>
    <row r="509" ht="13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</row>
    <row r="510" ht="13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</row>
    <row r="511" ht="13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</row>
    <row r="512" ht="13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</row>
    <row r="513" ht="13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</row>
    <row r="514" ht="13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</row>
    <row r="515" ht="13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</row>
    <row r="516" ht="13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</row>
    <row r="517" ht="13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</row>
    <row r="518" ht="13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</row>
    <row r="519" ht="13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</row>
    <row r="520" ht="13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</row>
    <row r="521" ht="13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</row>
    <row r="522" ht="13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</row>
    <row r="523" ht="13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</row>
    <row r="524" ht="13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</row>
    <row r="525" ht="13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</row>
    <row r="526" ht="13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</row>
    <row r="527" ht="13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</row>
    <row r="528" ht="13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</row>
    <row r="529" ht="13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</row>
    <row r="530" ht="13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</row>
    <row r="531" ht="13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</row>
    <row r="532" ht="13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</row>
    <row r="533" ht="13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</row>
    <row r="534" ht="13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</row>
    <row r="535" ht="13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</row>
    <row r="536" ht="13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</row>
    <row r="537" ht="13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</row>
    <row r="538" ht="13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</row>
    <row r="539" ht="13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</row>
    <row r="540" ht="13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</row>
    <row r="541" ht="13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</row>
    <row r="542" ht="13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</row>
    <row r="543" ht="13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</row>
    <row r="544" ht="13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</row>
    <row r="545" ht="13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</row>
    <row r="546" ht="13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</row>
    <row r="547" ht="13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</row>
    <row r="548" ht="13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</row>
    <row r="549" ht="13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</row>
    <row r="550" ht="13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</row>
    <row r="551" ht="13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</row>
    <row r="552" ht="13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</row>
    <row r="553" ht="13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</row>
    <row r="554" ht="13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</row>
    <row r="555" ht="13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</row>
    <row r="556" ht="13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</row>
    <row r="557" ht="13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</row>
    <row r="558" ht="13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</row>
    <row r="559" ht="13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</row>
    <row r="560" ht="13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</row>
    <row r="561" ht="13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</row>
    <row r="562" ht="13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</row>
    <row r="563" ht="13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</row>
    <row r="564" ht="13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</row>
    <row r="565" ht="13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</row>
    <row r="566" ht="13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</row>
    <row r="567" ht="13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</row>
    <row r="568" ht="13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</row>
    <row r="569" ht="13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</row>
    <row r="570" ht="13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</row>
    <row r="571" ht="13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</row>
    <row r="572" ht="13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</row>
    <row r="573" ht="13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</row>
    <row r="574" ht="13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</row>
    <row r="575" ht="13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</row>
    <row r="576" ht="13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</row>
    <row r="577" ht="13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</row>
    <row r="578" ht="13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</row>
    <row r="579" ht="13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</row>
    <row r="580" ht="13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</row>
    <row r="581" ht="13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</row>
    <row r="582" ht="13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</row>
    <row r="583" ht="13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</row>
    <row r="584" ht="13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</row>
    <row r="585" ht="13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</row>
    <row r="586" ht="13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</row>
    <row r="587" ht="13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</row>
    <row r="588" ht="13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</row>
    <row r="589" ht="13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</row>
    <row r="590" ht="13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</row>
    <row r="591" ht="13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</row>
    <row r="592" ht="13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</row>
    <row r="593" ht="13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</row>
    <row r="594" ht="13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</row>
    <row r="595" ht="13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</row>
    <row r="596" ht="13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</row>
    <row r="597" ht="13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</row>
    <row r="598" ht="13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</row>
    <row r="599" ht="13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</row>
    <row r="600" ht="13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</row>
    <row r="601" ht="13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</row>
    <row r="602" ht="13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</row>
    <row r="603" ht="13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</row>
    <row r="604" ht="13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</row>
    <row r="605" ht="13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</row>
    <row r="606" ht="13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</row>
    <row r="607" ht="13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</row>
    <row r="608" ht="13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</row>
    <row r="609" ht="13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</row>
    <row r="610" ht="13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</row>
    <row r="611" ht="13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</row>
    <row r="612" ht="13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</row>
    <row r="613" ht="13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</row>
    <row r="614" ht="13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</row>
    <row r="615" ht="13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</row>
    <row r="616" ht="13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</row>
    <row r="617" ht="13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</row>
    <row r="618" ht="13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</row>
    <row r="619" ht="13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</row>
    <row r="620" ht="13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</row>
    <row r="621" ht="13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</row>
    <row r="622" ht="13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</row>
    <row r="623" ht="13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</row>
    <row r="624" ht="13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</row>
    <row r="625" ht="13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</row>
    <row r="626" ht="13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</row>
    <row r="627" ht="13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</row>
    <row r="628" ht="13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</row>
    <row r="629" ht="13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</row>
    <row r="630" ht="13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</row>
    <row r="631" ht="13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</row>
    <row r="632" ht="13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</row>
    <row r="633" ht="13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</row>
    <row r="634" ht="13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</row>
    <row r="635" ht="13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</row>
    <row r="636" ht="13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</row>
    <row r="637" ht="13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</row>
    <row r="638" ht="13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</row>
    <row r="639" ht="13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</row>
    <row r="640" ht="13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</row>
    <row r="641" ht="13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</row>
    <row r="642" ht="13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</row>
    <row r="643" ht="13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</row>
    <row r="644" ht="13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</row>
    <row r="645" ht="13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</row>
    <row r="646" ht="13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</row>
    <row r="647" ht="13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</row>
    <row r="648" ht="13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</row>
    <row r="649" ht="13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</row>
    <row r="650" ht="13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</row>
    <row r="651" ht="13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</row>
    <row r="652" ht="13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</row>
    <row r="653" ht="13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</row>
    <row r="654" ht="13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</row>
    <row r="655" ht="13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</row>
    <row r="656" ht="13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</row>
    <row r="657" ht="13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</row>
    <row r="658" ht="13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</row>
    <row r="659" ht="13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</row>
    <row r="660" ht="13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</row>
    <row r="661" ht="13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</row>
    <row r="662" ht="13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</row>
    <row r="663" ht="13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</row>
    <row r="664" ht="13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</row>
    <row r="665" ht="13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</row>
    <row r="666" ht="13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</row>
    <row r="667" ht="13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</row>
    <row r="668" ht="13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</row>
    <row r="669" ht="13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</row>
    <row r="670" ht="13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</row>
    <row r="671" ht="13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</row>
    <row r="672" ht="13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</row>
    <row r="673" ht="13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</row>
    <row r="674" ht="13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</row>
    <row r="675" ht="13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</row>
    <row r="676" ht="13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</row>
    <row r="677" ht="13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</row>
    <row r="678" ht="13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</row>
    <row r="679" ht="13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</row>
    <row r="680" ht="13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</row>
    <row r="681" ht="13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</row>
    <row r="682" ht="13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</row>
    <row r="683" ht="13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</row>
    <row r="684" ht="13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</row>
    <row r="685" ht="13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</row>
    <row r="686" ht="13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</row>
    <row r="687" ht="13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</row>
    <row r="688" ht="13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</row>
    <row r="689" ht="13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</row>
    <row r="690" ht="13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</row>
    <row r="691" ht="13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</row>
    <row r="692" ht="13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</row>
    <row r="693" ht="13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</row>
    <row r="694" ht="13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</row>
    <row r="695" ht="13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</row>
    <row r="696" ht="13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</row>
    <row r="697" ht="13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</row>
    <row r="698" ht="13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</row>
    <row r="699" ht="13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</row>
    <row r="700" ht="13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</row>
    <row r="701" ht="13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</row>
    <row r="702" ht="13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</row>
    <row r="703" ht="13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</row>
    <row r="704" ht="13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</row>
    <row r="705" ht="13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</row>
    <row r="706" ht="13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</row>
    <row r="707" ht="13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</row>
    <row r="708" ht="13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</row>
    <row r="709" ht="13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</row>
    <row r="710" ht="13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</row>
    <row r="711" ht="13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</row>
    <row r="712" ht="13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</row>
    <row r="713" ht="13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</row>
    <row r="714" ht="13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</row>
    <row r="715" ht="13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</row>
    <row r="716" ht="13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</row>
    <row r="717" ht="13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</row>
    <row r="718" ht="13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</row>
    <row r="719" ht="13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</row>
    <row r="720" ht="13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</row>
    <row r="721" ht="13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</row>
    <row r="722" ht="13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</row>
    <row r="723" ht="13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</row>
    <row r="724" ht="13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</row>
    <row r="725" ht="13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</row>
    <row r="726" ht="13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</row>
    <row r="727" ht="13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</row>
    <row r="728" ht="13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</row>
    <row r="729" ht="13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</row>
    <row r="730" ht="13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</row>
    <row r="731" ht="13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</row>
    <row r="732" ht="13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</row>
    <row r="733" ht="13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</row>
    <row r="734" ht="13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</row>
    <row r="735" ht="13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</row>
    <row r="736" ht="13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</row>
    <row r="737" ht="13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</row>
    <row r="738" ht="13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</row>
    <row r="739" ht="13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</row>
    <row r="740" ht="13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</row>
    <row r="741" ht="13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</row>
    <row r="742" ht="13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</row>
    <row r="743" ht="13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</row>
    <row r="744" ht="13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</row>
    <row r="745" ht="13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</row>
    <row r="746" ht="13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</row>
    <row r="747" ht="13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</row>
    <row r="748" ht="13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</row>
    <row r="749" ht="13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</row>
    <row r="750" ht="13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</row>
    <row r="751" ht="13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</row>
    <row r="752" ht="13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</row>
    <row r="753" ht="13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</row>
    <row r="754" ht="13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</row>
    <row r="755" ht="13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</row>
    <row r="756" ht="13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</row>
    <row r="757" ht="13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</row>
    <row r="758" ht="13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</row>
    <row r="759" ht="13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</row>
    <row r="760" ht="13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</row>
    <row r="761" ht="13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</row>
    <row r="762" ht="13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</row>
    <row r="763" ht="13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</row>
    <row r="764" ht="13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</row>
    <row r="765" ht="13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</row>
    <row r="766" ht="13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</row>
    <row r="767" ht="13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</row>
    <row r="768" ht="13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</row>
    <row r="769" ht="13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</row>
    <row r="770" ht="13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</row>
    <row r="771" ht="13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</row>
    <row r="772" ht="13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</row>
    <row r="773" ht="13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</row>
    <row r="774" ht="13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</row>
    <row r="775" ht="13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</row>
    <row r="776" ht="13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</row>
    <row r="777" ht="13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</row>
    <row r="778" ht="13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</row>
    <row r="779" ht="13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</row>
    <row r="780" ht="13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</row>
    <row r="781" ht="13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</row>
    <row r="782" ht="13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</row>
    <row r="783" ht="13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</row>
    <row r="784" ht="13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</row>
    <row r="785" ht="13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</row>
    <row r="786" ht="13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</row>
    <row r="787" ht="13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</row>
    <row r="788" ht="13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</row>
    <row r="789" ht="13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</row>
    <row r="790" ht="13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</row>
    <row r="791" ht="13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</row>
    <row r="792" ht="13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</row>
    <row r="793" ht="13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</row>
    <row r="794" ht="13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</row>
    <row r="795" ht="13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</row>
    <row r="796" ht="13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</row>
    <row r="797" ht="13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</row>
    <row r="798" ht="13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</row>
    <row r="799" ht="13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</row>
    <row r="800" ht="13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</row>
    <row r="801" ht="13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</row>
    <row r="802" ht="13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</row>
    <row r="803" ht="13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</row>
    <row r="804" ht="13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</row>
    <row r="805" ht="13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</row>
    <row r="806" ht="13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</row>
    <row r="807" ht="13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</row>
    <row r="808" ht="13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</row>
    <row r="809" ht="13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</row>
    <row r="810" ht="13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</row>
    <row r="811" ht="13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</row>
    <row r="812" ht="13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</row>
    <row r="813" ht="13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</row>
    <row r="814" ht="13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</row>
    <row r="815" ht="13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</row>
    <row r="816" ht="13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</row>
    <row r="817" ht="13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</row>
    <row r="818" ht="13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</row>
    <row r="819" ht="13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</row>
    <row r="820" ht="13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</row>
    <row r="821" ht="13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</row>
    <row r="822" ht="13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</row>
    <row r="823" ht="13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</row>
    <row r="824" ht="13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</row>
    <row r="825" ht="13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</row>
    <row r="826" ht="13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</row>
    <row r="827" ht="13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</row>
    <row r="828" ht="13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</row>
    <row r="829" ht="13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</row>
    <row r="830" ht="13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</row>
    <row r="831" ht="13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</row>
    <row r="832" ht="13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</row>
    <row r="833" ht="13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</row>
    <row r="834" ht="13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</row>
    <row r="835" ht="13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</row>
    <row r="836" ht="13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</row>
    <row r="837" ht="13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</row>
    <row r="838" ht="13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</row>
    <row r="839" ht="13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</row>
    <row r="840" ht="13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</row>
    <row r="841" ht="13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</row>
    <row r="842" ht="13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</row>
    <row r="843" ht="13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</row>
    <row r="844" ht="13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</row>
    <row r="845" ht="13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</row>
    <row r="846" ht="13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</row>
    <row r="847" ht="13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</row>
    <row r="848" ht="13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</row>
    <row r="849" ht="13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</row>
    <row r="850" ht="13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</row>
    <row r="851" ht="13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</row>
    <row r="852" ht="13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</row>
    <row r="853" ht="13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</row>
    <row r="854" ht="13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</row>
    <row r="855" ht="13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</row>
    <row r="856" ht="13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</row>
    <row r="857" ht="13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</row>
    <row r="858" ht="13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</row>
    <row r="859" ht="13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</row>
    <row r="860" ht="13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</row>
    <row r="861" ht="13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</row>
    <row r="862" ht="13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</row>
    <row r="863" ht="13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</row>
    <row r="864" ht="13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</row>
    <row r="865" ht="13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</row>
    <row r="866" ht="13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</row>
    <row r="867" ht="13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</row>
    <row r="868" ht="13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</row>
    <row r="869" ht="13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</row>
    <row r="870" ht="13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</row>
    <row r="871" ht="13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</row>
    <row r="872" ht="13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</row>
    <row r="873" ht="13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</row>
    <row r="874" ht="13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</row>
    <row r="875" ht="13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</row>
    <row r="876" ht="13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</row>
    <row r="877" ht="13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</row>
    <row r="878" ht="13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</row>
    <row r="879" ht="13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</row>
    <row r="880" ht="13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</row>
    <row r="881" ht="13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</row>
    <row r="882" ht="13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</row>
    <row r="883" ht="13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</row>
    <row r="884" ht="13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</row>
    <row r="885" ht="13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</row>
    <row r="886" ht="13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</row>
    <row r="887" ht="13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</row>
    <row r="888" ht="13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</row>
    <row r="889" ht="13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</row>
    <row r="890" ht="13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</row>
    <row r="891" ht="13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</row>
    <row r="892" ht="13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</row>
    <row r="893" ht="13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</row>
    <row r="894" ht="13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</row>
    <row r="895" ht="13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</row>
    <row r="896" ht="13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</row>
    <row r="897" ht="13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</row>
    <row r="898" ht="13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</row>
    <row r="899" ht="13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</row>
    <row r="900" ht="13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</row>
    <row r="901" ht="13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</row>
    <row r="902" ht="13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</row>
    <row r="903" ht="13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</row>
    <row r="904" ht="13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</row>
    <row r="905" ht="13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</row>
    <row r="906" ht="13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</row>
    <row r="907" ht="13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</row>
    <row r="908" ht="13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</row>
    <row r="909" ht="13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</row>
    <row r="910" ht="13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</row>
    <row r="911" ht="13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</row>
    <row r="912" ht="13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</row>
    <row r="913" ht="13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</row>
    <row r="914" ht="13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</row>
    <row r="915" ht="13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</row>
    <row r="916" ht="13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</row>
    <row r="917" ht="13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</row>
    <row r="918" ht="13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</row>
    <row r="919" ht="13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</row>
    <row r="920" ht="13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</row>
    <row r="921" ht="13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</row>
    <row r="922" ht="13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</row>
    <row r="923" ht="13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</row>
    <row r="924" ht="13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</row>
    <row r="925" ht="13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</row>
    <row r="926" ht="13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</row>
    <row r="927" ht="13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</row>
    <row r="928" ht="13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</row>
    <row r="929" ht="13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</row>
    <row r="930" ht="13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</row>
    <row r="931" ht="13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</row>
    <row r="932" ht="13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</row>
    <row r="933" ht="13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</row>
    <row r="934" ht="13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</row>
    <row r="935" ht="13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</row>
    <row r="936" ht="13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</row>
    <row r="937" ht="13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</row>
    <row r="938" ht="13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</row>
    <row r="939" ht="13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</row>
    <row r="940" ht="13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</row>
    <row r="941" ht="13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</row>
    <row r="942" ht="13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</row>
    <row r="943" ht="13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</row>
    <row r="944" ht="13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</row>
    <row r="945" ht="13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</row>
    <row r="946" ht="13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</row>
    <row r="947" ht="13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</row>
    <row r="948" ht="13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</row>
    <row r="949" ht="13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</row>
    <row r="950" ht="13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</row>
    <row r="951" ht="13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</row>
    <row r="952" ht="13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</row>
    <row r="953" ht="13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</row>
    <row r="954" ht="13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</row>
    <row r="955" ht="13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</row>
    <row r="956" ht="13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</row>
    <row r="957" ht="13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</row>
    <row r="958" ht="13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</row>
    <row r="959" ht="13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</row>
    <row r="960" ht="13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</row>
    <row r="961" ht="13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</row>
    <row r="962" ht="13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</row>
    <row r="963" ht="13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</row>
    <row r="964" ht="13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</row>
    <row r="965" ht="13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</row>
    <row r="966" ht="13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</row>
    <row r="967" ht="13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</row>
    <row r="968" ht="13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</row>
    <row r="969" ht="13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</row>
    <row r="970" ht="13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</row>
    <row r="971" ht="13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</row>
    <row r="972" ht="13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</row>
    <row r="973" ht="13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</row>
    <row r="974" ht="13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</row>
    <row r="975" ht="13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</row>
    <row r="976" ht="13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</row>
    <row r="977" ht="13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</row>
    <row r="978" ht="13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</row>
    <row r="979" ht="13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</row>
    <row r="980" ht="13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</row>
    <row r="981" ht="13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</row>
    <row r="982" ht="13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</row>
    <row r="983" ht="13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</row>
    <row r="984" ht="13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</row>
    <row r="985" ht="13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</row>
    <row r="986" ht="13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</row>
    <row r="987" ht="13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</row>
    <row r="988" ht="13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</row>
    <row r="989" ht="13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</row>
    <row r="990" ht="13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</row>
    <row r="991" ht="13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</row>
    <row r="992" ht="13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</row>
    <row r="993" ht="13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</row>
    <row r="994" ht="13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</row>
    <row r="995" ht="13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</row>
    <row r="996" ht="13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</row>
    <row r="997" ht="13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</row>
    <row r="998" ht="13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</row>
    <row r="999" ht="13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</row>
    <row r="1000" ht="13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</row>
  </sheetData>
  <mergeCells count="25">
    <mergeCell ref="A1:AI1"/>
    <mergeCell ref="A2:AI2"/>
    <mergeCell ref="B5:AI5"/>
    <mergeCell ref="C7:F7"/>
    <mergeCell ref="R7:U7"/>
    <mergeCell ref="B10:I10"/>
    <mergeCell ref="Q10:X10"/>
    <mergeCell ref="AE25:AI25"/>
    <mergeCell ref="AE26:AI26"/>
    <mergeCell ref="AE27:AI27"/>
    <mergeCell ref="AE28:AI28"/>
    <mergeCell ref="B30:I30"/>
    <mergeCell ref="Q30:X30"/>
    <mergeCell ref="B35:I35"/>
    <mergeCell ref="Q35:X35"/>
    <mergeCell ref="B40:I40"/>
    <mergeCell ref="Q40:X40"/>
    <mergeCell ref="B45:I45"/>
    <mergeCell ref="B15:I15"/>
    <mergeCell ref="Q15:X15"/>
    <mergeCell ref="B20:I20"/>
    <mergeCell ref="Q20:X20"/>
    <mergeCell ref="AE24:AI24"/>
    <mergeCell ref="B25:I25"/>
    <mergeCell ref="Q25:X25"/>
  </mergeCells>
  <printOptions/>
  <pageMargins bottom="1.0" footer="0.0" header="0.0" left="0.75" right="0.75" top="1.0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hidden="1" min="1" max="1" width="6.0"/>
    <col customWidth="1" min="2" max="2" width="36.88"/>
    <col customWidth="1" min="3" max="3" width="7.0"/>
    <col customWidth="1" hidden="1" min="4" max="4" width="6.13"/>
    <col customWidth="1" min="5" max="5" width="1.63"/>
    <col customWidth="1" min="6" max="6" width="7.0"/>
    <col customWidth="1" hidden="1" min="7" max="7" width="6.13"/>
    <col customWidth="1" min="8" max="8" width="1.63"/>
    <col customWidth="1" min="9" max="9" width="7.0"/>
    <col customWidth="1" hidden="1" min="10" max="10" width="6.13"/>
    <col customWidth="1" hidden="1" min="11" max="11" width="7.5"/>
    <col customWidth="1" hidden="1" min="12" max="12" width="11.38"/>
    <col customWidth="1" hidden="1" min="13" max="13" width="8.0"/>
    <col customWidth="1" hidden="1" min="14" max="14" width="6.13"/>
    <col customWidth="1" min="15" max="15" width="4.38"/>
    <col customWidth="1" hidden="1" min="16" max="16" width="7.38"/>
    <col customWidth="1" min="17" max="17" width="36.88"/>
    <col customWidth="1" min="18" max="18" width="7.0"/>
    <col customWidth="1" hidden="1" min="19" max="19" width="6.13"/>
    <col customWidth="1" min="20" max="20" width="1.63"/>
    <col customWidth="1" min="21" max="21" width="7.0"/>
    <col customWidth="1" hidden="1" min="22" max="22" width="6.13"/>
    <col customWidth="1" min="23" max="23" width="1.63"/>
    <col customWidth="1" min="24" max="24" width="7.0"/>
    <col customWidth="1" hidden="1" min="25" max="25" width="6.13"/>
    <col customWidth="1" hidden="1" min="26" max="26" width="7.5"/>
    <col customWidth="1" hidden="1" min="27" max="27" width="11.38"/>
    <col customWidth="1" hidden="1" min="28" max="28" width="8.0"/>
    <col customWidth="1" hidden="1" min="29" max="29" width="6.13"/>
    <col customWidth="1" min="30" max="30" width="4.63"/>
    <col customWidth="1" min="31" max="31" width="39.63"/>
    <col customWidth="1" min="32" max="35" width="8.63"/>
    <col customWidth="1" hidden="1" min="36" max="36" width="9.38"/>
    <col customWidth="1" hidden="1" min="37" max="37" width="8.0"/>
    <col customWidth="1" hidden="1" min="38" max="38" width="41.13"/>
    <col customWidth="1" min="39" max="40" width="9.38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2" s="1" t="s">
        <v>1</v>
      </c>
      <c r="AJ2" s="4"/>
      <c r="AK2" s="4"/>
      <c r="AL2" s="4"/>
      <c r="AM2" s="4"/>
      <c r="AN2" s="4"/>
    </row>
    <row r="3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30.0" customHeight="1">
      <c r="A5" s="15"/>
      <c r="B5" s="104" t="s">
        <v>115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  <c r="AJ5" s="15"/>
      <c r="AK5" s="15"/>
      <c r="AL5" s="15"/>
      <c r="AM5" s="15"/>
      <c r="AN5" s="15"/>
    </row>
    <row r="6" ht="13.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ht="13.5" customHeight="1">
      <c r="A7" s="15"/>
      <c r="B7" s="105" t="s">
        <v>65</v>
      </c>
      <c r="C7" s="106" t="s">
        <v>66</v>
      </c>
      <c r="D7" s="21"/>
      <c r="E7" s="21"/>
      <c r="F7" s="7"/>
      <c r="G7" s="107"/>
      <c r="H7" s="108"/>
      <c r="I7" s="105" t="s">
        <v>67</v>
      </c>
      <c r="J7" s="15"/>
      <c r="K7" s="15"/>
      <c r="L7" s="15"/>
      <c r="M7" s="24"/>
      <c r="N7" s="24"/>
      <c r="O7" s="15"/>
      <c r="P7" s="15"/>
      <c r="Q7" s="105" t="s">
        <v>65</v>
      </c>
      <c r="R7" s="106" t="s">
        <v>66</v>
      </c>
      <c r="S7" s="21"/>
      <c r="T7" s="21"/>
      <c r="U7" s="7"/>
      <c r="V7" s="107"/>
      <c r="W7" s="108"/>
      <c r="X7" s="105" t="s">
        <v>67</v>
      </c>
      <c r="Y7" s="24"/>
      <c r="Z7" s="24"/>
      <c r="AA7" s="24"/>
      <c r="AB7" s="24"/>
      <c r="AC7" s="24"/>
      <c r="AD7" s="15"/>
      <c r="AE7" s="105" t="s">
        <v>68</v>
      </c>
      <c r="AF7" s="105" t="s">
        <v>69</v>
      </c>
      <c r="AG7" s="105" t="s">
        <v>70</v>
      </c>
      <c r="AH7" s="105" t="s">
        <v>71</v>
      </c>
      <c r="AI7" s="105" t="s">
        <v>72</v>
      </c>
      <c r="AJ7" s="24"/>
      <c r="AK7" s="24"/>
      <c r="AL7" s="24"/>
      <c r="AM7" s="15"/>
      <c r="AN7" s="15"/>
    </row>
    <row r="8" ht="13.5" hidden="1" customHeight="1">
      <c r="A8" s="15"/>
      <c r="B8" s="15"/>
      <c r="C8" s="25" t="s">
        <v>73</v>
      </c>
      <c r="D8" s="25" t="s">
        <v>74</v>
      </c>
      <c r="E8" s="25"/>
      <c r="F8" s="25" t="s">
        <v>73</v>
      </c>
      <c r="G8" s="25" t="s">
        <v>75</v>
      </c>
      <c r="H8" s="25"/>
      <c r="I8" s="25" t="s">
        <v>73</v>
      </c>
      <c r="J8" s="25" t="s">
        <v>76</v>
      </c>
      <c r="K8" s="25" t="s">
        <v>77</v>
      </c>
      <c r="L8" s="25" t="s">
        <v>78</v>
      </c>
      <c r="M8" s="25" t="s">
        <v>79</v>
      </c>
      <c r="N8" s="25" t="s">
        <v>80</v>
      </c>
      <c r="O8" s="15"/>
      <c r="P8" s="15"/>
      <c r="Q8" s="15"/>
      <c r="R8" s="25" t="s">
        <v>73</v>
      </c>
      <c r="S8" s="25" t="s">
        <v>74</v>
      </c>
      <c r="T8" s="25"/>
      <c r="U8" s="25" t="s">
        <v>73</v>
      </c>
      <c r="V8" s="25" t="s">
        <v>75</v>
      </c>
      <c r="W8" s="25"/>
      <c r="X8" s="25" t="s">
        <v>73</v>
      </c>
      <c r="Y8" s="25" t="s">
        <v>76</v>
      </c>
      <c r="Z8" s="25" t="s">
        <v>77</v>
      </c>
      <c r="AA8" s="25" t="s">
        <v>78</v>
      </c>
      <c r="AB8" s="25" t="s">
        <v>79</v>
      </c>
      <c r="AC8" s="25" t="s">
        <v>80</v>
      </c>
      <c r="AD8" s="15"/>
      <c r="AE8" s="24"/>
      <c r="AF8" s="24"/>
      <c r="AG8" s="24"/>
      <c r="AH8" s="24"/>
      <c r="AI8" s="24"/>
      <c r="AJ8" s="25" t="s">
        <v>81</v>
      </c>
      <c r="AK8" s="26" t="s">
        <v>82</v>
      </c>
      <c r="AL8" s="27" t="s">
        <v>83</v>
      </c>
      <c r="AM8" s="15"/>
      <c r="AN8" s="15"/>
    </row>
    <row r="9" ht="15.0" customHeight="1">
      <c r="A9" s="15"/>
      <c r="B9" s="28" t="str">
        <f>AE9</f>
        <v>Brenda Baldacchino / Deborah Farrugia</v>
      </c>
      <c r="C9" s="29">
        <v>1.0</v>
      </c>
      <c r="D9" s="30">
        <f>IF(C9&gt;C11,1,0)</f>
        <v>0</v>
      </c>
      <c r="E9" s="31"/>
      <c r="F9" s="29">
        <v>3.0</v>
      </c>
      <c r="G9" s="30">
        <f>IF(F9&gt;F11,1,0)</f>
        <v>0</v>
      </c>
      <c r="H9" s="31"/>
      <c r="I9" s="32"/>
      <c r="J9" s="15">
        <f>IF(I9&gt;I11,1,0)</f>
        <v>0</v>
      </c>
      <c r="K9" s="15">
        <f>IF(D9+G9=2,3,IF(D9+G9=1,1,0))</f>
        <v>0</v>
      </c>
      <c r="L9" s="15">
        <f>IF(K9=3,3,IF(J9+K9=2,2,IF(K9=1,1,0)))</f>
        <v>0</v>
      </c>
      <c r="M9" s="15">
        <f>C9+F9</f>
        <v>4</v>
      </c>
      <c r="N9" s="15">
        <f>D9+G9+J9</f>
        <v>0</v>
      </c>
      <c r="O9" s="15"/>
      <c r="P9" s="15"/>
      <c r="Q9" s="28" t="str">
        <f>AE9</f>
        <v>Brenda Baldacchino / Deborah Farrugia</v>
      </c>
      <c r="R9" s="29">
        <v>2.0</v>
      </c>
      <c r="S9" s="30">
        <f>IF(R9&gt;R11,1,0)</f>
        <v>0</v>
      </c>
      <c r="T9" s="31"/>
      <c r="U9" s="29">
        <v>4.0</v>
      </c>
      <c r="V9" s="30">
        <f>IF(U9&gt;U11,1,0)</f>
        <v>0</v>
      </c>
      <c r="W9" s="31"/>
      <c r="X9" s="32"/>
      <c r="Y9" s="15">
        <f>IF(X9&gt;X11,1,0)</f>
        <v>0</v>
      </c>
      <c r="Z9" s="15">
        <f>IF(S9+V9=2,3,IF(S9+V9=1,1,0))</f>
        <v>0</v>
      </c>
      <c r="AA9" s="15">
        <f>IF(Z9=3,3,IF(Y9+Z9=2,2,IF(Z9=1,1,0)))</f>
        <v>0</v>
      </c>
      <c r="AB9" s="15">
        <f>R9+U9</f>
        <v>6</v>
      </c>
      <c r="AC9" s="15">
        <f>S9+V9+Y9</f>
        <v>0</v>
      </c>
      <c r="AD9" s="15"/>
      <c r="AE9" s="109" t="str">
        <f>'Players Ladies'!B14&amp; " / " &amp;'Players Ladies'!C14</f>
        <v>Brenda Baldacchino / Deborah Farrugia</v>
      </c>
      <c r="AF9" s="34">
        <f>C12+R12+C17+R17+C22</f>
        <v>5</v>
      </c>
      <c r="AG9" s="34">
        <f t="shared" ref="AG9:AI9" si="1">L9+AA9+L14+AA14+L19</f>
        <v>2</v>
      </c>
      <c r="AH9" s="34">
        <f t="shared" si="1"/>
        <v>25</v>
      </c>
      <c r="AI9" s="35">
        <f t="shared" si="1"/>
        <v>2</v>
      </c>
      <c r="AJ9" s="15">
        <f>MAX(AG16,AG14,AG11,AG9,AG19,AG21)</f>
        <v>14</v>
      </c>
      <c r="AK9" s="15">
        <f>SUM(AF9:AF21)</f>
        <v>30</v>
      </c>
      <c r="AL9" s="15" t="str">
        <f>IF(AG9=$AJ$9,AE9,IF(AG11=$AJ$9,AE11,IF(AG14=$AJ$9,AE14,IF(AG16=$AJ$9,AE16,IF(AG19=$AJ$9,AE19,IF(AG21=$AJ$9,AE21,""))))))</f>
        <v>Annabelle Abela / Tiziana Anastasi</v>
      </c>
      <c r="AM9" s="15"/>
      <c r="AN9" s="15"/>
    </row>
    <row r="10" ht="13.5" customHeight="1">
      <c r="A10" s="15"/>
      <c r="B10" s="36" t="s">
        <v>84</v>
      </c>
      <c r="I10" s="37"/>
      <c r="J10" s="38"/>
      <c r="K10" s="15"/>
      <c r="L10" s="15"/>
      <c r="M10" s="15"/>
      <c r="N10" s="15"/>
      <c r="O10" s="15"/>
      <c r="P10" s="15"/>
      <c r="Q10" s="36" t="s">
        <v>84</v>
      </c>
      <c r="X10" s="37"/>
      <c r="Y10" s="3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24"/>
      <c r="AL10" s="24"/>
      <c r="AM10" s="15"/>
      <c r="AN10" s="15"/>
    </row>
    <row r="11" ht="13.5" customHeight="1">
      <c r="A11" s="15"/>
      <c r="B11" s="39" t="str">
        <f>AE11</f>
        <v>Alexia Gouder / Jennifer Mifsud</v>
      </c>
      <c r="C11" s="29">
        <v>6.0</v>
      </c>
      <c r="D11" s="40">
        <f>IF(C11&gt;C9,1,0)</f>
        <v>1</v>
      </c>
      <c r="E11" s="41"/>
      <c r="F11" s="29">
        <v>6.0</v>
      </c>
      <c r="G11" s="40">
        <f>IF(F11&gt;F9,1,0)</f>
        <v>1</v>
      </c>
      <c r="H11" s="41"/>
      <c r="I11" s="32"/>
      <c r="J11" s="15">
        <f>IF(I11&gt;I9,1,0)</f>
        <v>0</v>
      </c>
      <c r="K11" s="15">
        <f>IF(D11+G11=2,3,IF(D11+G11=1,1,0))</f>
        <v>3</v>
      </c>
      <c r="L11" s="15">
        <f>IF(K11=3,3,IF(J11+K11=2,2,IF(K11=1,1,0)))</f>
        <v>3</v>
      </c>
      <c r="M11" s="15">
        <f>C11+F11</f>
        <v>12</v>
      </c>
      <c r="N11" s="15">
        <f>D11+G11+J11</f>
        <v>2</v>
      </c>
      <c r="O11" s="15"/>
      <c r="P11" s="15"/>
      <c r="Q11" s="39" t="str">
        <f>AE14</f>
        <v>Ruth Micallef / Mirka Micallef</v>
      </c>
      <c r="R11" s="29">
        <v>6.0</v>
      </c>
      <c r="S11" s="40">
        <f>IF(R11&gt;R9,1,0)</f>
        <v>1</v>
      </c>
      <c r="T11" s="41"/>
      <c r="U11" s="29">
        <v>6.0</v>
      </c>
      <c r="V11" s="40">
        <f>IF(U11&gt;U9,1,0)</f>
        <v>1</v>
      </c>
      <c r="W11" s="41"/>
      <c r="X11" s="32"/>
      <c r="Y11" s="15">
        <f>IF(X11&gt;X9,1,0)</f>
        <v>0</v>
      </c>
      <c r="Z11" s="15">
        <f>IF(S11+V11=2,3,IF(S11+V11=1,1,0))</f>
        <v>3</v>
      </c>
      <c r="AA11" s="15">
        <f>IF(Z11=3,3,IF(Y11+Z11=2,2,IF(Z11=1,1,0)))</f>
        <v>3</v>
      </c>
      <c r="AB11" s="15">
        <f>R11+U11</f>
        <v>12</v>
      </c>
      <c r="AC11" s="15">
        <f>S11+V11+Y11</f>
        <v>2</v>
      </c>
      <c r="AD11" s="15"/>
      <c r="AE11" s="109" t="str">
        <f>'Players Ladies'!B15&amp; " / " &amp;'Players Ladies'!C15</f>
        <v>Alexia Gouder / Jennifer Mifsud</v>
      </c>
      <c r="AF11" s="34">
        <f>F12+R32+C27+R27+R22</f>
        <v>5</v>
      </c>
      <c r="AG11" s="34">
        <f t="shared" ref="AG11:AI11" si="2">L11+AA29+L24+AA24+AA19</f>
        <v>12</v>
      </c>
      <c r="AH11" s="34">
        <f t="shared" si="2"/>
        <v>59</v>
      </c>
      <c r="AI11" s="35">
        <f t="shared" si="2"/>
        <v>9</v>
      </c>
      <c r="AJ11" s="24"/>
      <c r="AK11" s="24"/>
      <c r="AL11" s="24"/>
      <c r="AM11" s="15"/>
      <c r="AN11" s="15"/>
    </row>
    <row r="12" ht="13.5" hidden="1" customHeight="1">
      <c r="A12" s="15" t="s">
        <v>85</v>
      </c>
      <c r="B12" s="15"/>
      <c r="C12" s="42">
        <f>IF(C9="",0,1)</f>
        <v>1</v>
      </c>
      <c r="D12" s="15"/>
      <c r="E12" s="15"/>
      <c r="F12" s="42">
        <f>IF(C11="",0,1)</f>
        <v>1</v>
      </c>
      <c r="G12" s="15"/>
      <c r="H12" s="15"/>
      <c r="I12" s="15"/>
      <c r="J12" s="15"/>
      <c r="K12" s="15"/>
      <c r="L12" s="15"/>
      <c r="M12" s="15"/>
      <c r="N12" s="15"/>
      <c r="O12" s="15"/>
      <c r="P12" s="15" t="s">
        <v>85</v>
      </c>
      <c r="Q12" s="15"/>
      <c r="R12" s="42">
        <f>IF(R9="",0,1)</f>
        <v>1</v>
      </c>
      <c r="S12" s="15"/>
      <c r="T12" s="15"/>
      <c r="U12" s="42">
        <f>IF(R11="",0,1)</f>
        <v>1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24"/>
      <c r="AG12" s="24"/>
      <c r="AH12" s="24"/>
      <c r="AI12" s="24"/>
      <c r="AJ12" s="24"/>
      <c r="AK12" s="15"/>
      <c r="AL12" s="15"/>
      <c r="AM12" s="15"/>
      <c r="AN12" s="15"/>
    </row>
    <row r="13" ht="13.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24"/>
      <c r="AG13" s="24"/>
      <c r="AH13" s="24"/>
      <c r="AI13" s="24"/>
      <c r="AJ13" s="24"/>
      <c r="AK13" s="24"/>
      <c r="AL13" s="24"/>
      <c r="AM13" s="15"/>
      <c r="AN13" s="15"/>
    </row>
    <row r="14" ht="13.5" customHeight="1">
      <c r="A14" s="15"/>
      <c r="B14" s="28" t="str">
        <f>AE9</f>
        <v>Brenda Baldacchino / Deborah Farrugia</v>
      </c>
      <c r="C14" s="29">
        <v>1.0</v>
      </c>
      <c r="D14" s="30">
        <f>IF(C14&gt;C16,1,0)</f>
        <v>0</v>
      </c>
      <c r="E14" s="31"/>
      <c r="F14" s="29">
        <v>1.0</v>
      </c>
      <c r="G14" s="30">
        <f>IF(F14&gt;F16,1,0)</f>
        <v>0</v>
      </c>
      <c r="H14" s="31"/>
      <c r="I14" s="32"/>
      <c r="J14" s="15">
        <f>IF(I14&gt;I16,1,0)</f>
        <v>0</v>
      </c>
      <c r="K14" s="15">
        <f>IF(D14+G14=2,3,IF(D14+G14=1,1,0))</f>
        <v>0</v>
      </c>
      <c r="L14" s="15">
        <f>IF(K14=3,3,IF(J14+K14=2,2,IF(K14=1,1,0)))</f>
        <v>0</v>
      </c>
      <c r="M14" s="15">
        <f>C14+F14</f>
        <v>2</v>
      </c>
      <c r="N14" s="15">
        <f>D14+G14+J14</f>
        <v>0</v>
      </c>
      <c r="O14" s="15"/>
      <c r="P14" s="15"/>
      <c r="Q14" s="28" t="str">
        <f>AE9</f>
        <v>Brenda Baldacchino / Deborah Farrugia</v>
      </c>
      <c r="R14" s="29">
        <v>4.0</v>
      </c>
      <c r="S14" s="30">
        <f>IF(R14&gt;R16,1,0)</f>
        <v>0</v>
      </c>
      <c r="T14" s="31"/>
      <c r="U14" s="29">
        <v>2.0</v>
      </c>
      <c r="V14" s="30">
        <f>IF(U14&gt;U16,1,0)</f>
        <v>0</v>
      </c>
      <c r="W14" s="31"/>
      <c r="X14" s="32"/>
      <c r="Y14" s="15">
        <f>IF(X14&gt;X16,1,0)</f>
        <v>0</v>
      </c>
      <c r="Z14" s="15">
        <f>IF(S14+V14=2,3,IF(S14+V14=1,1,0))</f>
        <v>0</v>
      </c>
      <c r="AA14" s="15">
        <f>IF(Z14=3,3,IF(Y14+Z14=2,2,IF(Z14=1,1,0)))</f>
        <v>0</v>
      </c>
      <c r="AB14" s="15">
        <f>R14+U14</f>
        <v>6</v>
      </c>
      <c r="AC14" s="15">
        <f>S14+V14+Y14</f>
        <v>0</v>
      </c>
      <c r="AD14" s="15"/>
      <c r="AE14" s="109" t="str">
        <f>'Players Ladies'!B16&amp; " / " &amp;'Players Ladies'!C16</f>
        <v>Ruth Micallef / Mirka Micallef</v>
      </c>
      <c r="AF14" s="34">
        <f>R37+U12+R42+C32+U22</f>
        <v>5</v>
      </c>
      <c r="AG14" s="34">
        <f t="shared" ref="AG14:AI14" si="3">AA34+AA11+AA39+L29+AA21</f>
        <v>7</v>
      </c>
      <c r="AH14" s="34">
        <f t="shared" si="3"/>
        <v>43</v>
      </c>
      <c r="AI14" s="35">
        <f t="shared" si="3"/>
        <v>6</v>
      </c>
      <c r="AJ14" s="24"/>
      <c r="AK14" s="24"/>
      <c r="AL14" s="24"/>
      <c r="AM14" s="15"/>
      <c r="AN14" s="15"/>
    </row>
    <row r="15" ht="13.5" customHeight="1">
      <c r="A15" s="15"/>
      <c r="B15" s="36" t="s">
        <v>84</v>
      </c>
      <c r="I15" s="37"/>
      <c r="J15" s="38"/>
      <c r="K15" s="15"/>
      <c r="L15" s="15"/>
      <c r="M15" s="15"/>
      <c r="N15" s="15"/>
      <c r="O15" s="15"/>
      <c r="P15" s="15"/>
      <c r="Q15" s="36" t="s">
        <v>84</v>
      </c>
      <c r="X15" s="37"/>
      <c r="Y15" s="38"/>
      <c r="Z15" s="15"/>
      <c r="AA15" s="15"/>
      <c r="AB15" s="15"/>
      <c r="AC15" s="15"/>
      <c r="AD15" s="15"/>
      <c r="AE15" s="15"/>
      <c r="AF15" s="24"/>
      <c r="AG15" s="24"/>
      <c r="AH15" s="24"/>
      <c r="AI15" s="24"/>
      <c r="AJ15" s="24"/>
      <c r="AK15" s="24"/>
      <c r="AL15" s="24"/>
      <c r="AM15" s="15"/>
      <c r="AN15" s="15"/>
    </row>
    <row r="16" ht="13.5" customHeight="1">
      <c r="A16" s="15"/>
      <c r="B16" s="39" t="str">
        <f>AE16</f>
        <v>Annabelle Abela / Tiziana Anastasi</v>
      </c>
      <c r="C16" s="29">
        <v>6.0</v>
      </c>
      <c r="D16" s="40">
        <f>IF(C16&gt;C14,1,0)</f>
        <v>1</v>
      </c>
      <c r="E16" s="41"/>
      <c r="F16" s="29">
        <v>6.0</v>
      </c>
      <c r="G16" s="40">
        <f>IF(F16&gt;F14,1,0)</f>
        <v>1</v>
      </c>
      <c r="H16" s="41"/>
      <c r="I16" s="32"/>
      <c r="J16" s="15">
        <f>IF(I16&gt;I14,1,0)</f>
        <v>0</v>
      </c>
      <c r="K16" s="15">
        <f>IF(D16+G16=2,3,IF(D16+G16=1,1,0))</f>
        <v>3</v>
      </c>
      <c r="L16" s="15">
        <f>IF(K16=3,3,IF(J16+K16=2,2,IF(K16=1,1,0)))</f>
        <v>3</v>
      </c>
      <c r="M16" s="15">
        <f>C16+F16</f>
        <v>12</v>
      </c>
      <c r="N16" s="15">
        <f>D16+G16+J16</f>
        <v>2</v>
      </c>
      <c r="O16" s="15"/>
      <c r="P16" s="15"/>
      <c r="Q16" s="39" t="str">
        <f>AE19</f>
        <v>Diane Fenech / Heidi Tabone</v>
      </c>
      <c r="R16" s="29">
        <v>6.0</v>
      </c>
      <c r="S16" s="40">
        <f>IF(R16&gt;R14,1,0)</f>
        <v>1</v>
      </c>
      <c r="T16" s="41"/>
      <c r="U16" s="29">
        <v>6.0</v>
      </c>
      <c r="V16" s="40">
        <f>IF(U16&gt;U14,1,0)</f>
        <v>1</v>
      </c>
      <c r="W16" s="41"/>
      <c r="X16" s="32"/>
      <c r="Y16" s="15">
        <f>IF(X16&gt;X14,1,0)</f>
        <v>0</v>
      </c>
      <c r="Z16" s="15">
        <f>IF(S16+V16=2,3,IF(S16+V16=1,1,0))</f>
        <v>3</v>
      </c>
      <c r="AA16" s="15">
        <f>IF(Z16=3,3,IF(Y16+Z16=2,2,IF(Z16=1,1,0)))</f>
        <v>3</v>
      </c>
      <c r="AB16" s="15">
        <f>R16+U16</f>
        <v>12</v>
      </c>
      <c r="AC16" s="15">
        <f>S16+V16+Y16</f>
        <v>2</v>
      </c>
      <c r="AD16" s="15"/>
      <c r="AE16" s="109" t="str">
        <f>'Players Ladies'!B17&amp; " / " &amp;'Players Ladies'!C17</f>
        <v>Annabelle Abela / Tiziana Anastasi</v>
      </c>
      <c r="AF16" s="34">
        <f>U37+C47+F17+U27+C37</f>
        <v>5</v>
      </c>
      <c r="AG16" s="34">
        <f t="shared" ref="AG16:AI16" si="4">AA36+L44+L16+AA26+L34</f>
        <v>14</v>
      </c>
      <c r="AH16" s="34">
        <f t="shared" si="4"/>
        <v>57</v>
      </c>
      <c r="AI16" s="35">
        <f t="shared" si="4"/>
        <v>10</v>
      </c>
      <c r="AJ16" s="24"/>
      <c r="AK16" s="24"/>
      <c r="AL16" s="24"/>
      <c r="AM16" s="15"/>
      <c r="AN16" s="15"/>
    </row>
    <row r="17" ht="13.5" hidden="1" customHeight="1">
      <c r="A17" s="15" t="s">
        <v>85</v>
      </c>
      <c r="B17" s="15"/>
      <c r="C17" s="42">
        <f>IF(C14="",0,1)</f>
        <v>1</v>
      </c>
      <c r="D17" s="15"/>
      <c r="E17" s="15"/>
      <c r="F17" s="42">
        <f>IF(C16="",0,1)</f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 t="s">
        <v>85</v>
      </c>
      <c r="Q17" s="15"/>
      <c r="R17" s="42">
        <f>IF(R14="",0,1)</f>
        <v>1</v>
      </c>
      <c r="S17" s="15"/>
      <c r="T17" s="15"/>
      <c r="U17" s="42">
        <f>IF(R16="",0,1)</f>
        <v>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24"/>
      <c r="AG17" s="24"/>
      <c r="AH17" s="24"/>
      <c r="AI17" s="24"/>
      <c r="AJ17" s="24"/>
      <c r="AK17" s="15"/>
      <c r="AL17" s="15"/>
      <c r="AM17" s="15"/>
      <c r="AN17" s="15"/>
    </row>
    <row r="18" ht="13.5" customHeight="1">
      <c r="A18" s="15"/>
      <c r="B18" s="15"/>
      <c r="C18" s="2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24"/>
      <c r="AG18" s="24"/>
      <c r="AH18" s="24"/>
      <c r="AI18" s="24"/>
      <c r="AJ18" s="24"/>
      <c r="AK18" s="24"/>
      <c r="AL18" s="24"/>
      <c r="AM18" s="15"/>
      <c r="AN18" s="15"/>
    </row>
    <row r="19" ht="13.5" customHeight="1">
      <c r="A19" s="15"/>
      <c r="B19" s="28" t="str">
        <f>AE9</f>
        <v>Brenda Baldacchino / Deborah Farrugia</v>
      </c>
      <c r="C19" s="29">
        <v>0.0</v>
      </c>
      <c r="D19" s="30">
        <f>IF(C19&gt;C21,1,0)</f>
        <v>0</v>
      </c>
      <c r="E19" s="31"/>
      <c r="F19" s="29">
        <v>7.0</v>
      </c>
      <c r="G19" s="30">
        <f>IF(F19&gt;F21,1,0)</f>
        <v>1</v>
      </c>
      <c r="H19" s="31"/>
      <c r="I19" s="29">
        <v>10.0</v>
      </c>
      <c r="J19" s="15">
        <f>IF(I19&gt;I21,1,0)</f>
        <v>1</v>
      </c>
      <c r="K19" s="15">
        <f>IF(D19+G19=2,3,IF(D19+G19=1,1,0))</f>
        <v>1</v>
      </c>
      <c r="L19" s="15">
        <f>IF(K19=3,3,IF(J19+K19=2,2,IF(K19=1,1,0)))</f>
        <v>2</v>
      </c>
      <c r="M19" s="15">
        <f>C19+F19</f>
        <v>7</v>
      </c>
      <c r="N19" s="15">
        <f>D19+G19+J19</f>
        <v>2</v>
      </c>
      <c r="O19" s="15"/>
      <c r="P19" s="15"/>
      <c r="Q19" s="28" t="str">
        <f>AE11</f>
        <v>Alexia Gouder / Jennifer Mifsud</v>
      </c>
      <c r="R19" s="29">
        <v>3.0</v>
      </c>
      <c r="S19" s="30">
        <f>IF(R19&gt;R21,1,0)</f>
        <v>0</v>
      </c>
      <c r="T19" s="31"/>
      <c r="U19" s="29">
        <v>6.0</v>
      </c>
      <c r="V19" s="30">
        <f>IF(U19&gt;U21,1,0)</f>
        <v>1</v>
      </c>
      <c r="W19" s="31"/>
      <c r="X19" s="29">
        <v>10.0</v>
      </c>
      <c r="Y19" s="15">
        <f>IF(X19&gt;X21,1,0)</f>
        <v>1</v>
      </c>
      <c r="Z19" s="15">
        <f>IF(S19+V19=2,3,IF(S19+V19=1,1,0))</f>
        <v>1</v>
      </c>
      <c r="AA19" s="15">
        <f>IF(Z19=3,3,IF(Y19+Z19=2,2,IF(Z19=1,1,0)))</f>
        <v>2</v>
      </c>
      <c r="AB19" s="15">
        <f>R19+U19</f>
        <v>9</v>
      </c>
      <c r="AC19" s="15">
        <f>S19+V19+Y19</f>
        <v>2</v>
      </c>
      <c r="AD19" s="15"/>
      <c r="AE19" s="109" t="str">
        <f>'Players Ladies'!B18&amp; " / " &amp;'Players Ladies'!C18</f>
        <v>Diane Fenech / Heidi Tabone</v>
      </c>
      <c r="AF19" s="34">
        <f>C42+F47+F27+U17+F32</f>
        <v>5</v>
      </c>
      <c r="AG19" s="34">
        <f t="shared" ref="AG19:AI19" si="5">L39+L46+L26+AA16+L31</f>
        <v>4</v>
      </c>
      <c r="AH19" s="34">
        <f t="shared" si="5"/>
        <v>47</v>
      </c>
      <c r="AI19" s="35">
        <f t="shared" si="5"/>
        <v>3</v>
      </c>
      <c r="AJ19" s="24"/>
      <c r="AK19" s="24"/>
      <c r="AL19" s="24"/>
      <c r="AM19" s="15"/>
      <c r="AN19" s="15"/>
    </row>
    <row r="20" ht="13.5" customHeight="1">
      <c r="A20" s="15"/>
      <c r="B20" s="36" t="s">
        <v>84</v>
      </c>
      <c r="I20" s="37"/>
      <c r="J20" s="38"/>
      <c r="K20" s="15"/>
      <c r="L20" s="15"/>
      <c r="M20" s="15"/>
      <c r="N20" s="15"/>
      <c r="O20" s="15"/>
      <c r="P20" s="15"/>
      <c r="Q20" s="36" t="s">
        <v>84</v>
      </c>
      <c r="X20" s="37"/>
      <c r="Y20" s="38"/>
      <c r="Z20" s="15"/>
      <c r="AA20" s="15"/>
      <c r="AB20" s="15"/>
      <c r="AC20" s="15"/>
      <c r="AD20" s="15"/>
      <c r="AE20" s="15"/>
      <c r="AF20" s="24"/>
      <c r="AG20" s="24"/>
      <c r="AH20" s="24"/>
      <c r="AI20" s="24"/>
      <c r="AJ20" s="24"/>
      <c r="AK20" s="24"/>
      <c r="AL20" s="24"/>
      <c r="AM20" s="15"/>
      <c r="AN20" s="15"/>
    </row>
    <row r="21" ht="13.5" customHeight="1">
      <c r="A21" s="15"/>
      <c r="B21" s="39" t="str">
        <f>AE21</f>
        <v>Mariska Steenkamer / Yanika Pace</v>
      </c>
      <c r="C21" s="29">
        <v>6.0</v>
      </c>
      <c r="D21" s="40">
        <f>IF(C21&gt;C19,1,0)</f>
        <v>1</v>
      </c>
      <c r="E21" s="41"/>
      <c r="F21" s="29">
        <v>6.0</v>
      </c>
      <c r="G21" s="40">
        <f>IF(F21&gt;F19,1,0)</f>
        <v>0</v>
      </c>
      <c r="H21" s="41"/>
      <c r="I21" s="29">
        <v>0.0</v>
      </c>
      <c r="J21" s="15">
        <f>IF(I21&gt;I19,1,0)</f>
        <v>0</v>
      </c>
      <c r="K21" s="15">
        <f>IF(D21+G21=2,3,IF(D21+G21=1,1,0))</f>
        <v>1</v>
      </c>
      <c r="L21" s="15">
        <f>IF(K21=3,3,IF(J21+K21=2,2,IF(K21=1,1,0)))</f>
        <v>1</v>
      </c>
      <c r="M21" s="15">
        <f>C21+F21</f>
        <v>12</v>
      </c>
      <c r="N21" s="15">
        <f>D21+G21+J21</f>
        <v>1</v>
      </c>
      <c r="O21" s="15"/>
      <c r="P21" s="15"/>
      <c r="Q21" s="39" t="str">
        <f>AE14</f>
        <v>Ruth Micallef / Mirka Micallef</v>
      </c>
      <c r="R21" s="29">
        <v>6.0</v>
      </c>
      <c r="S21" s="40">
        <f>IF(R21&gt;R19,1,0)</f>
        <v>1</v>
      </c>
      <c r="T21" s="41"/>
      <c r="U21" s="29">
        <v>2.0</v>
      </c>
      <c r="V21" s="40">
        <f>IF(U21&gt;U19,1,0)</f>
        <v>0</v>
      </c>
      <c r="W21" s="41"/>
      <c r="X21" s="29">
        <v>8.0</v>
      </c>
      <c r="Y21" s="15">
        <f>IF(X21&gt;X19,1,0)</f>
        <v>0</v>
      </c>
      <c r="Z21" s="15">
        <f>IF(S21+V21=2,3,IF(S21+V21=1,1,0))</f>
        <v>1</v>
      </c>
      <c r="AA21" s="15">
        <f>IF(Z21=3,3,IF(Y21+Z21=2,2,IF(Z21=1,1,0)))</f>
        <v>1</v>
      </c>
      <c r="AB21" s="15">
        <f>R21+U21</f>
        <v>8</v>
      </c>
      <c r="AC21" s="15">
        <f>S21+V21+Y21</f>
        <v>1</v>
      </c>
      <c r="AD21" s="15"/>
      <c r="AE21" s="109" t="str">
        <f>'Players Ladies'!B19&amp; " / " &amp;'Players Ladies'!C19</f>
        <v>Mariska Steenkamer / Yanika Pace</v>
      </c>
      <c r="AF21" s="34">
        <f>F42+U32+U42+F22+F37</f>
        <v>5</v>
      </c>
      <c r="AG21" s="34">
        <f t="shared" ref="AG21:AI21" si="6">L41+AA31+AA41+L21+L36</f>
        <v>6</v>
      </c>
      <c r="AH21" s="34">
        <f t="shared" si="6"/>
        <v>48</v>
      </c>
      <c r="AI21" s="35">
        <f t="shared" si="6"/>
        <v>5</v>
      </c>
      <c r="AJ21" s="24"/>
      <c r="AK21" s="24"/>
      <c r="AL21" s="24"/>
      <c r="AM21" s="15"/>
      <c r="AN21" s="15"/>
    </row>
    <row r="22" ht="13.5" hidden="1" customHeight="1">
      <c r="A22" s="15" t="s">
        <v>85</v>
      </c>
      <c r="B22" s="15"/>
      <c r="C22" s="42">
        <f>IF(C19="",0,1)</f>
        <v>1</v>
      </c>
      <c r="D22" s="15"/>
      <c r="E22" s="15"/>
      <c r="F22" s="42">
        <f>IF(C21="",0,1)</f>
        <v>1</v>
      </c>
      <c r="G22" s="15"/>
      <c r="H22" s="15"/>
      <c r="I22" s="15"/>
      <c r="J22" s="15"/>
      <c r="K22" s="15"/>
      <c r="L22" s="15"/>
      <c r="M22" s="15"/>
      <c r="N22" s="15"/>
      <c r="O22" s="15"/>
      <c r="P22" s="15" t="s">
        <v>85</v>
      </c>
      <c r="Q22" s="15"/>
      <c r="R22" s="42">
        <f>IF(R19="",0,1)</f>
        <v>1</v>
      </c>
      <c r="S22" s="15"/>
      <c r="T22" s="15"/>
      <c r="U22" s="42">
        <f>IF(R21="",0,1)</f>
        <v>1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24"/>
      <c r="AG22" s="24"/>
      <c r="AH22" s="24"/>
      <c r="AI22" s="24"/>
      <c r="AJ22" s="24"/>
      <c r="AK22" s="15"/>
      <c r="AL22" s="15"/>
      <c r="AM22" s="15"/>
      <c r="AN22" s="15"/>
    </row>
    <row r="23" ht="13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24"/>
      <c r="AK23" s="24"/>
      <c r="AL23" s="15"/>
      <c r="AM23" s="15"/>
      <c r="AN23" s="15"/>
    </row>
    <row r="24" ht="13.5" customHeight="1">
      <c r="A24" s="15"/>
      <c r="B24" s="28" t="str">
        <f>AE11</f>
        <v>Alexia Gouder / Jennifer Mifsud</v>
      </c>
      <c r="C24" s="29">
        <v>6.0</v>
      </c>
      <c r="D24" s="30">
        <f>IF(C24&gt;C26,1,0)</f>
        <v>1</v>
      </c>
      <c r="E24" s="31"/>
      <c r="F24" s="29">
        <v>7.0</v>
      </c>
      <c r="G24" s="30">
        <f>IF(F24&gt;F26,1,0)</f>
        <v>1</v>
      </c>
      <c r="H24" s="31"/>
      <c r="I24" s="32"/>
      <c r="J24" s="15">
        <f>IF(I24&gt;I26,1,0)</f>
        <v>0</v>
      </c>
      <c r="K24" s="15">
        <f>IF(D24+G24=2,3,IF(D24+G24=1,1,0))</f>
        <v>3</v>
      </c>
      <c r="L24" s="15">
        <f>IF(K24=3,3,IF(J24+K24=2,2,IF(K24=1,1,0)))</f>
        <v>3</v>
      </c>
      <c r="M24" s="15">
        <f>C24+F24</f>
        <v>13</v>
      </c>
      <c r="N24" s="15">
        <f>D24+G24+J24</f>
        <v>2</v>
      </c>
      <c r="O24" s="15"/>
      <c r="P24" s="15"/>
      <c r="Q24" s="28" t="str">
        <f>AE11</f>
        <v>Alexia Gouder / Jennifer Mifsud</v>
      </c>
      <c r="R24" s="29">
        <v>6.0</v>
      </c>
      <c r="S24" s="30">
        <f>IF(R24&gt;R26,1,0)</f>
        <v>1</v>
      </c>
      <c r="T24" s="31"/>
      <c r="U24" s="29">
        <v>6.0</v>
      </c>
      <c r="V24" s="30">
        <f>IF(U24&gt;U26,1,0)</f>
        <v>0</v>
      </c>
      <c r="W24" s="31"/>
      <c r="X24" s="29">
        <v>8.0</v>
      </c>
      <c r="Y24" s="15">
        <f>IF(X24&gt;X26,1,0)</f>
        <v>0</v>
      </c>
      <c r="Z24" s="15">
        <f>IF(S24+V24=2,3,IF(S24+V24=1,1,0))</f>
        <v>1</v>
      </c>
      <c r="AA24" s="15">
        <f>IF(Z24=3,3,IF(Y24+Z24=2,2,IF(Z24=1,1,0)))</f>
        <v>1</v>
      </c>
      <c r="AB24" s="15">
        <f>R24+U24</f>
        <v>12</v>
      </c>
      <c r="AC24" s="15">
        <f>S24+V24+Y24</f>
        <v>1</v>
      </c>
      <c r="AD24" s="15"/>
      <c r="AE24" s="106" t="s">
        <v>86</v>
      </c>
      <c r="AF24" s="21"/>
      <c r="AG24" s="21"/>
      <c r="AH24" s="21"/>
      <c r="AI24" s="7"/>
      <c r="AJ24" s="24"/>
      <c r="AK24" s="15"/>
      <c r="AL24" s="15"/>
      <c r="AM24" s="15"/>
      <c r="AN24" s="15"/>
    </row>
    <row r="25" ht="13.5" customHeight="1">
      <c r="A25" s="15"/>
      <c r="B25" s="36" t="s">
        <v>84</v>
      </c>
      <c r="I25" s="37"/>
      <c r="J25" s="38"/>
      <c r="K25" s="15"/>
      <c r="L25" s="15"/>
      <c r="M25" s="15"/>
      <c r="N25" s="15"/>
      <c r="O25" s="15"/>
      <c r="P25" s="15"/>
      <c r="Q25" s="36" t="s">
        <v>84</v>
      </c>
      <c r="X25" s="37"/>
      <c r="Y25" s="38"/>
      <c r="Z25" s="15"/>
      <c r="AA25" s="15"/>
      <c r="AB25" s="15"/>
      <c r="AC25" s="15"/>
      <c r="AD25" s="15"/>
      <c r="AE25" s="43" t="s">
        <v>156</v>
      </c>
      <c r="AF25" s="21"/>
      <c r="AG25" s="21"/>
      <c r="AH25" s="21"/>
      <c r="AI25" s="7"/>
      <c r="AJ25" s="24"/>
      <c r="AK25" s="24"/>
      <c r="AL25" s="15"/>
      <c r="AM25" s="15"/>
      <c r="AN25" s="15"/>
    </row>
    <row r="26" ht="13.5" customHeight="1">
      <c r="A26" s="15"/>
      <c r="B26" s="39" t="str">
        <f>AE19</f>
        <v>Diane Fenech / Heidi Tabone</v>
      </c>
      <c r="C26" s="29">
        <v>4.0</v>
      </c>
      <c r="D26" s="40">
        <f>IF(C26&gt;C24,1,0)</f>
        <v>0</v>
      </c>
      <c r="E26" s="41"/>
      <c r="F26" s="29">
        <v>6.0</v>
      </c>
      <c r="G26" s="40">
        <f>IF(F26&gt;F24,1,0)</f>
        <v>0</v>
      </c>
      <c r="H26" s="41"/>
      <c r="I26" s="32"/>
      <c r="J26" s="15">
        <f>IF(I26&gt;I24,1,0)</f>
        <v>0</v>
      </c>
      <c r="K26" s="15">
        <f>IF(D26+G26=2,3,IF(D26+G26=1,1,0))</f>
        <v>0</v>
      </c>
      <c r="L26" s="15">
        <f>IF(K26=3,3,IF(J26+K26=2,2,IF(K26=1,1,0)))</f>
        <v>0</v>
      </c>
      <c r="M26" s="15">
        <f>C26+F26</f>
        <v>10</v>
      </c>
      <c r="N26" s="15">
        <f>D26+G26+J26</f>
        <v>0</v>
      </c>
      <c r="O26" s="15"/>
      <c r="P26" s="15"/>
      <c r="Q26" s="39" t="str">
        <f>AE16</f>
        <v>Annabelle Abela / Tiziana Anastasi</v>
      </c>
      <c r="R26" s="29">
        <v>1.0</v>
      </c>
      <c r="S26" s="40">
        <f>IF(R26&gt;R24,1,0)</f>
        <v>0</v>
      </c>
      <c r="T26" s="41"/>
      <c r="U26" s="29">
        <v>7.0</v>
      </c>
      <c r="V26" s="40">
        <f>IF(U26&gt;U24,1,0)</f>
        <v>1</v>
      </c>
      <c r="W26" s="41"/>
      <c r="X26" s="29">
        <v>10.0</v>
      </c>
      <c r="Y26" s="15">
        <f>IF(X26&gt;X24,1,0)</f>
        <v>1</v>
      </c>
      <c r="Z26" s="15">
        <f>IF(S26+V26=2,3,IF(S26+V26=1,1,0))</f>
        <v>1</v>
      </c>
      <c r="AA26" s="15">
        <f>IF(Z26=3,3,IF(Y26+Z26=2,2,IF(Z26=1,1,0)))</f>
        <v>2</v>
      </c>
      <c r="AB26" s="15">
        <f>R26+U26</f>
        <v>8</v>
      </c>
      <c r="AC26" s="15">
        <f>S26+V26+Y26</f>
        <v>2</v>
      </c>
      <c r="AD26" s="15"/>
      <c r="AE26" s="110" t="s">
        <v>95</v>
      </c>
      <c r="AF26" s="21"/>
      <c r="AG26" s="21"/>
      <c r="AH26" s="21"/>
      <c r="AI26" s="7"/>
      <c r="AJ26" s="15"/>
      <c r="AK26" s="15"/>
      <c r="AL26" s="15"/>
      <c r="AM26" s="15"/>
      <c r="AN26" s="15"/>
    </row>
    <row r="27" ht="13.5" hidden="1" customHeight="1">
      <c r="A27" s="15" t="s">
        <v>85</v>
      </c>
      <c r="B27" s="15"/>
      <c r="C27" s="42">
        <f>IF(C24="",0,1)</f>
        <v>1</v>
      </c>
      <c r="D27" s="15"/>
      <c r="E27" s="15"/>
      <c r="F27" s="42">
        <f>IF(C26="",0,1)</f>
        <v>1</v>
      </c>
      <c r="G27" s="15"/>
      <c r="H27" s="15"/>
      <c r="I27" s="15"/>
      <c r="J27" s="15"/>
      <c r="K27" s="15"/>
      <c r="L27" s="15"/>
      <c r="M27" s="15"/>
      <c r="N27" s="15"/>
      <c r="O27" s="15"/>
      <c r="P27" s="15" t="s">
        <v>85</v>
      </c>
      <c r="Q27" s="15"/>
      <c r="R27" s="42">
        <f>IF(R24="",0,1)</f>
        <v>1</v>
      </c>
      <c r="S27" s="15"/>
      <c r="T27" s="15"/>
      <c r="U27" s="42">
        <f>IF(R26="",0,1)</f>
        <v>1</v>
      </c>
      <c r="V27" s="15"/>
      <c r="W27" s="15"/>
      <c r="X27" s="15"/>
      <c r="Y27" s="15"/>
      <c r="Z27" s="15"/>
      <c r="AA27" s="15"/>
      <c r="AB27" s="15"/>
      <c r="AC27" s="15"/>
      <c r="AD27" s="15"/>
      <c r="AE27" s="71" t="str">
        <f>IF(AK11=42,AL11,"")</f>
        <v/>
      </c>
      <c r="AF27" s="21"/>
      <c r="AG27" s="21"/>
      <c r="AH27" s="21"/>
      <c r="AI27" s="7"/>
      <c r="AJ27" s="15"/>
      <c r="AK27" s="15"/>
      <c r="AL27" s="15"/>
      <c r="AM27" s="15"/>
      <c r="AN27" s="15"/>
    </row>
    <row r="28" ht="15.0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43" t="s">
        <v>157</v>
      </c>
      <c r="AF28" s="21"/>
      <c r="AG28" s="21"/>
      <c r="AH28" s="21"/>
      <c r="AI28" s="7"/>
      <c r="AJ28" s="15"/>
      <c r="AK28" s="15"/>
      <c r="AL28" s="15"/>
      <c r="AM28" s="15"/>
      <c r="AN28" s="15"/>
    </row>
    <row r="29" ht="13.5" customHeight="1">
      <c r="A29" s="15"/>
      <c r="B29" s="28" t="str">
        <f>AE14</f>
        <v>Ruth Micallef / Mirka Micallef</v>
      </c>
      <c r="C29" s="29">
        <v>6.0</v>
      </c>
      <c r="D29" s="30">
        <f>IF(C29&gt;C31,1,0)</f>
        <v>1</v>
      </c>
      <c r="E29" s="31"/>
      <c r="F29" s="29">
        <v>6.0</v>
      </c>
      <c r="G29" s="30">
        <f>IF(F29&gt;F31,1,0)</f>
        <v>0</v>
      </c>
      <c r="H29" s="31"/>
      <c r="I29" s="29">
        <v>10.0</v>
      </c>
      <c r="J29" s="15">
        <f>IF(I29&gt;I31,1,0)</f>
        <v>1</v>
      </c>
      <c r="K29" s="15">
        <f>IF(D29+G29=2,3,IF(D29+G29=1,1,0))</f>
        <v>1</v>
      </c>
      <c r="L29" s="15">
        <f>IF(K29=3,3,IF(J29+K29=2,2,IF(K29=1,1,0)))</f>
        <v>2</v>
      </c>
      <c r="M29" s="15">
        <f>C29+F29</f>
        <v>12</v>
      </c>
      <c r="N29" s="15">
        <f>D29+G29+J29</f>
        <v>2</v>
      </c>
      <c r="O29" s="15"/>
      <c r="P29" s="15"/>
      <c r="Q29" s="28" t="str">
        <f>AE11</f>
        <v>Alexia Gouder / Jennifer Mifsud</v>
      </c>
      <c r="R29" s="29">
        <v>6.0</v>
      </c>
      <c r="S29" s="30">
        <f>IF(R29&gt;R31,1,0)</f>
        <v>1</v>
      </c>
      <c r="T29" s="31"/>
      <c r="U29" s="29">
        <v>7.0</v>
      </c>
      <c r="V29" s="30">
        <f>IF(U29&gt;U31,1,0)</f>
        <v>1</v>
      </c>
      <c r="W29" s="31"/>
      <c r="X29" s="32"/>
      <c r="Y29" s="15">
        <f>IF(X29&gt;X31,1,0)</f>
        <v>0</v>
      </c>
      <c r="Z29" s="15">
        <f>IF(S29+V29=2,3,IF(S29+V29=1,1,0))</f>
        <v>3</v>
      </c>
      <c r="AA29" s="15">
        <f>IF(Z29=3,3,IF(Y29+Z29=2,2,IF(Z29=1,1,0)))</f>
        <v>3</v>
      </c>
      <c r="AB29" s="15">
        <f>R29+U29</f>
        <v>13</v>
      </c>
      <c r="AC29" s="15">
        <f>S29+V29+Y29</f>
        <v>2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ht="13.5" customHeight="1">
      <c r="A30" s="15"/>
      <c r="B30" s="36" t="s">
        <v>84</v>
      </c>
      <c r="I30" s="37"/>
      <c r="J30" s="38"/>
      <c r="K30" s="15"/>
      <c r="L30" s="15"/>
      <c r="M30" s="15"/>
      <c r="N30" s="15"/>
      <c r="O30" s="15"/>
      <c r="P30" s="15"/>
      <c r="Q30" s="36" t="s">
        <v>84</v>
      </c>
      <c r="X30" s="37"/>
      <c r="Y30" s="38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ht="13.5" customHeight="1">
      <c r="A31" s="15"/>
      <c r="B31" s="39" t="str">
        <f>AE19</f>
        <v>Diane Fenech / Heidi Tabone</v>
      </c>
      <c r="C31" s="29">
        <v>4.0</v>
      </c>
      <c r="D31" s="40">
        <f>IF(C31&gt;C29,1,0)</f>
        <v>0</v>
      </c>
      <c r="E31" s="41"/>
      <c r="F31" s="29">
        <v>7.0</v>
      </c>
      <c r="G31" s="40">
        <f>IF(F31&gt;F29,1,0)</f>
        <v>1</v>
      </c>
      <c r="H31" s="41"/>
      <c r="I31" s="29">
        <v>3.0</v>
      </c>
      <c r="J31" s="15">
        <f>IF(I31&gt;I29,1,0)</f>
        <v>0</v>
      </c>
      <c r="K31" s="15">
        <f>IF(D31+G31=2,3,IF(D31+G31=1,1,0))</f>
        <v>1</v>
      </c>
      <c r="L31" s="15">
        <f>IF(K31=3,3,IF(J31+K31=2,2,IF(K31=1,1,0)))</f>
        <v>1</v>
      </c>
      <c r="M31" s="15">
        <f>C31+F31</f>
        <v>11</v>
      </c>
      <c r="N31" s="15">
        <f>D31+G31+J31</f>
        <v>1</v>
      </c>
      <c r="O31" s="15"/>
      <c r="P31" s="15"/>
      <c r="Q31" s="39" t="str">
        <f>AE21</f>
        <v>Mariska Steenkamer / Yanika Pace</v>
      </c>
      <c r="R31" s="29">
        <v>2.0</v>
      </c>
      <c r="S31" s="40">
        <f>IF(R31&gt;R29,1,0)</f>
        <v>0</v>
      </c>
      <c r="T31" s="41"/>
      <c r="U31" s="29">
        <v>6.0</v>
      </c>
      <c r="V31" s="40">
        <f>IF(U31&gt;U29,1,0)</f>
        <v>0</v>
      </c>
      <c r="W31" s="41"/>
      <c r="X31" s="32"/>
      <c r="Y31" s="15">
        <f>IF(X31&gt;X29,1,0)</f>
        <v>0</v>
      </c>
      <c r="Z31" s="15">
        <f>IF(S31+V31=2,3,IF(S31+V31=1,1,0))</f>
        <v>0</v>
      </c>
      <c r="AA31" s="15">
        <f>IF(Z31=3,3,IF(Y31+Z31=2,2,IF(Z31=1,1,0)))</f>
        <v>0</v>
      </c>
      <c r="AB31" s="15">
        <f>R31+U31</f>
        <v>8</v>
      </c>
      <c r="AC31" s="15">
        <f>S31+V31+Y31</f>
        <v>0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ht="13.5" hidden="1" customHeight="1">
      <c r="A32" s="15" t="s">
        <v>85</v>
      </c>
      <c r="B32" s="15"/>
      <c r="C32" s="42">
        <f>IF(C29="",0,1)</f>
        <v>1</v>
      </c>
      <c r="D32" s="15"/>
      <c r="E32" s="15"/>
      <c r="F32" s="42">
        <f>IF(C31="",0,1)</f>
        <v>1</v>
      </c>
      <c r="G32" s="15"/>
      <c r="H32" s="15"/>
      <c r="I32" s="15"/>
      <c r="J32" s="15"/>
      <c r="K32" s="15"/>
      <c r="L32" s="15"/>
      <c r="M32" s="15"/>
      <c r="N32" s="15"/>
      <c r="O32" s="15"/>
      <c r="P32" s="15" t="s">
        <v>85</v>
      </c>
      <c r="Q32" s="15"/>
      <c r="R32" s="42">
        <f>IF(R29="",0,1)</f>
        <v>1</v>
      </c>
      <c r="S32" s="15"/>
      <c r="T32" s="15"/>
      <c r="U32" s="42">
        <f>IF(R31="",0,1)</f>
        <v>1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24"/>
      <c r="AI33" s="15"/>
      <c r="AJ33" s="15"/>
      <c r="AK33" s="15"/>
      <c r="AL33" s="15"/>
      <c r="AM33" s="15"/>
      <c r="AN33" s="15"/>
    </row>
    <row r="34" ht="13.5" customHeight="1">
      <c r="A34" s="15"/>
      <c r="B34" s="28" t="str">
        <f>AE16</f>
        <v>Annabelle Abela / Tiziana Anastasi</v>
      </c>
      <c r="C34" s="29">
        <v>6.0</v>
      </c>
      <c r="D34" s="30">
        <f>IF(C34&gt;C36,1,0)</f>
        <v>1</v>
      </c>
      <c r="E34" s="31"/>
      <c r="F34" s="29">
        <v>6.0</v>
      </c>
      <c r="G34" s="30">
        <f>IF(F34&gt;F36,1,0)</f>
        <v>1</v>
      </c>
      <c r="H34" s="31"/>
      <c r="I34" s="32"/>
      <c r="J34" s="15">
        <f>IF(I34&gt;I36,1,0)</f>
        <v>0</v>
      </c>
      <c r="K34" s="15">
        <f>IF(D34+G34=2,3,IF(D34+G34=1,1,0))</f>
        <v>3</v>
      </c>
      <c r="L34" s="15">
        <f>IF(K34=3,3,IF(J34+K34=2,2,IF(K34=1,1,0)))</f>
        <v>3</v>
      </c>
      <c r="M34" s="15">
        <f>C34+F34</f>
        <v>12</v>
      </c>
      <c r="N34" s="15">
        <f>D34+G34+J34</f>
        <v>2</v>
      </c>
      <c r="O34" s="15"/>
      <c r="P34" s="15"/>
      <c r="Q34" s="28" t="str">
        <f>AE14</f>
        <v>Ruth Micallef / Mirka Micallef</v>
      </c>
      <c r="R34" s="29">
        <v>3.0</v>
      </c>
      <c r="S34" s="30">
        <f>IF(R34&gt;R36,1,0)</f>
        <v>0</v>
      </c>
      <c r="T34" s="31"/>
      <c r="U34" s="29">
        <v>1.0</v>
      </c>
      <c r="V34" s="30">
        <f>IF(U34&gt;U36,1,0)</f>
        <v>0</v>
      </c>
      <c r="W34" s="31"/>
      <c r="X34" s="32"/>
      <c r="Y34" s="15">
        <f>IF(X34&gt;X36,1,0)</f>
        <v>0</v>
      </c>
      <c r="Z34" s="15">
        <f>IF(S34+V34=2,3,IF(S34+V34=1,1,0))</f>
        <v>0</v>
      </c>
      <c r="AA34" s="15">
        <f>IF(Z34=3,3,IF(Y34+Z34=2,2,IF(Z34=1,1,0)))</f>
        <v>0</v>
      </c>
      <c r="AB34" s="15">
        <f>R34+U34</f>
        <v>4</v>
      </c>
      <c r="AC34" s="15">
        <f>S34+V34+Y34</f>
        <v>0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ht="13.5" customHeight="1">
      <c r="A35" s="15"/>
      <c r="B35" s="36" t="s">
        <v>84</v>
      </c>
      <c r="I35" s="37"/>
      <c r="J35" s="38"/>
      <c r="K35" s="15"/>
      <c r="L35" s="15"/>
      <c r="M35" s="15"/>
      <c r="N35" s="15"/>
      <c r="O35" s="15"/>
      <c r="P35" s="15"/>
      <c r="Q35" s="36" t="s">
        <v>84</v>
      </c>
      <c r="X35" s="37"/>
      <c r="Y35" s="38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7"/>
      <c r="AM35" s="15"/>
      <c r="AN35" s="15"/>
    </row>
    <row r="36" ht="13.5" customHeight="1">
      <c r="A36" s="15"/>
      <c r="B36" s="39" t="str">
        <f>AE21</f>
        <v>Mariska Steenkamer / Yanika Pace</v>
      </c>
      <c r="C36" s="29">
        <v>2.0</v>
      </c>
      <c r="D36" s="40">
        <f>IF(C36&gt;C34,1,0)</f>
        <v>0</v>
      </c>
      <c r="E36" s="41"/>
      <c r="F36" s="29">
        <v>4.0</v>
      </c>
      <c r="G36" s="40">
        <f>IF(F36&gt;F34,1,0)</f>
        <v>0</v>
      </c>
      <c r="H36" s="41"/>
      <c r="I36" s="32"/>
      <c r="J36" s="15">
        <f>IF(I36&gt;I34,1,0)</f>
        <v>0</v>
      </c>
      <c r="K36" s="15">
        <f>IF(D36+G36=2,3,IF(D36+G36=1,1,0))</f>
        <v>0</v>
      </c>
      <c r="L36" s="15">
        <f>IF(K36=3,3,IF(J36+K36=2,2,IF(K36=1,1,0)))</f>
        <v>0</v>
      </c>
      <c r="M36" s="15">
        <f>C36+F36</f>
        <v>6</v>
      </c>
      <c r="N36" s="15">
        <f>D36+G36+J36</f>
        <v>0</v>
      </c>
      <c r="O36" s="15"/>
      <c r="P36" s="15"/>
      <c r="Q36" s="39" t="str">
        <f>AE16</f>
        <v>Annabelle Abela / Tiziana Anastasi</v>
      </c>
      <c r="R36" s="29">
        <v>6.0</v>
      </c>
      <c r="S36" s="40">
        <f>IF(R36&gt;R34,1,0)</f>
        <v>1</v>
      </c>
      <c r="T36" s="41"/>
      <c r="U36" s="29">
        <v>6.0</v>
      </c>
      <c r="V36" s="40">
        <f>IF(U36&gt;U34,1,0)</f>
        <v>1</v>
      </c>
      <c r="W36" s="41"/>
      <c r="X36" s="32"/>
      <c r="Y36" s="15">
        <f>IF(X36&gt;X34,1,0)</f>
        <v>0</v>
      </c>
      <c r="Z36" s="15">
        <f>IF(S36+V36=2,3,IF(S36+V36=1,1,0))</f>
        <v>3</v>
      </c>
      <c r="AA36" s="15">
        <f>IF(Z36=3,3,IF(Y36+Z36=2,2,IF(Z36=1,1,0)))</f>
        <v>3</v>
      </c>
      <c r="AB36" s="15">
        <f>R36+U36</f>
        <v>12</v>
      </c>
      <c r="AC36" s="15">
        <f>S36+V36+Y36</f>
        <v>2</v>
      </c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24"/>
    </row>
    <row r="37" ht="14.25" hidden="1" customHeight="1">
      <c r="A37" s="15" t="s">
        <v>85</v>
      </c>
      <c r="B37" s="15"/>
      <c r="C37" s="42">
        <f>IF(C34="",0,1)</f>
        <v>1</v>
      </c>
      <c r="D37" s="15"/>
      <c r="E37" s="15"/>
      <c r="F37" s="42">
        <f>IF(C36="",0,1)</f>
        <v>1</v>
      </c>
      <c r="G37" s="15"/>
      <c r="H37" s="15"/>
      <c r="I37" s="15"/>
      <c r="J37" s="15"/>
      <c r="K37" s="15"/>
      <c r="L37" s="15"/>
      <c r="M37" s="15"/>
      <c r="N37" s="15"/>
      <c r="O37" s="15"/>
      <c r="P37" s="15" t="s">
        <v>85</v>
      </c>
      <c r="Q37" s="15"/>
      <c r="R37" s="42">
        <f>IF(R34="",0,1)</f>
        <v>1</v>
      </c>
      <c r="S37" s="15"/>
      <c r="T37" s="15"/>
      <c r="U37" s="42">
        <f>IF(R36="",0,1)</f>
        <v>1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7"/>
      <c r="AM38" s="15"/>
      <c r="AN38" s="15"/>
    </row>
    <row r="39" ht="13.5" customHeight="1">
      <c r="A39" s="15"/>
      <c r="B39" s="28" t="str">
        <f>AE19</f>
        <v>Diane Fenech / Heidi Tabone</v>
      </c>
      <c r="C39" s="29">
        <v>3.0</v>
      </c>
      <c r="D39" s="30">
        <f>IF(C39&gt;C41,1,0)</f>
        <v>0</v>
      </c>
      <c r="E39" s="31"/>
      <c r="F39" s="29">
        <v>3.0</v>
      </c>
      <c r="G39" s="30">
        <f>IF(F39&gt;F41,1,0)</f>
        <v>0</v>
      </c>
      <c r="H39" s="31"/>
      <c r="I39" s="32"/>
      <c r="J39" s="15">
        <f>IF(I39&gt;I41,1,0)</f>
        <v>0</v>
      </c>
      <c r="K39" s="15">
        <f>IF(D39+G39=2,3,IF(D39+G39=1,1,0))</f>
        <v>0</v>
      </c>
      <c r="L39" s="15">
        <f>IF(K39=3,3,IF(J39+K39=2,2,IF(K39=1,1,0)))</f>
        <v>0</v>
      </c>
      <c r="M39" s="15">
        <f>C39+F39</f>
        <v>6</v>
      </c>
      <c r="N39" s="15">
        <f>D39+G39+J39</f>
        <v>0</v>
      </c>
      <c r="O39" s="15"/>
      <c r="P39" s="15"/>
      <c r="Q39" s="28" t="str">
        <f>AE14</f>
        <v>Ruth Micallef / Mirka Micallef</v>
      </c>
      <c r="R39" s="29">
        <v>1.0</v>
      </c>
      <c r="S39" s="30">
        <f>IF(R39&gt;R41,1,0)</f>
        <v>0</v>
      </c>
      <c r="T39" s="31"/>
      <c r="U39" s="29">
        <v>6.0</v>
      </c>
      <c r="V39" s="30">
        <f>IF(U39&gt;U41,1,0)</f>
        <v>1</v>
      </c>
      <c r="W39" s="31"/>
      <c r="X39" s="29">
        <v>8.0</v>
      </c>
      <c r="Y39" s="15">
        <f>IF(X39&gt;X41,1,0)</f>
        <v>0</v>
      </c>
      <c r="Z39" s="15">
        <f>IF(S39+V39=2,3,IF(S39+V39=1,1,0))</f>
        <v>1</v>
      </c>
      <c r="AA39" s="15">
        <f>IF(Z39=3,3,IF(Y39+Z39=2,2,IF(Z39=1,1,0)))</f>
        <v>1</v>
      </c>
      <c r="AB39" s="15">
        <f>R39+U39</f>
        <v>7</v>
      </c>
      <c r="AC39" s="15">
        <f>S39+V39+Y39</f>
        <v>1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ht="15.0" customHeight="1">
      <c r="A40" s="15"/>
      <c r="B40" s="36" t="s">
        <v>84</v>
      </c>
      <c r="I40" s="37"/>
      <c r="J40" s="38"/>
      <c r="K40" s="15"/>
      <c r="L40" s="15"/>
      <c r="M40" s="15"/>
      <c r="N40" s="15"/>
      <c r="O40" s="15"/>
      <c r="P40" s="15"/>
      <c r="Q40" s="36" t="s">
        <v>84</v>
      </c>
      <c r="X40" s="37"/>
      <c r="Y40" s="38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ht="13.5" customHeight="1">
      <c r="A41" s="15"/>
      <c r="B41" s="39" t="str">
        <f>AE21</f>
        <v>Mariska Steenkamer / Yanika Pace</v>
      </c>
      <c r="C41" s="29">
        <v>6.0</v>
      </c>
      <c r="D41" s="40">
        <f>IF(C41&gt;C39,1,0)</f>
        <v>1</v>
      </c>
      <c r="E41" s="41"/>
      <c r="F41" s="29">
        <v>6.0</v>
      </c>
      <c r="G41" s="40">
        <f>IF(F41&gt;F39,1,0)</f>
        <v>1</v>
      </c>
      <c r="H41" s="41"/>
      <c r="I41" s="32"/>
      <c r="J41" s="15">
        <f>IF(I41&gt;I39,1,0)</f>
        <v>0</v>
      </c>
      <c r="K41" s="15">
        <f>IF(D41+G41=2,3,IF(D41+G41=1,1,0))</f>
        <v>3</v>
      </c>
      <c r="L41" s="15">
        <f>IF(K41=3,3,IF(J41+K41=2,2,IF(K41=1,1,0)))</f>
        <v>3</v>
      </c>
      <c r="M41" s="15">
        <f>C41+F41</f>
        <v>12</v>
      </c>
      <c r="N41" s="15">
        <f>D41+G41+J41</f>
        <v>2</v>
      </c>
      <c r="O41" s="15"/>
      <c r="P41" s="15"/>
      <c r="Q41" s="39" t="str">
        <f>AE21</f>
        <v>Mariska Steenkamer / Yanika Pace</v>
      </c>
      <c r="R41" s="29">
        <v>6.0</v>
      </c>
      <c r="S41" s="40">
        <f>IF(R41&gt;R39,1,0)</f>
        <v>1</v>
      </c>
      <c r="T41" s="41"/>
      <c r="U41" s="29">
        <v>4.0</v>
      </c>
      <c r="V41" s="40">
        <f>IF(U41&gt;U39,1,0)</f>
        <v>0</v>
      </c>
      <c r="W41" s="41"/>
      <c r="X41" s="29">
        <v>10.0</v>
      </c>
      <c r="Y41" s="15">
        <f>IF(X41&gt;X39,1,0)</f>
        <v>1</v>
      </c>
      <c r="Z41" s="15">
        <f>IF(S41+V41=2,3,IF(S41+V41=1,1,0))</f>
        <v>1</v>
      </c>
      <c r="AA41" s="15">
        <f>IF(Z41=3,3,IF(Y41+Z41=2,2,IF(Z41=1,1,0)))</f>
        <v>2</v>
      </c>
      <c r="AB41" s="15">
        <f>R41+U41</f>
        <v>10</v>
      </c>
      <c r="AC41" s="15">
        <f>S41+V41+Y41</f>
        <v>2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ht="13.5" hidden="1" customHeight="1">
      <c r="A42" s="15" t="s">
        <v>85</v>
      </c>
      <c r="B42" s="15"/>
      <c r="C42" s="42">
        <f>IF(C39="",0,1)</f>
        <v>1</v>
      </c>
      <c r="D42" s="15"/>
      <c r="E42" s="15"/>
      <c r="F42" s="42">
        <f>IF(C41="",0,1)</f>
        <v>1</v>
      </c>
      <c r="G42" s="15"/>
      <c r="H42" s="15"/>
      <c r="I42" s="15"/>
      <c r="J42" s="15"/>
      <c r="K42" s="15"/>
      <c r="L42" s="15"/>
      <c r="M42" s="15"/>
      <c r="N42" s="15"/>
      <c r="O42" s="15"/>
      <c r="P42" s="15" t="s">
        <v>85</v>
      </c>
      <c r="Q42" s="15"/>
      <c r="R42" s="42">
        <f>IF(R39="",0,1)</f>
        <v>1</v>
      </c>
      <c r="S42" s="15"/>
      <c r="T42" s="15"/>
      <c r="U42" s="42">
        <f>IF(R41="",0,1)</f>
        <v>1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24"/>
      <c r="AI43" s="15"/>
      <c r="AJ43" s="15"/>
      <c r="AK43" s="24"/>
      <c r="AL43" s="15"/>
      <c r="AM43" s="15"/>
      <c r="AN43" s="15"/>
    </row>
    <row r="44" ht="13.5" customHeight="1">
      <c r="A44" s="15"/>
      <c r="B44" s="28" t="str">
        <f>AE16</f>
        <v>Annabelle Abela / Tiziana Anastasi</v>
      </c>
      <c r="C44" s="29">
        <v>6.0</v>
      </c>
      <c r="D44" s="30">
        <f>IF(C44&gt;C46,1,0)</f>
        <v>1</v>
      </c>
      <c r="E44" s="31"/>
      <c r="F44" s="29">
        <v>7.0</v>
      </c>
      <c r="G44" s="30">
        <f>IF(F44&gt;F46,1,0)</f>
        <v>1</v>
      </c>
      <c r="H44" s="31"/>
      <c r="I44" s="32"/>
      <c r="J44" s="15">
        <f>IF(I44&gt;I46,1,0)</f>
        <v>0</v>
      </c>
      <c r="K44" s="15">
        <f>IF(D44+G44=2,3,IF(D44+G44=1,1,0))</f>
        <v>3</v>
      </c>
      <c r="L44" s="15">
        <f>IF(K44=3,3,IF(J44+K44=2,2,IF(K44=1,1,0)))</f>
        <v>3</v>
      </c>
      <c r="M44" s="15">
        <f>C44+F44</f>
        <v>13</v>
      </c>
      <c r="N44" s="15">
        <f>D44+G44+J44</f>
        <v>2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24"/>
      <c r="AL44" s="15"/>
      <c r="AM44" s="15"/>
      <c r="AN44" s="15"/>
    </row>
    <row r="45" ht="13.5" customHeight="1">
      <c r="A45" s="15"/>
      <c r="B45" s="36" t="s">
        <v>84</v>
      </c>
      <c r="I45" s="37"/>
      <c r="J45" s="38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48"/>
      <c r="AK45" s="15"/>
      <c r="AL45" s="15"/>
      <c r="AM45" s="15"/>
      <c r="AN45" s="15"/>
    </row>
    <row r="46" ht="13.5" customHeight="1">
      <c r="A46" s="15"/>
      <c r="B46" s="39" t="str">
        <f>AE19</f>
        <v>Diane Fenech / Heidi Tabone</v>
      </c>
      <c r="C46" s="29">
        <v>2.0</v>
      </c>
      <c r="D46" s="40">
        <f>IF(C46&gt;C44,1,0)</f>
        <v>0</v>
      </c>
      <c r="E46" s="41"/>
      <c r="F46" s="29">
        <v>6.0</v>
      </c>
      <c r="G46" s="40">
        <f>IF(F46&gt;F44,1,0)</f>
        <v>0</v>
      </c>
      <c r="H46" s="41"/>
      <c r="I46" s="32"/>
      <c r="J46" s="15">
        <f>IF(I46&gt;I44,1,0)</f>
        <v>0</v>
      </c>
      <c r="K46" s="15">
        <f>IF(D46+G46=2,3,IF(D46+G46=1,1,0))</f>
        <v>0</v>
      </c>
      <c r="L46" s="15">
        <f>IF(K46=3,3,IF(J46+K46=2,2,IF(K46=1,1,0)))</f>
        <v>0</v>
      </c>
      <c r="M46" s="15">
        <f>C46+F46</f>
        <v>8</v>
      </c>
      <c r="N46" s="15">
        <f>D46+G46+J46</f>
        <v>0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customHeight="1">
      <c r="A47" s="15" t="s">
        <v>85</v>
      </c>
      <c r="B47" s="15"/>
      <c r="C47" s="42">
        <f>IF(C44="",0,1)</f>
        <v>1</v>
      </c>
      <c r="D47" s="15"/>
      <c r="E47" s="15"/>
      <c r="F47" s="42">
        <f>IF(C46="",0,1)</f>
        <v>1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ht="15.0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48"/>
      <c r="AK49" s="15"/>
      <c r="AL49" s="15"/>
      <c r="AM49" s="15"/>
      <c r="AN49" s="15"/>
    </row>
    <row r="50" ht="15.0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48"/>
      <c r="AK54" s="15"/>
      <c r="AL54" s="24"/>
      <c r="AM54" s="15"/>
      <c r="AN54" s="15"/>
    </row>
    <row r="55" ht="15.0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ht="15.0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48"/>
      <c r="AK59" s="15"/>
      <c r="AL59" s="15"/>
      <c r="AM59" s="15"/>
      <c r="AN59" s="24"/>
    </row>
    <row r="60" ht="15.0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24"/>
      <c r="AI63" s="15"/>
      <c r="AJ63" s="15"/>
      <c r="AK63" s="24"/>
      <c r="AL63" s="15"/>
      <c r="AM63" s="15"/>
      <c r="AN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24"/>
      <c r="S113" s="24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</row>
    <row r="164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</row>
    <row r="165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</row>
    <row r="166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</row>
    <row r="167" ht="1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</row>
    <row r="168" ht="1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</row>
    <row r="169" ht="1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</row>
    <row r="170" ht="13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</row>
    <row r="171" ht="13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</row>
    <row r="172" ht="13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</row>
    <row r="173" ht="13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</row>
    <row r="174" ht="13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</row>
    <row r="175" ht="13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</row>
    <row r="176" ht="13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</row>
    <row r="177" ht="1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</row>
    <row r="178" ht="13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</row>
    <row r="179" ht="13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</row>
    <row r="180" ht="13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</row>
    <row r="181" ht="13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</row>
    <row r="182" ht="13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</row>
    <row r="183" ht="13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</row>
    <row r="184" ht="13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</row>
    <row r="185" ht="1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</row>
    <row r="186" ht="13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</row>
    <row r="187" ht="13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</row>
    <row r="188" ht="13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</row>
    <row r="189" ht="13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</row>
    <row r="190" ht="13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</row>
    <row r="191" ht="1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</row>
    <row r="192" ht="13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</row>
    <row r="193" ht="13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</row>
    <row r="194" ht="13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</row>
    <row r="195" ht="13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</row>
    <row r="196" ht="13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</row>
    <row r="197" ht="13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</row>
    <row r="198" ht="13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</row>
    <row r="199" ht="13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</row>
    <row r="200" ht="13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</row>
    <row r="201" ht="13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</row>
    <row r="202" ht="13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</row>
    <row r="203" ht="13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</row>
    <row r="204" ht="13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</row>
    <row r="205" ht="13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</row>
    <row r="206" ht="13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</row>
    <row r="207" ht="13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</row>
    <row r="208" ht="13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</row>
    <row r="209" ht="13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</row>
    <row r="210" ht="13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</row>
    <row r="211" ht="13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</row>
    <row r="212" ht="1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</row>
    <row r="213" ht="13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</row>
    <row r="214" ht="13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</row>
    <row r="215" ht="13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</row>
    <row r="216" ht="13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</row>
    <row r="217" ht="13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</row>
    <row r="218" ht="13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</row>
    <row r="219" ht="13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</row>
    <row r="220" ht="13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</row>
    <row r="221" ht="13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</row>
    <row r="222" ht="13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</row>
    <row r="223" ht="13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</row>
    <row r="224" ht="13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</row>
    <row r="225" ht="13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</row>
    <row r="226" ht="13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</row>
    <row r="227" ht="13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</row>
    <row r="228" ht="13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</row>
    <row r="229" ht="13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</row>
    <row r="230" ht="13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</row>
    <row r="231" ht="13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</row>
    <row r="232" ht="13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</row>
    <row r="233" ht="13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</row>
    <row r="234" ht="13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</row>
    <row r="235" ht="13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</row>
    <row r="236" ht="13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</row>
    <row r="237" ht="13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</row>
    <row r="238" ht="13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</row>
    <row r="239" ht="13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</row>
    <row r="240" ht="13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</row>
    <row r="241" ht="13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</row>
    <row r="242" ht="13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</row>
    <row r="243" ht="13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</row>
    <row r="244" ht="13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</row>
    <row r="245" ht="1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</row>
    <row r="246" ht="13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</row>
    <row r="247" ht="13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</row>
    <row r="248" ht="13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</row>
    <row r="249" ht="13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</row>
    <row r="250" ht="13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</row>
    <row r="251" ht="13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</row>
    <row r="252" ht="13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</row>
    <row r="253" ht="13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</row>
    <row r="254" ht="13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</row>
    <row r="255" ht="13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</row>
    <row r="256" ht="13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</row>
    <row r="257" ht="13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</row>
    <row r="258" ht="13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</row>
    <row r="259" ht="13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</row>
    <row r="260" ht="13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</row>
    <row r="261" ht="13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</row>
    <row r="262" ht="13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</row>
    <row r="263" ht="13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</row>
    <row r="264" ht="13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</row>
    <row r="265" ht="13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</row>
    <row r="266" ht="1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</row>
    <row r="267" ht="13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</row>
    <row r="268" ht="13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</row>
    <row r="269" ht="13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</row>
    <row r="270" ht="13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</row>
    <row r="271" ht="13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</row>
    <row r="272" ht="13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</row>
    <row r="273" ht="13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</row>
    <row r="274" ht="13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</row>
    <row r="275" ht="13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</row>
    <row r="276" ht="13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</row>
    <row r="277" ht="13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</row>
    <row r="278" ht="13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</row>
    <row r="279" ht="13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</row>
    <row r="280" ht="13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</row>
    <row r="281" ht="13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</row>
    <row r="282" ht="13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</row>
    <row r="283" ht="13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</row>
    <row r="284" ht="13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</row>
    <row r="285" ht="1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</row>
    <row r="286" ht="13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</row>
    <row r="287" ht="13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</row>
    <row r="288" ht="13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</row>
    <row r="289" ht="13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</row>
    <row r="290" ht="13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</row>
    <row r="291" ht="13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</row>
    <row r="292" ht="13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</row>
    <row r="293" ht="13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</row>
    <row r="294" ht="1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</row>
    <row r="295" ht="13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</row>
    <row r="296" ht="13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</row>
    <row r="297" ht="13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</row>
    <row r="298" ht="13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</row>
    <row r="299" ht="13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</row>
    <row r="300" ht="13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</row>
    <row r="301" ht="1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</row>
    <row r="302" ht="13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</row>
    <row r="303" ht="13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</row>
    <row r="304" ht="13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</row>
    <row r="305" ht="13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</row>
    <row r="306" ht="13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</row>
    <row r="307" ht="13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</row>
    <row r="308" ht="1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</row>
    <row r="309" ht="13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</row>
    <row r="310" ht="13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</row>
    <row r="311" ht="13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</row>
    <row r="312" ht="13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</row>
    <row r="313" ht="13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</row>
    <row r="314" ht="13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</row>
    <row r="315" ht="13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</row>
    <row r="316" ht="13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</row>
    <row r="317" ht="13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</row>
    <row r="318" ht="13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</row>
    <row r="319" ht="13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</row>
    <row r="320" ht="13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</row>
    <row r="321" ht="13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</row>
    <row r="322" ht="13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</row>
    <row r="323" ht="13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</row>
    <row r="324" ht="13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</row>
    <row r="325" ht="13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</row>
    <row r="326" ht="13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</row>
    <row r="327" ht="13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</row>
    <row r="328" ht="13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</row>
    <row r="329" ht="13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</row>
    <row r="330" ht="13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</row>
    <row r="331" ht="13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</row>
    <row r="332" ht="13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</row>
    <row r="333" ht="13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</row>
    <row r="334" ht="13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</row>
    <row r="335" ht="13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</row>
    <row r="336" ht="13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</row>
    <row r="337" ht="13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</row>
    <row r="338" ht="13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</row>
    <row r="339" ht="13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</row>
    <row r="340" ht="13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</row>
    <row r="341" ht="13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</row>
    <row r="342" ht="13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</row>
    <row r="343" ht="13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</row>
    <row r="344" ht="13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</row>
    <row r="345" ht="13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</row>
    <row r="346" ht="13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</row>
    <row r="347" ht="13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</row>
    <row r="348" ht="13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</row>
    <row r="349" ht="13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</row>
    <row r="350" ht="13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</row>
    <row r="351" ht="13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</row>
    <row r="352" ht="13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</row>
    <row r="353" ht="13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</row>
    <row r="354" ht="13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</row>
    <row r="355" ht="13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</row>
    <row r="356" ht="13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</row>
    <row r="357" ht="13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</row>
    <row r="358" ht="13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</row>
    <row r="359" ht="13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</row>
    <row r="360" ht="13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</row>
    <row r="361" ht="13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</row>
    <row r="362" ht="13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</row>
    <row r="363" ht="13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</row>
    <row r="364" ht="13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</row>
    <row r="365" ht="13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</row>
    <row r="366" ht="13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</row>
    <row r="367" ht="13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</row>
    <row r="368" ht="13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</row>
    <row r="369" ht="13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</row>
    <row r="370" ht="13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</row>
    <row r="371" ht="13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</row>
    <row r="372" ht="13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</row>
    <row r="373" ht="13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</row>
    <row r="374" ht="13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</row>
    <row r="375" ht="13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</row>
    <row r="376" ht="13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</row>
    <row r="377" ht="13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</row>
    <row r="378" ht="13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</row>
    <row r="379" ht="13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</row>
    <row r="380" ht="13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</row>
    <row r="381" ht="13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</row>
    <row r="382" ht="13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</row>
    <row r="383" ht="13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</row>
    <row r="384" ht="13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</row>
    <row r="385" ht="13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</row>
    <row r="386" ht="13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</row>
    <row r="387" ht="13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</row>
    <row r="388" ht="13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</row>
    <row r="389" ht="13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</row>
    <row r="390" ht="13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</row>
    <row r="391" ht="13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</row>
    <row r="392" ht="13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</row>
    <row r="393" ht="13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</row>
    <row r="394" ht="13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</row>
    <row r="395" ht="13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</row>
    <row r="396" ht="13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</row>
    <row r="397" ht="13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</row>
    <row r="398" ht="13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</row>
    <row r="399" ht="13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</row>
    <row r="400" ht="13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</row>
    <row r="401" ht="13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</row>
    <row r="402" ht="13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</row>
    <row r="403" ht="13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</row>
    <row r="404" ht="13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</row>
    <row r="405" ht="13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</row>
    <row r="406" ht="13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</row>
    <row r="407" ht="13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</row>
    <row r="408" ht="13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</row>
    <row r="409" ht="13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</row>
    <row r="410" ht="13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</row>
    <row r="411" ht="13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</row>
    <row r="412" ht="13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</row>
    <row r="413" ht="13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</row>
    <row r="414" ht="13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</row>
    <row r="415" ht="13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</row>
    <row r="416" ht="13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</row>
    <row r="417" ht="13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</row>
    <row r="418" ht="13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</row>
    <row r="419" ht="13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</row>
    <row r="420" ht="13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</row>
    <row r="421" ht="13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</row>
    <row r="422" ht="13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</row>
    <row r="423" ht="13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</row>
    <row r="424" ht="13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</row>
    <row r="425" ht="13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</row>
    <row r="426" ht="13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</row>
    <row r="427" ht="13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</row>
    <row r="428" ht="13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</row>
    <row r="429" ht="13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</row>
    <row r="430" ht="13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</row>
    <row r="431" ht="13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</row>
    <row r="432" ht="13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</row>
    <row r="433" ht="13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</row>
    <row r="434" ht="13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</row>
    <row r="435" ht="13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</row>
    <row r="436" ht="13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</row>
    <row r="437" ht="13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</row>
    <row r="438" ht="13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</row>
    <row r="439" ht="13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</row>
    <row r="440" ht="13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</row>
    <row r="441" ht="13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</row>
    <row r="442" ht="13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</row>
    <row r="443" ht="13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</row>
    <row r="444" ht="13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</row>
    <row r="445" ht="13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</row>
    <row r="446" ht="13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</row>
    <row r="447" ht="13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</row>
    <row r="448" ht="13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</row>
    <row r="449" ht="13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</row>
    <row r="450" ht="13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</row>
    <row r="451" ht="13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</row>
    <row r="452" ht="13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</row>
    <row r="453" ht="13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</row>
    <row r="454" ht="13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</row>
    <row r="455" ht="13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</row>
    <row r="456" ht="13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</row>
    <row r="457" ht="13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</row>
    <row r="458" ht="13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</row>
    <row r="459" ht="13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</row>
    <row r="460" ht="13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</row>
    <row r="461" ht="13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</row>
    <row r="462" ht="13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</row>
    <row r="463" ht="13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</row>
    <row r="464" ht="13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</row>
    <row r="465" ht="13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</row>
    <row r="466" ht="13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</row>
    <row r="467" ht="13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</row>
    <row r="468" ht="13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</row>
    <row r="469" ht="13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</row>
    <row r="470" ht="13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</row>
    <row r="471" ht="13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</row>
    <row r="472" ht="13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</row>
    <row r="473" ht="13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</row>
    <row r="474" ht="13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</row>
    <row r="475" ht="13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</row>
    <row r="476" ht="13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</row>
    <row r="477" ht="13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</row>
    <row r="478" ht="13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</row>
    <row r="479" ht="13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</row>
    <row r="480" ht="13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</row>
    <row r="481" ht="13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</row>
    <row r="482" ht="13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</row>
    <row r="483" ht="13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</row>
    <row r="484" ht="13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</row>
    <row r="485" ht="13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</row>
    <row r="486" ht="13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</row>
    <row r="487" ht="13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</row>
    <row r="488" ht="13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</row>
    <row r="489" ht="13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</row>
    <row r="490" ht="13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</row>
    <row r="491" ht="13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</row>
    <row r="492" ht="13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</row>
    <row r="493" ht="13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</row>
    <row r="494" ht="13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</row>
    <row r="495" ht="13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</row>
    <row r="496" ht="13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</row>
    <row r="497" ht="13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</row>
    <row r="498" ht="13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</row>
    <row r="499" ht="13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</row>
    <row r="500" ht="13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</row>
    <row r="501" ht="13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</row>
    <row r="502" ht="13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</row>
    <row r="503" ht="13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</row>
    <row r="504" ht="13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</row>
    <row r="505" ht="13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</row>
    <row r="506" ht="13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</row>
    <row r="507" ht="13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</row>
    <row r="508" ht="13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</row>
    <row r="509" ht="13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</row>
    <row r="510" ht="13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</row>
    <row r="511" ht="13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</row>
    <row r="512" ht="13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</row>
    <row r="513" ht="13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</row>
    <row r="514" ht="13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</row>
    <row r="515" ht="13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</row>
    <row r="516" ht="13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</row>
    <row r="517" ht="13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</row>
    <row r="518" ht="13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</row>
    <row r="519" ht="13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</row>
    <row r="520" ht="13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</row>
    <row r="521" ht="13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</row>
    <row r="522" ht="13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</row>
    <row r="523" ht="13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</row>
    <row r="524" ht="13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</row>
    <row r="525" ht="13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</row>
    <row r="526" ht="13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</row>
    <row r="527" ht="13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</row>
    <row r="528" ht="13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</row>
    <row r="529" ht="13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</row>
    <row r="530" ht="13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</row>
    <row r="531" ht="13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</row>
    <row r="532" ht="13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</row>
    <row r="533" ht="13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</row>
    <row r="534" ht="13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</row>
    <row r="535" ht="13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</row>
    <row r="536" ht="13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</row>
    <row r="537" ht="13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</row>
    <row r="538" ht="13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</row>
    <row r="539" ht="13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</row>
    <row r="540" ht="13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</row>
    <row r="541" ht="13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</row>
    <row r="542" ht="13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</row>
    <row r="543" ht="13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</row>
    <row r="544" ht="13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</row>
    <row r="545" ht="13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</row>
    <row r="546" ht="13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</row>
    <row r="547" ht="13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</row>
    <row r="548" ht="13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</row>
    <row r="549" ht="13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</row>
    <row r="550" ht="13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</row>
    <row r="551" ht="13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</row>
    <row r="552" ht="13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</row>
    <row r="553" ht="13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</row>
    <row r="554" ht="13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</row>
    <row r="555" ht="13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</row>
    <row r="556" ht="13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</row>
    <row r="557" ht="13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</row>
    <row r="558" ht="13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</row>
    <row r="559" ht="13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</row>
    <row r="560" ht="13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</row>
    <row r="561" ht="13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</row>
    <row r="562" ht="13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</row>
    <row r="563" ht="13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</row>
    <row r="564" ht="13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</row>
    <row r="565" ht="13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</row>
    <row r="566" ht="13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</row>
    <row r="567" ht="13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</row>
    <row r="568" ht="13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</row>
    <row r="569" ht="13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</row>
    <row r="570" ht="13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</row>
    <row r="571" ht="13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</row>
    <row r="572" ht="13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</row>
    <row r="573" ht="13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</row>
    <row r="574" ht="13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</row>
    <row r="575" ht="13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</row>
    <row r="576" ht="13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</row>
    <row r="577" ht="13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</row>
    <row r="578" ht="13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</row>
    <row r="579" ht="13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</row>
    <row r="580" ht="13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</row>
    <row r="581" ht="13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</row>
    <row r="582" ht="13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</row>
    <row r="583" ht="13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</row>
    <row r="584" ht="13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</row>
    <row r="585" ht="13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</row>
    <row r="586" ht="13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</row>
    <row r="587" ht="13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</row>
    <row r="588" ht="13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</row>
    <row r="589" ht="13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</row>
    <row r="590" ht="13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</row>
    <row r="591" ht="13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</row>
    <row r="592" ht="13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</row>
    <row r="593" ht="13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</row>
    <row r="594" ht="13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</row>
    <row r="595" ht="13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</row>
    <row r="596" ht="13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</row>
    <row r="597" ht="13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</row>
    <row r="598" ht="13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</row>
    <row r="599" ht="13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</row>
    <row r="600" ht="13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</row>
    <row r="601" ht="13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</row>
    <row r="602" ht="13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</row>
    <row r="603" ht="13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</row>
    <row r="604" ht="13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</row>
    <row r="605" ht="13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</row>
    <row r="606" ht="13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</row>
    <row r="607" ht="13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</row>
    <row r="608" ht="13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</row>
    <row r="609" ht="13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</row>
    <row r="610" ht="13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</row>
    <row r="611" ht="13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</row>
    <row r="612" ht="13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</row>
    <row r="613" ht="13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</row>
    <row r="614" ht="13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</row>
    <row r="615" ht="13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</row>
    <row r="616" ht="13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</row>
    <row r="617" ht="13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</row>
    <row r="618" ht="13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</row>
    <row r="619" ht="13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</row>
    <row r="620" ht="13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</row>
    <row r="621" ht="13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</row>
    <row r="622" ht="13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</row>
    <row r="623" ht="13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</row>
    <row r="624" ht="13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</row>
    <row r="625" ht="13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</row>
    <row r="626" ht="13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</row>
    <row r="627" ht="13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</row>
    <row r="628" ht="13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</row>
    <row r="629" ht="13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</row>
    <row r="630" ht="13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</row>
    <row r="631" ht="13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</row>
    <row r="632" ht="13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</row>
    <row r="633" ht="13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</row>
    <row r="634" ht="13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</row>
    <row r="635" ht="13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</row>
    <row r="636" ht="13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</row>
    <row r="637" ht="13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</row>
    <row r="638" ht="13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</row>
    <row r="639" ht="13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</row>
    <row r="640" ht="13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</row>
    <row r="641" ht="13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</row>
    <row r="642" ht="13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</row>
    <row r="643" ht="13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</row>
    <row r="644" ht="13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</row>
    <row r="645" ht="13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</row>
    <row r="646" ht="13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</row>
    <row r="647" ht="13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</row>
    <row r="648" ht="13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</row>
    <row r="649" ht="13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</row>
    <row r="650" ht="13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</row>
    <row r="651" ht="13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</row>
    <row r="652" ht="13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</row>
    <row r="653" ht="13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</row>
    <row r="654" ht="13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</row>
    <row r="655" ht="13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</row>
    <row r="656" ht="13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</row>
    <row r="657" ht="13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</row>
    <row r="658" ht="13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</row>
    <row r="659" ht="13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</row>
    <row r="660" ht="13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</row>
    <row r="661" ht="13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</row>
    <row r="662" ht="13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</row>
    <row r="663" ht="13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</row>
    <row r="664" ht="13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</row>
    <row r="665" ht="13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</row>
    <row r="666" ht="13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</row>
    <row r="667" ht="13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</row>
    <row r="668" ht="13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</row>
    <row r="669" ht="13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</row>
    <row r="670" ht="13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</row>
    <row r="671" ht="13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</row>
    <row r="672" ht="13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</row>
    <row r="673" ht="13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</row>
    <row r="674" ht="13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</row>
    <row r="675" ht="13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</row>
    <row r="676" ht="13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</row>
    <row r="677" ht="13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</row>
    <row r="678" ht="13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</row>
    <row r="679" ht="13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</row>
    <row r="680" ht="13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</row>
    <row r="681" ht="13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</row>
    <row r="682" ht="13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</row>
    <row r="683" ht="13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</row>
    <row r="684" ht="13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</row>
    <row r="685" ht="13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</row>
    <row r="686" ht="13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</row>
    <row r="687" ht="13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</row>
    <row r="688" ht="13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</row>
    <row r="689" ht="13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</row>
    <row r="690" ht="13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</row>
    <row r="691" ht="13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</row>
    <row r="692" ht="13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</row>
    <row r="693" ht="13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</row>
    <row r="694" ht="13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</row>
    <row r="695" ht="13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</row>
    <row r="696" ht="13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</row>
    <row r="697" ht="13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</row>
    <row r="698" ht="13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</row>
    <row r="699" ht="13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</row>
    <row r="700" ht="13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</row>
    <row r="701" ht="13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</row>
    <row r="702" ht="13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</row>
    <row r="703" ht="13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</row>
    <row r="704" ht="13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</row>
    <row r="705" ht="13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</row>
    <row r="706" ht="13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</row>
    <row r="707" ht="13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</row>
    <row r="708" ht="13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</row>
    <row r="709" ht="13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</row>
    <row r="710" ht="13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</row>
    <row r="711" ht="13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</row>
    <row r="712" ht="13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</row>
    <row r="713" ht="13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</row>
    <row r="714" ht="13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</row>
    <row r="715" ht="13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</row>
    <row r="716" ht="13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</row>
    <row r="717" ht="13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</row>
    <row r="718" ht="13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</row>
    <row r="719" ht="13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</row>
    <row r="720" ht="13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</row>
    <row r="721" ht="13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</row>
    <row r="722" ht="13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</row>
    <row r="723" ht="13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</row>
    <row r="724" ht="13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</row>
    <row r="725" ht="13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</row>
    <row r="726" ht="13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</row>
    <row r="727" ht="13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</row>
    <row r="728" ht="13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</row>
    <row r="729" ht="13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</row>
    <row r="730" ht="13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</row>
    <row r="731" ht="13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</row>
    <row r="732" ht="13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</row>
    <row r="733" ht="13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</row>
    <row r="734" ht="13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</row>
    <row r="735" ht="13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</row>
    <row r="736" ht="13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</row>
    <row r="737" ht="13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</row>
    <row r="738" ht="13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</row>
    <row r="739" ht="13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</row>
    <row r="740" ht="13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</row>
    <row r="741" ht="13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</row>
    <row r="742" ht="13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</row>
    <row r="743" ht="13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</row>
    <row r="744" ht="13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</row>
    <row r="745" ht="13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</row>
    <row r="746" ht="13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</row>
    <row r="747" ht="13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</row>
    <row r="748" ht="13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</row>
    <row r="749" ht="13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</row>
    <row r="750" ht="13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</row>
    <row r="751" ht="13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</row>
    <row r="752" ht="13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</row>
    <row r="753" ht="13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</row>
    <row r="754" ht="13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</row>
    <row r="755" ht="13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</row>
    <row r="756" ht="13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</row>
    <row r="757" ht="13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</row>
    <row r="758" ht="13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</row>
    <row r="759" ht="13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</row>
    <row r="760" ht="13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</row>
    <row r="761" ht="13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</row>
    <row r="762" ht="13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</row>
    <row r="763" ht="13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</row>
    <row r="764" ht="13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</row>
    <row r="765" ht="13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</row>
    <row r="766" ht="13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</row>
    <row r="767" ht="13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</row>
    <row r="768" ht="13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</row>
    <row r="769" ht="13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</row>
    <row r="770" ht="13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</row>
    <row r="771" ht="13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</row>
    <row r="772" ht="13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</row>
    <row r="773" ht="13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</row>
    <row r="774" ht="13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</row>
    <row r="775" ht="13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</row>
    <row r="776" ht="13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</row>
    <row r="777" ht="13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</row>
    <row r="778" ht="13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</row>
    <row r="779" ht="13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</row>
    <row r="780" ht="13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</row>
    <row r="781" ht="13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</row>
    <row r="782" ht="13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</row>
    <row r="783" ht="13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</row>
    <row r="784" ht="13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</row>
    <row r="785" ht="13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</row>
    <row r="786" ht="13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</row>
    <row r="787" ht="13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</row>
    <row r="788" ht="13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</row>
    <row r="789" ht="13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</row>
    <row r="790" ht="13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</row>
    <row r="791" ht="13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</row>
    <row r="792" ht="13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</row>
    <row r="793" ht="13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</row>
    <row r="794" ht="13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</row>
    <row r="795" ht="13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</row>
    <row r="796" ht="13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</row>
    <row r="797" ht="13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</row>
    <row r="798" ht="13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</row>
    <row r="799" ht="13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</row>
    <row r="800" ht="13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</row>
    <row r="801" ht="13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</row>
    <row r="802" ht="13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</row>
    <row r="803" ht="13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</row>
    <row r="804" ht="13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</row>
    <row r="805" ht="13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</row>
    <row r="806" ht="13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</row>
    <row r="807" ht="13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</row>
    <row r="808" ht="13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</row>
    <row r="809" ht="13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</row>
    <row r="810" ht="13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</row>
    <row r="811" ht="13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</row>
    <row r="812" ht="13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</row>
    <row r="813" ht="13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</row>
    <row r="814" ht="13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</row>
    <row r="815" ht="13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</row>
    <row r="816" ht="13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</row>
    <row r="817" ht="13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</row>
    <row r="818" ht="13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</row>
    <row r="819" ht="13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</row>
    <row r="820" ht="13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</row>
    <row r="821" ht="13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</row>
    <row r="822" ht="13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</row>
    <row r="823" ht="13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</row>
    <row r="824" ht="13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</row>
    <row r="825" ht="13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</row>
    <row r="826" ht="13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</row>
    <row r="827" ht="13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</row>
    <row r="828" ht="13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</row>
    <row r="829" ht="13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</row>
    <row r="830" ht="13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</row>
    <row r="831" ht="13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</row>
    <row r="832" ht="13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</row>
    <row r="833" ht="13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</row>
    <row r="834" ht="13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</row>
    <row r="835" ht="13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</row>
    <row r="836" ht="13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</row>
    <row r="837" ht="13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</row>
    <row r="838" ht="13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</row>
    <row r="839" ht="13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</row>
    <row r="840" ht="13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</row>
    <row r="841" ht="13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</row>
    <row r="842" ht="13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</row>
    <row r="843" ht="13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</row>
    <row r="844" ht="13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</row>
    <row r="845" ht="13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</row>
    <row r="846" ht="13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</row>
    <row r="847" ht="13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</row>
    <row r="848" ht="13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</row>
    <row r="849" ht="13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</row>
    <row r="850" ht="13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</row>
    <row r="851" ht="13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</row>
    <row r="852" ht="13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</row>
    <row r="853" ht="13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</row>
    <row r="854" ht="13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</row>
    <row r="855" ht="13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</row>
    <row r="856" ht="13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</row>
    <row r="857" ht="13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</row>
    <row r="858" ht="13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</row>
    <row r="859" ht="13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</row>
    <row r="860" ht="13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</row>
    <row r="861" ht="13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</row>
    <row r="862" ht="13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</row>
    <row r="863" ht="13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</row>
    <row r="864" ht="13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</row>
    <row r="865" ht="13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</row>
    <row r="866" ht="13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</row>
    <row r="867" ht="13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</row>
    <row r="868" ht="13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</row>
    <row r="869" ht="13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</row>
    <row r="870" ht="13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</row>
    <row r="871" ht="13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</row>
    <row r="872" ht="13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</row>
    <row r="873" ht="13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</row>
    <row r="874" ht="13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</row>
    <row r="875" ht="13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</row>
    <row r="876" ht="13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</row>
    <row r="877" ht="13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</row>
    <row r="878" ht="13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</row>
    <row r="879" ht="13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</row>
    <row r="880" ht="13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</row>
    <row r="881" ht="13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</row>
    <row r="882" ht="13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</row>
    <row r="883" ht="13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</row>
    <row r="884" ht="13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</row>
    <row r="885" ht="13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</row>
    <row r="886" ht="13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</row>
    <row r="887" ht="13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</row>
    <row r="888" ht="13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</row>
    <row r="889" ht="13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</row>
    <row r="890" ht="13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</row>
    <row r="891" ht="13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</row>
    <row r="892" ht="13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</row>
    <row r="893" ht="13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</row>
    <row r="894" ht="13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</row>
    <row r="895" ht="13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</row>
    <row r="896" ht="13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</row>
    <row r="897" ht="13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</row>
    <row r="898" ht="13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</row>
    <row r="899" ht="13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</row>
    <row r="900" ht="13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</row>
    <row r="901" ht="13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</row>
    <row r="902" ht="13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</row>
    <row r="903" ht="13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</row>
    <row r="904" ht="13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</row>
    <row r="905" ht="13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</row>
    <row r="906" ht="13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</row>
    <row r="907" ht="13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</row>
    <row r="908" ht="13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</row>
    <row r="909" ht="13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</row>
    <row r="910" ht="13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</row>
    <row r="911" ht="13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</row>
    <row r="912" ht="13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</row>
    <row r="913" ht="13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</row>
    <row r="914" ht="13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</row>
    <row r="915" ht="13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</row>
    <row r="916" ht="13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</row>
    <row r="917" ht="13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</row>
    <row r="918" ht="13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</row>
    <row r="919" ht="13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</row>
    <row r="920" ht="13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</row>
    <row r="921" ht="13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</row>
    <row r="922" ht="13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</row>
    <row r="923" ht="13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</row>
    <row r="924" ht="13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</row>
    <row r="925" ht="13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</row>
    <row r="926" ht="13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</row>
    <row r="927" ht="13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</row>
    <row r="928" ht="13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</row>
    <row r="929" ht="13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</row>
    <row r="930" ht="13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</row>
    <row r="931" ht="13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</row>
    <row r="932" ht="13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</row>
    <row r="933" ht="13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</row>
    <row r="934" ht="13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</row>
    <row r="935" ht="13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</row>
    <row r="936" ht="13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</row>
    <row r="937" ht="13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</row>
    <row r="938" ht="13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</row>
    <row r="939" ht="13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</row>
    <row r="940" ht="13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</row>
    <row r="941" ht="13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</row>
    <row r="942" ht="13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</row>
    <row r="943" ht="13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</row>
    <row r="944" ht="13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</row>
    <row r="945" ht="13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</row>
    <row r="946" ht="13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</row>
    <row r="947" ht="13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</row>
    <row r="948" ht="13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</row>
    <row r="949" ht="13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</row>
    <row r="950" ht="13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</row>
    <row r="951" ht="13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</row>
    <row r="952" ht="13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</row>
    <row r="953" ht="13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</row>
    <row r="954" ht="13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</row>
    <row r="955" ht="13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</row>
    <row r="956" ht="13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</row>
    <row r="957" ht="13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</row>
    <row r="958" ht="13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</row>
    <row r="959" ht="13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</row>
    <row r="960" ht="13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</row>
    <row r="961" ht="13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</row>
    <row r="962" ht="13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</row>
    <row r="963" ht="13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</row>
    <row r="964" ht="13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</row>
    <row r="965" ht="13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</row>
    <row r="966" ht="13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</row>
    <row r="967" ht="13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</row>
    <row r="968" ht="13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</row>
    <row r="969" ht="13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</row>
    <row r="970" ht="13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</row>
    <row r="971" ht="13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</row>
    <row r="972" ht="13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</row>
    <row r="973" ht="13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</row>
    <row r="974" ht="13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</row>
    <row r="975" ht="13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</row>
    <row r="976" ht="13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</row>
    <row r="977" ht="13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</row>
    <row r="978" ht="13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</row>
    <row r="979" ht="13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</row>
    <row r="980" ht="13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</row>
    <row r="981" ht="13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</row>
    <row r="982" ht="13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</row>
    <row r="983" ht="13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</row>
    <row r="984" ht="13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</row>
    <row r="985" ht="13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</row>
    <row r="986" ht="13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</row>
    <row r="987" ht="13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</row>
    <row r="988" ht="13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</row>
    <row r="989" ht="13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</row>
    <row r="990" ht="13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</row>
    <row r="991" ht="13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</row>
    <row r="992" ht="13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</row>
    <row r="993" ht="13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</row>
    <row r="994" ht="13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</row>
    <row r="995" ht="13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</row>
    <row r="996" ht="13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</row>
    <row r="997" ht="13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</row>
    <row r="998" ht="13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</row>
    <row r="999" ht="13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</row>
    <row r="1000" ht="13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</row>
  </sheetData>
  <mergeCells count="25">
    <mergeCell ref="A1:AI1"/>
    <mergeCell ref="A2:AI2"/>
    <mergeCell ref="B5:AI5"/>
    <mergeCell ref="C7:F7"/>
    <mergeCell ref="R7:U7"/>
    <mergeCell ref="B10:I10"/>
    <mergeCell ref="Q10:X10"/>
    <mergeCell ref="AE25:AI25"/>
    <mergeCell ref="AE26:AI26"/>
    <mergeCell ref="AE27:AI27"/>
    <mergeCell ref="AE28:AI28"/>
    <mergeCell ref="B30:I30"/>
    <mergeCell ref="Q30:X30"/>
    <mergeCell ref="B35:I35"/>
    <mergeCell ref="Q35:X35"/>
    <mergeCell ref="B40:I40"/>
    <mergeCell ref="Q40:X40"/>
    <mergeCell ref="B45:I45"/>
    <mergeCell ref="B15:I15"/>
    <mergeCell ref="Q15:X15"/>
    <mergeCell ref="B20:I20"/>
    <mergeCell ref="Q20:X20"/>
    <mergeCell ref="AE24:AI24"/>
    <mergeCell ref="B25:I25"/>
    <mergeCell ref="Q25:X25"/>
  </mergeCells>
  <printOptions/>
  <pageMargins bottom="1.0" footer="0.0" header="0.0" left="0.75" right="0.75" top="1.0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hidden="1" min="1" max="1" width="6.0"/>
    <col customWidth="1" min="2" max="2" width="34.13"/>
    <col customWidth="1" min="3" max="3" width="7.0"/>
    <col customWidth="1" hidden="1" min="4" max="4" width="6.13"/>
    <col customWidth="1" min="5" max="5" width="1.63"/>
    <col customWidth="1" min="6" max="6" width="7.0"/>
    <col customWidth="1" hidden="1" min="7" max="7" width="6.13"/>
    <col customWidth="1" min="8" max="8" width="1.63"/>
    <col customWidth="1" min="9" max="9" width="7.0"/>
    <col customWidth="1" hidden="1" min="10" max="10" width="6.13"/>
    <col customWidth="1" hidden="1" min="11" max="11" width="7.5"/>
    <col customWidth="1" hidden="1" min="12" max="12" width="11.38"/>
    <col customWidth="1" hidden="1" min="13" max="13" width="8.0"/>
    <col customWidth="1" hidden="1" min="14" max="14" width="6.13"/>
    <col customWidth="1" min="15" max="15" width="5.13"/>
    <col customWidth="1" hidden="1" min="16" max="16" width="7.38"/>
    <col customWidth="1" min="17" max="17" width="34.13"/>
    <col customWidth="1" min="18" max="18" width="7.0"/>
    <col customWidth="1" hidden="1" min="19" max="19" width="6.13"/>
    <col customWidth="1" min="20" max="20" width="1.63"/>
    <col customWidth="1" min="21" max="21" width="7.0"/>
    <col customWidth="1" hidden="1" min="22" max="22" width="6.13"/>
    <col customWidth="1" min="23" max="23" width="1.63"/>
    <col customWidth="1" min="24" max="24" width="7.0"/>
    <col customWidth="1" hidden="1" min="25" max="25" width="6.13"/>
    <col customWidth="1" hidden="1" min="26" max="26" width="7.5"/>
    <col customWidth="1" hidden="1" min="27" max="27" width="11.38"/>
    <col customWidth="1" hidden="1" min="28" max="28" width="8.0"/>
    <col customWidth="1" hidden="1" min="29" max="29" width="6.13"/>
    <col customWidth="1" min="30" max="30" width="8.63"/>
    <col customWidth="1" min="31" max="31" width="37.38"/>
    <col customWidth="1" min="32" max="35" width="8.63"/>
    <col customWidth="1" hidden="1" min="36" max="36" width="9.38"/>
    <col customWidth="1" hidden="1" min="37" max="37" width="8.0"/>
    <col customWidth="1" hidden="1" min="38" max="38" width="41.13"/>
    <col customWidth="1" min="39" max="40" width="9.38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2" s="1" t="s">
        <v>1</v>
      </c>
      <c r="AJ2" s="4"/>
      <c r="AK2" s="4"/>
      <c r="AL2" s="4"/>
      <c r="AM2" s="4"/>
      <c r="AN2" s="4"/>
    </row>
    <row r="3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30.0" customHeight="1">
      <c r="A5" s="15"/>
      <c r="B5" s="111" t="s">
        <v>128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  <c r="AJ5" s="15"/>
      <c r="AK5" s="15"/>
      <c r="AL5" s="15"/>
      <c r="AM5" s="15"/>
      <c r="AN5" s="15"/>
    </row>
    <row r="6" ht="13.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ht="13.5" customHeight="1">
      <c r="A7" s="15"/>
      <c r="B7" s="112" t="s">
        <v>65</v>
      </c>
      <c r="C7" s="113" t="s">
        <v>66</v>
      </c>
      <c r="D7" s="21"/>
      <c r="E7" s="21"/>
      <c r="F7" s="7"/>
      <c r="G7" s="114"/>
      <c r="H7" s="115"/>
      <c r="I7" s="112" t="s">
        <v>67</v>
      </c>
      <c r="J7" s="15"/>
      <c r="K7" s="15"/>
      <c r="L7" s="15"/>
      <c r="M7" s="24"/>
      <c r="N7" s="24"/>
      <c r="O7" s="15"/>
      <c r="P7" s="15"/>
      <c r="Q7" s="112" t="s">
        <v>65</v>
      </c>
      <c r="R7" s="113" t="s">
        <v>66</v>
      </c>
      <c r="S7" s="21"/>
      <c r="T7" s="21"/>
      <c r="U7" s="7"/>
      <c r="V7" s="114"/>
      <c r="W7" s="115"/>
      <c r="X7" s="112" t="s">
        <v>67</v>
      </c>
      <c r="Y7" s="24"/>
      <c r="Z7" s="24"/>
      <c r="AA7" s="24"/>
      <c r="AB7" s="24"/>
      <c r="AC7" s="24"/>
      <c r="AD7" s="15"/>
      <c r="AE7" s="112" t="s">
        <v>68</v>
      </c>
      <c r="AF7" s="112" t="s">
        <v>69</v>
      </c>
      <c r="AG7" s="112" t="s">
        <v>70</v>
      </c>
      <c r="AH7" s="112" t="s">
        <v>71</v>
      </c>
      <c r="AI7" s="112" t="s">
        <v>72</v>
      </c>
      <c r="AJ7" s="24"/>
      <c r="AK7" s="24"/>
      <c r="AL7" s="24"/>
      <c r="AM7" s="15"/>
      <c r="AN7" s="15"/>
    </row>
    <row r="8" ht="13.5" hidden="1" customHeight="1">
      <c r="A8" s="15"/>
      <c r="B8" s="15"/>
      <c r="C8" s="25" t="s">
        <v>73</v>
      </c>
      <c r="D8" s="25" t="s">
        <v>74</v>
      </c>
      <c r="E8" s="25"/>
      <c r="F8" s="25" t="s">
        <v>73</v>
      </c>
      <c r="G8" s="25" t="s">
        <v>75</v>
      </c>
      <c r="H8" s="25"/>
      <c r="I8" s="25" t="s">
        <v>73</v>
      </c>
      <c r="J8" s="25" t="s">
        <v>76</v>
      </c>
      <c r="K8" s="25" t="s">
        <v>77</v>
      </c>
      <c r="L8" s="25" t="s">
        <v>78</v>
      </c>
      <c r="M8" s="25" t="s">
        <v>79</v>
      </c>
      <c r="N8" s="25" t="s">
        <v>80</v>
      </c>
      <c r="O8" s="15"/>
      <c r="P8" s="15"/>
      <c r="Q8" s="15"/>
      <c r="R8" s="25" t="s">
        <v>73</v>
      </c>
      <c r="S8" s="25" t="s">
        <v>74</v>
      </c>
      <c r="T8" s="25"/>
      <c r="U8" s="25" t="s">
        <v>73</v>
      </c>
      <c r="V8" s="25" t="s">
        <v>75</v>
      </c>
      <c r="W8" s="25"/>
      <c r="X8" s="25" t="s">
        <v>73</v>
      </c>
      <c r="Y8" s="25" t="s">
        <v>76</v>
      </c>
      <c r="Z8" s="25" t="s">
        <v>77</v>
      </c>
      <c r="AA8" s="25" t="s">
        <v>78</v>
      </c>
      <c r="AB8" s="25" t="s">
        <v>79</v>
      </c>
      <c r="AC8" s="25" t="s">
        <v>80</v>
      </c>
      <c r="AD8" s="15"/>
      <c r="AE8" s="24"/>
      <c r="AF8" s="24"/>
      <c r="AG8" s="24"/>
      <c r="AH8" s="24"/>
      <c r="AI8" s="24"/>
      <c r="AJ8" s="25" t="s">
        <v>81</v>
      </c>
      <c r="AK8" s="26" t="s">
        <v>82</v>
      </c>
      <c r="AL8" s="27" t="s">
        <v>83</v>
      </c>
      <c r="AM8" s="15"/>
      <c r="AN8" s="15"/>
    </row>
    <row r="9" ht="15.0" customHeight="1">
      <c r="A9" s="15"/>
      <c r="B9" s="28" t="str">
        <f>AE9</f>
        <v>Nancy Wong / Josette D’Alessandro</v>
      </c>
      <c r="C9" s="29">
        <v>6.0</v>
      </c>
      <c r="D9" s="30">
        <f>IF(C9&gt;C11,1,0)</f>
        <v>1</v>
      </c>
      <c r="E9" s="31"/>
      <c r="F9" s="29">
        <v>6.0</v>
      </c>
      <c r="G9" s="30">
        <f>IF(F9&gt;F11,1,0)</f>
        <v>1</v>
      </c>
      <c r="H9" s="31"/>
      <c r="I9" s="32"/>
      <c r="J9" s="15">
        <f>IF(I9&gt;I11,1,0)</f>
        <v>0</v>
      </c>
      <c r="K9" s="15">
        <f>IF(D9+G9=2,3,IF(D9+G9=1,1,0))</f>
        <v>3</v>
      </c>
      <c r="L9" s="15">
        <f>IF(K9=3,3,IF(J9+K9=2,2,IF(K9=1,1,0)))</f>
        <v>3</v>
      </c>
      <c r="M9" s="15">
        <f>C9+F9</f>
        <v>12</v>
      </c>
      <c r="N9" s="15">
        <f>D9+G9+J9</f>
        <v>2</v>
      </c>
      <c r="O9" s="15"/>
      <c r="P9" s="15"/>
      <c r="Q9" s="28" t="str">
        <f>AE9</f>
        <v>Nancy Wong / Josette D’Alessandro</v>
      </c>
      <c r="R9" s="29">
        <v>4.0</v>
      </c>
      <c r="S9" s="30">
        <f>IF(R9&gt;R11,1,0)</f>
        <v>0</v>
      </c>
      <c r="T9" s="31"/>
      <c r="U9" s="29">
        <v>6.0</v>
      </c>
      <c r="V9" s="30">
        <f>IF(U9&gt;U11,1,0)</f>
        <v>1</v>
      </c>
      <c r="W9" s="31"/>
      <c r="X9" s="29">
        <v>5.0</v>
      </c>
      <c r="Y9" s="15">
        <f>IF(X9&gt;X11,1,0)</f>
        <v>0</v>
      </c>
      <c r="Z9" s="15">
        <f>IF(S9+V9=2,3,IF(S9+V9=1,1,0))</f>
        <v>1</v>
      </c>
      <c r="AA9" s="15">
        <f>IF(Z9=3,3,IF(Y9+Z9=2,2,IF(Z9=1,1,0)))</f>
        <v>1</v>
      </c>
      <c r="AB9" s="15">
        <f>R9+U9</f>
        <v>10</v>
      </c>
      <c r="AC9" s="15">
        <f>S9+V9+Y9</f>
        <v>1</v>
      </c>
      <c r="AD9" s="15"/>
      <c r="AE9" s="116" t="str">
        <f>'Players Ladies'!B22&amp; " / " &amp;'Players Ladies'!C22</f>
        <v>Nancy Wong / Josette D’Alessandro</v>
      </c>
      <c r="AF9" s="34">
        <f>C12+R12+C17+R17+C22</f>
        <v>5</v>
      </c>
      <c r="AG9" s="34">
        <f t="shared" ref="AG9:AI9" si="1">L9+AA9+L14+AA14+L19</f>
        <v>8</v>
      </c>
      <c r="AH9" s="34">
        <f t="shared" si="1"/>
        <v>45</v>
      </c>
      <c r="AI9" s="35">
        <f t="shared" si="1"/>
        <v>6</v>
      </c>
      <c r="AJ9" s="15">
        <f>MAX(AG16,AG14,AG11,AG9,AG19,AG21)</f>
        <v>10</v>
      </c>
      <c r="AK9" s="15">
        <f>SUM(AF9:AF21)</f>
        <v>30</v>
      </c>
      <c r="AL9" s="15" t="str">
        <f>IF(AG9=$AJ$9,AE9,IF(AG11=$AJ$9,AE11,IF(AG14=$AJ$9,AE14,IF(AG16=$AJ$9,AE16,IF(AG19=$AJ$9,AE19,IF(AG21=$AJ$9,AE21,""))))))</f>
        <v>Helga Azzopardi / Angele Pule’</v>
      </c>
      <c r="AM9" s="15"/>
      <c r="AN9" s="15"/>
    </row>
    <row r="10" ht="13.5" customHeight="1">
      <c r="A10" s="15"/>
      <c r="B10" s="36" t="s">
        <v>84</v>
      </c>
      <c r="I10" s="37"/>
      <c r="J10" s="38"/>
      <c r="K10" s="15"/>
      <c r="L10" s="15"/>
      <c r="M10" s="15"/>
      <c r="N10" s="15"/>
      <c r="O10" s="15"/>
      <c r="P10" s="15"/>
      <c r="Q10" s="36" t="s">
        <v>84</v>
      </c>
      <c r="X10" s="37"/>
      <c r="Y10" s="3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24"/>
      <c r="AL10" s="24"/>
      <c r="AM10" s="15"/>
      <c r="AN10" s="15"/>
    </row>
    <row r="11" ht="13.5" customHeight="1">
      <c r="A11" s="15"/>
      <c r="B11" s="39" t="str">
        <f>AE11</f>
        <v>Helga Azzopardi / Angele Pule’</v>
      </c>
      <c r="C11" s="29">
        <v>4.0</v>
      </c>
      <c r="D11" s="40">
        <f>IF(C11&gt;C9,1,0)</f>
        <v>0</v>
      </c>
      <c r="E11" s="41"/>
      <c r="F11" s="29">
        <v>1.0</v>
      </c>
      <c r="G11" s="40">
        <f>IF(F11&gt;F9,1,0)</f>
        <v>0</v>
      </c>
      <c r="H11" s="41"/>
      <c r="I11" s="32"/>
      <c r="J11" s="15">
        <f>IF(I11&gt;I9,1,0)</f>
        <v>0</v>
      </c>
      <c r="K11" s="15">
        <f>IF(D11+G11=2,3,IF(D11+G11=1,1,0))</f>
        <v>0</v>
      </c>
      <c r="L11" s="15">
        <f>IF(K11=3,3,IF(J11+K11=2,2,IF(K11=1,1,0)))</f>
        <v>0</v>
      </c>
      <c r="M11" s="15">
        <f>C11+F11</f>
        <v>5</v>
      </c>
      <c r="N11" s="15">
        <f>D11+G11+J11</f>
        <v>0</v>
      </c>
      <c r="O11" s="15"/>
      <c r="P11" s="15"/>
      <c r="Q11" s="39" t="str">
        <f>AE14</f>
        <v>Kristina Briffa / Sarah Axiaq</v>
      </c>
      <c r="R11" s="29">
        <v>6.0</v>
      </c>
      <c r="S11" s="40">
        <f>IF(R11&gt;R9,1,0)</f>
        <v>1</v>
      </c>
      <c r="T11" s="41"/>
      <c r="U11" s="29">
        <v>4.0</v>
      </c>
      <c r="V11" s="40">
        <f>IF(U11&gt;U9,1,0)</f>
        <v>0</v>
      </c>
      <c r="W11" s="41"/>
      <c r="X11" s="29">
        <v>10.0</v>
      </c>
      <c r="Y11" s="15">
        <f>IF(X11&gt;X9,1,0)</f>
        <v>1</v>
      </c>
      <c r="Z11" s="15">
        <f>IF(S11+V11=2,3,IF(S11+V11=1,1,0))</f>
        <v>1</v>
      </c>
      <c r="AA11" s="15">
        <f>IF(Z11=3,3,IF(Y11+Z11=2,2,IF(Z11=1,1,0)))</f>
        <v>2</v>
      </c>
      <c r="AB11" s="15">
        <f>R11+U11</f>
        <v>10</v>
      </c>
      <c r="AC11" s="15">
        <f>S11+V11+Y11</f>
        <v>2</v>
      </c>
      <c r="AD11" s="15"/>
      <c r="AE11" s="116" t="str">
        <f>'Players Ladies'!B23&amp; " / " &amp;'Players Ladies'!C23</f>
        <v>Helga Azzopardi / Angele Pule’</v>
      </c>
      <c r="AF11" s="34">
        <f>F12+R32+C27+R27+R22</f>
        <v>5</v>
      </c>
      <c r="AG11" s="34">
        <f t="shared" ref="AG11:AI11" si="2">L11+AA29+L24+AA24+AA19</f>
        <v>10</v>
      </c>
      <c r="AH11" s="34">
        <f t="shared" si="2"/>
        <v>50</v>
      </c>
      <c r="AI11" s="35">
        <f t="shared" si="2"/>
        <v>8</v>
      </c>
      <c r="AJ11" s="24"/>
      <c r="AK11" s="24"/>
      <c r="AL11" s="24"/>
      <c r="AM11" s="15"/>
      <c r="AN11" s="15"/>
    </row>
    <row r="12" ht="13.5" hidden="1" customHeight="1">
      <c r="A12" s="15" t="s">
        <v>85</v>
      </c>
      <c r="B12" s="15"/>
      <c r="C12" s="42">
        <f>IF(C9="",0,1)</f>
        <v>1</v>
      </c>
      <c r="D12" s="15"/>
      <c r="E12" s="15"/>
      <c r="F12" s="42">
        <f>IF(C11="",0,1)</f>
        <v>1</v>
      </c>
      <c r="G12" s="15"/>
      <c r="H12" s="15"/>
      <c r="I12" s="15"/>
      <c r="J12" s="15"/>
      <c r="K12" s="15"/>
      <c r="L12" s="15"/>
      <c r="M12" s="15"/>
      <c r="N12" s="15"/>
      <c r="O12" s="15"/>
      <c r="P12" s="15" t="s">
        <v>85</v>
      </c>
      <c r="Q12" s="15"/>
      <c r="R12" s="42">
        <f>IF(R9="",0,1)</f>
        <v>1</v>
      </c>
      <c r="S12" s="15"/>
      <c r="T12" s="15"/>
      <c r="U12" s="42">
        <f>IF(R11="",0,1)</f>
        <v>1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24"/>
      <c r="AG12" s="24"/>
      <c r="AH12" s="24"/>
      <c r="AI12" s="24"/>
      <c r="AJ12" s="24"/>
      <c r="AK12" s="15"/>
      <c r="AL12" s="15"/>
      <c r="AM12" s="15"/>
      <c r="AN12" s="15"/>
    </row>
    <row r="13" ht="13.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24"/>
      <c r="AG13" s="24"/>
      <c r="AH13" s="24"/>
      <c r="AI13" s="24"/>
      <c r="AJ13" s="24"/>
      <c r="AK13" s="24"/>
      <c r="AL13" s="24"/>
      <c r="AM13" s="15"/>
      <c r="AN13" s="15"/>
    </row>
    <row r="14" ht="13.5" customHeight="1">
      <c r="A14" s="15"/>
      <c r="B14" s="28" t="str">
        <f>AE9</f>
        <v>Nancy Wong / Josette D’Alessandro</v>
      </c>
      <c r="C14" s="29">
        <v>6.0</v>
      </c>
      <c r="D14" s="30">
        <f>IF(C14&gt;C16,1,0)</f>
        <v>1</v>
      </c>
      <c r="E14" s="31"/>
      <c r="F14" s="29">
        <v>6.0</v>
      </c>
      <c r="G14" s="30">
        <f>IF(F14&gt;F16,1,0)</f>
        <v>1</v>
      </c>
      <c r="H14" s="31"/>
      <c r="I14" s="32"/>
      <c r="J14" s="15">
        <f>IF(I14&gt;I16,1,0)</f>
        <v>0</v>
      </c>
      <c r="K14" s="15">
        <f>IF(D14+G14=2,3,IF(D14+G14=1,1,0))</f>
        <v>3</v>
      </c>
      <c r="L14" s="15">
        <f>IF(K14=3,3,IF(J14+K14=2,2,IF(K14=1,1,0)))</f>
        <v>3</v>
      </c>
      <c r="M14" s="15">
        <f>C14+F14</f>
        <v>12</v>
      </c>
      <c r="N14" s="15">
        <f>D14+G14+J14</f>
        <v>2</v>
      </c>
      <c r="O14" s="15"/>
      <c r="P14" s="15"/>
      <c r="Q14" s="28" t="str">
        <f>AE9</f>
        <v>Nancy Wong / Josette D’Alessandro</v>
      </c>
      <c r="R14" s="29">
        <v>1.0</v>
      </c>
      <c r="S14" s="30">
        <f>IF(R14&gt;R16,1,0)</f>
        <v>0</v>
      </c>
      <c r="T14" s="31"/>
      <c r="U14" s="29">
        <v>1.0</v>
      </c>
      <c r="V14" s="30">
        <f>IF(U14&gt;U16,1,0)</f>
        <v>0</v>
      </c>
      <c r="W14" s="31"/>
      <c r="X14" s="32"/>
      <c r="Y14" s="15">
        <f>IF(X14&gt;X16,1,0)</f>
        <v>0</v>
      </c>
      <c r="Z14" s="15">
        <f>IF(S14+V14=2,3,IF(S14+V14=1,1,0))</f>
        <v>0</v>
      </c>
      <c r="AA14" s="15">
        <f>IF(Z14=3,3,IF(Y14+Z14=2,2,IF(Z14=1,1,0)))</f>
        <v>0</v>
      </c>
      <c r="AB14" s="15">
        <f>R14+U14</f>
        <v>2</v>
      </c>
      <c r="AC14" s="15">
        <f>S14+V14+Y14</f>
        <v>0</v>
      </c>
      <c r="AD14" s="15"/>
      <c r="AE14" s="116" t="str">
        <f>'Players Ladies'!B24&amp; " / " &amp;'Players Ladies'!C24</f>
        <v>Kristina Briffa / Sarah Axiaq</v>
      </c>
      <c r="AF14" s="34">
        <f>R37+U12+R42+C32+U22</f>
        <v>5</v>
      </c>
      <c r="AG14" s="34">
        <f t="shared" ref="AG14:AI14" si="3">AA34+AA11+AA39+L29+AA21</f>
        <v>8</v>
      </c>
      <c r="AH14" s="34">
        <f t="shared" si="3"/>
        <v>51</v>
      </c>
      <c r="AI14" s="35">
        <f t="shared" si="3"/>
        <v>7</v>
      </c>
      <c r="AJ14" s="24"/>
      <c r="AK14" s="24"/>
      <c r="AL14" s="24"/>
      <c r="AM14" s="15"/>
      <c r="AN14" s="15"/>
    </row>
    <row r="15" ht="13.5" customHeight="1">
      <c r="A15" s="15"/>
      <c r="B15" s="36" t="s">
        <v>84</v>
      </c>
      <c r="I15" s="37"/>
      <c r="J15" s="38"/>
      <c r="K15" s="15"/>
      <c r="L15" s="15"/>
      <c r="M15" s="15"/>
      <c r="N15" s="15"/>
      <c r="O15" s="15"/>
      <c r="P15" s="15"/>
      <c r="Q15" s="36" t="s">
        <v>84</v>
      </c>
      <c r="X15" s="37"/>
      <c r="Y15" s="38"/>
      <c r="Z15" s="15"/>
      <c r="AA15" s="15"/>
      <c r="AB15" s="15"/>
      <c r="AC15" s="15"/>
      <c r="AD15" s="15"/>
      <c r="AE15" s="15"/>
      <c r="AF15" s="24"/>
      <c r="AG15" s="24"/>
      <c r="AH15" s="24"/>
      <c r="AI15" s="24"/>
      <c r="AJ15" s="24"/>
      <c r="AK15" s="24"/>
      <c r="AL15" s="24"/>
      <c r="AM15" s="15"/>
      <c r="AN15" s="15"/>
    </row>
    <row r="16" ht="13.5" customHeight="1">
      <c r="A16" s="15"/>
      <c r="B16" s="39" t="str">
        <f>AE16</f>
        <v>Ann Marie Attard / Christine Seychell</v>
      </c>
      <c r="C16" s="29">
        <v>4.0</v>
      </c>
      <c r="D16" s="40">
        <f>IF(C16&gt;C14,1,0)</f>
        <v>0</v>
      </c>
      <c r="E16" s="41"/>
      <c r="F16" s="29">
        <v>2.0</v>
      </c>
      <c r="G16" s="40">
        <f>IF(F16&gt;F14,1,0)</f>
        <v>0</v>
      </c>
      <c r="H16" s="41"/>
      <c r="I16" s="32"/>
      <c r="J16" s="15">
        <f>IF(I16&gt;I14,1,0)</f>
        <v>0</v>
      </c>
      <c r="K16" s="15">
        <f>IF(D16+G16=2,3,IF(D16+G16=1,1,0))</f>
        <v>0</v>
      </c>
      <c r="L16" s="15">
        <f>IF(K16=3,3,IF(J16+K16=2,2,IF(K16=1,1,0)))</f>
        <v>0</v>
      </c>
      <c r="M16" s="15">
        <f>C16+F16</f>
        <v>6</v>
      </c>
      <c r="N16" s="15">
        <f>D16+G16+J16</f>
        <v>0</v>
      </c>
      <c r="O16" s="15"/>
      <c r="P16" s="15"/>
      <c r="Q16" s="39" t="str">
        <f>AE19</f>
        <v>Francesca Sciortino / Julie Spiteri</v>
      </c>
      <c r="R16" s="29">
        <v>6.0</v>
      </c>
      <c r="S16" s="40">
        <f>IF(R16&gt;R14,1,0)</f>
        <v>1</v>
      </c>
      <c r="T16" s="41"/>
      <c r="U16" s="29">
        <v>6.0</v>
      </c>
      <c r="V16" s="40">
        <f>IF(U16&gt;U14,1,0)</f>
        <v>1</v>
      </c>
      <c r="W16" s="41"/>
      <c r="X16" s="32"/>
      <c r="Y16" s="15">
        <f>IF(X16&gt;X14,1,0)</f>
        <v>0</v>
      </c>
      <c r="Z16" s="15">
        <f>IF(S16+V16=2,3,IF(S16+V16=1,1,0))</f>
        <v>3</v>
      </c>
      <c r="AA16" s="15">
        <f>IF(Z16=3,3,IF(Y16+Z16=2,2,IF(Z16=1,1,0)))</f>
        <v>3</v>
      </c>
      <c r="AB16" s="15">
        <f>R16+U16</f>
        <v>12</v>
      </c>
      <c r="AC16" s="15">
        <f>S16+V16+Y16</f>
        <v>2</v>
      </c>
      <c r="AD16" s="15"/>
      <c r="AE16" s="116" t="str">
        <f>'Players Ladies'!B25&amp; " / " &amp;'Players Ladies'!C25</f>
        <v>Ann Marie Attard / Christine Seychell</v>
      </c>
      <c r="AF16" s="34">
        <f>U37+C47+F17+U27+C37</f>
        <v>5</v>
      </c>
      <c r="AG16" s="34">
        <f t="shared" ref="AG16:AI16" si="4">AA36+L44+L16+AA26+L34</f>
        <v>4</v>
      </c>
      <c r="AH16" s="34">
        <f t="shared" si="4"/>
        <v>36</v>
      </c>
      <c r="AI16" s="35">
        <f t="shared" si="4"/>
        <v>4</v>
      </c>
      <c r="AJ16" s="24"/>
      <c r="AK16" s="24"/>
      <c r="AL16" s="24"/>
      <c r="AM16" s="15"/>
      <c r="AN16" s="15"/>
    </row>
    <row r="17" ht="13.5" hidden="1" customHeight="1">
      <c r="A17" s="15" t="s">
        <v>85</v>
      </c>
      <c r="B17" s="15"/>
      <c r="C17" s="42">
        <f>IF(C14="",0,1)</f>
        <v>1</v>
      </c>
      <c r="D17" s="15"/>
      <c r="E17" s="15"/>
      <c r="F17" s="42">
        <f>IF(C16="",0,1)</f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 t="s">
        <v>85</v>
      </c>
      <c r="Q17" s="15"/>
      <c r="R17" s="42">
        <f>IF(R14="",0,1)</f>
        <v>1</v>
      </c>
      <c r="S17" s="15"/>
      <c r="T17" s="15"/>
      <c r="U17" s="42">
        <f>IF(R16="",0,1)</f>
        <v>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24"/>
      <c r="AG17" s="24"/>
      <c r="AH17" s="24"/>
      <c r="AI17" s="24"/>
      <c r="AJ17" s="24"/>
      <c r="AK17" s="15"/>
      <c r="AL17" s="15"/>
      <c r="AM17" s="15"/>
      <c r="AN17" s="15"/>
    </row>
    <row r="18" ht="13.5" customHeight="1">
      <c r="A18" s="15"/>
      <c r="B18" s="15"/>
      <c r="C18" s="2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24"/>
      <c r="AG18" s="24"/>
      <c r="AH18" s="24"/>
      <c r="AI18" s="24"/>
      <c r="AJ18" s="24"/>
      <c r="AK18" s="24"/>
      <c r="AL18" s="24"/>
      <c r="AM18" s="15"/>
      <c r="AN18" s="15"/>
    </row>
    <row r="19" ht="13.5" customHeight="1">
      <c r="A19" s="15"/>
      <c r="B19" s="28" t="str">
        <f>AE9</f>
        <v>Nancy Wong / Josette D’Alessandro</v>
      </c>
      <c r="C19" s="29">
        <v>6.0</v>
      </c>
      <c r="D19" s="30">
        <f>IF(C19&gt;C21,1,0)</f>
        <v>1</v>
      </c>
      <c r="E19" s="31"/>
      <c r="F19" s="29">
        <v>3.0</v>
      </c>
      <c r="G19" s="30">
        <f>IF(F19&gt;F21,1,0)</f>
        <v>0</v>
      </c>
      <c r="H19" s="31"/>
      <c r="I19" s="29">
        <v>3.0</v>
      </c>
      <c r="J19" s="15">
        <f>IF(I19&gt;I21,1,0)</f>
        <v>0</v>
      </c>
      <c r="K19" s="15">
        <f>IF(D19+G19=2,3,IF(D19+G19=1,1,0))</f>
        <v>1</v>
      </c>
      <c r="L19" s="15">
        <f>IF(K19=3,3,IF(J19+K19=2,2,IF(K19=1,1,0)))</f>
        <v>1</v>
      </c>
      <c r="M19" s="15">
        <f>C19+F19</f>
        <v>9</v>
      </c>
      <c r="N19" s="15">
        <f>D19+G19+J19</f>
        <v>1</v>
      </c>
      <c r="O19" s="15"/>
      <c r="P19" s="15"/>
      <c r="Q19" s="28" t="str">
        <f>AE11</f>
        <v>Helga Azzopardi / Angele Pule’</v>
      </c>
      <c r="R19" s="29">
        <v>6.0</v>
      </c>
      <c r="S19" s="30">
        <f>IF(R19&gt;R21,1,0)</f>
        <v>1</v>
      </c>
      <c r="T19" s="31"/>
      <c r="U19" s="29">
        <v>4.0</v>
      </c>
      <c r="V19" s="30">
        <f>IF(U19&gt;U21,1,0)</f>
        <v>0</v>
      </c>
      <c r="W19" s="31"/>
      <c r="X19" s="29">
        <v>10.0</v>
      </c>
      <c r="Y19" s="15">
        <f>IF(X19&gt;X21,1,0)</f>
        <v>1</v>
      </c>
      <c r="Z19" s="15">
        <f>IF(S19+V19=2,3,IF(S19+V19=1,1,0))</f>
        <v>1</v>
      </c>
      <c r="AA19" s="15">
        <f>IF(Z19=3,3,IF(Y19+Z19=2,2,IF(Z19=1,1,0)))</f>
        <v>2</v>
      </c>
      <c r="AB19" s="15">
        <f>R19+U19</f>
        <v>10</v>
      </c>
      <c r="AC19" s="15">
        <f>S19+V19+Y19</f>
        <v>2</v>
      </c>
      <c r="AD19" s="15"/>
      <c r="AE19" s="116" t="str">
        <f>'Players Ladies'!B26&amp; " / " &amp;'Players Ladies'!C26</f>
        <v>Francesca Sciortino / Julie Spiteri</v>
      </c>
      <c r="AF19" s="34">
        <f>C42+F47+F27+U17+F32</f>
        <v>5</v>
      </c>
      <c r="AG19" s="34">
        <f t="shared" ref="AG19:AI19" si="5">L39+L46+L26+AA16+L31</f>
        <v>8</v>
      </c>
      <c r="AH19" s="34">
        <f t="shared" si="5"/>
        <v>48</v>
      </c>
      <c r="AI19" s="35">
        <f t="shared" si="5"/>
        <v>7</v>
      </c>
      <c r="AJ19" s="24"/>
      <c r="AK19" s="24"/>
      <c r="AL19" s="24"/>
      <c r="AM19" s="15"/>
      <c r="AN19" s="15"/>
    </row>
    <row r="20" ht="13.5" customHeight="1">
      <c r="A20" s="15"/>
      <c r="B20" s="36" t="s">
        <v>84</v>
      </c>
      <c r="I20" s="37"/>
      <c r="J20" s="38"/>
      <c r="K20" s="15"/>
      <c r="L20" s="15"/>
      <c r="M20" s="15"/>
      <c r="N20" s="15"/>
      <c r="O20" s="15"/>
      <c r="P20" s="15"/>
      <c r="Q20" s="36" t="s">
        <v>84</v>
      </c>
      <c r="X20" s="37"/>
      <c r="Y20" s="38"/>
      <c r="Z20" s="15"/>
      <c r="AA20" s="15"/>
      <c r="AB20" s="15"/>
      <c r="AC20" s="15"/>
      <c r="AD20" s="15"/>
      <c r="AE20" s="15"/>
      <c r="AF20" s="24"/>
      <c r="AG20" s="24"/>
      <c r="AH20" s="24"/>
      <c r="AI20" s="24"/>
      <c r="AJ20" s="24"/>
      <c r="AK20" s="24"/>
      <c r="AL20" s="24"/>
      <c r="AM20" s="15"/>
      <c r="AN20" s="15"/>
    </row>
    <row r="21" ht="13.5" customHeight="1">
      <c r="A21" s="15"/>
      <c r="B21" s="39" t="str">
        <f>AE21</f>
        <v>Anna Napier / Diane Farrugia</v>
      </c>
      <c r="C21" s="29">
        <v>2.0</v>
      </c>
      <c r="D21" s="40">
        <f>IF(C21&gt;C19,1,0)</f>
        <v>0</v>
      </c>
      <c r="E21" s="41"/>
      <c r="F21" s="29">
        <v>6.0</v>
      </c>
      <c r="G21" s="40">
        <f>IF(F21&gt;F19,1,0)</f>
        <v>1</v>
      </c>
      <c r="H21" s="41"/>
      <c r="I21" s="29">
        <v>10.0</v>
      </c>
      <c r="J21" s="15">
        <f>IF(I21&gt;I19,1,0)</f>
        <v>1</v>
      </c>
      <c r="K21" s="15">
        <f>IF(D21+G21=2,3,IF(D21+G21=1,1,0))</f>
        <v>1</v>
      </c>
      <c r="L21" s="15">
        <f>IF(K21=3,3,IF(J21+K21=2,2,IF(K21=1,1,0)))</f>
        <v>2</v>
      </c>
      <c r="M21" s="15">
        <f>C21+F21</f>
        <v>8</v>
      </c>
      <c r="N21" s="15">
        <f>D21+G21+J21</f>
        <v>2</v>
      </c>
      <c r="O21" s="15"/>
      <c r="P21" s="15"/>
      <c r="Q21" s="39" t="str">
        <f>AE14</f>
        <v>Kristina Briffa / Sarah Axiaq</v>
      </c>
      <c r="R21" s="29">
        <v>3.0</v>
      </c>
      <c r="S21" s="40">
        <f>IF(R21&gt;R19,1,0)</f>
        <v>0</v>
      </c>
      <c r="T21" s="41"/>
      <c r="U21" s="29">
        <v>6.0</v>
      </c>
      <c r="V21" s="40">
        <f>IF(U21&gt;U19,1,0)</f>
        <v>1</v>
      </c>
      <c r="W21" s="41"/>
      <c r="X21" s="29">
        <v>5.0</v>
      </c>
      <c r="Y21" s="15">
        <f>IF(X21&gt;X19,1,0)</f>
        <v>0</v>
      </c>
      <c r="Z21" s="15">
        <f>IF(S21+V21=2,3,IF(S21+V21=1,1,0))</f>
        <v>1</v>
      </c>
      <c r="AA21" s="15">
        <f>IF(Z21=3,3,IF(Y21+Z21=2,2,IF(Z21=1,1,0)))</f>
        <v>1</v>
      </c>
      <c r="AB21" s="15">
        <f>R21+U21</f>
        <v>9</v>
      </c>
      <c r="AC21" s="15">
        <f>S21+V21+Y21</f>
        <v>1</v>
      </c>
      <c r="AD21" s="15"/>
      <c r="AE21" s="116" t="str">
        <f>'Players Ladies'!B27&amp; " / " &amp;'Players Ladies'!C27</f>
        <v>Anna Napier / Diane Farrugia</v>
      </c>
      <c r="AF21" s="34">
        <f>F42+U32+U42+F22+F37</f>
        <v>5</v>
      </c>
      <c r="AG21" s="34">
        <f t="shared" ref="AG21:AI21" si="6">L41+AA31+AA41+L21+L36</f>
        <v>7</v>
      </c>
      <c r="AH21" s="34">
        <f t="shared" si="6"/>
        <v>42</v>
      </c>
      <c r="AI21" s="35">
        <f t="shared" si="6"/>
        <v>7</v>
      </c>
      <c r="AJ21" s="24"/>
      <c r="AK21" s="24"/>
      <c r="AL21" s="24"/>
      <c r="AM21" s="15"/>
      <c r="AN21" s="15"/>
    </row>
    <row r="22" ht="13.5" hidden="1" customHeight="1">
      <c r="A22" s="15" t="s">
        <v>85</v>
      </c>
      <c r="B22" s="15"/>
      <c r="C22" s="42">
        <f>IF(C19="",0,1)</f>
        <v>1</v>
      </c>
      <c r="D22" s="15"/>
      <c r="E22" s="15"/>
      <c r="F22" s="42">
        <f>IF(C21="",0,1)</f>
        <v>1</v>
      </c>
      <c r="G22" s="15"/>
      <c r="H22" s="15"/>
      <c r="I22" s="15"/>
      <c r="J22" s="15"/>
      <c r="K22" s="15"/>
      <c r="L22" s="15"/>
      <c r="M22" s="15"/>
      <c r="N22" s="15"/>
      <c r="O22" s="15"/>
      <c r="P22" s="15" t="s">
        <v>85</v>
      </c>
      <c r="Q22" s="15"/>
      <c r="R22" s="42">
        <f>IF(R19="",0,1)</f>
        <v>1</v>
      </c>
      <c r="S22" s="15"/>
      <c r="T22" s="15"/>
      <c r="U22" s="42">
        <f>IF(R21="",0,1)</f>
        <v>1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24"/>
      <c r="AG22" s="24"/>
      <c r="AH22" s="24"/>
      <c r="AI22" s="24"/>
      <c r="AJ22" s="24"/>
      <c r="AK22" s="15"/>
      <c r="AL22" s="15"/>
      <c r="AM22" s="15"/>
      <c r="AN22" s="15"/>
    </row>
    <row r="23" ht="13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24"/>
      <c r="AK23" s="24"/>
      <c r="AL23" s="15"/>
      <c r="AM23" s="15"/>
      <c r="AN23" s="15"/>
    </row>
    <row r="24" ht="13.5" customHeight="1">
      <c r="A24" s="15"/>
      <c r="B24" s="28" t="str">
        <f>AE11</f>
        <v>Helga Azzopardi / Angele Pule’</v>
      </c>
      <c r="C24" s="29">
        <v>6.0</v>
      </c>
      <c r="D24" s="30">
        <f>IF(C24&gt;C26,1,0)</f>
        <v>1</v>
      </c>
      <c r="E24" s="31"/>
      <c r="F24" s="29">
        <v>5.0</v>
      </c>
      <c r="G24" s="30">
        <f>IF(F24&gt;F26,1,0)</f>
        <v>0</v>
      </c>
      <c r="H24" s="31"/>
      <c r="I24" s="29">
        <v>10.0</v>
      </c>
      <c r="J24" s="15">
        <f>IF(I24&gt;I26,1,0)</f>
        <v>1</v>
      </c>
      <c r="K24" s="15">
        <f>IF(D24+G24=2,3,IF(D24+G24=1,1,0))</f>
        <v>1</v>
      </c>
      <c r="L24" s="15">
        <f>IF(K24=3,3,IF(J24+K24=2,2,IF(K24=1,1,0)))</f>
        <v>2</v>
      </c>
      <c r="M24" s="15">
        <f>C24+F24</f>
        <v>11</v>
      </c>
      <c r="N24" s="15">
        <f>D24+G24+J24</f>
        <v>2</v>
      </c>
      <c r="O24" s="15"/>
      <c r="P24" s="15"/>
      <c r="Q24" s="28" t="str">
        <f>AE11</f>
        <v>Helga Azzopardi / Angele Pule’</v>
      </c>
      <c r="R24" s="29">
        <v>6.0</v>
      </c>
      <c r="S24" s="30">
        <f>IF(R24&gt;R26,1,0)</f>
        <v>1</v>
      </c>
      <c r="T24" s="31"/>
      <c r="U24" s="29">
        <v>6.0</v>
      </c>
      <c r="V24" s="30">
        <f>IF(U24&gt;U26,1,0)</f>
        <v>1</v>
      </c>
      <c r="W24" s="31"/>
      <c r="X24" s="32"/>
      <c r="Y24" s="15">
        <f>IF(X24&gt;X26,1,0)</f>
        <v>0</v>
      </c>
      <c r="Z24" s="15">
        <f>IF(S24+V24=2,3,IF(S24+V24=1,1,0))</f>
        <v>3</v>
      </c>
      <c r="AA24" s="15">
        <f>IF(Z24=3,3,IF(Y24+Z24=2,2,IF(Z24=1,1,0)))</f>
        <v>3</v>
      </c>
      <c r="AB24" s="15">
        <f>R24+U24</f>
        <v>12</v>
      </c>
      <c r="AC24" s="15">
        <f>S24+V24+Y24</f>
        <v>2</v>
      </c>
      <c r="AD24" s="15"/>
      <c r="AE24" s="113" t="s">
        <v>86</v>
      </c>
      <c r="AF24" s="21"/>
      <c r="AG24" s="21"/>
      <c r="AH24" s="21"/>
      <c r="AI24" s="7"/>
      <c r="AJ24" s="24"/>
      <c r="AK24" s="15"/>
      <c r="AL24" s="15"/>
      <c r="AM24" s="15"/>
      <c r="AN24" s="15"/>
    </row>
    <row r="25" ht="13.5" customHeight="1">
      <c r="A25" s="15"/>
      <c r="B25" s="36" t="s">
        <v>84</v>
      </c>
      <c r="I25" s="37"/>
      <c r="J25" s="38"/>
      <c r="K25" s="15"/>
      <c r="L25" s="15"/>
      <c r="M25" s="15"/>
      <c r="N25" s="15"/>
      <c r="O25" s="15"/>
      <c r="P25" s="15"/>
      <c r="Q25" s="36" t="s">
        <v>84</v>
      </c>
      <c r="X25" s="37"/>
      <c r="Y25" s="38"/>
      <c r="Z25" s="15"/>
      <c r="AA25" s="15"/>
      <c r="AB25" s="15"/>
      <c r="AC25" s="15"/>
      <c r="AD25" s="15"/>
      <c r="AE25" s="43" t="s">
        <v>158</v>
      </c>
      <c r="AF25" s="21"/>
      <c r="AG25" s="21"/>
      <c r="AH25" s="21"/>
      <c r="AI25" s="7"/>
      <c r="AJ25" s="24"/>
      <c r="AK25" s="24"/>
      <c r="AL25" s="15"/>
      <c r="AM25" s="15"/>
      <c r="AN25" s="15"/>
    </row>
    <row r="26" ht="13.5" customHeight="1">
      <c r="A26" s="15"/>
      <c r="B26" s="39" t="str">
        <f>AE19</f>
        <v>Francesca Sciortino / Julie Spiteri</v>
      </c>
      <c r="C26" s="29">
        <v>1.0</v>
      </c>
      <c r="D26" s="40">
        <f>IF(C26&gt;C24,1,0)</f>
        <v>0</v>
      </c>
      <c r="E26" s="41"/>
      <c r="F26" s="29">
        <v>7.0</v>
      </c>
      <c r="G26" s="40">
        <f>IF(F26&gt;F24,1,0)</f>
        <v>1</v>
      </c>
      <c r="H26" s="41"/>
      <c r="I26" s="29">
        <v>5.0</v>
      </c>
      <c r="J26" s="15">
        <f>IF(I26&gt;I24,1,0)</f>
        <v>0</v>
      </c>
      <c r="K26" s="15">
        <f>IF(D26+G26=2,3,IF(D26+G26=1,1,0))</f>
        <v>1</v>
      </c>
      <c r="L26" s="15">
        <f>IF(K26=3,3,IF(J26+K26=2,2,IF(K26=1,1,0)))</f>
        <v>1</v>
      </c>
      <c r="M26" s="15">
        <f>C26+F26</f>
        <v>8</v>
      </c>
      <c r="N26" s="15">
        <f>D26+G26+J26</f>
        <v>1</v>
      </c>
      <c r="O26" s="15"/>
      <c r="P26" s="15"/>
      <c r="Q26" s="39" t="str">
        <f>AE16</f>
        <v>Ann Marie Attard / Christine Seychell</v>
      </c>
      <c r="R26" s="29">
        <v>1.0</v>
      </c>
      <c r="S26" s="40">
        <f>IF(R26&gt;R24,1,0)</f>
        <v>0</v>
      </c>
      <c r="T26" s="41"/>
      <c r="U26" s="29">
        <v>3.0</v>
      </c>
      <c r="V26" s="40">
        <f>IF(U26&gt;U24,1,0)</f>
        <v>0</v>
      </c>
      <c r="W26" s="41"/>
      <c r="X26" s="32"/>
      <c r="Y26" s="15">
        <f>IF(X26&gt;X24,1,0)</f>
        <v>0</v>
      </c>
      <c r="Z26" s="15">
        <f>IF(S26+V26=2,3,IF(S26+V26=1,1,0))</f>
        <v>0</v>
      </c>
      <c r="AA26" s="15">
        <f>IF(Z26=3,3,IF(Y26+Z26=2,2,IF(Z26=1,1,0)))</f>
        <v>0</v>
      </c>
      <c r="AB26" s="15">
        <f>R26+U26</f>
        <v>4</v>
      </c>
      <c r="AC26" s="15">
        <f>S26+V26+Y26</f>
        <v>0</v>
      </c>
      <c r="AD26" s="15"/>
      <c r="AE26" s="117" t="s">
        <v>159</v>
      </c>
      <c r="AF26" s="21"/>
      <c r="AG26" s="21"/>
      <c r="AH26" s="21"/>
      <c r="AI26" s="7"/>
      <c r="AJ26" s="15"/>
      <c r="AK26" s="15"/>
      <c r="AL26" s="15"/>
      <c r="AM26" s="15"/>
      <c r="AN26" s="15"/>
    </row>
    <row r="27" ht="13.5" hidden="1" customHeight="1">
      <c r="A27" s="15" t="s">
        <v>85</v>
      </c>
      <c r="B27" s="15"/>
      <c r="C27" s="42">
        <f>IF(C24="",0,1)</f>
        <v>1</v>
      </c>
      <c r="D27" s="15"/>
      <c r="E27" s="15"/>
      <c r="F27" s="42">
        <f>IF(C26="",0,1)</f>
        <v>1</v>
      </c>
      <c r="G27" s="15"/>
      <c r="H27" s="15"/>
      <c r="I27" s="15"/>
      <c r="J27" s="15"/>
      <c r="K27" s="15"/>
      <c r="L27" s="15"/>
      <c r="M27" s="15"/>
      <c r="N27" s="15"/>
      <c r="O27" s="15"/>
      <c r="P27" s="15" t="s">
        <v>85</v>
      </c>
      <c r="Q27" s="15"/>
      <c r="R27" s="42">
        <f>IF(R24="",0,1)</f>
        <v>1</v>
      </c>
      <c r="S27" s="15"/>
      <c r="T27" s="15"/>
      <c r="U27" s="42">
        <f>IF(R26="",0,1)</f>
        <v>1</v>
      </c>
      <c r="V27" s="15"/>
      <c r="W27" s="15"/>
      <c r="X27" s="15"/>
      <c r="Y27" s="15"/>
      <c r="Z27" s="15"/>
      <c r="AA27" s="15"/>
      <c r="AB27" s="15"/>
      <c r="AC27" s="15"/>
      <c r="AD27" s="15"/>
      <c r="AE27" s="71" t="str">
        <f>IF(AK11=42,AL11,"")</f>
        <v/>
      </c>
      <c r="AF27" s="21"/>
      <c r="AG27" s="21"/>
      <c r="AH27" s="21"/>
      <c r="AI27" s="7"/>
      <c r="AJ27" s="15"/>
      <c r="AK27" s="15"/>
      <c r="AL27" s="15"/>
      <c r="AM27" s="15"/>
      <c r="AN27" s="15"/>
    </row>
    <row r="28" ht="15.0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43" t="s">
        <v>160</v>
      </c>
      <c r="AF28" s="21"/>
      <c r="AG28" s="21"/>
      <c r="AH28" s="21"/>
      <c r="AI28" s="7"/>
      <c r="AJ28" s="15"/>
      <c r="AK28" s="15"/>
      <c r="AL28" s="15"/>
      <c r="AM28" s="15"/>
      <c r="AN28" s="15"/>
    </row>
    <row r="29" ht="13.5" customHeight="1">
      <c r="A29" s="15"/>
      <c r="B29" s="28" t="str">
        <f>AE14</f>
        <v>Kristina Briffa / Sarah Axiaq</v>
      </c>
      <c r="C29" s="29">
        <v>4.0</v>
      </c>
      <c r="D29" s="30">
        <f>IF(C29&gt;C31,1,0)</f>
        <v>0</v>
      </c>
      <c r="E29" s="31"/>
      <c r="F29" s="29">
        <v>7.0</v>
      </c>
      <c r="G29" s="30">
        <f>IF(F29&gt;F31,1,0)</f>
        <v>1</v>
      </c>
      <c r="H29" s="31"/>
      <c r="I29" s="29">
        <v>13.0</v>
      </c>
      <c r="J29" s="15">
        <f>IF(I29&gt;I31,1,0)</f>
        <v>0</v>
      </c>
      <c r="K29" s="15">
        <f>IF(D29+G29=2,3,IF(D29+G29=1,1,0))</f>
        <v>1</v>
      </c>
      <c r="L29" s="15">
        <f>IF(K29=3,3,IF(J29+K29=2,2,IF(K29=1,1,0)))</f>
        <v>1</v>
      </c>
      <c r="M29" s="15">
        <f>C29+F29</f>
        <v>11</v>
      </c>
      <c r="N29" s="15">
        <f>D29+G29+J29</f>
        <v>1</v>
      </c>
      <c r="O29" s="15"/>
      <c r="P29" s="15"/>
      <c r="Q29" s="28" t="str">
        <f>AE11</f>
        <v>Helga Azzopardi / Angele Pule’</v>
      </c>
      <c r="R29" s="29">
        <v>6.0</v>
      </c>
      <c r="S29" s="30">
        <f>IF(R29&gt;R31,1,0)</f>
        <v>1</v>
      </c>
      <c r="T29" s="31"/>
      <c r="U29" s="29">
        <v>6.0</v>
      </c>
      <c r="V29" s="30">
        <f>IF(U29&gt;U31,1,0)</f>
        <v>1</v>
      </c>
      <c r="W29" s="31"/>
      <c r="X29" s="32"/>
      <c r="Y29" s="15">
        <f>IF(X29&gt;X31,1,0)</f>
        <v>0</v>
      </c>
      <c r="Z29" s="15">
        <f>IF(S29+V29=2,3,IF(S29+V29=1,1,0))</f>
        <v>3</v>
      </c>
      <c r="AA29" s="15">
        <f>IF(Z29=3,3,IF(Y29+Z29=2,2,IF(Z29=1,1,0)))</f>
        <v>3</v>
      </c>
      <c r="AB29" s="15">
        <f>R29+U29</f>
        <v>12</v>
      </c>
      <c r="AC29" s="15">
        <f>S29+V29+Y29</f>
        <v>2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ht="13.5" customHeight="1">
      <c r="A30" s="15"/>
      <c r="B30" s="36" t="s">
        <v>84</v>
      </c>
      <c r="I30" s="37"/>
      <c r="J30" s="38"/>
      <c r="K30" s="15"/>
      <c r="L30" s="15"/>
      <c r="M30" s="15"/>
      <c r="N30" s="15"/>
      <c r="O30" s="15"/>
      <c r="P30" s="15"/>
      <c r="Q30" s="36" t="s">
        <v>84</v>
      </c>
      <c r="X30" s="37"/>
      <c r="Y30" s="38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ht="13.5" customHeight="1">
      <c r="A31" s="15"/>
      <c r="B31" s="39" t="str">
        <f>AE19</f>
        <v>Francesca Sciortino / Julie Spiteri</v>
      </c>
      <c r="C31" s="29">
        <v>6.0</v>
      </c>
      <c r="D31" s="40">
        <f>IF(C31&gt;C29,1,0)</f>
        <v>1</v>
      </c>
      <c r="E31" s="41"/>
      <c r="F31" s="29">
        <v>5.0</v>
      </c>
      <c r="G31" s="40">
        <f>IF(F31&gt;F29,1,0)</f>
        <v>0</v>
      </c>
      <c r="H31" s="41"/>
      <c r="I31" s="29">
        <v>15.0</v>
      </c>
      <c r="J31" s="15">
        <f>IF(I31&gt;I29,1,0)</f>
        <v>1</v>
      </c>
      <c r="K31" s="15">
        <f>IF(D31+G31=2,3,IF(D31+G31=1,1,0))</f>
        <v>1</v>
      </c>
      <c r="L31" s="15">
        <f>IF(K31=3,3,IF(J31+K31=2,2,IF(K31=1,1,0)))</f>
        <v>2</v>
      </c>
      <c r="M31" s="15">
        <f>C31+F31</f>
        <v>11</v>
      </c>
      <c r="N31" s="15">
        <f>D31+G31+J31</f>
        <v>2</v>
      </c>
      <c r="O31" s="15"/>
      <c r="P31" s="15"/>
      <c r="Q31" s="39" t="str">
        <f>AE21</f>
        <v>Anna Napier / Diane Farrugia</v>
      </c>
      <c r="R31" s="29">
        <v>2.0</v>
      </c>
      <c r="S31" s="40">
        <f>IF(R31&gt;R29,1,0)</f>
        <v>0</v>
      </c>
      <c r="T31" s="41"/>
      <c r="U31" s="29">
        <v>4.0</v>
      </c>
      <c r="V31" s="40">
        <f>IF(U31&gt;U29,1,0)</f>
        <v>0</v>
      </c>
      <c r="W31" s="41"/>
      <c r="X31" s="32"/>
      <c r="Y31" s="15">
        <f>IF(X31&gt;X29,1,0)</f>
        <v>0</v>
      </c>
      <c r="Z31" s="15">
        <f>IF(S31+V31=2,3,IF(S31+V31=1,1,0))</f>
        <v>0</v>
      </c>
      <c r="AA31" s="15">
        <f>IF(Z31=3,3,IF(Y31+Z31=2,2,IF(Z31=1,1,0)))</f>
        <v>0</v>
      </c>
      <c r="AB31" s="15">
        <f>R31+U31</f>
        <v>6</v>
      </c>
      <c r="AC31" s="15">
        <f>S31+V31+Y31</f>
        <v>0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ht="13.5" hidden="1" customHeight="1">
      <c r="A32" s="15" t="s">
        <v>85</v>
      </c>
      <c r="B32" s="15"/>
      <c r="C32" s="42">
        <f>IF(C29="",0,1)</f>
        <v>1</v>
      </c>
      <c r="D32" s="15"/>
      <c r="E32" s="15"/>
      <c r="F32" s="42">
        <f>IF(C31="",0,1)</f>
        <v>1</v>
      </c>
      <c r="G32" s="15"/>
      <c r="H32" s="15"/>
      <c r="I32" s="15"/>
      <c r="J32" s="15"/>
      <c r="K32" s="15"/>
      <c r="L32" s="15"/>
      <c r="M32" s="15"/>
      <c r="N32" s="15"/>
      <c r="O32" s="15"/>
      <c r="P32" s="15" t="s">
        <v>85</v>
      </c>
      <c r="Q32" s="15"/>
      <c r="R32" s="42">
        <f>IF(R29="",0,1)</f>
        <v>1</v>
      </c>
      <c r="S32" s="15"/>
      <c r="T32" s="15"/>
      <c r="U32" s="42">
        <f>IF(R31="",0,1)</f>
        <v>1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24"/>
      <c r="AI33" s="15"/>
      <c r="AJ33" s="15"/>
      <c r="AK33" s="15"/>
      <c r="AL33" s="15"/>
      <c r="AM33" s="15"/>
      <c r="AN33" s="15"/>
    </row>
    <row r="34" ht="13.5" customHeight="1">
      <c r="A34" s="15"/>
      <c r="B34" s="28" t="str">
        <f>AE16</f>
        <v>Ann Marie Attard / Christine Seychell</v>
      </c>
      <c r="C34" s="29">
        <v>4.0</v>
      </c>
      <c r="D34" s="30">
        <f>IF(C34&gt;C36,1,0)</f>
        <v>0</v>
      </c>
      <c r="E34" s="31"/>
      <c r="F34" s="29">
        <v>6.0</v>
      </c>
      <c r="G34" s="30">
        <f>IF(F34&gt;F36,1,0)</f>
        <v>1</v>
      </c>
      <c r="H34" s="31"/>
      <c r="I34" s="29">
        <v>10.0</v>
      </c>
      <c r="J34" s="15">
        <f>IF(I34&gt;I36,1,0)</f>
        <v>1</v>
      </c>
      <c r="K34" s="15">
        <f>IF(D34+G34=2,3,IF(D34+G34=1,1,0))</f>
        <v>1</v>
      </c>
      <c r="L34" s="15">
        <f>IF(K34=3,3,IF(J34+K34=2,2,IF(K34=1,1,0)))</f>
        <v>2</v>
      </c>
      <c r="M34" s="15">
        <f>C34+F34</f>
        <v>10</v>
      </c>
      <c r="N34" s="15">
        <f>D34+G34+J34</f>
        <v>2</v>
      </c>
      <c r="O34" s="15"/>
      <c r="P34" s="15"/>
      <c r="Q34" s="28" t="str">
        <f>AE14</f>
        <v>Kristina Briffa / Sarah Axiaq</v>
      </c>
      <c r="R34" s="29">
        <v>7.0</v>
      </c>
      <c r="S34" s="30">
        <f>IF(R34&gt;R36,1,0)</f>
        <v>1</v>
      </c>
      <c r="T34" s="31"/>
      <c r="U34" s="29">
        <v>7.0</v>
      </c>
      <c r="V34" s="30">
        <f>IF(U34&gt;U36,1,0)</f>
        <v>1</v>
      </c>
      <c r="W34" s="31"/>
      <c r="X34" s="32"/>
      <c r="Y34" s="15">
        <f>IF(X34&gt;X36,1,0)</f>
        <v>0</v>
      </c>
      <c r="Z34" s="15">
        <f>IF(S34+V34=2,3,IF(S34+V34=1,1,0))</f>
        <v>3</v>
      </c>
      <c r="AA34" s="15">
        <f>IF(Z34=3,3,IF(Y34+Z34=2,2,IF(Z34=1,1,0)))</f>
        <v>3</v>
      </c>
      <c r="AB34" s="15">
        <f>R34+U34</f>
        <v>14</v>
      </c>
      <c r="AC34" s="15">
        <f>S34+V34+Y34</f>
        <v>2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ht="13.5" customHeight="1">
      <c r="A35" s="15"/>
      <c r="B35" s="36" t="s">
        <v>84</v>
      </c>
      <c r="I35" s="37"/>
      <c r="J35" s="38"/>
      <c r="K35" s="15"/>
      <c r="L35" s="15"/>
      <c r="M35" s="15"/>
      <c r="N35" s="15"/>
      <c r="O35" s="15"/>
      <c r="P35" s="15"/>
      <c r="Q35" s="36" t="s">
        <v>84</v>
      </c>
      <c r="X35" s="37"/>
      <c r="Y35" s="38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7"/>
      <c r="AM35" s="15"/>
      <c r="AN35" s="15"/>
    </row>
    <row r="36" ht="13.5" customHeight="1">
      <c r="A36" s="15"/>
      <c r="B36" s="39" t="str">
        <f>AE21</f>
        <v>Anna Napier / Diane Farrugia</v>
      </c>
      <c r="C36" s="29">
        <v>6.0</v>
      </c>
      <c r="D36" s="40">
        <f>IF(C36&gt;C34,1,0)</f>
        <v>1</v>
      </c>
      <c r="E36" s="41"/>
      <c r="F36" s="29">
        <v>3.0</v>
      </c>
      <c r="G36" s="40">
        <f>IF(F36&gt;F34,1,0)</f>
        <v>0</v>
      </c>
      <c r="H36" s="41"/>
      <c r="I36" s="29">
        <v>4.0</v>
      </c>
      <c r="J36" s="15">
        <f>IF(I36&gt;I34,1,0)</f>
        <v>0</v>
      </c>
      <c r="K36" s="15">
        <f>IF(D36+G36=2,3,IF(D36+G36=1,1,0))</f>
        <v>1</v>
      </c>
      <c r="L36" s="15">
        <f>IF(K36=3,3,IF(J36+K36=2,2,IF(K36=1,1,0)))</f>
        <v>1</v>
      </c>
      <c r="M36" s="15">
        <f>C36+F36</f>
        <v>9</v>
      </c>
      <c r="N36" s="15">
        <f>D36+G36+J36</f>
        <v>1</v>
      </c>
      <c r="O36" s="15"/>
      <c r="P36" s="15"/>
      <c r="Q36" s="39" t="str">
        <f>AE16</f>
        <v>Ann Marie Attard / Christine Seychell</v>
      </c>
      <c r="R36" s="29">
        <v>5.0</v>
      </c>
      <c r="S36" s="40">
        <f>IF(R36&gt;R34,1,0)</f>
        <v>0</v>
      </c>
      <c r="T36" s="41"/>
      <c r="U36" s="29">
        <v>5.0</v>
      </c>
      <c r="V36" s="40">
        <f>IF(U36&gt;U34,1,0)</f>
        <v>0</v>
      </c>
      <c r="W36" s="41"/>
      <c r="X36" s="32"/>
      <c r="Y36" s="15">
        <f>IF(X36&gt;X34,1,0)</f>
        <v>0</v>
      </c>
      <c r="Z36" s="15">
        <f>IF(S36+V36=2,3,IF(S36+V36=1,1,0))</f>
        <v>0</v>
      </c>
      <c r="AA36" s="15">
        <f>IF(Z36=3,3,IF(Y36+Z36=2,2,IF(Z36=1,1,0)))</f>
        <v>0</v>
      </c>
      <c r="AB36" s="15">
        <f>R36+U36</f>
        <v>10</v>
      </c>
      <c r="AC36" s="15">
        <f>S36+V36+Y36</f>
        <v>0</v>
      </c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24"/>
    </row>
    <row r="37" ht="14.25" hidden="1" customHeight="1">
      <c r="A37" s="15" t="s">
        <v>85</v>
      </c>
      <c r="B37" s="15"/>
      <c r="C37" s="42">
        <f>IF(C34="",0,1)</f>
        <v>1</v>
      </c>
      <c r="D37" s="15"/>
      <c r="E37" s="15"/>
      <c r="F37" s="42">
        <f>IF(C36="",0,1)</f>
        <v>1</v>
      </c>
      <c r="G37" s="15"/>
      <c r="H37" s="15"/>
      <c r="I37" s="15"/>
      <c r="J37" s="15"/>
      <c r="K37" s="15"/>
      <c r="L37" s="15"/>
      <c r="M37" s="15"/>
      <c r="N37" s="15"/>
      <c r="O37" s="15"/>
      <c r="P37" s="15" t="s">
        <v>85</v>
      </c>
      <c r="Q37" s="15"/>
      <c r="R37" s="42">
        <f>IF(R34="",0,1)</f>
        <v>1</v>
      </c>
      <c r="S37" s="15"/>
      <c r="T37" s="15"/>
      <c r="U37" s="42">
        <f>IF(R36="",0,1)</f>
        <v>1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7"/>
      <c r="AM38" s="15"/>
      <c r="AN38" s="15"/>
    </row>
    <row r="39" ht="13.5" customHeight="1">
      <c r="A39" s="15"/>
      <c r="B39" s="28" t="str">
        <f>AE19</f>
        <v>Francesca Sciortino / Julie Spiteri</v>
      </c>
      <c r="C39" s="29">
        <v>1.0</v>
      </c>
      <c r="D39" s="30">
        <f>IF(C39&gt;C41,1,0)</f>
        <v>0</v>
      </c>
      <c r="E39" s="31"/>
      <c r="F39" s="29">
        <v>6.0</v>
      </c>
      <c r="G39" s="30">
        <f>IF(F39&gt;F41,1,0)</f>
        <v>1</v>
      </c>
      <c r="H39" s="31"/>
      <c r="I39" s="29">
        <v>4.0</v>
      </c>
      <c r="J39" s="15">
        <f>IF(I39&gt;I41,1,0)</f>
        <v>0</v>
      </c>
      <c r="K39" s="15">
        <f>IF(D39+G39=2,3,IF(D39+G39=1,1,0))</f>
        <v>1</v>
      </c>
      <c r="L39" s="15">
        <f>IF(K39=3,3,IF(J39+K39=2,2,IF(K39=1,1,0)))</f>
        <v>1</v>
      </c>
      <c r="M39" s="15">
        <f>C39+F39</f>
        <v>7</v>
      </c>
      <c r="N39" s="15">
        <f>D39+G39+J39</f>
        <v>1</v>
      </c>
      <c r="O39" s="15"/>
      <c r="P39" s="15"/>
      <c r="Q39" s="28" t="str">
        <f>AE14</f>
        <v>Kristina Briffa / Sarah Axiaq</v>
      </c>
      <c r="R39" s="29">
        <v>6.0</v>
      </c>
      <c r="S39" s="30">
        <f>IF(R39&gt;R41,1,0)</f>
        <v>1</v>
      </c>
      <c r="T39" s="31"/>
      <c r="U39" s="29">
        <v>1.0</v>
      </c>
      <c r="V39" s="30">
        <f>IF(U39&gt;U41,1,0)</f>
        <v>0</v>
      </c>
      <c r="W39" s="31"/>
      <c r="X39" s="29">
        <v>2.0</v>
      </c>
      <c r="Y39" s="15">
        <f>IF(X39&gt;X41,1,0)</f>
        <v>0</v>
      </c>
      <c r="Z39" s="15">
        <f>IF(S39+V39=2,3,IF(S39+V39=1,1,0))</f>
        <v>1</v>
      </c>
      <c r="AA39" s="15">
        <f>IF(Z39=3,3,IF(Y39+Z39=2,2,IF(Z39=1,1,0)))</f>
        <v>1</v>
      </c>
      <c r="AB39" s="15">
        <f>R39+U39</f>
        <v>7</v>
      </c>
      <c r="AC39" s="15">
        <f>S39+V39+Y39</f>
        <v>1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ht="15.0" customHeight="1">
      <c r="A40" s="15"/>
      <c r="B40" s="36" t="s">
        <v>84</v>
      </c>
      <c r="I40" s="37"/>
      <c r="J40" s="38"/>
      <c r="K40" s="15"/>
      <c r="L40" s="15"/>
      <c r="M40" s="15"/>
      <c r="N40" s="15"/>
      <c r="O40" s="15"/>
      <c r="P40" s="15"/>
      <c r="Q40" s="36" t="s">
        <v>84</v>
      </c>
      <c r="X40" s="37"/>
      <c r="Y40" s="38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ht="13.5" customHeight="1">
      <c r="A41" s="15"/>
      <c r="B41" s="39" t="str">
        <f>AE21</f>
        <v>Anna Napier / Diane Farrugia</v>
      </c>
      <c r="C41" s="29">
        <v>6.0</v>
      </c>
      <c r="D41" s="40">
        <f>IF(C41&gt;C39,1,0)</f>
        <v>1</v>
      </c>
      <c r="E41" s="41"/>
      <c r="F41" s="29">
        <v>3.0</v>
      </c>
      <c r="G41" s="40">
        <f>IF(F41&gt;F39,1,0)</f>
        <v>0</v>
      </c>
      <c r="H41" s="41"/>
      <c r="I41" s="29">
        <v>10.0</v>
      </c>
      <c r="J41" s="15">
        <f>IF(I41&gt;I39,1,0)</f>
        <v>1</v>
      </c>
      <c r="K41" s="15">
        <f>IF(D41+G41=2,3,IF(D41+G41=1,1,0))</f>
        <v>1</v>
      </c>
      <c r="L41" s="15">
        <f>IF(K41=3,3,IF(J41+K41=2,2,IF(K41=1,1,0)))</f>
        <v>2</v>
      </c>
      <c r="M41" s="15">
        <f>C41+F41</f>
        <v>9</v>
      </c>
      <c r="N41" s="15">
        <f>D41+G41+J41</f>
        <v>2</v>
      </c>
      <c r="O41" s="15"/>
      <c r="P41" s="15"/>
      <c r="Q41" s="39" t="str">
        <f>AE21</f>
        <v>Anna Napier / Diane Farrugia</v>
      </c>
      <c r="R41" s="29">
        <v>4.0</v>
      </c>
      <c r="S41" s="40">
        <f>IF(R41&gt;R39,1,0)</f>
        <v>0</v>
      </c>
      <c r="T41" s="41"/>
      <c r="U41" s="29">
        <v>6.0</v>
      </c>
      <c r="V41" s="40">
        <f>IF(U41&gt;U39,1,0)</f>
        <v>1</v>
      </c>
      <c r="W41" s="41"/>
      <c r="X41" s="29">
        <v>10.0</v>
      </c>
      <c r="Y41" s="15">
        <f>IF(X41&gt;X39,1,0)</f>
        <v>1</v>
      </c>
      <c r="Z41" s="15">
        <f>IF(S41+V41=2,3,IF(S41+V41=1,1,0))</f>
        <v>1</v>
      </c>
      <c r="AA41" s="15">
        <f>IF(Z41=3,3,IF(Y41+Z41=2,2,IF(Z41=1,1,0)))</f>
        <v>2</v>
      </c>
      <c r="AB41" s="15">
        <f>R41+U41</f>
        <v>10</v>
      </c>
      <c r="AC41" s="15">
        <f>S41+V41+Y41</f>
        <v>2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ht="13.5" hidden="1" customHeight="1">
      <c r="A42" s="15" t="s">
        <v>85</v>
      </c>
      <c r="B42" s="15"/>
      <c r="C42" s="42">
        <f>IF(C39="",0,1)</f>
        <v>1</v>
      </c>
      <c r="D42" s="15"/>
      <c r="E42" s="15"/>
      <c r="F42" s="42">
        <f>IF(C41="",0,1)</f>
        <v>1</v>
      </c>
      <c r="G42" s="15"/>
      <c r="H42" s="15"/>
      <c r="I42" s="15"/>
      <c r="J42" s="15"/>
      <c r="K42" s="15"/>
      <c r="L42" s="15"/>
      <c r="M42" s="15"/>
      <c r="N42" s="15"/>
      <c r="O42" s="15"/>
      <c r="P42" s="15" t="s">
        <v>85</v>
      </c>
      <c r="Q42" s="15"/>
      <c r="R42" s="42">
        <f>IF(R39="",0,1)</f>
        <v>1</v>
      </c>
      <c r="S42" s="15"/>
      <c r="T42" s="15"/>
      <c r="U42" s="42">
        <f>IF(R41="",0,1)</f>
        <v>1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24"/>
      <c r="AI43" s="15"/>
      <c r="AJ43" s="15"/>
      <c r="AK43" s="24"/>
      <c r="AL43" s="15"/>
      <c r="AM43" s="15"/>
      <c r="AN43" s="15"/>
    </row>
    <row r="44" ht="13.5" customHeight="1">
      <c r="A44" s="15"/>
      <c r="B44" s="28" t="str">
        <f>AE16</f>
        <v>Ann Marie Attard / Christine Seychell</v>
      </c>
      <c r="C44" s="29">
        <v>0.0</v>
      </c>
      <c r="D44" s="30">
        <f>IF(C44&gt;C46,1,0)</f>
        <v>0</v>
      </c>
      <c r="E44" s="31"/>
      <c r="F44" s="29">
        <v>6.0</v>
      </c>
      <c r="G44" s="30">
        <f>IF(F44&gt;F46,1,0)</f>
        <v>1</v>
      </c>
      <c r="H44" s="31"/>
      <c r="I44" s="29">
        <v>10.0</v>
      </c>
      <c r="J44" s="15">
        <f>IF(I44&gt;I46,1,0)</f>
        <v>1</v>
      </c>
      <c r="K44" s="15">
        <f>IF(D44+G44=2,3,IF(D44+G44=1,1,0))</f>
        <v>1</v>
      </c>
      <c r="L44" s="15">
        <f>IF(K44=3,3,IF(J44+K44=2,2,IF(K44=1,1,0)))</f>
        <v>2</v>
      </c>
      <c r="M44" s="15">
        <f>C44+F44</f>
        <v>6</v>
      </c>
      <c r="N44" s="15">
        <f>D44+G44+J44</f>
        <v>2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24"/>
      <c r="AL44" s="15"/>
      <c r="AM44" s="15"/>
      <c r="AN44" s="15"/>
    </row>
    <row r="45" ht="13.5" customHeight="1">
      <c r="A45" s="15"/>
      <c r="B45" s="36" t="s">
        <v>84</v>
      </c>
      <c r="I45" s="37"/>
      <c r="J45" s="38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48"/>
      <c r="AK45" s="15"/>
      <c r="AL45" s="15"/>
      <c r="AM45" s="15"/>
      <c r="AN45" s="15"/>
    </row>
    <row r="46" ht="13.5" customHeight="1">
      <c r="A46" s="15"/>
      <c r="B46" s="39" t="str">
        <f>AE19</f>
        <v>Francesca Sciortino / Julie Spiteri</v>
      </c>
      <c r="C46" s="29">
        <v>6.0</v>
      </c>
      <c r="D46" s="40">
        <f>IF(C46&gt;C44,1,0)</f>
        <v>1</v>
      </c>
      <c r="E46" s="41"/>
      <c r="F46" s="29">
        <v>4.0</v>
      </c>
      <c r="G46" s="40">
        <f>IF(F46&gt;F44,1,0)</f>
        <v>0</v>
      </c>
      <c r="H46" s="41"/>
      <c r="I46" s="29">
        <v>5.0</v>
      </c>
      <c r="J46" s="15">
        <f>IF(I46&gt;I44,1,0)</f>
        <v>0</v>
      </c>
      <c r="K46" s="15">
        <f>IF(D46+G46=2,3,IF(D46+G46=1,1,0))</f>
        <v>1</v>
      </c>
      <c r="L46" s="15">
        <f>IF(K46=3,3,IF(J46+K46=2,2,IF(K46=1,1,0)))</f>
        <v>1</v>
      </c>
      <c r="M46" s="15">
        <f>C46+F46</f>
        <v>10</v>
      </c>
      <c r="N46" s="15">
        <f>D46+G46+J46</f>
        <v>1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ht="13.5" hidden="1" customHeight="1">
      <c r="A47" s="15" t="s">
        <v>85</v>
      </c>
      <c r="B47" s="15"/>
      <c r="C47" s="42">
        <f>IF(C44="",0,1)</f>
        <v>1</v>
      </c>
      <c r="D47" s="15"/>
      <c r="E47" s="15"/>
      <c r="F47" s="42">
        <f>IF(C46="",0,1)</f>
        <v>1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ht="15.0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48"/>
      <c r="AK49" s="15"/>
      <c r="AL49" s="15"/>
      <c r="AM49" s="15"/>
      <c r="AN49" s="15"/>
    </row>
    <row r="50" ht="15.0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48"/>
      <c r="AK54" s="15"/>
      <c r="AL54" s="24"/>
      <c r="AM54" s="15"/>
      <c r="AN54" s="15"/>
    </row>
    <row r="55" ht="15.0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ht="15.0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48"/>
      <c r="AK59" s="15"/>
      <c r="AL59" s="15"/>
      <c r="AM59" s="15"/>
      <c r="AN59" s="24"/>
    </row>
    <row r="60" ht="15.0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24"/>
      <c r="AI63" s="15"/>
      <c r="AJ63" s="15"/>
      <c r="AK63" s="24"/>
      <c r="AL63" s="15"/>
      <c r="AM63" s="15"/>
      <c r="AN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24"/>
      <c r="S113" s="24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</row>
    <row r="164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</row>
    <row r="165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</row>
    <row r="166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</row>
    <row r="167" ht="1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</row>
    <row r="168" ht="1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</row>
    <row r="169" ht="1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</row>
    <row r="170" ht="13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</row>
    <row r="171" ht="13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</row>
    <row r="172" ht="13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</row>
    <row r="173" ht="13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</row>
    <row r="174" ht="13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</row>
    <row r="175" ht="13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</row>
    <row r="176" ht="13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</row>
    <row r="177" ht="1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</row>
    <row r="178" ht="13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</row>
    <row r="179" ht="13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</row>
    <row r="180" ht="13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</row>
    <row r="181" ht="13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</row>
    <row r="182" ht="13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</row>
    <row r="183" ht="13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</row>
    <row r="184" ht="13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</row>
    <row r="185" ht="1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</row>
    <row r="186" ht="13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</row>
    <row r="187" ht="13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</row>
    <row r="188" ht="13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</row>
    <row r="189" ht="13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</row>
    <row r="190" ht="13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</row>
    <row r="191" ht="1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</row>
    <row r="192" ht="13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</row>
    <row r="193" ht="13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</row>
    <row r="194" ht="13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</row>
    <row r="195" ht="13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</row>
    <row r="196" ht="13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</row>
    <row r="197" ht="13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</row>
    <row r="198" ht="13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</row>
    <row r="199" ht="13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</row>
    <row r="200" ht="13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</row>
    <row r="201" ht="13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</row>
    <row r="202" ht="13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</row>
    <row r="203" ht="13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</row>
    <row r="204" ht="13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</row>
    <row r="205" ht="13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</row>
    <row r="206" ht="13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</row>
    <row r="207" ht="13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</row>
    <row r="208" ht="13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</row>
    <row r="209" ht="13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</row>
    <row r="210" ht="13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</row>
    <row r="211" ht="13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</row>
    <row r="212" ht="1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</row>
    <row r="213" ht="13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</row>
    <row r="214" ht="13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</row>
    <row r="215" ht="13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</row>
    <row r="216" ht="13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</row>
    <row r="217" ht="13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</row>
    <row r="218" ht="13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</row>
    <row r="219" ht="13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</row>
    <row r="220" ht="13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</row>
    <row r="221" ht="13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</row>
    <row r="222" ht="13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</row>
    <row r="223" ht="13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</row>
    <row r="224" ht="13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</row>
    <row r="225" ht="13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</row>
    <row r="226" ht="13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</row>
    <row r="227" ht="13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</row>
    <row r="228" ht="13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</row>
    <row r="229" ht="13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</row>
    <row r="230" ht="13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</row>
    <row r="231" ht="13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</row>
    <row r="232" ht="13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</row>
    <row r="233" ht="13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</row>
    <row r="234" ht="13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</row>
    <row r="235" ht="13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</row>
    <row r="236" ht="13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</row>
    <row r="237" ht="13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</row>
    <row r="238" ht="13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</row>
    <row r="239" ht="13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</row>
    <row r="240" ht="13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</row>
    <row r="241" ht="13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</row>
    <row r="242" ht="13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</row>
    <row r="243" ht="13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</row>
    <row r="244" ht="13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</row>
    <row r="245" ht="1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</row>
    <row r="246" ht="13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</row>
    <row r="247" ht="13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</row>
    <row r="248" ht="13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</row>
    <row r="249" ht="13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</row>
    <row r="250" ht="13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</row>
    <row r="251" ht="13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</row>
    <row r="252" ht="13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</row>
    <row r="253" ht="13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</row>
    <row r="254" ht="13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</row>
    <row r="255" ht="13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</row>
    <row r="256" ht="13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</row>
    <row r="257" ht="13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</row>
    <row r="258" ht="13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</row>
    <row r="259" ht="13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</row>
    <row r="260" ht="13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</row>
    <row r="261" ht="13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</row>
    <row r="262" ht="13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</row>
    <row r="263" ht="13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</row>
    <row r="264" ht="13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</row>
    <row r="265" ht="13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</row>
    <row r="266" ht="1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</row>
    <row r="267" ht="13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</row>
    <row r="268" ht="13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</row>
    <row r="269" ht="13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</row>
    <row r="270" ht="13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</row>
    <row r="271" ht="13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</row>
    <row r="272" ht="13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</row>
    <row r="273" ht="13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</row>
    <row r="274" ht="13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</row>
    <row r="275" ht="13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</row>
    <row r="276" ht="13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</row>
    <row r="277" ht="13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</row>
    <row r="278" ht="13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</row>
    <row r="279" ht="13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</row>
    <row r="280" ht="13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</row>
    <row r="281" ht="13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</row>
    <row r="282" ht="13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</row>
    <row r="283" ht="13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</row>
    <row r="284" ht="13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</row>
    <row r="285" ht="1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</row>
    <row r="286" ht="13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</row>
    <row r="287" ht="13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</row>
    <row r="288" ht="13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</row>
    <row r="289" ht="13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</row>
    <row r="290" ht="13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</row>
    <row r="291" ht="13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</row>
    <row r="292" ht="13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</row>
    <row r="293" ht="13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</row>
    <row r="294" ht="1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</row>
    <row r="295" ht="13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</row>
    <row r="296" ht="13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</row>
    <row r="297" ht="13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</row>
    <row r="298" ht="13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</row>
    <row r="299" ht="13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</row>
    <row r="300" ht="13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</row>
    <row r="301" ht="1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</row>
    <row r="302" ht="13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</row>
    <row r="303" ht="13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</row>
    <row r="304" ht="13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</row>
    <row r="305" ht="13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</row>
    <row r="306" ht="13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</row>
    <row r="307" ht="13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</row>
    <row r="308" ht="1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</row>
    <row r="309" ht="13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</row>
    <row r="310" ht="13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</row>
    <row r="311" ht="13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</row>
    <row r="312" ht="13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</row>
    <row r="313" ht="13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</row>
    <row r="314" ht="13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</row>
    <row r="315" ht="13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</row>
    <row r="316" ht="13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</row>
    <row r="317" ht="13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</row>
    <row r="318" ht="13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</row>
    <row r="319" ht="13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</row>
    <row r="320" ht="13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</row>
    <row r="321" ht="13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</row>
    <row r="322" ht="13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</row>
    <row r="323" ht="13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</row>
    <row r="324" ht="13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</row>
    <row r="325" ht="13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</row>
    <row r="326" ht="13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</row>
    <row r="327" ht="13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</row>
    <row r="328" ht="13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</row>
    <row r="329" ht="13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</row>
    <row r="330" ht="13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</row>
    <row r="331" ht="13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</row>
    <row r="332" ht="13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</row>
    <row r="333" ht="13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</row>
    <row r="334" ht="13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</row>
    <row r="335" ht="13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</row>
    <row r="336" ht="13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</row>
    <row r="337" ht="13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</row>
    <row r="338" ht="13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</row>
    <row r="339" ht="13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</row>
    <row r="340" ht="13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</row>
    <row r="341" ht="13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</row>
    <row r="342" ht="13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</row>
    <row r="343" ht="13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</row>
    <row r="344" ht="13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</row>
    <row r="345" ht="13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</row>
    <row r="346" ht="13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</row>
    <row r="347" ht="13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</row>
    <row r="348" ht="13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</row>
    <row r="349" ht="13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</row>
    <row r="350" ht="13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</row>
    <row r="351" ht="13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</row>
    <row r="352" ht="13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</row>
    <row r="353" ht="13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</row>
    <row r="354" ht="13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</row>
    <row r="355" ht="13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</row>
    <row r="356" ht="13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</row>
    <row r="357" ht="13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</row>
    <row r="358" ht="13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</row>
    <row r="359" ht="13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</row>
    <row r="360" ht="13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</row>
    <row r="361" ht="13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</row>
    <row r="362" ht="13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</row>
    <row r="363" ht="13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</row>
    <row r="364" ht="13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</row>
    <row r="365" ht="13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</row>
    <row r="366" ht="13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</row>
    <row r="367" ht="13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</row>
    <row r="368" ht="13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</row>
    <row r="369" ht="13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</row>
    <row r="370" ht="13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</row>
    <row r="371" ht="13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</row>
    <row r="372" ht="13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</row>
    <row r="373" ht="13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</row>
    <row r="374" ht="13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</row>
    <row r="375" ht="13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</row>
    <row r="376" ht="13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</row>
    <row r="377" ht="13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</row>
    <row r="378" ht="13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</row>
    <row r="379" ht="13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</row>
    <row r="380" ht="13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</row>
    <row r="381" ht="13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</row>
    <row r="382" ht="13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</row>
    <row r="383" ht="13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</row>
    <row r="384" ht="13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</row>
    <row r="385" ht="13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</row>
    <row r="386" ht="13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</row>
    <row r="387" ht="13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</row>
    <row r="388" ht="13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</row>
    <row r="389" ht="13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</row>
    <row r="390" ht="13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</row>
    <row r="391" ht="13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</row>
    <row r="392" ht="13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</row>
    <row r="393" ht="13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</row>
    <row r="394" ht="13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</row>
    <row r="395" ht="13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</row>
    <row r="396" ht="13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</row>
    <row r="397" ht="13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</row>
    <row r="398" ht="13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</row>
    <row r="399" ht="13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</row>
    <row r="400" ht="13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</row>
    <row r="401" ht="13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</row>
    <row r="402" ht="13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</row>
    <row r="403" ht="13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</row>
    <row r="404" ht="13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</row>
    <row r="405" ht="13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</row>
    <row r="406" ht="13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</row>
    <row r="407" ht="13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</row>
    <row r="408" ht="13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</row>
    <row r="409" ht="13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</row>
    <row r="410" ht="13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</row>
    <row r="411" ht="13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</row>
    <row r="412" ht="13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</row>
    <row r="413" ht="13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</row>
    <row r="414" ht="13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</row>
    <row r="415" ht="13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</row>
    <row r="416" ht="13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</row>
    <row r="417" ht="13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</row>
    <row r="418" ht="13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</row>
    <row r="419" ht="13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</row>
    <row r="420" ht="13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</row>
    <row r="421" ht="13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</row>
    <row r="422" ht="13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</row>
    <row r="423" ht="13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</row>
    <row r="424" ht="13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</row>
    <row r="425" ht="13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</row>
    <row r="426" ht="13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</row>
    <row r="427" ht="13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</row>
    <row r="428" ht="13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</row>
    <row r="429" ht="13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</row>
    <row r="430" ht="13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</row>
    <row r="431" ht="13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</row>
    <row r="432" ht="13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</row>
    <row r="433" ht="13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</row>
    <row r="434" ht="13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</row>
    <row r="435" ht="13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</row>
    <row r="436" ht="13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</row>
    <row r="437" ht="13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</row>
    <row r="438" ht="13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</row>
    <row r="439" ht="13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</row>
    <row r="440" ht="13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</row>
    <row r="441" ht="13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</row>
    <row r="442" ht="13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</row>
    <row r="443" ht="13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</row>
    <row r="444" ht="13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</row>
    <row r="445" ht="13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</row>
    <row r="446" ht="13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</row>
    <row r="447" ht="13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</row>
    <row r="448" ht="13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</row>
    <row r="449" ht="13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</row>
    <row r="450" ht="13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</row>
    <row r="451" ht="13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</row>
    <row r="452" ht="13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</row>
    <row r="453" ht="13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</row>
    <row r="454" ht="13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</row>
    <row r="455" ht="13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</row>
    <row r="456" ht="13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</row>
    <row r="457" ht="13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</row>
    <row r="458" ht="13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</row>
    <row r="459" ht="13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</row>
    <row r="460" ht="13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</row>
    <row r="461" ht="13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</row>
    <row r="462" ht="13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</row>
    <row r="463" ht="13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</row>
    <row r="464" ht="13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</row>
    <row r="465" ht="13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</row>
    <row r="466" ht="13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</row>
    <row r="467" ht="13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</row>
    <row r="468" ht="13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</row>
    <row r="469" ht="13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</row>
    <row r="470" ht="13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</row>
    <row r="471" ht="13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</row>
    <row r="472" ht="13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</row>
    <row r="473" ht="13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</row>
    <row r="474" ht="13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</row>
    <row r="475" ht="13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</row>
    <row r="476" ht="13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</row>
    <row r="477" ht="13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</row>
    <row r="478" ht="13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</row>
    <row r="479" ht="13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</row>
    <row r="480" ht="13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</row>
    <row r="481" ht="13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</row>
    <row r="482" ht="13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</row>
    <row r="483" ht="13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</row>
    <row r="484" ht="13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</row>
    <row r="485" ht="13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</row>
    <row r="486" ht="13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</row>
    <row r="487" ht="13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</row>
    <row r="488" ht="13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</row>
    <row r="489" ht="13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</row>
    <row r="490" ht="13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</row>
    <row r="491" ht="13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</row>
    <row r="492" ht="13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</row>
    <row r="493" ht="13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</row>
    <row r="494" ht="13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</row>
    <row r="495" ht="13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</row>
    <row r="496" ht="13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</row>
    <row r="497" ht="13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</row>
    <row r="498" ht="13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</row>
    <row r="499" ht="13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</row>
    <row r="500" ht="13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</row>
    <row r="501" ht="13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</row>
    <row r="502" ht="13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</row>
    <row r="503" ht="13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</row>
    <row r="504" ht="13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</row>
    <row r="505" ht="13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</row>
    <row r="506" ht="13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</row>
    <row r="507" ht="13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</row>
    <row r="508" ht="13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</row>
    <row r="509" ht="13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</row>
    <row r="510" ht="13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</row>
    <row r="511" ht="13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</row>
    <row r="512" ht="13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</row>
    <row r="513" ht="13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</row>
    <row r="514" ht="13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</row>
    <row r="515" ht="13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</row>
    <row r="516" ht="13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</row>
    <row r="517" ht="13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</row>
    <row r="518" ht="13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</row>
    <row r="519" ht="13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</row>
    <row r="520" ht="13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</row>
    <row r="521" ht="13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</row>
    <row r="522" ht="13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</row>
    <row r="523" ht="13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</row>
    <row r="524" ht="13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</row>
    <row r="525" ht="13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</row>
    <row r="526" ht="13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</row>
    <row r="527" ht="13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</row>
    <row r="528" ht="13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</row>
    <row r="529" ht="13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</row>
    <row r="530" ht="13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</row>
    <row r="531" ht="13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</row>
    <row r="532" ht="13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</row>
    <row r="533" ht="13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</row>
    <row r="534" ht="13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</row>
    <row r="535" ht="13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</row>
    <row r="536" ht="13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</row>
    <row r="537" ht="13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</row>
    <row r="538" ht="13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</row>
    <row r="539" ht="13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</row>
    <row r="540" ht="13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</row>
    <row r="541" ht="13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</row>
    <row r="542" ht="13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</row>
    <row r="543" ht="13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</row>
    <row r="544" ht="13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</row>
    <row r="545" ht="13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</row>
    <row r="546" ht="13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</row>
    <row r="547" ht="13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</row>
    <row r="548" ht="13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</row>
    <row r="549" ht="13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</row>
    <row r="550" ht="13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</row>
    <row r="551" ht="13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</row>
    <row r="552" ht="13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</row>
    <row r="553" ht="13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</row>
    <row r="554" ht="13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</row>
    <row r="555" ht="13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</row>
    <row r="556" ht="13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</row>
    <row r="557" ht="13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</row>
    <row r="558" ht="13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</row>
    <row r="559" ht="13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</row>
    <row r="560" ht="13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</row>
    <row r="561" ht="13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</row>
    <row r="562" ht="13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</row>
    <row r="563" ht="13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</row>
    <row r="564" ht="13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</row>
    <row r="565" ht="13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</row>
    <row r="566" ht="13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</row>
    <row r="567" ht="13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</row>
    <row r="568" ht="13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</row>
    <row r="569" ht="13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</row>
    <row r="570" ht="13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</row>
    <row r="571" ht="13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</row>
    <row r="572" ht="13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</row>
    <row r="573" ht="13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</row>
    <row r="574" ht="13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</row>
    <row r="575" ht="13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</row>
    <row r="576" ht="13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</row>
    <row r="577" ht="13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</row>
    <row r="578" ht="13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</row>
    <row r="579" ht="13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</row>
    <row r="580" ht="13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</row>
    <row r="581" ht="13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</row>
    <row r="582" ht="13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</row>
    <row r="583" ht="13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</row>
    <row r="584" ht="13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</row>
    <row r="585" ht="13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</row>
    <row r="586" ht="13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</row>
    <row r="587" ht="13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</row>
    <row r="588" ht="13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</row>
    <row r="589" ht="13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</row>
    <row r="590" ht="13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</row>
    <row r="591" ht="13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</row>
    <row r="592" ht="13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</row>
    <row r="593" ht="13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</row>
    <row r="594" ht="13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</row>
    <row r="595" ht="13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</row>
    <row r="596" ht="13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</row>
    <row r="597" ht="13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</row>
    <row r="598" ht="13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</row>
    <row r="599" ht="13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</row>
    <row r="600" ht="13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</row>
    <row r="601" ht="13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</row>
    <row r="602" ht="13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</row>
    <row r="603" ht="13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</row>
    <row r="604" ht="13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</row>
    <row r="605" ht="13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</row>
    <row r="606" ht="13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</row>
    <row r="607" ht="13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</row>
    <row r="608" ht="13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</row>
    <row r="609" ht="13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</row>
    <row r="610" ht="13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</row>
    <row r="611" ht="13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</row>
    <row r="612" ht="13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</row>
    <row r="613" ht="13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</row>
    <row r="614" ht="13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</row>
    <row r="615" ht="13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</row>
    <row r="616" ht="13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</row>
    <row r="617" ht="13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</row>
    <row r="618" ht="13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</row>
    <row r="619" ht="13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</row>
    <row r="620" ht="13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</row>
    <row r="621" ht="13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</row>
    <row r="622" ht="13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</row>
    <row r="623" ht="13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</row>
    <row r="624" ht="13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</row>
    <row r="625" ht="13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</row>
    <row r="626" ht="13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</row>
    <row r="627" ht="13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</row>
    <row r="628" ht="13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</row>
    <row r="629" ht="13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</row>
    <row r="630" ht="13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</row>
    <row r="631" ht="13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</row>
    <row r="632" ht="13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</row>
    <row r="633" ht="13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</row>
    <row r="634" ht="13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</row>
    <row r="635" ht="13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</row>
    <row r="636" ht="13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</row>
    <row r="637" ht="13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</row>
    <row r="638" ht="13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</row>
    <row r="639" ht="13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</row>
    <row r="640" ht="13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</row>
    <row r="641" ht="13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</row>
    <row r="642" ht="13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</row>
    <row r="643" ht="13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</row>
    <row r="644" ht="13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</row>
    <row r="645" ht="13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</row>
    <row r="646" ht="13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</row>
    <row r="647" ht="13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</row>
    <row r="648" ht="13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</row>
    <row r="649" ht="13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</row>
    <row r="650" ht="13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</row>
    <row r="651" ht="13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</row>
    <row r="652" ht="13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</row>
    <row r="653" ht="13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</row>
    <row r="654" ht="13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</row>
    <row r="655" ht="13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</row>
    <row r="656" ht="13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</row>
    <row r="657" ht="13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</row>
    <row r="658" ht="13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</row>
    <row r="659" ht="13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</row>
    <row r="660" ht="13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</row>
    <row r="661" ht="13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</row>
    <row r="662" ht="13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</row>
    <row r="663" ht="13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</row>
    <row r="664" ht="13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</row>
    <row r="665" ht="13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</row>
    <row r="666" ht="13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</row>
    <row r="667" ht="13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</row>
    <row r="668" ht="13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</row>
    <row r="669" ht="13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</row>
    <row r="670" ht="13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</row>
    <row r="671" ht="13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</row>
    <row r="672" ht="13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</row>
    <row r="673" ht="13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</row>
    <row r="674" ht="13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</row>
    <row r="675" ht="13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</row>
    <row r="676" ht="13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</row>
    <row r="677" ht="13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</row>
    <row r="678" ht="13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</row>
    <row r="679" ht="13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</row>
    <row r="680" ht="13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</row>
    <row r="681" ht="13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</row>
    <row r="682" ht="13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</row>
    <row r="683" ht="13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</row>
    <row r="684" ht="13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</row>
    <row r="685" ht="13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</row>
    <row r="686" ht="13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</row>
    <row r="687" ht="13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</row>
    <row r="688" ht="13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</row>
    <row r="689" ht="13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</row>
    <row r="690" ht="13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</row>
    <row r="691" ht="13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</row>
    <row r="692" ht="13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</row>
    <row r="693" ht="13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</row>
    <row r="694" ht="13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</row>
    <row r="695" ht="13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</row>
    <row r="696" ht="13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</row>
    <row r="697" ht="13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</row>
    <row r="698" ht="13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</row>
    <row r="699" ht="13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</row>
    <row r="700" ht="13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</row>
    <row r="701" ht="13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</row>
    <row r="702" ht="13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</row>
    <row r="703" ht="13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</row>
    <row r="704" ht="13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</row>
    <row r="705" ht="13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</row>
    <row r="706" ht="13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</row>
    <row r="707" ht="13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</row>
    <row r="708" ht="13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</row>
    <row r="709" ht="13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</row>
    <row r="710" ht="13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</row>
    <row r="711" ht="13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</row>
    <row r="712" ht="13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</row>
    <row r="713" ht="13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</row>
    <row r="714" ht="13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</row>
    <row r="715" ht="13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</row>
    <row r="716" ht="13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</row>
    <row r="717" ht="13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</row>
    <row r="718" ht="13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</row>
    <row r="719" ht="13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</row>
    <row r="720" ht="13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</row>
    <row r="721" ht="13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</row>
    <row r="722" ht="13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</row>
    <row r="723" ht="13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</row>
    <row r="724" ht="13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</row>
    <row r="725" ht="13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</row>
    <row r="726" ht="13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</row>
    <row r="727" ht="13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</row>
    <row r="728" ht="13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</row>
    <row r="729" ht="13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</row>
    <row r="730" ht="13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</row>
    <row r="731" ht="13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</row>
    <row r="732" ht="13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</row>
    <row r="733" ht="13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</row>
    <row r="734" ht="13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</row>
    <row r="735" ht="13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</row>
    <row r="736" ht="13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</row>
    <row r="737" ht="13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</row>
    <row r="738" ht="13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</row>
    <row r="739" ht="13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</row>
    <row r="740" ht="13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</row>
    <row r="741" ht="13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</row>
    <row r="742" ht="13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</row>
    <row r="743" ht="13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</row>
    <row r="744" ht="13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</row>
    <row r="745" ht="13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</row>
    <row r="746" ht="13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</row>
    <row r="747" ht="13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</row>
    <row r="748" ht="13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</row>
    <row r="749" ht="13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</row>
    <row r="750" ht="13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</row>
    <row r="751" ht="13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</row>
    <row r="752" ht="13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</row>
    <row r="753" ht="13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</row>
    <row r="754" ht="13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</row>
    <row r="755" ht="13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</row>
    <row r="756" ht="13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</row>
    <row r="757" ht="13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</row>
    <row r="758" ht="13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</row>
    <row r="759" ht="13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</row>
    <row r="760" ht="13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</row>
    <row r="761" ht="13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</row>
    <row r="762" ht="13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</row>
    <row r="763" ht="13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</row>
    <row r="764" ht="13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</row>
    <row r="765" ht="13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</row>
    <row r="766" ht="13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</row>
    <row r="767" ht="13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</row>
    <row r="768" ht="13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</row>
    <row r="769" ht="13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</row>
    <row r="770" ht="13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</row>
    <row r="771" ht="13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</row>
    <row r="772" ht="13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</row>
    <row r="773" ht="13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</row>
    <row r="774" ht="13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</row>
    <row r="775" ht="13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</row>
    <row r="776" ht="13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</row>
    <row r="777" ht="13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</row>
    <row r="778" ht="13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</row>
    <row r="779" ht="13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</row>
    <row r="780" ht="13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</row>
    <row r="781" ht="13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</row>
    <row r="782" ht="13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</row>
    <row r="783" ht="13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</row>
    <row r="784" ht="13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</row>
    <row r="785" ht="13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</row>
    <row r="786" ht="13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</row>
    <row r="787" ht="13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</row>
    <row r="788" ht="13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</row>
    <row r="789" ht="13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</row>
    <row r="790" ht="13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</row>
    <row r="791" ht="13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</row>
    <row r="792" ht="13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</row>
    <row r="793" ht="13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</row>
    <row r="794" ht="13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</row>
    <row r="795" ht="13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</row>
    <row r="796" ht="13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</row>
    <row r="797" ht="13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</row>
    <row r="798" ht="13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</row>
    <row r="799" ht="13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</row>
    <row r="800" ht="13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</row>
    <row r="801" ht="13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</row>
    <row r="802" ht="13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</row>
    <row r="803" ht="13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</row>
    <row r="804" ht="13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</row>
    <row r="805" ht="13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</row>
    <row r="806" ht="13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</row>
    <row r="807" ht="13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</row>
    <row r="808" ht="13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</row>
    <row r="809" ht="13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</row>
    <row r="810" ht="13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</row>
    <row r="811" ht="13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</row>
    <row r="812" ht="13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</row>
    <row r="813" ht="13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</row>
    <row r="814" ht="13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</row>
    <row r="815" ht="13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</row>
    <row r="816" ht="13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</row>
    <row r="817" ht="13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</row>
    <row r="818" ht="13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</row>
    <row r="819" ht="13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</row>
    <row r="820" ht="13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</row>
    <row r="821" ht="13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</row>
    <row r="822" ht="13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</row>
    <row r="823" ht="13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</row>
    <row r="824" ht="13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</row>
    <row r="825" ht="13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</row>
    <row r="826" ht="13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</row>
    <row r="827" ht="13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</row>
    <row r="828" ht="13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</row>
    <row r="829" ht="13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</row>
    <row r="830" ht="13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</row>
    <row r="831" ht="13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</row>
    <row r="832" ht="13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</row>
    <row r="833" ht="13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</row>
    <row r="834" ht="13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</row>
    <row r="835" ht="13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</row>
    <row r="836" ht="13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</row>
    <row r="837" ht="13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</row>
    <row r="838" ht="13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</row>
    <row r="839" ht="13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</row>
    <row r="840" ht="13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</row>
    <row r="841" ht="13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</row>
    <row r="842" ht="13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</row>
    <row r="843" ht="13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</row>
    <row r="844" ht="13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</row>
    <row r="845" ht="13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</row>
    <row r="846" ht="13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</row>
    <row r="847" ht="13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</row>
    <row r="848" ht="13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</row>
    <row r="849" ht="13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</row>
    <row r="850" ht="13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</row>
    <row r="851" ht="13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</row>
    <row r="852" ht="13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</row>
    <row r="853" ht="13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</row>
    <row r="854" ht="13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</row>
    <row r="855" ht="13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</row>
    <row r="856" ht="13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</row>
    <row r="857" ht="13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</row>
    <row r="858" ht="13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</row>
    <row r="859" ht="13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</row>
    <row r="860" ht="13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</row>
    <row r="861" ht="13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</row>
    <row r="862" ht="13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</row>
    <row r="863" ht="13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</row>
    <row r="864" ht="13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</row>
    <row r="865" ht="13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</row>
    <row r="866" ht="13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</row>
    <row r="867" ht="13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</row>
    <row r="868" ht="13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</row>
    <row r="869" ht="13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</row>
    <row r="870" ht="13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</row>
    <row r="871" ht="13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</row>
    <row r="872" ht="13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</row>
    <row r="873" ht="13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</row>
    <row r="874" ht="13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</row>
    <row r="875" ht="13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</row>
    <row r="876" ht="13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</row>
    <row r="877" ht="13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</row>
    <row r="878" ht="13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</row>
    <row r="879" ht="13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</row>
    <row r="880" ht="13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</row>
    <row r="881" ht="13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</row>
    <row r="882" ht="13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</row>
    <row r="883" ht="13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</row>
    <row r="884" ht="13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</row>
    <row r="885" ht="13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</row>
    <row r="886" ht="13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</row>
    <row r="887" ht="13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</row>
    <row r="888" ht="13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</row>
    <row r="889" ht="13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</row>
    <row r="890" ht="13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</row>
    <row r="891" ht="13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</row>
    <row r="892" ht="13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</row>
    <row r="893" ht="13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</row>
    <row r="894" ht="13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</row>
    <row r="895" ht="13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</row>
    <row r="896" ht="13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</row>
    <row r="897" ht="13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</row>
    <row r="898" ht="13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</row>
    <row r="899" ht="13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</row>
    <row r="900" ht="13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</row>
    <row r="901" ht="13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</row>
    <row r="902" ht="13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</row>
    <row r="903" ht="13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</row>
    <row r="904" ht="13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</row>
    <row r="905" ht="13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</row>
    <row r="906" ht="13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</row>
    <row r="907" ht="13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</row>
    <row r="908" ht="13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</row>
    <row r="909" ht="13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</row>
    <row r="910" ht="13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</row>
    <row r="911" ht="13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</row>
    <row r="912" ht="13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</row>
    <row r="913" ht="13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</row>
    <row r="914" ht="13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</row>
    <row r="915" ht="13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</row>
    <row r="916" ht="13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</row>
    <row r="917" ht="13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</row>
    <row r="918" ht="13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</row>
    <row r="919" ht="13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</row>
    <row r="920" ht="13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</row>
    <row r="921" ht="13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</row>
    <row r="922" ht="13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</row>
    <row r="923" ht="13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</row>
    <row r="924" ht="13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</row>
    <row r="925" ht="13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</row>
    <row r="926" ht="13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</row>
    <row r="927" ht="13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</row>
    <row r="928" ht="13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</row>
    <row r="929" ht="13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</row>
    <row r="930" ht="13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</row>
    <row r="931" ht="13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</row>
    <row r="932" ht="13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</row>
    <row r="933" ht="13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</row>
    <row r="934" ht="13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</row>
    <row r="935" ht="13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</row>
    <row r="936" ht="13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</row>
    <row r="937" ht="13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</row>
    <row r="938" ht="13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</row>
    <row r="939" ht="13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</row>
    <row r="940" ht="13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</row>
    <row r="941" ht="13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</row>
    <row r="942" ht="13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</row>
    <row r="943" ht="13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</row>
    <row r="944" ht="13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</row>
    <row r="945" ht="13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</row>
    <row r="946" ht="13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</row>
    <row r="947" ht="13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</row>
    <row r="948" ht="13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</row>
    <row r="949" ht="13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</row>
    <row r="950" ht="13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</row>
    <row r="951" ht="13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</row>
    <row r="952" ht="13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</row>
    <row r="953" ht="13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</row>
    <row r="954" ht="13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</row>
    <row r="955" ht="13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</row>
    <row r="956" ht="13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</row>
    <row r="957" ht="13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</row>
    <row r="958" ht="13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</row>
    <row r="959" ht="13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</row>
    <row r="960" ht="13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</row>
    <row r="961" ht="13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</row>
    <row r="962" ht="13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</row>
    <row r="963" ht="13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</row>
    <row r="964" ht="13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</row>
    <row r="965" ht="13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</row>
    <row r="966" ht="13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</row>
    <row r="967" ht="13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</row>
    <row r="968" ht="13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</row>
    <row r="969" ht="13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</row>
    <row r="970" ht="13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</row>
    <row r="971" ht="13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</row>
    <row r="972" ht="13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</row>
    <row r="973" ht="13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</row>
    <row r="974" ht="13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</row>
    <row r="975" ht="13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</row>
    <row r="976" ht="13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</row>
    <row r="977" ht="13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</row>
    <row r="978" ht="13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</row>
    <row r="979" ht="13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</row>
    <row r="980" ht="13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</row>
    <row r="981" ht="13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</row>
    <row r="982" ht="13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</row>
    <row r="983" ht="13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</row>
    <row r="984" ht="13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</row>
    <row r="985" ht="13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</row>
    <row r="986" ht="13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</row>
    <row r="987" ht="13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</row>
    <row r="988" ht="13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</row>
    <row r="989" ht="13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</row>
    <row r="990" ht="13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</row>
    <row r="991" ht="13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</row>
    <row r="992" ht="13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</row>
    <row r="993" ht="13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</row>
    <row r="994" ht="13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</row>
    <row r="995" ht="13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</row>
    <row r="996" ht="13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</row>
    <row r="997" ht="13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</row>
    <row r="998" ht="13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</row>
    <row r="999" ht="13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</row>
    <row r="1000" ht="13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</row>
  </sheetData>
  <mergeCells count="25">
    <mergeCell ref="A1:AI1"/>
    <mergeCell ref="A2:AI2"/>
    <mergeCell ref="B5:AI5"/>
    <mergeCell ref="C7:F7"/>
    <mergeCell ref="R7:U7"/>
    <mergeCell ref="B10:I10"/>
    <mergeCell ref="Q10:X10"/>
    <mergeCell ref="AE25:AI25"/>
    <mergeCell ref="AE26:AI26"/>
    <mergeCell ref="AE27:AI27"/>
    <mergeCell ref="AE28:AI28"/>
    <mergeCell ref="B30:I30"/>
    <mergeCell ref="Q30:X30"/>
    <mergeCell ref="B35:I35"/>
    <mergeCell ref="Q35:X35"/>
    <mergeCell ref="B40:I40"/>
    <mergeCell ref="Q40:X40"/>
    <mergeCell ref="B45:I45"/>
    <mergeCell ref="B15:I15"/>
    <mergeCell ref="Q15:X15"/>
    <mergeCell ref="B20:I20"/>
    <mergeCell ref="Q20:X20"/>
    <mergeCell ref="AE24:AI24"/>
    <mergeCell ref="B25:I25"/>
    <mergeCell ref="Q25:X25"/>
  </mergeCells>
  <printOptions/>
  <pageMargins bottom="1.0" footer="0.0" header="0.0" left="0.75" right="0.75" top="1.0"/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hidden="1" min="1" max="1" width="6.0"/>
    <col customWidth="1" min="2" max="2" width="32.75"/>
    <col customWidth="1" min="3" max="3" width="7.0"/>
    <col customWidth="1" hidden="1" min="4" max="4" width="6.13"/>
    <col customWidth="1" min="5" max="5" width="1.63"/>
    <col customWidth="1" min="6" max="6" width="7.0"/>
    <col customWidth="1" hidden="1" min="7" max="7" width="6.13"/>
    <col customWidth="1" min="8" max="8" width="1.63"/>
    <col customWidth="1" min="9" max="9" width="7.0"/>
    <col customWidth="1" hidden="1" min="10" max="10" width="6.13"/>
    <col customWidth="1" hidden="1" min="11" max="11" width="7.5"/>
    <col customWidth="1" hidden="1" min="12" max="12" width="11.38"/>
    <col customWidth="1" hidden="1" min="13" max="13" width="8.0"/>
    <col customWidth="1" hidden="1" min="14" max="14" width="6.13"/>
    <col customWidth="1" min="15" max="15" width="5.5"/>
    <col customWidth="1" hidden="1" min="16" max="16" width="7.38"/>
    <col customWidth="1" min="17" max="17" width="32.75"/>
    <col customWidth="1" min="18" max="18" width="7.0"/>
    <col customWidth="1" hidden="1" min="19" max="19" width="6.13"/>
    <col customWidth="1" min="20" max="20" width="1.63"/>
    <col customWidth="1" min="21" max="21" width="7.0"/>
    <col customWidth="1" hidden="1" min="22" max="22" width="6.13"/>
    <col customWidth="1" min="23" max="23" width="1.63"/>
    <col customWidth="1" min="24" max="24" width="7.0"/>
    <col customWidth="1" hidden="1" min="25" max="25" width="6.13"/>
    <col customWidth="1" hidden="1" min="26" max="26" width="7.5"/>
    <col customWidth="1" hidden="1" min="27" max="27" width="11.38"/>
    <col customWidth="1" hidden="1" min="28" max="28" width="8.0"/>
    <col customWidth="1" hidden="1" min="29" max="29" width="6.13"/>
    <col customWidth="1" min="30" max="30" width="6.0"/>
    <col customWidth="1" min="31" max="31" width="35.13"/>
    <col customWidth="1" min="32" max="35" width="8.63"/>
    <col customWidth="1" hidden="1" min="36" max="36" width="9.38"/>
    <col customWidth="1" hidden="1" min="37" max="37" width="8.0"/>
    <col customWidth="1" hidden="1" min="38" max="38" width="41.13"/>
    <col customWidth="1" min="39" max="40" width="9.38"/>
  </cols>
  <sheetData>
    <row r="1" ht="21.0" customHeight="1">
      <c r="A1" s="1" t="s">
        <v>0</v>
      </c>
      <c r="AJ1" s="4"/>
      <c r="AK1" s="4"/>
      <c r="AL1" s="4"/>
      <c r="AM1" s="4"/>
      <c r="AN1" s="4"/>
    </row>
    <row r="2" ht="21.0" customHeight="1">
      <c r="A2" s="1" t="s">
        <v>1</v>
      </c>
      <c r="AJ2" s="4"/>
      <c r="AK2" s="4"/>
      <c r="AL2" s="4"/>
      <c r="AM2" s="4"/>
      <c r="AN2" s="4"/>
    </row>
    <row r="3" ht="9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</row>
    <row r="4" ht="9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</row>
    <row r="5" ht="30.0" customHeight="1">
      <c r="A5" s="15"/>
      <c r="B5" s="118" t="s">
        <v>141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  <c r="AJ5" s="15"/>
      <c r="AK5" s="15"/>
      <c r="AL5" s="15"/>
      <c r="AM5" s="15"/>
      <c r="AN5" s="15"/>
    </row>
    <row r="6" ht="13.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</row>
    <row r="7" ht="13.5" customHeight="1">
      <c r="A7" s="15"/>
      <c r="B7" s="119" t="s">
        <v>65</v>
      </c>
      <c r="C7" s="120" t="s">
        <v>66</v>
      </c>
      <c r="D7" s="21"/>
      <c r="E7" s="21"/>
      <c r="F7" s="7"/>
      <c r="G7" s="121"/>
      <c r="H7" s="122"/>
      <c r="I7" s="119" t="s">
        <v>67</v>
      </c>
      <c r="J7" s="15"/>
      <c r="K7" s="15"/>
      <c r="L7" s="15"/>
      <c r="M7" s="24"/>
      <c r="N7" s="24"/>
      <c r="O7" s="15"/>
      <c r="P7" s="15"/>
      <c r="Q7" s="119" t="s">
        <v>65</v>
      </c>
      <c r="R7" s="120" t="s">
        <v>66</v>
      </c>
      <c r="S7" s="21"/>
      <c r="T7" s="21"/>
      <c r="U7" s="7"/>
      <c r="V7" s="121"/>
      <c r="W7" s="122"/>
      <c r="X7" s="119" t="s">
        <v>67</v>
      </c>
      <c r="Y7" s="24"/>
      <c r="Z7" s="24"/>
      <c r="AA7" s="24"/>
      <c r="AB7" s="24"/>
      <c r="AC7" s="24"/>
      <c r="AD7" s="15"/>
      <c r="AE7" s="119" t="s">
        <v>68</v>
      </c>
      <c r="AF7" s="119" t="s">
        <v>69</v>
      </c>
      <c r="AG7" s="119" t="s">
        <v>70</v>
      </c>
      <c r="AH7" s="119" t="s">
        <v>71</v>
      </c>
      <c r="AI7" s="119" t="s">
        <v>72</v>
      </c>
      <c r="AJ7" s="24"/>
      <c r="AK7" s="24"/>
      <c r="AL7" s="24"/>
      <c r="AM7" s="15"/>
      <c r="AN7" s="15"/>
    </row>
    <row r="8" ht="13.5" hidden="1" customHeight="1">
      <c r="A8" s="15"/>
      <c r="B8" s="15"/>
      <c r="C8" s="25" t="s">
        <v>73</v>
      </c>
      <c r="D8" s="25" t="s">
        <v>74</v>
      </c>
      <c r="E8" s="25"/>
      <c r="F8" s="25" t="s">
        <v>73</v>
      </c>
      <c r="G8" s="25" t="s">
        <v>75</v>
      </c>
      <c r="H8" s="25"/>
      <c r="I8" s="25" t="s">
        <v>73</v>
      </c>
      <c r="J8" s="25" t="s">
        <v>76</v>
      </c>
      <c r="K8" s="25" t="s">
        <v>77</v>
      </c>
      <c r="L8" s="25" t="s">
        <v>78</v>
      </c>
      <c r="M8" s="25" t="s">
        <v>79</v>
      </c>
      <c r="N8" s="25" t="s">
        <v>80</v>
      </c>
      <c r="O8" s="15"/>
      <c r="P8" s="15"/>
      <c r="Q8" s="15"/>
      <c r="R8" s="25" t="s">
        <v>73</v>
      </c>
      <c r="S8" s="25" t="s">
        <v>74</v>
      </c>
      <c r="T8" s="25"/>
      <c r="U8" s="25" t="s">
        <v>73</v>
      </c>
      <c r="V8" s="25" t="s">
        <v>75</v>
      </c>
      <c r="W8" s="25"/>
      <c r="X8" s="25" t="s">
        <v>73</v>
      </c>
      <c r="Y8" s="25" t="s">
        <v>76</v>
      </c>
      <c r="Z8" s="25" t="s">
        <v>77</v>
      </c>
      <c r="AA8" s="25" t="s">
        <v>78</v>
      </c>
      <c r="AB8" s="25" t="s">
        <v>79</v>
      </c>
      <c r="AC8" s="25" t="s">
        <v>80</v>
      </c>
      <c r="AD8" s="15"/>
      <c r="AE8" s="24"/>
      <c r="AF8" s="24"/>
      <c r="AG8" s="24"/>
      <c r="AH8" s="24"/>
      <c r="AI8" s="24"/>
      <c r="AJ8" s="25" t="s">
        <v>81</v>
      </c>
      <c r="AK8" s="26" t="s">
        <v>82</v>
      </c>
      <c r="AL8" s="27" t="s">
        <v>83</v>
      </c>
      <c r="AM8" s="15"/>
      <c r="AN8" s="15"/>
    </row>
    <row r="9" ht="15.0" customHeight="1">
      <c r="A9" s="15"/>
      <c r="B9" s="28" t="str">
        <f>AE9</f>
        <v>Ceridwen Scerri / Laureen Agius</v>
      </c>
      <c r="C9" s="29">
        <v>4.0</v>
      </c>
      <c r="D9" s="30">
        <f>IF(C9&gt;C11,1,0)</f>
        <v>0</v>
      </c>
      <c r="E9" s="31"/>
      <c r="F9" s="29">
        <v>3.0</v>
      </c>
      <c r="G9" s="30">
        <f>IF(F9&gt;F11,1,0)</f>
        <v>0</v>
      </c>
      <c r="H9" s="31"/>
      <c r="I9" s="32"/>
      <c r="J9" s="15">
        <f>IF(I9&gt;I11,1,0)</f>
        <v>0</v>
      </c>
      <c r="K9" s="15">
        <f>IF(D9+G9=2,3,IF(D9+G9=1,1,0))</f>
        <v>0</v>
      </c>
      <c r="L9" s="15">
        <f>IF(K9=3,3,IF(J9+K9=2,2,IF(K9=1,1,0)))</f>
        <v>0</v>
      </c>
      <c r="M9" s="15">
        <f>C9+F9</f>
        <v>7</v>
      </c>
      <c r="N9" s="15">
        <f>D9+G9+J9</f>
        <v>0</v>
      </c>
      <c r="O9" s="15"/>
      <c r="P9" s="15"/>
      <c r="Q9" s="28" t="str">
        <f>AE9</f>
        <v>Ceridwen Scerri / Laureen Agius</v>
      </c>
      <c r="R9" s="29">
        <v>3.0</v>
      </c>
      <c r="S9" s="30">
        <f>IF(R9&gt;R11,1,0)</f>
        <v>0</v>
      </c>
      <c r="T9" s="31"/>
      <c r="U9" s="29">
        <v>1.0</v>
      </c>
      <c r="V9" s="30">
        <f>IF(U9&gt;U11,1,0)</f>
        <v>0</v>
      </c>
      <c r="W9" s="31"/>
      <c r="X9" s="32"/>
      <c r="Y9" s="15">
        <f>IF(X9&gt;X11,1,0)</f>
        <v>0</v>
      </c>
      <c r="Z9" s="15">
        <f>IF(S9+V9=2,3,IF(S9+V9=1,1,0))</f>
        <v>0</v>
      </c>
      <c r="AA9" s="15">
        <f>IF(Z9=3,3,IF(Y9+Z9=2,2,IF(Z9=1,1,0)))</f>
        <v>0</v>
      </c>
      <c r="AB9" s="15">
        <f>R9+U9</f>
        <v>4</v>
      </c>
      <c r="AC9" s="15">
        <f>S9+V9+Y9</f>
        <v>0</v>
      </c>
      <c r="AD9" s="15"/>
      <c r="AE9" s="123" t="str">
        <f>'Players Ladies'!B30&amp; " / " &amp;'Players Ladies'!C30</f>
        <v>Ceridwen Scerri / Laureen Agius</v>
      </c>
      <c r="AF9" s="34">
        <f>C12+R12+C17+R17+C22</f>
        <v>5</v>
      </c>
      <c r="AG9" s="34">
        <f t="shared" ref="AG9:AI9" si="1">L9+AA9+L14+AA14+L19</f>
        <v>9</v>
      </c>
      <c r="AH9" s="34">
        <f t="shared" si="1"/>
        <v>48</v>
      </c>
      <c r="AI9" s="35">
        <f t="shared" si="1"/>
        <v>6</v>
      </c>
      <c r="AJ9" s="15">
        <f>MAX(AG16,AG14,AG11,AG9,AG19,AG21)</f>
        <v>13</v>
      </c>
      <c r="AK9" s="15">
        <f>SUM(AF9:AF21)</f>
        <v>30</v>
      </c>
      <c r="AL9" s="15" t="str">
        <f>IF(AG9=$AJ$9,AE9,IF(AG11=$AJ$9,AE11,IF(AG14=$AJ$9,AE14,IF(AG16=$AJ$9,AE16,IF(AG19=$AJ$9,AE19,IF(AG21=$AJ$9,AE21,""))))))</f>
        <v>Jodie Stivala / Elisa Sacco</v>
      </c>
      <c r="AM9" s="15"/>
      <c r="AN9" s="15"/>
    </row>
    <row r="10" ht="13.5" customHeight="1">
      <c r="A10" s="15"/>
      <c r="B10" s="36" t="s">
        <v>84</v>
      </c>
      <c r="I10" s="37"/>
      <c r="J10" s="38"/>
      <c r="K10" s="15"/>
      <c r="L10" s="15"/>
      <c r="M10" s="15"/>
      <c r="N10" s="15"/>
      <c r="O10" s="15"/>
      <c r="P10" s="15"/>
      <c r="Q10" s="36" t="s">
        <v>84</v>
      </c>
      <c r="X10" s="37"/>
      <c r="Y10" s="38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24"/>
      <c r="AL10" s="24"/>
      <c r="AM10" s="15"/>
      <c r="AN10" s="15"/>
    </row>
    <row r="11" ht="13.5" customHeight="1">
      <c r="A11" s="15"/>
      <c r="B11" s="39" t="str">
        <f>AE11</f>
        <v>Jin Attard / Anna Casingena</v>
      </c>
      <c r="C11" s="29">
        <v>6.0</v>
      </c>
      <c r="D11" s="40">
        <f>IF(C11&gt;C9,1,0)</f>
        <v>1</v>
      </c>
      <c r="E11" s="41"/>
      <c r="F11" s="29">
        <v>6.0</v>
      </c>
      <c r="G11" s="40">
        <f>IF(F11&gt;F9,1,0)</f>
        <v>1</v>
      </c>
      <c r="H11" s="41"/>
      <c r="I11" s="32"/>
      <c r="J11" s="15">
        <f>IF(I11&gt;I9,1,0)</f>
        <v>0</v>
      </c>
      <c r="K11" s="15">
        <f>IF(D11+G11=2,3,IF(D11+G11=1,1,0))</f>
        <v>3</v>
      </c>
      <c r="L11" s="15">
        <f>IF(K11=3,3,IF(J11+K11=2,2,IF(K11=1,1,0)))</f>
        <v>3</v>
      </c>
      <c r="M11" s="15">
        <f>C11+F11</f>
        <v>12</v>
      </c>
      <c r="N11" s="15">
        <f>D11+G11+J11</f>
        <v>2</v>
      </c>
      <c r="O11" s="15"/>
      <c r="P11" s="15"/>
      <c r="Q11" s="39" t="str">
        <f>AE14</f>
        <v>Jodie Stivala / Elisa Sacco</v>
      </c>
      <c r="R11" s="29">
        <v>6.0</v>
      </c>
      <c r="S11" s="40">
        <f>IF(R11&gt;R9,1,0)</f>
        <v>1</v>
      </c>
      <c r="T11" s="41"/>
      <c r="U11" s="29">
        <v>6.0</v>
      </c>
      <c r="V11" s="40">
        <f>IF(U11&gt;U9,1,0)</f>
        <v>1</v>
      </c>
      <c r="W11" s="41"/>
      <c r="X11" s="32"/>
      <c r="Y11" s="15">
        <f>IF(X11&gt;X9,1,0)</f>
        <v>0</v>
      </c>
      <c r="Z11" s="15">
        <f>IF(S11+V11=2,3,IF(S11+V11=1,1,0))</f>
        <v>3</v>
      </c>
      <c r="AA11" s="15">
        <f>IF(Z11=3,3,IF(Y11+Z11=2,2,IF(Z11=1,1,0)))</f>
        <v>3</v>
      </c>
      <c r="AB11" s="15">
        <f>R11+U11</f>
        <v>12</v>
      </c>
      <c r="AC11" s="15">
        <f>S11+V11+Y11</f>
        <v>2</v>
      </c>
      <c r="AD11" s="15"/>
      <c r="AE11" s="123" t="str">
        <f>'Players Ladies'!B31&amp; " / " &amp;'Players Ladies'!C31</f>
        <v>Jin Attard / Anna Casingena</v>
      </c>
      <c r="AF11" s="34">
        <f>F12+R32+C27+R27+R22</f>
        <v>5</v>
      </c>
      <c r="AG11" s="34">
        <f t="shared" ref="AG11:AI11" si="2">L11+AA29+L24+AA24+AA19</f>
        <v>12</v>
      </c>
      <c r="AH11" s="34">
        <f t="shared" si="2"/>
        <v>57</v>
      </c>
      <c r="AI11" s="35">
        <f t="shared" si="2"/>
        <v>9</v>
      </c>
      <c r="AJ11" s="24"/>
      <c r="AK11" s="24"/>
      <c r="AL11" s="24"/>
      <c r="AM11" s="15"/>
      <c r="AN11" s="15"/>
    </row>
    <row r="12" ht="13.5" hidden="1" customHeight="1">
      <c r="A12" s="15" t="s">
        <v>85</v>
      </c>
      <c r="B12" s="15"/>
      <c r="C12" s="42">
        <f>IF(C9="",0,1)</f>
        <v>1</v>
      </c>
      <c r="D12" s="15"/>
      <c r="E12" s="15"/>
      <c r="F12" s="42">
        <f>IF(C11="",0,1)</f>
        <v>1</v>
      </c>
      <c r="G12" s="15"/>
      <c r="H12" s="15"/>
      <c r="I12" s="15"/>
      <c r="J12" s="15"/>
      <c r="K12" s="15"/>
      <c r="L12" s="15"/>
      <c r="M12" s="15"/>
      <c r="N12" s="15"/>
      <c r="O12" s="15"/>
      <c r="P12" s="15" t="s">
        <v>85</v>
      </c>
      <c r="Q12" s="15"/>
      <c r="R12" s="42">
        <f>IF(R9="",0,1)</f>
        <v>1</v>
      </c>
      <c r="S12" s="15"/>
      <c r="T12" s="15"/>
      <c r="U12" s="42">
        <f>IF(R11="",0,1)</f>
        <v>1</v>
      </c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24"/>
      <c r="AG12" s="24"/>
      <c r="AH12" s="24"/>
      <c r="AI12" s="24"/>
      <c r="AJ12" s="24"/>
      <c r="AK12" s="15"/>
      <c r="AL12" s="15"/>
      <c r="AM12" s="15"/>
      <c r="AN12" s="15"/>
    </row>
    <row r="13" ht="13.5" customHeight="1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24"/>
      <c r="AG13" s="24"/>
      <c r="AH13" s="24"/>
      <c r="AI13" s="24"/>
      <c r="AJ13" s="24"/>
      <c r="AK13" s="24"/>
      <c r="AL13" s="24"/>
      <c r="AM13" s="15"/>
      <c r="AN13" s="15"/>
    </row>
    <row r="14" ht="13.5" customHeight="1">
      <c r="A14" s="15"/>
      <c r="B14" s="28" t="str">
        <f>AE9</f>
        <v>Ceridwen Scerri / Laureen Agius</v>
      </c>
      <c r="C14" s="29">
        <v>6.0</v>
      </c>
      <c r="D14" s="30">
        <f>IF(C14&gt;C16,1,0)</f>
        <v>1</v>
      </c>
      <c r="E14" s="31"/>
      <c r="F14" s="29">
        <v>6.0</v>
      </c>
      <c r="G14" s="30">
        <f>IF(F14&gt;F16,1,0)</f>
        <v>1</v>
      </c>
      <c r="H14" s="31"/>
      <c r="I14" s="32"/>
      <c r="J14" s="15">
        <f>IF(I14&gt;I16,1,0)</f>
        <v>0</v>
      </c>
      <c r="K14" s="15">
        <f>IF(D14+G14=2,3,IF(D14+G14=1,1,0))</f>
        <v>3</v>
      </c>
      <c r="L14" s="15">
        <f>IF(K14=3,3,IF(J14+K14=2,2,IF(K14=1,1,0)))</f>
        <v>3</v>
      </c>
      <c r="M14" s="15">
        <f>C14+F14</f>
        <v>12</v>
      </c>
      <c r="N14" s="15">
        <f>D14+G14+J14</f>
        <v>2</v>
      </c>
      <c r="O14" s="15"/>
      <c r="P14" s="15"/>
      <c r="Q14" s="28" t="str">
        <f>AE9</f>
        <v>Ceridwen Scerri / Laureen Agius</v>
      </c>
      <c r="R14" s="29">
        <v>6.0</v>
      </c>
      <c r="S14" s="30">
        <f>IF(R14&gt;R16,1,0)</f>
        <v>1</v>
      </c>
      <c r="T14" s="31"/>
      <c r="U14" s="29">
        <v>6.0</v>
      </c>
      <c r="V14" s="30">
        <f>IF(U14&gt;U16,1,0)</f>
        <v>1</v>
      </c>
      <c r="W14" s="31"/>
      <c r="X14" s="32"/>
      <c r="Y14" s="15">
        <f>IF(X14&gt;X16,1,0)</f>
        <v>0</v>
      </c>
      <c r="Z14" s="15">
        <f>IF(S14+V14=2,3,IF(S14+V14=1,1,0))</f>
        <v>3</v>
      </c>
      <c r="AA14" s="15">
        <f>IF(Z14=3,3,IF(Y14+Z14=2,2,IF(Z14=1,1,0)))</f>
        <v>3</v>
      </c>
      <c r="AB14" s="15">
        <f>R14+U14</f>
        <v>12</v>
      </c>
      <c r="AC14" s="15">
        <f>S14+V14+Y14</f>
        <v>2</v>
      </c>
      <c r="AD14" s="15"/>
      <c r="AE14" s="123" t="str">
        <f>'Players Ladies'!B32&amp; " / " &amp;'Players Ladies'!C32</f>
        <v>Jodie Stivala / Elisa Sacco</v>
      </c>
      <c r="AF14" s="34">
        <f>R37+U12+R42+C32+U22</f>
        <v>5</v>
      </c>
      <c r="AG14" s="34">
        <f t="shared" ref="AG14:AI14" si="3">AA34+AA11+AA39+L29+AA21</f>
        <v>13</v>
      </c>
      <c r="AH14" s="34">
        <f t="shared" si="3"/>
        <v>55</v>
      </c>
      <c r="AI14" s="35">
        <f t="shared" si="3"/>
        <v>10</v>
      </c>
      <c r="AJ14" s="24"/>
      <c r="AK14" s="24"/>
      <c r="AL14" s="24"/>
      <c r="AM14" s="15"/>
      <c r="AN14" s="15"/>
    </row>
    <row r="15" ht="13.5" customHeight="1">
      <c r="A15" s="15"/>
      <c r="B15" s="36" t="s">
        <v>84</v>
      </c>
      <c r="I15" s="37"/>
      <c r="J15" s="38"/>
      <c r="K15" s="15"/>
      <c r="L15" s="15"/>
      <c r="M15" s="15"/>
      <c r="N15" s="15"/>
      <c r="O15" s="15"/>
      <c r="P15" s="15"/>
      <c r="Q15" s="36" t="s">
        <v>84</v>
      </c>
      <c r="X15" s="37"/>
      <c r="Y15" s="38"/>
      <c r="Z15" s="15"/>
      <c r="AA15" s="15"/>
      <c r="AB15" s="15"/>
      <c r="AC15" s="15"/>
      <c r="AD15" s="15"/>
      <c r="AE15" s="15"/>
      <c r="AF15" s="24"/>
      <c r="AG15" s="24"/>
      <c r="AH15" s="24"/>
      <c r="AI15" s="24"/>
      <c r="AJ15" s="24"/>
      <c r="AK15" s="24"/>
      <c r="AL15" s="24"/>
      <c r="AM15" s="15"/>
      <c r="AN15" s="15"/>
    </row>
    <row r="16" ht="13.5" customHeight="1">
      <c r="A16" s="15"/>
      <c r="B16" s="39" t="str">
        <f>AE16</f>
        <v>Maria Ellul / Frances Saliba Hersey</v>
      </c>
      <c r="C16" s="29">
        <v>4.0</v>
      </c>
      <c r="D16" s="40">
        <f>IF(C16&gt;C14,1,0)</f>
        <v>0</v>
      </c>
      <c r="E16" s="41"/>
      <c r="F16" s="29">
        <v>4.0</v>
      </c>
      <c r="G16" s="40">
        <f>IF(F16&gt;F14,1,0)</f>
        <v>0</v>
      </c>
      <c r="H16" s="41"/>
      <c r="I16" s="32"/>
      <c r="J16" s="15">
        <f>IF(I16&gt;I14,1,0)</f>
        <v>0</v>
      </c>
      <c r="K16" s="15">
        <f>IF(D16+G16=2,3,IF(D16+G16=1,1,0))</f>
        <v>0</v>
      </c>
      <c r="L16" s="15">
        <f>IF(K16=3,3,IF(J16+K16=2,2,IF(K16=1,1,0)))</f>
        <v>0</v>
      </c>
      <c r="M16" s="15">
        <f>C16+F16</f>
        <v>8</v>
      </c>
      <c r="N16" s="15">
        <f>D16+G16+J16</f>
        <v>0</v>
      </c>
      <c r="O16" s="15"/>
      <c r="P16" s="15"/>
      <c r="Q16" s="39" t="str">
        <f>AE19</f>
        <v>Janice Galea / Nicole Lia</v>
      </c>
      <c r="R16" s="29">
        <v>1.0</v>
      </c>
      <c r="S16" s="40">
        <f>IF(R16&gt;R14,1,0)</f>
        <v>0</v>
      </c>
      <c r="T16" s="41"/>
      <c r="U16" s="29">
        <v>3.0</v>
      </c>
      <c r="V16" s="40">
        <f>IF(U16&gt;U14,1,0)</f>
        <v>0</v>
      </c>
      <c r="W16" s="41"/>
      <c r="X16" s="32"/>
      <c r="Y16" s="15">
        <f>IF(X16&gt;X14,1,0)</f>
        <v>0</v>
      </c>
      <c r="Z16" s="15">
        <f>IF(S16+V16=2,3,IF(S16+V16=1,1,0))</f>
        <v>0</v>
      </c>
      <c r="AA16" s="15">
        <f>IF(Z16=3,3,IF(Y16+Z16=2,2,IF(Z16=1,1,0)))</f>
        <v>0</v>
      </c>
      <c r="AB16" s="15">
        <f>R16+U16</f>
        <v>4</v>
      </c>
      <c r="AC16" s="15">
        <f>S16+V16+Y16</f>
        <v>0</v>
      </c>
      <c r="AD16" s="15"/>
      <c r="AE16" s="123" t="str">
        <f>'Players Ladies'!B33&amp; " / " &amp;'Players Ladies'!C33</f>
        <v>Maria Ellul / Frances Saliba Hersey</v>
      </c>
      <c r="AF16" s="34">
        <f>U37+C47+F17+U27+C37</f>
        <v>5</v>
      </c>
      <c r="AG16" s="34">
        <f t="shared" ref="AG16:AI16" si="4">AA36+L44+L16+AA26+L34</f>
        <v>3</v>
      </c>
      <c r="AH16" s="34">
        <f t="shared" si="4"/>
        <v>38</v>
      </c>
      <c r="AI16" s="35">
        <f t="shared" si="4"/>
        <v>3</v>
      </c>
      <c r="AJ16" s="24"/>
      <c r="AK16" s="24"/>
      <c r="AL16" s="24"/>
      <c r="AM16" s="15"/>
      <c r="AN16" s="15"/>
    </row>
    <row r="17" ht="13.5" hidden="1" customHeight="1">
      <c r="A17" s="15" t="s">
        <v>85</v>
      </c>
      <c r="B17" s="15"/>
      <c r="C17" s="42">
        <f>IF(C14="",0,1)</f>
        <v>1</v>
      </c>
      <c r="D17" s="15"/>
      <c r="E17" s="15"/>
      <c r="F17" s="42">
        <f>IF(C16="",0,1)</f>
        <v>1</v>
      </c>
      <c r="G17" s="15"/>
      <c r="H17" s="15"/>
      <c r="I17" s="15"/>
      <c r="J17" s="15"/>
      <c r="K17" s="15"/>
      <c r="L17" s="15"/>
      <c r="M17" s="15"/>
      <c r="N17" s="15"/>
      <c r="O17" s="15"/>
      <c r="P17" s="15" t="s">
        <v>85</v>
      </c>
      <c r="Q17" s="15"/>
      <c r="R17" s="42">
        <f>IF(R14="",0,1)</f>
        <v>1</v>
      </c>
      <c r="S17" s="15"/>
      <c r="T17" s="15"/>
      <c r="U17" s="42">
        <f>IF(R16="",0,1)</f>
        <v>1</v>
      </c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24"/>
      <c r="AG17" s="24"/>
      <c r="AH17" s="24"/>
      <c r="AI17" s="24"/>
      <c r="AJ17" s="24"/>
      <c r="AK17" s="15"/>
      <c r="AL17" s="15"/>
      <c r="AM17" s="15"/>
      <c r="AN17" s="15"/>
    </row>
    <row r="18" ht="13.5" customHeight="1">
      <c r="A18" s="15"/>
      <c r="B18" s="15"/>
      <c r="C18" s="24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24"/>
      <c r="AG18" s="24"/>
      <c r="AH18" s="24"/>
      <c r="AI18" s="24"/>
      <c r="AJ18" s="24"/>
      <c r="AK18" s="24"/>
      <c r="AL18" s="24"/>
      <c r="AM18" s="15"/>
      <c r="AN18" s="15"/>
    </row>
    <row r="19" ht="13.5" customHeight="1">
      <c r="A19" s="15"/>
      <c r="B19" s="28" t="str">
        <f>AE9</f>
        <v>Ceridwen Scerri / Laureen Agius</v>
      </c>
      <c r="C19" s="29">
        <v>7.0</v>
      </c>
      <c r="D19" s="30">
        <f>IF(C19&gt;C21,1,0)</f>
        <v>1</v>
      </c>
      <c r="E19" s="31"/>
      <c r="F19" s="29">
        <v>6.0</v>
      </c>
      <c r="G19" s="30">
        <f>IF(F19&gt;F21,1,0)</f>
        <v>1</v>
      </c>
      <c r="H19" s="31"/>
      <c r="I19" s="32"/>
      <c r="J19" s="15">
        <f>IF(I19&gt;I21,1,0)</f>
        <v>0</v>
      </c>
      <c r="K19" s="15">
        <f>IF(D19+G19=2,3,IF(D19+G19=1,1,0))</f>
        <v>3</v>
      </c>
      <c r="L19" s="15">
        <f>IF(K19=3,3,IF(J19+K19=2,2,IF(K19=1,1,0)))</f>
        <v>3</v>
      </c>
      <c r="M19" s="15">
        <f>C19+F19</f>
        <v>13</v>
      </c>
      <c r="N19" s="15">
        <f>D19+G19+J19</f>
        <v>2</v>
      </c>
      <c r="O19" s="15"/>
      <c r="P19" s="15"/>
      <c r="Q19" s="28" t="str">
        <f>AE11</f>
        <v>Jin Attard / Anna Casingena</v>
      </c>
      <c r="R19" s="29">
        <v>6.0</v>
      </c>
      <c r="S19" s="30">
        <f>IF(R19&gt;R21,1,0)</f>
        <v>0</v>
      </c>
      <c r="T19" s="31"/>
      <c r="U19" s="29">
        <v>6.0</v>
      </c>
      <c r="V19" s="30">
        <f>IF(U19&gt;U21,1,0)</f>
        <v>1</v>
      </c>
      <c r="W19" s="31"/>
      <c r="X19" s="29">
        <v>10.0</v>
      </c>
      <c r="Y19" s="15">
        <f>IF(X19&gt;X21,1,0)</f>
        <v>0</v>
      </c>
      <c r="Z19" s="15">
        <f>IF(S19+V19=2,3,IF(S19+V19=1,1,0))</f>
        <v>1</v>
      </c>
      <c r="AA19" s="15">
        <f>IF(Z19=3,3,IF(Y19+Z19=2,2,IF(Z19=1,1,0)))</f>
        <v>1</v>
      </c>
      <c r="AB19" s="15">
        <f>R19+U19</f>
        <v>12</v>
      </c>
      <c r="AC19" s="15">
        <f>S19+V19+Y19</f>
        <v>1</v>
      </c>
      <c r="AD19" s="15"/>
      <c r="AE19" s="123" t="str">
        <f>'Players Ladies'!B34&amp; " / " &amp;'Players Ladies'!C34</f>
        <v>Janice Galea / Nicole Lia</v>
      </c>
      <c r="AF19" s="34">
        <f>C42+F47+F27+U17+F32</f>
        <v>5</v>
      </c>
      <c r="AG19" s="34">
        <f t="shared" ref="AG19:AI19" si="5">L39+L46+L26+AA16+L31</f>
        <v>1</v>
      </c>
      <c r="AH19" s="34">
        <f t="shared" si="5"/>
        <v>22</v>
      </c>
      <c r="AI19" s="35">
        <f t="shared" si="5"/>
        <v>1</v>
      </c>
      <c r="AJ19" s="24"/>
      <c r="AK19" s="24"/>
      <c r="AL19" s="24"/>
      <c r="AM19" s="15"/>
      <c r="AN19" s="15"/>
    </row>
    <row r="20" ht="13.5" customHeight="1">
      <c r="A20" s="15"/>
      <c r="B20" s="36" t="s">
        <v>84</v>
      </c>
      <c r="I20" s="37"/>
      <c r="J20" s="38"/>
      <c r="K20" s="15"/>
      <c r="L20" s="15"/>
      <c r="M20" s="15"/>
      <c r="N20" s="15"/>
      <c r="O20" s="15"/>
      <c r="P20" s="15"/>
      <c r="Q20" s="36" t="s">
        <v>84</v>
      </c>
      <c r="X20" s="37"/>
      <c r="Y20" s="38"/>
      <c r="Z20" s="15"/>
      <c r="AA20" s="15"/>
      <c r="AB20" s="15"/>
      <c r="AC20" s="15"/>
      <c r="AD20" s="15"/>
      <c r="AE20" s="15"/>
      <c r="AF20" s="24"/>
      <c r="AG20" s="24"/>
      <c r="AH20" s="24"/>
      <c r="AI20" s="24"/>
      <c r="AJ20" s="24"/>
      <c r="AK20" s="24"/>
      <c r="AL20" s="24"/>
      <c r="AM20" s="15"/>
      <c r="AN20" s="15"/>
    </row>
    <row r="21" ht="13.5" customHeight="1">
      <c r="A21" s="15"/>
      <c r="B21" s="39" t="str">
        <f>AE21</f>
        <v>Emma Camilleri / Sophia Re</v>
      </c>
      <c r="C21" s="29">
        <v>5.0</v>
      </c>
      <c r="D21" s="40">
        <f>IF(C21&gt;C19,1,0)</f>
        <v>0</v>
      </c>
      <c r="E21" s="41"/>
      <c r="F21" s="29">
        <v>2.0</v>
      </c>
      <c r="G21" s="40">
        <f>IF(F21&gt;F19,1,0)</f>
        <v>0</v>
      </c>
      <c r="H21" s="41"/>
      <c r="I21" s="32"/>
      <c r="J21" s="15">
        <f>IF(I21&gt;I19,1,0)</f>
        <v>0</v>
      </c>
      <c r="K21" s="15">
        <f>IF(D21+G21=2,3,IF(D21+G21=1,1,0))</f>
        <v>0</v>
      </c>
      <c r="L21" s="15">
        <f>IF(K21=3,3,IF(J21+K21=2,2,IF(K21=1,1,0)))</f>
        <v>0</v>
      </c>
      <c r="M21" s="15">
        <f>C21+F21</f>
        <v>7</v>
      </c>
      <c r="N21" s="15">
        <f>D21+G21+J21</f>
        <v>0</v>
      </c>
      <c r="O21" s="15"/>
      <c r="P21" s="15"/>
      <c r="Q21" s="39" t="str">
        <f>AE14</f>
        <v>Jodie Stivala / Elisa Sacco</v>
      </c>
      <c r="R21" s="29">
        <v>7.0</v>
      </c>
      <c r="S21" s="40">
        <f>IF(R21&gt;R19,1,0)</f>
        <v>1</v>
      </c>
      <c r="T21" s="41"/>
      <c r="U21" s="29">
        <v>2.0</v>
      </c>
      <c r="V21" s="40">
        <f>IF(U21&gt;U19,1,0)</f>
        <v>0</v>
      </c>
      <c r="W21" s="41"/>
      <c r="X21" s="29">
        <v>12.0</v>
      </c>
      <c r="Y21" s="15">
        <f>IF(X21&gt;X19,1,0)</f>
        <v>1</v>
      </c>
      <c r="Z21" s="15">
        <f>IF(S21+V21=2,3,IF(S21+V21=1,1,0))</f>
        <v>1</v>
      </c>
      <c r="AA21" s="15">
        <f>IF(Z21=3,3,IF(Y21+Z21=2,2,IF(Z21=1,1,0)))</f>
        <v>2</v>
      </c>
      <c r="AB21" s="15">
        <f>R21+U21</f>
        <v>9</v>
      </c>
      <c r="AC21" s="15">
        <f>S21+V21+Y21</f>
        <v>2</v>
      </c>
      <c r="AD21" s="15"/>
      <c r="AE21" s="123" t="str">
        <f>'Players Ladies'!B35&amp; " / " &amp;'Players Ladies'!C35</f>
        <v>Emma Camilleri / Sophia Re</v>
      </c>
      <c r="AF21" s="34">
        <f>F42+U32+U42+F22+F37</f>
        <v>5</v>
      </c>
      <c r="AG21" s="34">
        <f t="shared" ref="AG21:AI21" si="6">L41+AA31+AA41+L21+L36</f>
        <v>7</v>
      </c>
      <c r="AH21" s="34">
        <f t="shared" si="6"/>
        <v>47</v>
      </c>
      <c r="AI21" s="35">
        <f t="shared" si="6"/>
        <v>6</v>
      </c>
      <c r="AJ21" s="24"/>
      <c r="AK21" s="24"/>
      <c r="AL21" s="24"/>
      <c r="AM21" s="15"/>
      <c r="AN21" s="15"/>
    </row>
    <row r="22" ht="13.5" hidden="1" customHeight="1">
      <c r="A22" s="15" t="s">
        <v>85</v>
      </c>
      <c r="B22" s="15"/>
      <c r="C22" s="42">
        <f>IF(C19="",0,1)</f>
        <v>1</v>
      </c>
      <c r="D22" s="15"/>
      <c r="E22" s="15"/>
      <c r="F22" s="42">
        <f>IF(C21="",0,1)</f>
        <v>1</v>
      </c>
      <c r="G22" s="15"/>
      <c r="H22" s="15"/>
      <c r="I22" s="15"/>
      <c r="J22" s="15"/>
      <c r="K22" s="15"/>
      <c r="L22" s="15"/>
      <c r="M22" s="15"/>
      <c r="N22" s="15"/>
      <c r="O22" s="15"/>
      <c r="P22" s="15" t="s">
        <v>85</v>
      </c>
      <c r="Q22" s="15"/>
      <c r="R22" s="42">
        <f>IF(R19="",0,1)</f>
        <v>1</v>
      </c>
      <c r="S22" s="15"/>
      <c r="T22" s="15"/>
      <c r="U22" s="42">
        <f>IF(R21="",0,1)</f>
        <v>1</v>
      </c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24"/>
      <c r="AG22" s="24"/>
      <c r="AH22" s="24"/>
      <c r="AI22" s="24"/>
      <c r="AJ22" s="24"/>
      <c r="AK22" s="15"/>
      <c r="AL22" s="15"/>
      <c r="AM22" s="15"/>
      <c r="AN22" s="15"/>
    </row>
    <row r="23" ht="13.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24"/>
      <c r="AK23" s="24"/>
      <c r="AL23" s="15"/>
      <c r="AM23" s="15"/>
      <c r="AN23" s="15"/>
    </row>
    <row r="24" ht="13.5" customHeight="1">
      <c r="A24" s="15"/>
      <c r="B24" s="28" t="str">
        <f>AE11</f>
        <v>Jin Attard / Anna Casingena</v>
      </c>
      <c r="C24" s="29">
        <v>6.0</v>
      </c>
      <c r="D24" s="30">
        <f>IF(C24&gt;C26,1,0)</f>
        <v>1</v>
      </c>
      <c r="E24" s="31"/>
      <c r="F24" s="29">
        <v>6.0</v>
      </c>
      <c r="G24" s="30">
        <f>IF(F24&gt;F26,1,0)</f>
        <v>1</v>
      </c>
      <c r="H24" s="31"/>
      <c r="I24" s="32"/>
      <c r="J24" s="15">
        <f>IF(I24&gt;I26,1,0)</f>
        <v>0</v>
      </c>
      <c r="K24" s="15">
        <f>IF(D24+G24=2,3,IF(D24+G24=1,1,0))</f>
        <v>3</v>
      </c>
      <c r="L24" s="15">
        <f>IF(K24=3,3,IF(J24+K24=2,2,IF(K24=1,1,0)))</f>
        <v>3</v>
      </c>
      <c r="M24" s="15">
        <f>C24+F24</f>
        <v>12</v>
      </c>
      <c r="N24" s="15">
        <f>D24+G24+J24</f>
        <v>2</v>
      </c>
      <c r="O24" s="15"/>
      <c r="P24" s="15"/>
      <c r="Q24" s="28" t="str">
        <f>AE11</f>
        <v>Jin Attard / Anna Casingena</v>
      </c>
      <c r="R24" s="29">
        <v>6.0</v>
      </c>
      <c r="S24" s="30">
        <f>IF(R24&gt;R26,1,0)</f>
        <v>1</v>
      </c>
      <c r="T24" s="31"/>
      <c r="U24" s="29">
        <v>6.0</v>
      </c>
      <c r="V24" s="30">
        <f>IF(U24&gt;U26,1,0)</f>
        <v>1</v>
      </c>
      <c r="W24" s="31"/>
      <c r="X24" s="32"/>
      <c r="Y24" s="15">
        <f>IF(X24&gt;X26,1,0)</f>
        <v>0</v>
      </c>
      <c r="Z24" s="15">
        <f>IF(S24+V24=2,3,IF(S24+V24=1,1,0))</f>
        <v>3</v>
      </c>
      <c r="AA24" s="15">
        <f>IF(Z24=3,3,IF(Y24+Z24=2,2,IF(Z24=1,1,0)))</f>
        <v>3</v>
      </c>
      <c r="AB24" s="15">
        <f>R24+U24</f>
        <v>12</v>
      </c>
      <c r="AC24" s="15">
        <f>S24+V24+Y24</f>
        <v>2</v>
      </c>
      <c r="AD24" s="15"/>
      <c r="AE24" s="120" t="s">
        <v>86</v>
      </c>
      <c r="AF24" s="21"/>
      <c r="AG24" s="21"/>
      <c r="AH24" s="21"/>
      <c r="AI24" s="7"/>
      <c r="AJ24" s="24"/>
      <c r="AK24" s="15"/>
      <c r="AL24" s="15"/>
      <c r="AM24" s="15"/>
      <c r="AN24" s="15"/>
    </row>
    <row r="25" ht="13.5" customHeight="1">
      <c r="A25" s="15"/>
      <c r="B25" s="36" t="s">
        <v>84</v>
      </c>
      <c r="I25" s="37"/>
      <c r="J25" s="38"/>
      <c r="K25" s="15"/>
      <c r="L25" s="15"/>
      <c r="M25" s="15"/>
      <c r="N25" s="15"/>
      <c r="O25" s="15"/>
      <c r="P25" s="15"/>
      <c r="Q25" s="36" t="s">
        <v>84</v>
      </c>
      <c r="X25" s="37"/>
      <c r="Y25" s="38"/>
      <c r="Z25" s="15"/>
      <c r="AA25" s="15"/>
      <c r="AB25" s="15"/>
      <c r="AC25" s="15"/>
      <c r="AD25" s="15"/>
      <c r="AE25" s="43" t="s">
        <v>161</v>
      </c>
      <c r="AF25" s="21"/>
      <c r="AG25" s="21"/>
      <c r="AH25" s="21"/>
      <c r="AI25" s="7"/>
      <c r="AJ25" s="24"/>
      <c r="AK25" s="24"/>
      <c r="AL25" s="15"/>
      <c r="AM25" s="15"/>
      <c r="AN25" s="15"/>
    </row>
    <row r="26" ht="13.5" customHeight="1">
      <c r="A26" s="15"/>
      <c r="B26" s="39" t="str">
        <f>AE19</f>
        <v>Janice Galea / Nicole Lia</v>
      </c>
      <c r="C26" s="29">
        <v>0.0</v>
      </c>
      <c r="D26" s="40">
        <f>IF(C26&gt;C24,1,0)</f>
        <v>0</v>
      </c>
      <c r="E26" s="41"/>
      <c r="F26" s="29">
        <v>0.0</v>
      </c>
      <c r="G26" s="40">
        <f>IF(F26&gt;F24,1,0)</f>
        <v>0</v>
      </c>
      <c r="H26" s="41"/>
      <c r="I26" s="32"/>
      <c r="J26" s="15">
        <f>IF(I26&gt;I24,1,0)</f>
        <v>0</v>
      </c>
      <c r="K26" s="15">
        <f>IF(D26+G26=2,3,IF(D26+G26=1,1,0))</f>
        <v>0</v>
      </c>
      <c r="L26" s="15">
        <f>IF(K26=3,3,IF(J26+K26=2,2,IF(K26=1,1,0)))</f>
        <v>0</v>
      </c>
      <c r="M26" s="15">
        <f>C26+F26</f>
        <v>0</v>
      </c>
      <c r="N26" s="15">
        <f>D26+G26+J26</f>
        <v>0</v>
      </c>
      <c r="O26" s="15"/>
      <c r="P26" s="15"/>
      <c r="Q26" s="39" t="str">
        <f>AE16</f>
        <v>Maria Ellul / Frances Saliba Hersey</v>
      </c>
      <c r="R26" s="29">
        <v>1.0</v>
      </c>
      <c r="S26" s="40">
        <f>IF(R26&gt;R24,1,0)</f>
        <v>0</v>
      </c>
      <c r="T26" s="41"/>
      <c r="U26" s="29">
        <v>2.0</v>
      </c>
      <c r="V26" s="40">
        <f>IF(U26&gt;U24,1,0)</f>
        <v>0</v>
      </c>
      <c r="W26" s="41"/>
      <c r="X26" s="32"/>
      <c r="Y26" s="15">
        <f>IF(X26&gt;X24,1,0)</f>
        <v>0</v>
      </c>
      <c r="Z26" s="15">
        <f>IF(S26+V26=2,3,IF(S26+V26=1,1,0))</f>
        <v>0</v>
      </c>
      <c r="AA26" s="15">
        <f>IF(Z26=3,3,IF(Y26+Z26=2,2,IF(Z26=1,1,0)))</f>
        <v>0</v>
      </c>
      <c r="AB26" s="15">
        <f>R26+U26</f>
        <v>3</v>
      </c>
      <c r="AC26" s="15">
        <f>S26+V26+Y26</f>
        <v>0</v>
      </c>
      <c r="AD26" s="15"/>
      <c r="AE26" s="124" t="s">
        <v>95</v>
      </c>
      <c r="AF26" s="21"/>
      <c r="AG26" s="21"/>
      <c r="AH26" s="21"/>
      <c r="AI26" s="7"/>
      <c r="AJ26" s="15"/>
      <c r="AK26" s="15"/>
      <c r="AL26" s="15"/>
      <c r="AM26" s="15"/>
      <c r="AN26" s="15"/>
    </row>
    <row r="27" ht="13.5" hidden="1" customHeight="1">
      <c r="A27" s="15" t="s">
        <v>85</v>
      </c>
      <c r="B27" s="15"/>
      <c r="C27" s="42">
        <f>IF(C24="",0,1)</f>
        <v>1</v>
      </c>
      <c r="D27" s="15"/>
      <c r="E27" s="15"/>
      <c r="F27" s="42">
        <f>IF(C26="",0,1)</f>
        <v>1</v>
      </c>
      <c r="G27" s="15"/>
      <c r="H27" s="15"/>
      <c r="I27" s="15"/>
      <c r="J27" s="15"/>
      <c r="K27" s="15"/>
      <c r="L27" s="15"/>
      <c r="M27" s="15"/>
      <c r="N27" s="15"/>
      <c r="O27" s="15"/>
      <c r="P27" s="15" t="s">
        <v>85</v>
      </c>
      <c r="Q27" s="15"/>
      <c r="R27" s="42">
        <f>IF(R24="",0,1)</f>
        <v>1</v>
      </c>
      <c r="S27" s="15"/>
      <c r="T27" s="15"/>
      <c r="U27" s="42">
        <f>IF(R26="",0,1)</f>
        <v>1</v>
      </c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</row>
    <row r="28" ht="15.0" customHeight="1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43" t="s">
        <v>162</v>
      </c>
      <c r="AF28" s="21"/>
      <c r="AG28" s="21"/>
      <c r="AH28" s="21"/>
      <c r="AI28" s="7"/>
      <c r="AJ28" s="15"/>
      <c r="AK28" s="15"/>
      <c r="AL28" s="15"/>
      <c r="AM28" s="15"/>
      <c r="AN28" s="15"/>
    </row>
    <row r="29" ht="13.5" customHeight="1">
      <c r="A29" s="15"/>
      <c r="B29" s="28" t="str">
        <f>AE14</f>
        <v>Jodie Stivala / Elisa Sacco</v>
      </c>
      <c r="C29" s="29">
        <v>6.0</v>
      </c>
      <c r="D29" s="30">
        <f>IF(C29&gt;C31,1,0)</f>
        <v>1</v>
      </c>
      <c r="E29" s="31"/>
      <c r="F29" s="29">
        <v>6.0</v>
      </c>
      <c r="G29" s="30">
        <f>IF(F29&gt;F31,1,0)</f>
        <v>1</v>
      </c>
      <c r="H29" s="31"/>
      <c r="I29" s="32"/>
      <c r="J29" s="15">
        <f>IF(I29&gt;I31,1,0)</f>
        <v>0</v>
      </c>
      <c r="K29" s="15">
        <f>IF(D29+G29=2,3,IF(D29+G29=1,1,0))</f>
        <v>3</v>
      </c>
      <c r="L29" s="15">
        <f>IF(K29=3,3,IF(J29+K29=2,2,IF(K29=1,1,0)))</f>
        <v>3</v>
      </c>
      <c r="M29" s="15">
        <f>C29+F29</f>
        <v>12</v>
      </c>
      <c r="N29" s="15">
        <f>D29+G29+J29</f>
        <v>2</v>
      </c>
      <c r="O29" s="15"/>
      <c r="P29" s="15"/>
      <c r="Q29" s="28" t="str">
        <f>AE11</f>
        <v>Jin Attard / Anna Casingena</v>
      </c>
      <c r="R29" s="29">
        <v>3.0</v>
      </c>
      <c r="S29" s="30">
        <f>IF(R29&gt;R31,1,0)</f>
        <v>0</v>
      </c>
      <c r="T29" s="31"/>
      <c r="U29" s="29">
        <v>6.0</v>
      </c>
      <c r="V29" s="30">
        <f>IF(U29&gt;U31,1,0)</f>
        <v>1</v>
      </c>
      <c r="W29" s="31"/>
      <c r="X29" s="29">
        <v>10.0</v>
      </c>
      <c r="Y29" s="15">
        <f>IF(X29&gt;X31,1,0)</f>
        <v>1</v>
      </c>
      <c r="Z29" s="15">
        <f>IF(S29+V29=2,3,IF(S29+V29=1,1,0))</f>
        <v>1</v>
      </c>
      <c r="AA29" s="15">
        <f>IF(Z29=3,3,IF(Y29+Z29=2,2,IF(Z29=1,1,0)))</f>
        <v>2</v>
      </c>
      <c r="AB29" s="15">
        <f>R29+U29</f>
        <v>9</v>
      </c>
      <c r="AC29" s="15">
        <f>S29+V29+Y29</f>
        <v>2</v>
      </c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</row>
    <row r="30" ht="13.5" customHeight="1">
      <c r="A30" s="15"/>
      <c r="B30" s="36" t="s">
        <v>84</v>
      </c>
      <c r="I30" s="37"/>
      <c r="J30" s="38"/>
      <c r="K30" s="15"/>
      <c r="L30" s="15"/>
      <c r="M30" s="15"/>
      <c r="N30" s="15"/>
      <c r="O30" s="15"/>
      <c r="P30" s="15"/>
      <c r="Q30" s="36" t="s">
        <v>84</v>
      </c>
      <c r="X30" s="37"/>
      <c r="Y30" s="38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</row>
    <row r="31" ht="13.5" customHeight="1">
      <c r="A31" s="15"/>
      <c r="B31" s="39" t="str">
        <f>AE19</f>
        <v>Janice Galea / Nicole Lia</v>
      </c>
      <c r="C31" s="29">
        <v>3.0</v>
      </c>
      <c r="D31" s="40">
        <f>IF(C31&gt;C29,1,0)</f>
        <v>0</v>
      </c>
      <c r="E31" s="41"/>
      <c r="F31" s="29">
        <v>2.0</v>
      </c>
      <c r="G31" s="40">
        <f>IF(F31&gt;F29,1,0)</f>
        <v>0</v>
      </c>
      <c r="H31" s="41"/>
      <c r="I31" s="32"/>
      <c r="J31" s="15">
        <f>IF(I31&gt;I29,1,0)</f>
        <v>0</v>
      </c>
      <c r="K31" s="15">
        <f>IF(D31+G31=2,3,IF(D31+G31=1,1,0))</f>
        <v>0</v>
      </c>
      <c r="L31" s="15">
        <f>IF(K31=3,3,IF(J31+K31=2,2,IF(K31=1,1,0)))</f>
        <v>0</v>
      </c>
      <c r="M31" s="15">
        <f>C31+F31</f>
        <v>5</v>
      </c>
      <c r="N31" s="15">
        <f>D31+G31+J31</f>
        <v>0</v>
      </c>
      <c r="O31" s="15"/>
      <c r="P31" s="15"/>
      <c r="Q31" s="39" t="str">
        <f>AE21</f>
        <v>Emma Camilleri / Sophia Re</v>
      </c>
      <c r="R31" s="29">
        <v>6.0</v>
      </c>
      <c r="S31" s="40">
        <f>IF(R31&gt;R29,1,0)</f>
        <v>1</v>
      </c>
      <c r="T31" s="41"/>
      <c r="U31" s="29">
        <v>2.0</v>
      </c>
      <c r="V31" s="40">
        <f>IF(U31&gt;U29,1,0)</f>
        <v>0</v>
      </c>
      <c r="W31" s="41"/>
      <c r="X31" s="29">
        <v>8.0</v>
      </c>
      <c r="Y31" s="15">
        <f>IF(X31&gt;X29,1,0)</f>
        <v>0</v>
      </c>
      <c r="Z31" s="15">
        <f>IF(S31+V31=2,3,IF(S31+V31=1,1,0))</f>
        <v>1</v>
      </c>
      <c r="AA31" s="15">
        <f>IF(Z31=3,3,IF(Y31+Z31=2,2,IF(Z31=1,1,0)))</f>
        <v>1</v>
      </c>
      <c r="AB31" s="15">
        <f>R31+U31</f>
        <v>8</v>
      </c>
      <c r="AC31" s="15">
        <f>S31+V31+Y31</f>
        <v>1</v>
      </c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</row>
    <row r="32" ht="13.5" hidden="1" customHeight="1">
      <c r="A32" s="15" t="s">
        <v>85</v>
      </c>
      <c r="B32" s="15"/>
      <c r="C32" s="42">
        <f>IF(C29="",0,1)</f>
        <v>1</v>
      </c>
      <c r="D32" s="15"/>
      <c r="E32" s="15"/>
      <c r="F32" s="42">
        <f>IF(C31="",0,1)</f>
        <v>1</v>
      </c>
      <c r="G32" s="15"/>
      <c r="H32" s="15"/>
      <c r="I32" s="15"/>
      <c r="J32" s="15"/>
      <c r="K32" s="15"/>
      <c r="L32" s="15"/>
      <c r="M32" s="15"/>
      <c r="N32" s="15"/>
      <c r="O32" s="15"/>
      <c r="P32" s="15" t="s">
        <v>85</v>
      </c>
      <c r="Q32" s="15"/>
      <c r="R32" s="42">
        <f>IF(R29="",0,1)</f>
        <v>1</v>
      </c>
      <c r="S32" s="15"/>
      <c r="T32" s="15"/>
      <c r="U32" s="42">
        <f>IF(R31="",0,1)</f>
        <v>1</v>
      </c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</row>
    <row r="33" ht="13.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24"/>
      <c r="AI33" s="15"/>
      <c r="AJ33" s="15"/>
      <c r="AK33" s="15"/>
      <c r="AL33" s="15"/>
      <c r="AM33" s="15"/>
      <c r="AN33" s="15"/>
    </row>
    <row r="34" ht="13.5" customHeight="1">
      <c r="A34" s="15"/>
      <c r="B34" s="28" t="str">
        <f>AE16</f>
        <v>Maria Ellul / Frances Saliba Hersey</v>
      </c>
      <c r="C34" s="29">
        <v>6.0</v>
      </c>
      <c r="D34" s="30">
        <f>IF(C34&gt;C36,1,0)</f>
        <v>1</v>
      </c>
      <c r="E34" s="31"/>
      <c r="F34" s="29">
        <v>6.0</v>
      </c>
      <c r="G34" s="30">
        <f>IF(F34&gt;F36,1,0)</f>
        <v>0</v>
      </c>
      <c r="H34" s="31"/>
      <c r="I34" s="29">
        <v>6.0</v>
      </c>
      <c r="J34" s="15">
        <f>IF(I34&gt;I36,1,0)</f>
        <v>0</v>
      </c>
      <c r="K34" s="15">
        <f>IF(D34+G34=2,3,IF(D34+G34=1,1,0))</f>
        <v>1</v>
      </c>
      <c r="L34" s="15">
        <f>IF(K34=3,3,IF(J34+K34=2,2,IF(K34=1,1,0)))</f>
        <v>1</v>
      </c>
      <c r="M34" s="15">
        <f>C34+F34</f>
        <v>12</v>
      </c>
      <c r="N34" s="15">
        <f>D34+G34+J34</f>
        <v>1</v>
      </c>
      <c r="O34" s="15"/>
      <c r="P34" s="15"/>
      <c r="Q34" s="28" t="str">
        <f>AE14</f>
        <v>Jodie Stivala / Elisa Sacco</v>
      </c>
      <c r="R34" s="29">
        <v>6.0</v>
      </c>
      <c r="S34" s="30">
        <f>IF(R34&gt;R36,1,0)</f>
        <v>1</v>
      </c>
      <c r="T34" s="31"/>
      <c r="U34" s="29">
        <v>6.0</v>
      </c>
      <c r="V34" s="30">
        <f>IF(U34&gt;U36,1,0)</f>
        <v>1</v>
      </c>
      <c r="W34" s="31"/>
      <c r="X34" s="32"/>
      <c r="Y34" s="15">
        <f>IF(X34&gt;X36,1,0)</f>
        <v>0</v>
      </c>
      <c r="Z34" s="15">
        <f>IF(S34+V34=2,3,IF(S34+V34=1,1,0))</f>
        <v>3</v>
      </c>
      <c r="AA34" s="15">
        <f>IF(Z34=3,3,IF(Y34+Z34=2,2,IF(Z34=1,1,0)))</f>
        <v>3</v>
      </c>
      <c r="AB34" s="15">
        <f>R34+U34</f>
        <v>12</v>
      </c>
      <c r="AC34" s="15">
        <f>S34+V34+Y34</f>
        <v>2</v>
      </c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</row>
    <row r="35" ht="13.5" customHeight="1">
      <c r="A35" s="15"/>
      <c r="B35" s="36" t="s">
        <v>84</v>
      </c>
      <c r="I35" s="37"/>
      <c r="J35" s="38"/>
      <c r="K35" s="15"/>
      <c r="L35" s="15"/>
      <c r="M35" s="15"/>
      <c r="N35" s="15"/>
      <c r="O35" s="15"/>
      <c r="P35" s="15"/>
      <c r="Q35" s="36" t="s">
        <v>84</v>
      </c>
      <c r="X35" s="37"/>
      <c r="Y35" s="38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47"/>
      <c r="AM35" s="15"/>
      <c r="AN35" s="15"/>
    </row>
    <row r="36" ht="13.5" customHeight="1">
      <c r="A36" s="15"/>
      <c r="B36" s="39" t="str">
        <f>AE21</f>
        <v>Emma Camilleri / Sophia Re</v>
      </c>
      <c r="C36" s="29">
        <v>3.0</v>
      </c>
      <c r="D36" s="40">
        <f>IF(C36&gt;C34,1,0)</f>
        <v>0</v>
      </c>
      <c r="E36" s="41"/>
      <c r="F36" s="29">
        <v>7.0</v>
      </c>
      <c r="G36" s="40">
        <f>IF(F36&gt;F34,1,0)</f>
        <v>1</v>
      </c>
      <c r="H36" s="41"/>
      <c r="I36" s="29">
        <v>10.0</v>
      </c>
      <c r="J36" s="15">
        <f>IF(I36&gt;I34,1,0)</f>
        <v>1</v>
      </c>
      <c r="K36" s="15">
        <f>IF(D36+G36=2,3,IF(D36+G36=1,1,0))</f>
        <v>1</v>
      </c>
      <c r="L36" s="15">
        <f>IF(K36=3,3,IF(J36+K36=2,2,IF(K36=1,1,0)))</f>
        <v>2</v>
      </c>
      <c r="M36" s="15">
        <f>C36+F36</f>
        <v>10</v>
      </c>
      <c r="N36" s="15">
        <f>D36+G36+J36</f>
        <v>2</v>
      </c>
      <c r="O36" s="15"/>
      <c r="P36" s="15"/>
      <c r="Q36" s="39" t="str">
        <f>AE16</f>
        <v>Maria Ellul / Frances Saliba Hersey</v>
      </c>
      <c r="R36" s="29">
        <v>3.0</v>
      </c>
      <c r="S36" s="40">
        <f>IF(R36&gt;R34,1,0)</f>
        <v>0</v>
      </c>
      <c r="T36" s="41"/>
      <c r="U36" s="29">
        <v>4.0</v>
      </c>
      <c r="V36" s="40">
        <f>IF(U36&gt;U34,1,0)</f>
        <v>0</v>
      </c>
      <c r="W36" s="41"/>
      <c r="X36" s="32"/>
      <c r="Y36" s="15">
        <f>IF(X36&gt;X34,1,0)</f>
        <v>0</v>
      </c>
      <c r="Z36" s="15">
        <f>IF(S36+V36=2,3,IF(S36+V36=1,1,0))</f>
        <v>0</v>
      </c>
      <c r="AA36" s="15">
        <f>IF(Z36=3,3,IF(Y36+Z36=2,2,IF(Z36=1,1,0)))</f>
        <v>0</v>
      </c>
      <c r="AB36" s="15">
        <f>R36+U36</f>
        <v>7</v>
      </c>
      <c r="AC36" s="15">
        <f>S36+V36+Y36</f>
        <v>0</v>
      </c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24"/>
    </row>
    <row r="37" ht="14.25" hidden="1" customHeight="1">
      <c r="A37" s="15" t="s">
        <v>85</v>
      </c>
      <c r="B37" s="15"/>
      <c r="C37" s="42">
        <f>IF(C34="",0,1)</f>
        <v>1</v>
      </c>
      <c r="D37" s="15"/>
      <c r="E37" s="15"/>
      <c r="F37" s="42">
        <f>IF(C36="",0,1)</f>
        <v>1</v>
      </c>
      <c r="G37" s="15"/>
      <c r="H37" s="15"/>
      <c r="I37" s="15"/>
      <c r="J37" s="15"/>
      <c r="K37" s="15"/>
      <c r="L37" s="15"/>
      <c r="M37" s="15"/>
      <c r="N37" s="15"/>
      <c r="O37" s="15"/>
      <c r="P37" s="15" t="s">
        <v>85</v>
      </c>
      <c r="Q37" s="15"/>
      <c r="R37" s="42">
        <f>IF(R34="",0,1)</f>
        <v>1</v>
      </c>
      <c r="S37" s="15"/>
      <c r="T37" s="15"/>
      <c r="U37" s="42">
        <f>IF(R36="",0,1)</f>
        <v>1</v>
      </c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</row>
    <row r="38" ht="13.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47"/>
      <c r="AM38" s="15"/>
      <c r="AN38" s="15"/>
    </row>
    <row r="39" ht="13.5" customHeight="1">
      <c r="A39" s="15"/>
      <c r="B39" s="28" t="str">
        <f>AE19</f>
        <v>Janice Galea / Nicole Lia</v>
      </c>
      <c r="C39" s="29">
        <v>0.0</v>
      </c>
      <c r="D39" s="30">
        <f>IF(C39&gt;C41,1,0)</f>
        <v>0</v>
      </c>
      <c r="E39" s="31"/>
      <c r="F39" s="29">
        <v>4.0</v>
      </c>
      <c r="G39" s="30">
        <f>IF(F39&gt;F41,1,0)</f>
        <v>0</v>
      </c>
      <c r="H39" s="31"/>
      <c r="I39" s="32"/>
      <c r="J39" s="15">
        <f>IF(I39&gt;I41,1,0)</f>
        <v>0</v>
      </c>
      <c r="K39" s="15">
        <f>IF(D39+G39=2,3,IF(D39+G39=1,1,0))</f>
        <v>0</v>
      </c>
      <c r="L39" s="15">
        <f>IF(K39=3,3,IF(J39+K39=2,2,IF(K39=1,1,0)))</f>
        <v>0</v>
      </c>
      <c r="M39" s="15">
        <f>C39+F39</f>
        <v>4</v>
      </c>
      <c r="N39" s="15">
        <f>D39+G39+J39</f>
        <v>0</v>
      </c>
      <c r="O39" s="15"/>
      <c r="P39" s="15"/>
      <c r="Q39" s="28" t="str">
        <f>AE14</f>
        <v>Jodie Stivala / Elisa Sacco</v>
      </c>
      <c r="R39" s="29">
        <v>4.0</v>
      </c>
      <c r="S39" s="30">
        <f>IF(R39&gt;R41,1,0)</f>
        <v>0</v>
      </c>
      <c r="T39" s="31"/>
      <c r="U39" s="29">
        <v>6.0</v>
      </c>
      <c r="V39" s="30">
        <f>IF(U39&gt;U41,1,0)</f>
        <v>1</v>
      </c>
      <c r="W39" s="31"/>
      <c r="X39" s="29">
        <v>10.0</v>
      </c>
      <c r="Y39" s="15">
        <f>IF(X39&gt;X41,1,0)</f>
        <v>1</v>
      </c>
      <c r="Z39" s="15">
        <f>IF(S39+V39=2,3,IF(S39+V39=1,1,0))</f>
        <v>1</v>
      </c>
      <c r="AA39" s="15">
        <f>IF(Z39=3,3,IF(Y39+Z39=2,2,IF(Z39=1,1,0)))</f>
        <v>2</v>
      </c>
      <c r="AB39" s="15">
        <f>R39+U39</f>
        <v>10</v>
      </c>
      <c r="AC39" s="15">
        <f>S39+V39+Y39</f>
        <v>2</v>
      </c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</row>
    <row r="40" ht="15.0" customHeight="1">
      <c r="A40" s="15"/>
      <c r="B40" s="36" t="s">
        <v>84</v>
      </c>
      <c r="I40" s="37"/>
      <c r="J40" s="38"/>
      <c r="K40" s="15"/>
      <c r="L40" s="15"/>
      <c r="M40" s="15"/>
      <c r="N40" s="15"/>
      <c r="O40" s="15"/>
      <c r="P40" s="15"/>
      <c r="Q40" s="36" t="s">
        <v>84</v>
      </c>
      <c r="X40" s="37"/>
      <c r="Y40" s="38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</row>
    <row r="41" ht="13.5" customHeight="1">
      <c r="A41" s="15"/>
      <c r="B41" s="39" t="str">
        <f>AE21</f>
        <v>Emma Camilleri / Sophia Re</v>
      </c>
      <c r="C41" s="29">
        <v>6.0</v>
      </c>
      <c r="D41" s="40">
        <f>IF(C41&gt;C39,1,0)</f>
        <v>1</v>
      </c>
      <c r="E41" s="41"/>
      <c r="F41" s="29">
        <v>6.0</v>
      </c>
      <c r="G41" s="40">
        <f>IF(F41&gt;F39,1,0)</f>
        <v>1</v>
      </c>
      <c r="H41" s="41"/>
      <c r="I41" s="32"/>
      <c r="J41" s="15">
        <f>IF(I41&gt;I39,1,0)</f>
        <v>0</v>
      </c>
      <c r="K41" s="15">
        <f>IF(D41+G41=2,3,IF(D41+G41=1,1,0))</f>
        <v>3</v>
      </c>
      <c r="L41" s="15">
        <f>IF(K41=3,3,IF(J41+K41=2,2,IF(K41=1,1,0)))</f>
        <v>3</v>
      </c>
      <c r="M41" s="15">
        <f>C41+F41</f>
        <v>12</v>
      </c>
      <c r="N41" s="15">
        <f>D41+G41+J41</f>
        <v>2</v>
      </c>
      <c r="O41" s="15"/>
      <c r="P41" s="15"/>
      <c r="Q41" s="39" t="str">
        <f>AE21</f>
        <v>Emma Camilleri / Sophia Re</v>
      </c>
      <c r="R41" s="29">
        <v>6.0</v>
      </c>
      <c r="S41" s="40">
        <f>IF(R41&gt;R39,1,0)</f>
        <v>1</v>
      </c>
      <c r="T41" s="41"/>
      <c r="U41" s="29">
        <v>4.0</v>
      </c>
      <c r="V41" s="40">
        <f>IF(U41&gt;U39,1,0)</f>
        <v>0</v>
      </c>
      <c r="W41" s="41"/>
      <c r="X41" s="29">
        <v>5.0</v>
      </c>
      <c r="Y41" s="15">
        <f>IF(X41&gt;X39,1,0)</f>
        <v>0</v>
      </c>
      <c r="Z41" s="15">
        <f>IF(S41+V41=2,3,IF(S41+V41=1,1,0))</f>
        <v>1</v>
      </c>
      <c r="AA41" s="15">
        <f>IF(Z41=3,3,IF(Y41+Z41=2,2,IF(Z41=1,1,0)))</f>
        <v>1</v>
      </c>
      <c r="AB41" s="15">
        <f>R41+U41</f>
        <v>10</v>
      </c>
      <c r="AC41" s="15">
        <f>S41+V41+Y41</f>
        <v>1</v>
      </c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</row>
    <row r="42" ht="13.5" hidden="1" customHeight="1">
      <c r="A42" s="15" t="s">
        <v>85</v>
      </c>
      <c r="B42" s="15"/>
      <c r="C42" s="42">
        <f>IF(C39="",0,1)</f>
        <v>1</v>
      </c>
      <c r="D42" s="15"/>
      <c r="E42" s="15"/>
      <c r="F42" s="42">
        <f>IF(C41="",0,1)</f>
        <v>1</v>
      </c>
      <c r="G42" s="15"/>
      <c r="H42" s="15"/>
      <c r="I42" s="15"/>
      <c r="J42" s="15"/>
      <c r="K42" s="15"/>
      <c r="L42" s="15"/>
      <c r="M42" s="15"/>
      <c r="N42" s="15"/>
      <c r="O42" s="15"/>
      <c r="P42" s="15" t="s">
        <v>85</v>
      </c>
      <c r="Q42" s="15"/>
      <c r="R42" s="42">
        <f>IF(R39="",0,1)</f>
        <v>1</v>
      </c>
      <c r="S42" s="15"/>
      <c r="T42" s="15"/>
      <c r="U42" s="42">
        <f>IF(R41="",0,1)</f>
        <v>1</v>
      </c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</row>
    <row r="43" ht="13.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24"/>
      <c r="AI43" s="15"/>
      <c r="AJ43" s="15"/>
      <c r="AK43" s="24"/>
      <c r="AL43" s="15"/>
      <c r="AM43" s="15"/>
      <c r="AN43" s="15"/>
    </row>
    <row r="44" ht="13.5" customHeight="1">
      <c r="A44" s="15"/>
      <c r="B44" s="28" t="str">
        <f>AE16</f>
        <v>Maria Ellul / Frances Saliba Hersey</v>
      </c>
      <c r="C44" s="29">
        <v>2.0</v>
      </c>
      <c r="D44" s="30">
        <f>IF(C44&gt;C46,1,0)</f>
        <v>0</v>
      </c>
      <c r="E44" s="31"/>
      <c r="F44" s="29">
        <v>6.0</v>
      </c>
      <c r="G44" s="30">
        <f>IF(F44&gt;F46,1,0)</f>
        <v>1</v>
      </c>
      <c r="H44" s="31"/>
      <c r="I44" s="29">
        <v>10.0</v>
      </c>
      <c r="J44" s="15">
        <f>IF(I44&gt;I46,1,0)</f>
        <v>1</v>
      </c>
      <c r="K44" s="15">
        <f>IF(D44+G44=2,3,IF(D44+G44=1,1,0))</f>
        <v>1</v>
      </c>
      <c r="L44" s="15">
        <f>IF(K44=3,3,IF(J44+K44=2,2,IF(K44=1,1,0)))</f>
        <v>2</v>
      </c>
      <c r="M44" s="15">
        <f>C44+F44</f>
        <v>8</v>
      </c>
      <c r="N44" s="15">
        <f>D44+G44+J44</f>
        <v>2</v>
      </c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24"/>
      <c r="AL44" s="15"/>
      <c r="AM44" s="15"/>
      <c r="AN44" s="15"/>
    </row>
    <row r="45" ht="13.5" customHeight="1">
      <c r="A45" s="15"/>
      <c r="B45" s="36"/>
      <c r="I45" s="37"/>
      <c r="J45" s="38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48"/>
      <c r="AK45" s="15"/>
      <c r="AL45" s="15"/>
      <c r="AM45" s="15"/>
      <c r="AN45" s="15"/>
    </row>
    <row r="46" ht="13.5" customHeight="1">
      <c r="A46" s="15"/>
      <c r="B46" s="39" t="str">
        <f>AE19</f>
        <v>Janice Galea / Nicole Lia</v>
      </c>
      <c r="C46" s="29">
        <v>6.0</v>
      </c>
      <c r="D46" s="40">
        <f>IF(C46&gt;C44,1,0)</f>
        <v>1</v>
      </c>
      <c r="E46" s="41"/>
      <c r="F46" s="29">
        <v>3.0</v>
      </c>
      <c r="G46" s="40">
        <f>IF(F46&gt;F44,1,0)</f>
        <v>0</v>
      </c>
      <c r="H46" s="41"/>
      <c r="I46" s="29">
        <v>6.0</v>
      </c>
      <c r="J46" s="15">
        <f>IF(I46&gt;I44,1,0)</f>
        <v>0</v>
      </c>
      <c r="K46" s="15">
        <f>IF(D46+G46=2,3,IF(D46+G46=1,1,0))</f>
        <v>1</v>
      </c>
      <c r="L46" s="15">
        <f>IF(K46=3,3,IF(J46+K46=2,2,IF(K46=1,1,0)))</f>
        <v>1</v>
      </c>
      <c r="M46" s="15">
        <f>C46+F46</f>
        <v>9</v>
      </c>
      <c r="N46" s="15">
        <f>D46+G46+J46</f>
        <v>1</v>
      </c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</row>
    <row r="47" ht="13.5" hidden="1" customHeight="1">
      <c r="A47" s="15" t="s">
        <v>85</v>
      </c>
      <c r="B47" s="15"/>
      <c r="C47" s="42">
        <f>IF(C44="",0,1)</f>
        <v>1</v>
      </c>
      <c r="D47" s="15"/>
      <c r="E47" s="15"/>
      <c r="F47" s="42">
        <f>IF(C46="",0,1)</f>
        <v>1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</row>
    <row r="48" ht="15.0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</row>
    <row r="49" ht="13.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48"/>
      <c r="AK49" s="15"/>
      <c r="AL49" s="15"/>
      <c r="AM49" s="15"/>
      <c r="AN49" s="15"/>
    </row>
    <row r="50" ht="15.0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</row>
    <row r="51" ht="13.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</row>
    <row r="52" ht="13.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</row>
    <row r="53" ht="13.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</row>
    <row r="54" ht="13.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48"/>
      <c r="AK54" s="15"/>
      <c r="AL54" s="24"/>
      <c r="AM54" s="15"/>
      <c r="AN54" s="15"/>
    </row>
    <row r="55" ht="15.0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</row>
    <row r="56" ht="13.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</row>
    <row r="57" ht="13.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</row>
    <row r="58" ht="15.0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</row>
    <row r="59" ht="13.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48"/>
      <c r="AK59" s="15"/>
      <c r="AL59" s="15"/>
      <c r="AM59" s="15"/>
      <c r="AN59" s="24"/>
    </row>
    <row r="60" ht="15.0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</row>
    <row r="61" ht="13.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</row>
    <row r="62" ht="13.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</row>
    <row r="63" ht="13.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24"/>
      <c r="AI63" s="15"/>
      <c r="AJ63" s="15"/>
      <c r="AK63" s="24"/>
      <c r="AL63" s="15"/>
      <c r="AM63" s="15"/>
      <c r="AN63" s="15"/>
    </row>
    <row r="64" ht="13.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</row>
    <row r="65" ht="13.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</row>
    <row r="66" ht="13.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</row>
    <row r="67" ht="13.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</row>
    <row r="68" ht="13.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</row>
    <row r="69" ht="13.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</row>
    <row r="70" ht="13.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</row>
    <row r="71" ht="13.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</row>
    <row r="72" ht="13.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</row>
    <row r="73" ht="13.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</row>
    <row r="74" ht="13.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</row>
    <row r="75" ht="13.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</row>
    <row r="76" ht="13.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</row>
    <row r="77" ht="13.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</row>
    <row r="78" ht="13.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</row>
    <row r="79" ht="13.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</row>
    <row r="80" ht="13.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</row>
    <row r="81" ht="13.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</row>
    <row r="82" ht="13.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</row>
    <row r="83" ht="13.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</row>
    <row r="84" ht="13.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</row>
    <row r="85" ht="13.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</row>
    <row r="86" ht="13.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</row>
    <row r="87" ht="13.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</row>
    <row r="88" ht="13.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</row>
    <row r="89" ht="13.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</row>
    <row r="90" ht="13.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</row>
    <row r="91" ht="13.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</row>
    <row r="92" ht="13.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</row>
    <row r="93" ht="13.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</row>
    <row r="94" ht="13.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</row>
    <row r="95" ht="13.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</row>
    <row r="96" ht="13.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</row>
    <row r="97" ht="13.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</row>
    <row r="98" ht="13.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</row>
    <row r="99" ht="13.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</row>
    <row r="100" ht="13.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</row>
    <row r="101" ht="13.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</row>
    <row r="102" ht="13.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</row>
    <row r="103" ht="13.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</row>
    <row r="104" ht="13.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</row>
    <row r="105" ht="13.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</row>
    <row r="106" ht="13.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</row>
    <row r="107" ht="13.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</row>
    <row r="108" ht="13.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</row>
    <row r="109" ht="13.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</row>
    <row r="110" ht="13.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</row>
    <row r="111" ht="13.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</row>
    <row r="112" ht="13.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</row>
    <row r="113" ht="13.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24"/>
      <c r="S113" s="24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</row>
    <row r="114" ht="13.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</row>
    <row r="115" ht="13.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</row>
    <row r="116" ht="13.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</row>
    <row r="117" ht="13.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</row>
    <row r="118" ht="13.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</row>
    <row r="119" ht="13.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</row>
    <row r="120" ht="13.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</row>
    <row r="121" ht="13.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</row>
    <row r="122" ht="13.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</row>
    <row r="123" ht="13.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</row>
    <row r="124" ht="13.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</row>
    <row r="125" ht="13.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</row>
    <row r="126" ht="13.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</row>
    <row r="127" ht="13.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</row>
    <row r="128" ht="13.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</row>
    <row r="129" ht="13.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</row>
    <row r="130" ht="13.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</row>
    <row r="131" ht="13.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</row>
    <row r="132" ht="13.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</row>
    <row r="133" ht="13.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</row>
    <row r="134" ht="13.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</row>
    <row r="135" ht="13.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</row>
    <row r="136" ht="13.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</row>
    <row r="137" ht="13.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</row>
    <row r="138" ht="13.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</row>
    <row r="139" ht="13.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</row>
    <row r="140" ht="13.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</row>
    <row r="141" ht="13.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</row>
    <row r="142" ht="13.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</row>
    <row r="143" ht="13.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</row>
    <row r="144" ht="13.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</row>
    <row r="145" ht="13.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</row>
    <row r="146" ht="13.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</row>
    <row r="147" ht="13.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</row>
    <row r="148" ht="13.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</row>
    <row r="149" ht="13.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</row>
    <row r="150" ht="13.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</row>
    <row r="151" ht="13.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</row>
    <row r="152" ht="13.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</row>
    <row r="153" ht="13.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</row>
    <row r="154" ht="13.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</row>
    <row r="155" ht="13.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</row>
    <row r="156" ht="13.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</row>
    <row r="157" ht="13.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</row>
    <row r="158" ht="13.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</row>
    <row r="159" ht="13.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</row>
    <row r="160" ht="13.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</row>
    <row r="161" ht="13.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</row>
    <row r="162" ht="13.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</row>
    <row r="163" ht="13.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</row>
    <row r="164" ht="13.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</row>
    <row r="165" ht="13.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</row>
    <row r="166" ht="13.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</row>
    <row r="167" ht="13.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</row>
    <row r="168" ht="13.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</row>
    <row r="169" ht="13.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</row>
    <row r="170" ht="13.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</row>
    <row r="171" ht="13.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</row>
    <row r="172" ht="13.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</row>
    <row r="173" ht="13.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</row>
    <row r="174" ht="13.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</row>
    <row r="175" ht="13.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</row>
    <row r="176" ht="13.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</row>
    <row r="177" ht="13.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</row>
    <row r="178" ht="13.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</row>
    <row r="179" ht="13.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</row>
    <row r="180" ht="13.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</row>
    <row r="181" ht="13.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</row>
    <row r="182" ht="13.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</row>
    <row r="183" ht="13.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</row>
    <row r="184" ht="13.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</row>
    <row r="185" ht="13.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</row>
    <row r="186" ht="13.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</row>
    <row r="187" ht="13.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</row>
    <row r="188" ht="13.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</row>
    <row r="189" ht="13.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</row>
    <row r="190" ht="13.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</row>
    <row r="191" ht="13.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</row>
    <row r="192" ht="13.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</row>
    <row r="193" ht="13.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</row>
    <row r="194" ht="13.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</row>
    <row r="195" ht="13.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</row>
    <row r="196" ht="13.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</row>
    <row r="197" ht="13.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</row>
    <row r="198" ht="13.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</row>
    <row r="199" ht="13.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</row>
    <row r="200" ht="13.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</row>
    <row r="201" ht="13.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</row>
    <row r="202" ht="13.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</row>
    <row r="203" ht="13.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</row>
    <row r="204" ht="13.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</row>
    <row r="205" ht="13.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</row>
    <row r="206" ht="13.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</row>
    <row r="207" ht="13.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</row>
    <row r="208" ht="13.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</row>
    <row r="209" ht="13.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</row>
    <row r="210" ht="13.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</row>
    <row r="211" ht="13.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</row>
    <row r="212" ht="13.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</row>
    <row r="213" ht="13.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</row>
    <row r="214" ht="13.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</row>
    <row r="215" ht="13.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</row>
    <row r="216" ht="13.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</row>
    <row r="217" ht="13.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</row>
    <row r="218" ht="13.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</row>
    <row r="219" ht="13.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</row>
    <row r="220" ht="13.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</row>
    <row r="221" ht="13.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</row>
    <row r="222" ht="13.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</row>
    <row r="223" ht="13.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</row>
    <row r="224" ht="13.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</row>
    <row r="225" ht="13.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</row>
    <row r="226" ht="13.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</row>
    <row r="227" ht="13.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</row>
    <row r="228" ht="13.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</row>
    <row r="229" ht="13.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</row>
    <row r="230" ht="13.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</row>
    <row r="231" ht="13.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</row>
    <row r="232" ht="13.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</row>
    <row r="233" ht="13.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</row>
    <row r="234" ht="13.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</row>
    <row r="235" ht="13.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</row>
    <row r="236" ht="13.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</row>
    <row r="237" ht="13.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</row>
    <row r="238" ht="13.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</row>
    <row r="239" ht="13.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</row>
    <row r="240" ht="13.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</row>
    <row r="241" ht="13.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</row>
    <row r="242" ht="13.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</row>
    <row r="243" ht="13.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</row>
    <row r="244" ht="13.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</row>
    <row r="245" ht="13.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</row>
    <row r="246" ht="13.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</row>
    <row r="247" ht="13.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</row>
    <row r="248" ht="13.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</row>
    <row r="249" ht="13.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</row>
    <row r="250" ht="13.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</row>
    <row r="251" ht="13.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</row>
    <row r="252" ht="13.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</row>
    <row r="253" ht="13.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</row>
    <row r="254" ht="13.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</row>
    <row r="255" ht="13.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</row>
    <row r="256" ht="13.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</row>
    <row r="257" ht="13.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</row>
    <row r="258" ht="13.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</row>
    <row r="259" ht="13.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</row>
    <row r="260" ht="13.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</row>
    <row r="261" ht="13.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</row>
    <row r="262" ht="13.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</row>
    <row r="263" ht="13.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</row>
    <row r="264" ht="13.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</row>
    <row r="265" ht="13.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</row>
    <row r="266" ht="13.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</row>
    <row r="267" ht="13.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</row>
    <row r="268" ht="13.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</row>
    <row r="269" ht="13.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</row>
    <row r="270" ht="13.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</row>
    <row r="271" ht="13.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</row>
    <row r="272" ht="13.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</row>
    <row r="273" ht="13.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</row>
    <row r="274" ht="13.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</row>
    <row r="275" ht="13.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</row>
    <row r="276" ht="13.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</row>
    <row r="277" ht="13.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</row>
    <row r="278" ht="13.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</row>
    <row r="279" ht="13.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</row>
    <row r="280" ht="13.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</row>
    <row r="281" ht="13.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</row>
    <row r="282" ht="13.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</row>
    <row r="283" ht="13.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</row>
    <row r="284" ht="13.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</row>
    <row r="285" ht="13.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</row>
    <row r="286" ht="13.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</row>
    <row r="287" ht="13.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</row>
    <row r="288" ht="13.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</row>
    <row r="289" ht="13.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</row>
    <row r="290" ht="13.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</row>
    <row r="291" ht="13.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</row>
    <row r="292" ht="13.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</row>
    <row r="293" ht="13.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</row>
    <row r="294" ht="13.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</row>
    <row r="295" ht="13.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</row>
    <row r="296" ht="13.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</row>
    <row r="297" ht="13.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</row>
    <row r="298" ht="13.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</row>
    <row r="299" ht="13.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</row>
    <row r="300" ht="13.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</row>
    <row r="301" ht="13.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</row>
    <row r="302" ht="13.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</row>
    <row r="303" ht="13.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</row>
    <row r="304" ht="13.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</row>
    <row r="305" ht="13.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</row>
    <row r="306" ht="13.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</row>
    <row r="307" ht="13.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</row>
    <row r="308" ht="13.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</row>
    <row r="309" ht="13.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</row>
    <row r="310" ht="13.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</row>
    <row r="311" ht="13.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</row>
    <row r="312" ht="13.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</row>
    <row r="313" ht="13.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</row>
    <row r="314" ht="13.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</row>
    <row r="315" ht="13.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</row>
    <row r="316" ht="13.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</row>
    <row r="317" ht="13.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</row>
    <row r="318" ht="13.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</row>
    <row r="319" ht="13.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</row>
    <row r="320" ht="13.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</row>
    <row r="321" ht="13.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</row>
    <row r="322" ht="13.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</row>
    <row r="323" ht="13.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</row>
    <row r="324" ht="13.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</row>
    <row r="325" ht="13.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</row>
    <row r="326" ht="13.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</row>
    <row r="327" ht="13.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</row>
    <row r="328" ht="13.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</row>
    <row r="329" ht="13.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</row>
    <row r="330" ht="13.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</row>
    <row r="331" ht="13.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</row>
    <row r="332" ht="13.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</row>
    <row r="333" ht="13.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</row>
    <row r="334" ht="13.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</row>
    <row r="335" ht="13.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</row>
    <row r="336" ht="13.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</row>
    <row r="337" ht="13.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</row>
    <row r="338" ht="13.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</row>
    <row r="339" ht="13.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</row>
    <row r="340" ht="13.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</row>
    <row r="341" ht="13.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</row>
    <row r="342" ht="13.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</row>
    <row r="343" ht="13.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</row>
    <row r="344" ht="13.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</row>
    <row r="345" ht="13.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</row>
    <row r="346" ht="13.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</row>
    <row r="347" ht="13.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</row>
    <row r="348" ht="13.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</row>
    <row r="349" ht="13.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</row>
    <row r="350" ht="13.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</row>
    <row r="351" ht="13.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</row>
    <row r="352" ht="13.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</row>
    <row r="353" ht="13.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</row>
    <row r="354" ht="13.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</row>
    <row r="355" ht="13.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</row>
    <row r="356" ht="13.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</row>
    <row r="357" ht="13.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</row>
    <row r="358" ht="13.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</row>
    <row r="359" ht="13.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</row>
    <row r="360" ht="13.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</row>
    <row r="361" ht="13.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</row>
    <row r="362" ht="13.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</row>
    <row r="363" ht="13.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</row>
    <row r="364" ht="13.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</row>
    <row r="365" ht="13.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</row>
    <row r="366" ht="13.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</row>
    <row r="367" ht="13.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</row>
    <row r="368" ht="13.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</row>
    <row r="369" ht="13.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</row>
    <row r="370" ht="13.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</row>
    <row r="371" ht="13.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</row>
    <row r="372" ht="13.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</row>
    <row r="373" ht="13.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</row>
    <row r="374" ht="13.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</row>
    <row r="375" ht="13.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</row>
    <row r="376" ht="13.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</row>
    <row r="377" ht="13.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</row>
    <row r="378" ht="13.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</row>
    <row r="379" ht="13.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</row>
    <row r="380" ht="13.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</row>
    <row r="381" ht="13.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</row>
    <row r="382" ht="13.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</row>
    <row r="383" ht="13.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</row>
    <row r="384" ht="13.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</row>
    <row r="385" ht="13.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</row>
    <row r="386" ht="13.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</row>
    <row r="387" ht="13.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</row>
    <row r="388" ht="13.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</row>
    <row r="389" ht="13.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</row>
    <row r="390" ht="13.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</row>
    <row r="391" ht="13.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</row>
    <row r="392" ht="13.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</row>
    <row r="393" ht="13.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</row>
    <row r="394" ht="13.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</row>
    <row r="395" ht="13.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</row>
    <row r="396" ht="13.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</row>
    <row r="397" ht="13.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</row>
    <row r="398" ht="13.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</row>
    <row r="399" ht="13.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</row>
    <row r="400" ht="13.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</row>
    <row r="401" ht="13.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</row>
    <row r="402" ht="13.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</row>
    <row r="403" ht="13.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</row>
    <row r="404" ht="13.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</row>
    <row r="405" ht="13.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</row>
    <row r="406" ht="13.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</row>
    <row r="407" ht="13.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</row>
    <row r="408" ht="13.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</row>
    <row r="409" ht="13.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</row>
    <row r="410" ht="13.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</row>
    <row r="411" ht="13.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</row>
    <row r="412" ht="13.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</row>
    <row r="413" ht="13.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</row>
    <row r="414" ht="13.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</row>
    <row r="415" ht="13.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</row>
    <row r="416" ht="13.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</row>
    <row r="417" ht="13.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</row>
    <row r="418" ht="13.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</row>
    <row r="419" ht="13.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</row>
    <row r="420" ht="13.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</row>
    <row r="421" ht="13.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</row>
    <row r="422" ht="13.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</row>
    <row r="423" ht="13.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</row>
    <row r="424" ht="13.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</row>
    <row r="425" ht="13.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</row>
    <row r="426" ht="13.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</row>
    <row r="427" ht="13.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</row>
    <row r="428" ht="13.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</row>
    <row r="429" ht="13.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</row>
    <row r="430" ht="13.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</row>
    <row r="431" ht="13.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</row>
    <row r="432" ht="13.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</row>
    <row r="433" ht="13.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</row>
    <row r="434" ht="13.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</row>
    <row r="435" ht="13.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</row>
    <row r="436" ht="13.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</row>
    <row r="437" ht="13.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</row>
    <row r="438" ht="13.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</row>
    <row r="439" ht="13.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</row>
    <row r="440" ht="13.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</row>
    <row r="441" ht="13.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</row>
    <row r="442" ht="13.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</row>
    <row r="443" ht="13.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</row>
    <row r="444" ht="13.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</row>
    <row r="445" ht="13.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</row>
    <row r="446" ht="13.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</row>
    <row r="447" ht="13.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</row>
    <row r="448" ht="13.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</row>
    <row r="449" ht="13.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</row>
    <row r="450" ht="13.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</row>
    <row r="451" ht="13.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</row>
    <row r="452" ht="13.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</row>
    <row r="453" ht="13.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</row>
    <row r="454" ht="13.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</row>
    <row r="455" ht="13.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</row>
    <row r="456" ht="13.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</row>
    <row r="457" ht="13.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</row>
    <row r="458" ht="13.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</row>
    <row r="459" ht="13.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</row>
    <row r="460" ht="13.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</row>
    <row r="461" ht="13.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</row>
    <row r="462" ht="13.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</row>
    <row r="463" ht="13.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</row>
    <row r="464" ht="13.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</row>
    <row r="465" ht="13.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</row>
    <row r="466" ht="13.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</row>
    <row r="467" ht="13.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</row>
    <row r="468" ht="13.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</row>
    <row r="469" ht="13.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</row>
    <row r="470" ht="13.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</row>
    <row r="471" ht="13.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</row>
    <row r="472" ht="13.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</row>
    <row r="473" ht="13.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</row>
    <row r="474" ht="13.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</row>
    <row r="475" ht="13.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</row>
    <row r="476" ht="13.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</row>
    <row r="477" ht="13.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</row>
    <row r="478" ht="13.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</row>
    <row r="479" ht="13.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</row>
    <row r="480" ht="13.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</row>
    <row r="481" ht="13.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</row>
    <row r="482" ht="13.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</row>
    <row r="483" ht="13.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</row>
    <row r="484" ht="13.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</row>
    <row r="485" ht="13.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</row>
    <row r="486" ht="13.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</row>
    <row r="487" ht="13.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</row>
    <row r="488" ht="13.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</row>
    <row r="489" ht="13.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</row>
    <row r="490" ht="13.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</row>
    <row r="491" ht="13.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</row>
    <row r="492" ht="13.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</row>
    <row r="493" ht="13.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</row>
    <row r="494" ht="13.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</row>
    <row r="495" ht="13.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</row>
    <row r="496" ht="13.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</row>
    <row r="497" ht="13.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</row>
    <row r="498" ht="13.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</row>
    <row r="499" ht="13.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</row>
    <row r="500" ht="13.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</row>
    <row r="501" ht="13.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</row>
    <row r="502" ht="13.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</row>
    <row r="503" ht="13.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</row>
    <row r="504" ht="13.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</row>
    <row r="505" ht="13.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</row>
    <row r="506" ht="13.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</row>
    <row r="507" ht="13.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</row>
    <row r="508" ht="13.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</row>
    <row r="509" ht="13.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</row>
    <row r="510" ht="13.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</row>
    <row r="511" ht="13.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</row>
    <row r="512" ht="13.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</row>
    <row r="513" ht="13.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</row>
    <row r="514" ht="13.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</row>
    <row r="515" ht="13.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</row>
    <row r="516" ht="13.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</row>
    <row r="517" ht="13.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</row>
    <row r="518" ht="13.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</row>
    <row r="519" ht="13.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</row>
    <row r="520" ht="13.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</row>
    <row r="521" ht="13.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</row>
    <row r="522" ht="13.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</row>
    <row r="523" ht="13.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</row>
    <row r="524" ht="13.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</row>
    <row r="525" ht="13.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</row>
    <row r="526" ht="13.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</row>
    <row r="527" ht="13.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</row>
    <row r="528" ht="13.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</row>
    <row r="529" ht="13.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</row>
    <row r="530" ht="13.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</row>
    <row r="531" ht="13.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</row>
    <row r="532" ht="13.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</row>
    <row r="533" ht="13.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</row>
    <row r="534" ht="13.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</row>
    <row r="535" ht="13.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</row>
    <row r="536" ht="13.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</row>
    <row r="537" ht="13.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</row>
    <row r="538" ht="13.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</row>
    <row r="539" ht="13.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</row>
    <row r="540" ht="13.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</row>
    <row r="541" ht="13.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</row>
    <row r="542" ht="13.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</row>
    <row r="543" ht="13.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</row>
    <row r="544" ht="13.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</row>
    <row r="545" ht="13.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</row>
    <row r="546" ht="13.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</row>
    <row r="547" ht="13.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</row>
    <row r="548" ht="13.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</row>
    <row r="549" ht="13.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</row>
    <row r="550" ht="13.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</row>
    <row r="551" ht="13.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</row>
    <row r="552" ht="13.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</row>
    <row r="553" ht="13.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</row>
    <row r="554" ht="13.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</row>
    <row r="555" ht="13.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</row>
    <row r="556" ht="13.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</row>
    <row r="557" ht="13.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</row>
    <row r="558" ht="13.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</row>
    <row r="559" ht="13.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</row>
    <row r="560" ht="13.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</row>
    <row r="561" ht="13.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</row>
    <row r="562" ht="13.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</row>
    <row r="563" ht="13.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</row>
    <row r="564" ht="13.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</row>
    <row r="565" ht="13.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</row>
    <row r="566" ht="13.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</row>
    <row r="567" ht="13.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</row>
    <row r="568" ht="13.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</row>
    <row r="569" ht="13.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</row>
    <row r="570" ht="13.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</row>
    <row r="571" ht="13.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</row>
    <row r="572" ht="13.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</row>
    <row r="573" ht="13.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</row>
    <row r="574" ht="13.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</row>
    <row r="575" ht="13.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</row>
    <row r="576" ht="13.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</row>
    <row r="577" ht="13.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</row>
    <row r="578" ht="13.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</row>
    <row r="579" ht="13.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</row>
    <row r="580" ht="13.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</row>
    <row r="581" ht="13.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</row>
    <row r="582" ht="13.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</row>
    <row r="583" ht="13.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</row>
    <row r="584" ht="13.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</row>
    <row r="585" ht="13.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</row>
    <row r="586" ht="13.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</row>
    <row r="587" ht="13.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</row>
    <row r="588" ht="13.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</row>
    <row r="589" ht="13.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</row>
    <row r="590" ht="13.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</row>
    <row r="591" ht="13.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</row>
    <row r="592" ht="13.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</row>
    <row r="593" ht="13.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</row>
    <row r="594" ht="13.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</row>
    <row r="595" ht="13.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</row>
    <row r="596" ht="13.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</row>
    <row r="597" ht="13.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</row>
    <row r="598" ht="13.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</row>
    <row r="599" ht="13.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</row>
    <row r="600" ht="13.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</row>
    <row r="601" ht="13.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</row>
    <row r="602" ht="13.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</row>
    <row r="603" ht="13.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</row>
    <row r="604" ht="13.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</row>
    <row r="605" ht="13.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</row>
    <row r="606" ht="13.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</row>
    <row r="607" ht="13.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</row>
    <row r="608" ht="13.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</row>
    <row r="609" ht="13.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</row>
    <row r="610" ht="13.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</row>
    <row r="611" ht="13.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</row>
    <row r="612" ht="13.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</row>
    <row r="613" ht="13.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</row>
    <row r="614" ht="13.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</row>
    <row r="615" ht="13.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</row>
    <row r="616" ht="13.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</row>
    <row r="617" ht="13.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</row>
    <row r="618" ht="13.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</row>
    <row r="619" ht="13.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</row>
    <row r="620" ht="13.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</row>
    <row r="621" ht="13.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</row>
    <row r="622" ht="13.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</row>
    <row r="623" ht="13.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</row>
    <row r="624" ht="13.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</row>
    <row r="625" ht="13.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</row>
    <row r="626" ht="13.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</row>
    <row r="627" ht="13.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</row>
    <row r="628" ht="13.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</row>
    <row r="629" ht="13.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</row>
    <row r="630" ht="13.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</row>
    <row r="631" ht="13.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</row>
    <row r="632" ht="13.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</row>
    <row r="633" ht="13.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</row>
    <row r="634" ht="13.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</row>
    <row r="635" ht="13.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</row>
    <row r="636" ht="13.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</row>
    <row r="637" ht="13.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</row>
    <row r="638" ht="13.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</row>
    <row r="639" ht="13.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</row>
    <row r="640" ht="13.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</row>
    <row r="641" ht="13.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</row>
    <row r="642" ht="13.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</row>
    <row r="643" ht="13.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</row>
    <row r="644" ht="13.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</row>
    <row r="645" ht="13.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</row>
    <row r="646" ht="13.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</row>
    <row r="647" ht="13.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</row>
    <row r="648" ht="13.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</row>
    <row r="649" ht="13.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</row>
    <row r="650" ht="13.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</row>
    <row r="651" ht="13.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</row>
    <row r="652" ht="13.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</row>
    <row r="653" ht="13.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</row>
    <row r="654" ht="13.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</row>
    <row r="655" ht="13.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</row>
    <row r="656" ht="13.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</row>
    <row r="657" ht="13.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</row>
    <row r="658" ht="13.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</row>
    <row r="659" ht="13.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</row>
    <row r="660" ht="13.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</row>
    <row r="661" ht="13.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</row>
    <row r="662" ht="13.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</row>
    <row r="663" ht="13.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</row>
    <row r="664" ht="13.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</row>
    <row r="665" ht="13.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</row>
    <row r="666" ht="13.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</row>
    <row r="667" ht="13.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</row>
    <row r="668" ht="13.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</row>
    <row r="669" ht="13.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</row>
    <row r="670" ht="13.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</row>
    <row r="671" ht="13.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</row>
    <row r="672" ht="13.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</row>
    <row r="673" ht="13.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</row>
    <row r="674" ht="13.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</row>
    <row r="675" ht="13.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</row>
    <row r="676" ht="13.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</row>
    <row r="677" ht="13.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</row>
    <row r="678" ht="13.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</row>
    <row r="679" ht="13.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</row>
    <row r="680" ht="13.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</row>
    <row r="681" ht="13.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</row>
    <row r="682" ht="13.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</row>
    <row r="683" ht="13.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</row>
    <row r="684" ht="13.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</row>
    <row r="685" ht="13.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</row>
    <row r="686" ht="13.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</row>
    <row r="687" ht="13.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</row>
    <row r="688" ht="13.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</row>
    <row r="689" ht="13.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</row>
    <row r="690" ht="13.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</row>
    <row r="691" ht="13.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</row>
    <row r="692" ht="13.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</row>
    <row r="693" ht="13.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</row>
    <row r="694" ht="13.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</row>
    <row r="695" ht="13.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</row>
    <row r="696" ht="13.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</row>
    <row r="697" ht="13.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</row>
    <row r="698" ht="13.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</row>
    <row r="699" ht="13.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</row>
    <row r="700" ht="13.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</row>
    <row r="701" ht="13.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</row>
    <row r="702" ht="13.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</row>
    <row r="703" ht="13.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</row>
    <row r="704" ht="13.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</row>
    <row r="705" ht="13.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</row>
    <row r="706" ht="13.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</row>
    <row r="707" ht="13.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</row>
    <row r="708" ht="13.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</row>
    <row r="709" ht="13.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</row>
    <row r="710" ht="13.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</row>
    <row r="711" ht="13.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</row>
    <row r="712" ht="13.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</row>
    <row r="713" ht="13.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</row>
    <row r="714" ht="13.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</row>
    <row r="715" ht="13.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</row>
    <row r="716" ht="13.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</row>
    <row r="717" ht="13.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</row>
    <row r="718" ht="13.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</row>
    <row r="719" ht="13.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</row>
    <row r="720" ht="13.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</row>
    <row r="721" ht="13.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</row>
    <row r="722" ht="13.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</row>
    <row r="723" ht="13.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</row>
    <row r="724" ht="13.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</row>
    <row r="725" ht="13.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</row>
    <row r="726" ht="13.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</row>
    <row r="727" ht="13.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</row>
    <row r="728" ht="13.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</row>
    <row r="729" ht="13.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</row>
    <row r="730" ht="13.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</row>
    <row r="731" ht="13.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</row>
    <row r="732" ht="13.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</row>
    <row r="733" ht="13.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</row>
    <row r="734" ht="13.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</row>
    <row r="735" ht="13.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</row>
    <row r="736" ht="13.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</row>
    <row r="737" ht="13.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</row>
    <row r="738" ht="13.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</row>
    <row r="739" ht="13.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</row>
    <row r="740" ht="13.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</row>
    <row r="741" ht="13.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</row>
    <row r="742" ht="13.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</row>
    <row r="743" ht="13.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</row>
    <row r="744" ht="13.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</row>
    <row r="745" ht="13.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</row>
    <row r="746" ht="13.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</row>
    <row r="747" ht="13.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</row>
    <row r="748" ht="13.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</row>
    <row r="749" ht="13.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</row>
    <row r="750" ht="13.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</row>
    <row r="751" ht="13.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</row>
    <row r="752" ht="13.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</row>
    <row r="753" ht="13.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</row>
    <row r="754" ht="13.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</row>
    <row r="755" ht="13.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</row>
    <row r="756" ht="13.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</row>
    <row r="757" ht="13.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</row>
    <row r="758" ht="13.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</row>
    <row r="759" ht="13.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</row>
    <row r="760" ht="13.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</row>
    <row r="761" ht="13.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</row>
    <row r="762" ht="13.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</row>
    <row r="763" ht="13.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</row>
    <row r="764" ht="13.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</row>
    <row r="765" ht="13.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</row>
    <row r="766" ht="13.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</row>
    <row r="767" ht="13.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</row>
    <row r="768" ht="13.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</row>
    <row r="769" ht="13.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</row>
    <row r="770" ht="13.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</row>
    <row r="771" ht="13.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</row>
    <row r="772" ht="13.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</row>
    <row r="773" ht="13.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</row>
    <row r="774" ht="13.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</row>
    <row r="775" ht="13.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</row>
    <row r="776" ht="13.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</row>
    <row r="777" ht="13.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</row>
    <row r="778" ht="13.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</row>
    <row r="779" ht="13.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</row>
    <row r="780" ht="13.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</row>
    <row r="781" ht="13.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</row>
    <row r="782" ht="13.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</row>
    <row r="783" ht="13.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</row>
    <row r="784" ht="13.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</row>
    <row r="785" ht="13.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</row>
    <row r="786" ht="13.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</row>
    <row r="787" ht="13.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</row>
    <row r="788" ht="13.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</row>
    <row r="789" ht="13.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</row>
    <row r="790" ht="13.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</row>
    <row r="791" ht="13.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</row>
    <row r="792" ht="13.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</row>
    <row r="793" ht="13.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</row>
    <row r="794" ht="13.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</row>
    <row r="795" ht="13.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</row>
    <row r="796" ht="13.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</row>
    <row r="797" ht="13.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</row>
    <row r="798" ht="13.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</row>
    <row r="799" ht="13.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</row>
    <row r="800" ht="13.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</row>
    <row r="801" ht="13.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</row>
    <row r="802" ht="13.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</row>
    <row r="803" ht="13.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</row>
    <row r="804" ht="13.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</row>
    <row r="805" ht="13.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</row>
    <row r="806" ht="13.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</row>
    <row r="807" ht="13.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</row>
    <row r="808" ht="13.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</row>
    <row r="809" ht="13.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</row>
    <row r="810" ht="13.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</row>
    <row r="811" ht="13.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</row>
    <row r="812" ht="13.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</row>
    <row r="813" ht="13.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</row>
    <row r="814" ht="13.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</row>
    <row r="815" ht="13.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</row>
    <row r="816" ht="13.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</row>
    <row r="817" ht="13.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</row>
    <row r="818" ht="13.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</row>
    <row r="819" ht="13.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</row>
    <row r="820" ht="13.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</row>
    <row r="821" ht="13.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</row>
    <row r="822" ht="13.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</row>
    <row r="823" ht="13.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</row>
    <row r="824" ht="13.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</row>
    <row r="825" ht="13.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</row>
    <row r="826" ht="13.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</row>
    <row r="827" ht="13.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</row>
    <row r="828" ht="13.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</row>
    <row r="829" ht="13.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</row>
    <row r="830" ht="13.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</row>
    <row r="831" ht="13.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</row>
    <row r="832" ht="13.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</row>
    <row r="833" ht="13.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</row>
    <row r="834" ht="13.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</row>
    <row r="835" ht="13.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</row>
    <row r="836" ht="13.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</row>
    <row r="837" ht="13.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</row>
    <row r="838" ht="13.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</row>
    <row r="839" ht="13.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</row>
    <row r="840" ht="13.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</row>
    <row r="841" ht="13.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</row>
    <row r="842" ht="13.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</row>
    <row r="843" ht="13.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</row>
    <row r="844" ht="13.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</row>
    <row r="845" ht="13.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</row>
    <row r="846" ht="13.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</row>
    <row r="847" ht="13.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</row>
    <row r="848" ht="13.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</row>
    <row r="849" ht="13.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</row>
    <row r="850" ht="13.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</row>
    <row r="851" ht="13.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</row>
    <row r="852" ht="13.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</row>
    <row r="853" ht="13.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</row>
    <row r="854" ht="13.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</row>
    <row r="855" ht="13.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</row>
    <row r="856" ht="13.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</row>
    <row r="857" ht="13.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</row>
    <row r="858" ht="13.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</row>
    <row r="859" ht="13.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</row>
    <row r="860" ht="13.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</row>
    <row r="861" ht="13.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</row>
    <row r="862" ht="13.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</row>
    <row r="863" ht="13.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</row>
    <row r="864" ht="13.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</row>
    <row r="865" ht="13.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</row>
    <row r="866" ht="13.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</row>
    <row r="867" ht="13.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</row>
    <row r="868" ht="13.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</row>
    <row r="869" ht="13.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</row>
    <row r="870" ht="13.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</row>
    <row r="871" ht="13.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</row>
    <row r="872" ht="13.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</row>
    <row r="873" ht="13.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</row>
    <row r="874" ht="13.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</row>
    <row r="875" ht="13.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</row>
    <row r="876" ht="13.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</row>
    <row r="877" ht="13.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</row>
    <row r="878" ht="13.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</row>
    <row r="879" ht="13.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</row>
    <row r="880" ht="13.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</row>
    <row r="881" ht="13.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</row>
    <row r="882" ht="13.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</row>
    <row r="883" ht="13.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</row>
    <row r="884" ht="13.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</row>
    <row r="885" ht="13.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</row>
    <row r="886" ht="13.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</row>
    <row r="887" ht="13.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</row>
    <row r="888" ht="13.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</row>
    <row r="889" ht="13.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</row>
    <row r="890" ht="13.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</row>
    <row r="891" ht="13.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</row>
    <row r="892" ht="13.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</row>
    <row r="893" ht="13.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</row>
    <row r="894" ht="13.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</row>
    <row r="895" ht="13.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</row>
    <row r="896" ht="13.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</row>
    <row r="897" ht="13.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</row>
    <row r="898" ht="13.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</row>
    <row r="899" ht="13.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</row>
    <row r="900" ht="13.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</row>
    <row r="901" ht="13.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</row>
    <row r="902" ht="13.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</row>
    <row r="903" ht="13.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</row>
    <row r="904" ht="13.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</row>
    <row r="905" ht="13.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</row>
    <row r="906" ht="13.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</row>
    <row r="907" ht="13.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</row>
    <row r="908" ht="13.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</row>
    <row r="909" ht="13.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</row>
    <row r="910" ht="13.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</row>
    <row r="911" ht="13.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</row>
    <row r="912" ht="13.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</row>
    <row r="913" ht="13.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</row>
    <row r="914" ht="13.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</row>
    <row r="915" ht="13.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</row>
    <row r="916" ht="13.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</row>
    <row r="917" ht="13.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</row>
    <row r="918" ht="13.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</row>
    <row r="919" ht="13.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</row>
    <row r="920" ht="13.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</row>
    <row r="921" ht="13.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</row>
    <row r="922" ht="13.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</row>
    <row r="923" ht="13.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</row>
    <row r="924" ht="13.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</row>
    <row r="925" ht="13.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</row>
    <row r="926" ht="13.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</row>
    <row r="927" ht="13.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</row>
    <row r="928" ht="13.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</row>
    <row r="929" ht="13.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</row>
    <row r="930" ht="13.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</row>
    <row r="931" ht="13.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</row>
    <row r="932" ht="13.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</row>
    <row r="933" ht="13.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</row>
    <row r="934" ht="13.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</row>
    <row r="935" ht="13.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</row>
    <row r="936" ht="13.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</row>
    <row r="937" ht="13.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</row>
    <row r="938" ht="13.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</row>
    <row r="939" ht="13.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</row>
    <row r="940" ht="13.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</row>
    <row r="941" ht="13.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</row>
    <row r="942" ht="13.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</row>
    <row r="943" ht="13.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</row>
    <row r="944" ht="13.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</row>
    <row r="945" ht="13.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</row>
    <row r="946" ht="13.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</row>
    <row r="947" ht="13.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</row>
    <row r="948" ht="13.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</row>
    <row r="949" ht="13.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</row>
    <row r="950" ht="13.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</row>
    <row r="951" ht="13.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</row>
    <row r="952" ht="13.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</row>
    <row r="953" ht="13.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</row>
    <row r="954" ht="13.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</row>
    <row r="955" ht="13.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</row>
    <row r="956" ht="13.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</row>
    <row r="957" ht="13.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</row>
    <row r="958" ht="13.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</row>
    <row r="959" ht="13.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</row>
    <row r="960" ht="13.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</row>
    <row r="961" ht="13.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</row>
    <row r="962" ht="13.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</row>
    <row r="963" ht="13.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</row>
    <row r="964" ht="13.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</row>
    <row r="965" ht="13.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</row>
    <row r="966" ht="13.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</row>
    <row r="967" ht="13.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</row>
    <row r="968" ht="13.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</row>
    <row r="969" ht="13.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</row>
    <row r="970" ht="13.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</row>
    <row r="971" ht="13.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</row>
    <row r="972" ht="13.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</row>
    <row r="973" ht="13.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</row>
    <row r="974" ht="13.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</row>
    <row r="975" ht="13.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</row>
    <row r="976" ht="13.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</row>
    <row r="977" ht="13.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</row>
    <row r="978" ht="13.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</row>
    <row r="979" ht="13.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</row>
    <row r="980" ht="13.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</row>
    <row r="981" ht="13.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</row>
    <row r="982" ht="13.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</row>
    <row r="983" ht="13.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</row>
    <row r="984" ht="13.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</row>
    <row r="985" ht="13.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</row>
    <row r="986" ht="13.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</row>
    <row r="987" ht="13.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</row>
    <row r="988" ht="13.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</row>
    <row r="989" ht="13.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</row>
    <row r="990" ht="13.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</row>
    <row r="991" ht="13.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</row>
    <row r="992" ht="13.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</row>
    <row r="993" ht="13.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</row>
    <row r="994" ht="13.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</row>
    <row r="995" ht="13.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</row>
    <row r="996" ht="13.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</row>
    <row r="997" ht="13.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</row>
    <row r="998" ht="13.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</row>
    <row r="999" ht="13.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</row>
    <row r="1000" ht="13.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</row>
  </sheetData>
  <mergeCells count="24">
    <mergeCell ref="A1:AI1"/>
    <mergeCell ref="A2:AI2"/>
    <mergeCell ref="B5:AI5"/>
    <mergeCell ref="C7:F7"/>
    <mergeCell ref="R7:U7"/>
    <mergeCell ref="B10:I10"/>
    <mergeCell ref="Q10:X10"/>
    <mergeCell ref="AE25:AI25"/>
    <mergeCell ref="AE26:AI26"/>
    <mergeCell ref="AE28:AI28"/>
    <mergeCell ref="B30:I30"/>
    <mergeCell ref="Q30:X30"/>
    <mergeCell ref="B35:I35"/>
    <mergeCell ref="Q35:X35"/>
    <mergeCell ref="B40:I40"/>
    <mergeCell ref="Q40:X40"/>
    <mergeCell ref="B45:I45"/>
    <mergeCell ref="B15:I15"/>
    <mergeCell ref="Q15:X15"/>
    <mergeCell ref="B20:I20"/>
    <mergeCell ref="Q20:X20"/>
    <mergeCell ref="AE24:AI24"/>
    <mergeCell ref="B25:I25"/>
    <mergeCell ref="Q25:X25"/>
  </mergeCells>
  <printOptions/>
  <pageMargins bottom="1.0" footer="0.0" header="0.0" left="0.75" right="0.75" top="1.0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2023-04-13T12:41:28Z</dcterms:created>
  <dc:creator>Microsoft</dc:creator>
</cp:coreProperties>
</file>