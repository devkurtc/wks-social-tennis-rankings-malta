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am Selection" sheetId="1" r:id="rId5"/>
    <sheet state="visible" name="Standings" sheetId="2" r:id="rId6"/>
    <sheet state="visible" name="Encounters played" sheetId="3" r:id="rId7"/>
    <sheet state="visible" name="Day 1" sheetId="4" r:id="rId8"/>
    <sheet state="visible" name="Day 2" sheetId="5" r:id="rId9"/>
    <sheet state="visible" name="Day 3" sheetId="6" r:id="rId10"/>
    <sheet state="visible" name="Day 4" sheetId="7" r:id="rId11"/>
    <sheet state="visible" name="Day 5" sheetId="8" r:id="rId12"/>
    <sheet state="visible" name="Semi Final" sheetId="9" r:id="rId13"/>
    <sheet state="visible" name="Final" sheetId="10" r:id="rId14"/>
  </sheets>
  <definedNames/>
  <calcPr/>
</workbook>
</file>

<file path=xl/sharedStrings.xml><?xml version="1.0" encoding="utf-8"?>
<sst xmlns="http://schemas.openxmlformats.org/spreadsheetml/2006/main" count="1627" uniqueCount="278">
  <si>
    <t>VITTORIOSA LAWN TENNIS CLUB</t>
  </si>
  <si>
    <t>WILSON AUTUMN TEAM TOURNAMENT 2019</t>
  </si>
  <si>
    <t>A</t>
  </si>
  <si>
    <t>B</t>
  </si>
  <si>
    <t>C</t>
  </si>
  <si>
    <t>D</t>
  </si>
  <si>
    <t>E</t>
  </si>
  <si>
    <t>F</t>
  </si>
  <si>
    <t>CAPTAIN</t>
  </si>
  <si>
    <t>CHISTINE SCERRI</t>
  </si>
  <si>
    <t>CLYDE GRECH</t>
  </si>
  <si>
    <t>GRACE BARBARA</t>
  </si>
  <si>
    <t>CARMEN ELDEN</t>
  </si>
  <si>
    <t>DIANE DEBONO</t>
  </si>
  <si>
    <t>TREVOR RUTTER</t>
  </si>
  <si>
    <t>MEN</t>
  </si>
  <si>
    <t>A1</t>
  </si>
  <si>
    <t>Marc Vella Bonnici</t>
  </si>
  <si>
    <t>Claude Mifsud Wismayer</t>
  </si>
  <si>
    <t>Jesmond Pule'</t>
  </si>
  <si>
    <t>Marcelo Villanueva</t>
  </si>
  <si>
    <t>Richard Magri</t>
  </si>
  <si>
    <t>Norbert Coleiro</t>
  </si>
  <si>
    <t>A2</t>
  </si>
  <si>
    <t>Nikolai Belli</t>
  </si>
  <si>
    <t>Clyde Grech</t>
  </si>
  <si>
    <t>Andrew Spiteri Willets</t>
  </si>
  <si>
    <t>Dean Callus</t>
  </si>
  <si>
    <t>Nicholas Gollcher</t>
  </si>
  <si>
    <t>John Azzopardi</t>
  </si>
  <si>
    <t>A3</t>
  </si>
  <si>
    <t>Ketih Micallef</t>
  </si>
  <si>
    <t>Clive Borg</t>
  </si>
  <si>
    <t>Manuel Bonello</t>
  </si>
  <si>
    <t>Eugene Debono</t>
  </si>
  <si>
    <t>Vincenzo Pappalardo</t>
  </si>
  <si>
    <t>Trevor Rutter</t>
  </si>
  <si>
    <t>B1</t>
  </si>
  <si>
    <t>Jean Karl Azzopardi</t>
  </si>
  <si>
    <t>Paul Gatt</t>
  </si>
  <si>
    <t>Jack Steenkamer</t>
  </si>
  <si>
    <t>Dave Elden</t>
  </si>
  <si>
    <t>Mark Azzopardi</t>
  </si>
  <si>
    <t>Richard Byrne</t>
  </si>
  <si>
    <t>https://drive.google.com/open?id=1orKHl94rd7KrFnl6k2R9FBcd24YO8eeD</t>
  </si>
  <si>
    <t>B2</t>
  </si>
  <si>
    <t>Marco Mercieca</t>
  </si>
  <si>
    <t>Stephen Belli</t>
  </si>
  <si>
    <t>George Grech</t>
  </si>
  <si>
    <t>Willem Steenkamer</t>
  </si>
  <si>
    <t>Neville Sciriha</t>
  </si>
  <si>
    <t>Joe Carabott</t>
  </si>
  <si>
    <t>B3</t>
  </si>
  <si>
    <t>Roberto Murdocco</t>
  </si>
  <si>
    <t>Maurice Borg</t>
  </si>
  <si>
    <t>Marco Borg</t>
  </si>
  <si>
    <t>Malcolm Schembri</t>
  </si>
  <si>
    <t>Frans Ellul</t>
  </si>
  <si>
    <t>John Sciberras</t>
  </si>
  <si>
    <t>C1</t>
  </si>
  <si>
    <t>Julian Esposito</t>
  </si>
  <si>
    <t>Jesmond Cachia</t>
  </si>
  <si>
    <t>Lawrence Alamango</t>
  </si>
  <si>
    <t>Max Anastasi</t>
  </si>
  <si>
    <t>Tobias Kristensen</t>
  </si>
  <si>
    <t>Antoine Chircop</t>
  </si>
  <si>
    <t>C2</t>
  </si>
  <si>
    <t>Manuel Mifsud</t>
  </si>
  <si>
    <t>Matthew Schembri</t>
  </si>
  <si>
    <t>Juan Debono</t>
  </si>
  <si>
    <t>Paul Micallef</t>
  </si>
  <si>
    <t>Eric Micallef</t>
  </si>
  <si>
    <t>Chris Calleja</t>
  </si>
  <si>
    <t>C3</t>
  </si>
  <si>
    <t>Charles Sacco</t>
  </si>
  <si>
    <t>Ray Ciantar</t>
  </si>
  <si>
    <t>Vukile Mazantsana</t>
  </si>
  <si>
    <t>Charles Borg Grech</t>
  </si>
  <si>
    <t>Anthony Pule'</t>
  </si>
  <si>
    <t>Mario Abdilla</t>
  </si>
  <si>
    <t>D1</t>
  </si>
  <si>
    <t>Franco Montesin</t>
  </si>
  <si>
    <t>Joseph Attard</t>
  </si>
  <si>
    <t>Darrell Pace</t>
  </si>
  <si>
    <t>Gabriel Pace</t>
  </si>
  <si>
    <t>Sean Paul Micallef</t>
  </si>
  <si>
    <t>Kevin Formosa</t>
  </si>
  <si>
    <t>D2</t>
  </si>
  <si>
    <t>Mario Portelli</t>
  </si>
  <si>
    <t>Jake Gatt</t>
  </si>
  <si>
    <t>John Bartolo</t>
  </si>
  <si>
    <t>Alain Frendo</t>
  </si>
  <si>
    <t>Isaac Joseph Zammit</t>
  </si>
  <si>
    <t>Andrew Spiteri</t>
  </si>
  <si>
    <t>D3</t>
  </si>
  <si>
    <t>Arthur Napier</t>
  </si>
  <si>
    <t>Gene Zammit</t>
  </si>
  <si>
    <t>Andrew Zammit</t>
  </si>
  <si>
    <t>Chris Farrugia</t>
  </si>
  <si>
    <t>Mario Morales</t>
  </si>
  <si>
    <t>Marcus Mamo</t>
  </si>
  <si>
    <t>LADIES</t>
  </si>
  <si>
    <t>Lucienne Meli</t>
  </si>
  <si>
    <t>Nicole Fava</t>
  </si>
  <si>
    <t>Alexia Spiteri</t>
  </si>
  <si>
    <t>Naomi Zammit Ciantar</t>
  </si>
  <si>
    <t>Paula Caruana</t>
  </si>
  <si>
    <t>Martina Cuschieri</t>
  </si>
  <si>
    <t>Olivia Belli</t>
  </si>
  <si>
    <t>Elaine Grech</t>
  </si>
  <si>
    <t>Audrey Friggieri</t>
  </si>
  <si>
    <t>Martina Demanuele</t>
  </si>
  <si>
    <t>Sharon Mizzi</t>
  </si>
  <si>
    <t>Elaine Azzopardi</t>
  </si>
  <si>
    <t>Sarah Vella</t>
  </si>
  <si>
    <t>Marcette Sciriha</t>
  </si>
  <si>
    <t>Kirsty Mercieca</t>
  </si>
  <si>
    <t>Carmen Elden</t>
  </si>
  <si>
    <t>Michelle Braddick-Southgate</t>
  </si>
  <si>
    <t>Alison Muscat</t>
  </si>
  <si>
    <t>Anthea Gauci</t>
  </si>
  <si>
    <t>Tiziana Borg Anastasi</t>
  </si>
  <si>
    <t>Lonia Carabott</t>
  </si>
  <si>
    <t>Mariska Steenkamer</t>
  </si>
  <si>
    <t>Monica Muscat</t>
  </si>
  <si>
    <t>Natasha Hedley</t>
  </si>
  <si>
    <t>Brenda Baldacchino</t>
  </si>
  <si>
    <t>Annabel Abela</t>
  </si>
  <si>
    <t>Julia Barbara</t>
  </si>
  <si>
    <t>Anna Buhagiar</t>
  </si>
  <si>
    <t>Marthese Camoin</t>
  </si>
  <si>
    <t>Silvana Portelli</t>
  </si>
  <si>
    <t>Christine Scerri</t>
  </si>
  <si>
    <t>Ruth Micallef</t>
  </si>
  <si>
    <t>Tanya Cassar</t>
  </si>
  <si>
    <t>Carmen Difesa</t>
  </si>
  <si>
    <t>Diane Debono</t>
  </si>
  <si>
    <t>Yvonne Borg Cardona</t>
  </si>
  <si>
    <t>Geraldine Zammit</t>
  </si>
  <si>
    <t>Anabel Borg</t>
  </si>
  <si>
    <t>Helga Azzopardi</t>
  </si>
  <si>
    <t>Anna Casingena</t>
  </si>
  <si>
    <t>Kristina Cauchi</t>
  </si>
  <si>
    <t>Mary Borg</t>
  </si>
  <si>
    <t>Josette Cassar</t>
  </si>
  <si>
    <t>Mary Ciantar</t>
  </si>
  <si>
    <t>Deborah Farrugia</t>
  </si>
  <si>
    <t>Nancy Wong</t>
  </si>
  <si>
    <t>Josette D'Alessandro</t>
  </si>
  <si>
    <t>Bernardette Fenech</t>
  </si>
  <si>
    <t>Anna Napier</t>
  </si>
  <si>
    <t>Maria Elena Grech</t>
  </si>
  <si>
    <t>Joyce Scerri</t>
  </si>
  <si>
    <t>Rosette Tufigno</t>
  </si>
  <si>
    <t>Andrea Mifsud</t>
  </si>
  <si>
    <t>Roseanne Portelli</t>
  </si>
  <si>
    <t>WILSON TEAM TOURNAMENT 2019</t>
  </si>
  <si>
    <t>ROUND 1</t>
  </si>
  <si>
    <t>Day 1</t>
  </si>
  <si>
    <t>Total Day 1</t>
  </si>
  <si>
    <t>Day 2</t>
  </si>
  <si>
    <t>Total Day 2</t>
  </si>
  <si>
    <t>Day 3</t>
  </si>
  <si>
    <t>Total Day 3</t>
  </si>
  <si>
    <t>Day 4</t>
  </si>
  <si>
    <t>Total Day 4</t>
  </si>
  <si>
    <t>Day 5</t>
  </si>
  <si>
    <t>Total Day 5</t>
  </si>
  <si>
    <t>Total Round 1</t>
  </si>
  <si>
    <t>G</t>
  </si>
  <si>
    <t>S</t>
  </si>
  <si>
    <t>TEAM A:   Christine Scerri</t>
  </si>
  <si>
    <t>Wednesday</t>
  </si>
  <si>
    <t>Friday</t>
  </si>
  <si>
    <t xml:space="preserve">TEAM B:  Clyde Grech   </t>
  </si>
  <si>
    <t>TEAM C:    Grace Barbara</t>
  </si>
  <si>
    <t>TEAM D:    Carmen Elden</t>
  </si>
  <si>
    <t>TEAM E: Diane Debono</t>
  </si>
  <si>
    <t>TEAM F:  Trevor Rutter</t>
  </si>
  <si>
    <t>Winners:</t>
  </si>
  <si>
    <t>Runners Up:</t>
  </si>
  <si>
    <t>Day</t>
  </si>
  <si>
    <t>Total</t>
  </si>
  <si>
    <t>Keith Micallef</t>
  </si>
  <si>
    <t xml:space="preserve"> Clive Borg</t>
  </si>
  <si>
    <t>Daniel Falzon</t>
  </si>
  <si>
    <t>Brenda Baldachino</t>
  </si>
  <si>
    <t>Anabelle Abela</t>
  </si>
  <si>
    <t>Grace Barbara</t>
  </si>
  <si>
    <t>Kurt Carabott</t>
  </si>
  <si>
    <t>Joyce Xerri</t>
  </si>
  <si>
    <t xml:space="preserve">
</t>
  </si>
  <si>
    <t>Wilson Team Tournament 2019</t>
  </si>
  <si>
    <t>DAY 1</t>
  </si>
  <si>
    <t>Court 1</t>
  </si>
  <si>
    <t>Time</t>
  </si>
  <si>
    <t>Rubber</t>
  </si>
  <si>
    <t>Team A: Christine Scerri</t>
  </si>
  <si>
    <t>vs</t>
  </si>
  <si>
    <t>Team C: Grace Barbara</t>
  </si>
  <si>
    <t>Games</t>
  </si>
  <si>
    <t>Sets</t>
  </si>
  <si>
    <t>6.30 pm</t>
  </si>
  <si>
    <t>Lad C</t>
  </si>
  <si>
    <t>7.45 pm</t>
  </si>
  <si>
    <t>Lad A</t>
  </si>
  <si>
    <t xml:space="preserve">Audrey Friggieri </t>
  </si>
  <si>
    <t>Men D</t>
  </si>
  <si>
    <t>Total Day 1 A</t>
  </si>
  <si>
    <t>Men B</t>
  </si>
  <si>
    <t>Men C</t>
  </si>
  <si>
    <t>9.00 pm</t>
  </si>
  <si>
    <t>Men A</t>
  </si>
  <si>
    <t>Lad B</t>
  </si>
  <si>
    <t>Total Day 1B</t>
  </si>
  <si>
    <t xml:space="preserve">Total Day 1 </t>
  </si>
  <si>
    <t>Court 2</t>
  </si>
  <si>
    <t>Team B: Clyde Grech</t>
  </si>
  <si>
    <t>Team E: Diane Debono</t>
  </si>
  <si>
    <t xml:space="preserve">7.45 pm </t>
  </si>
  <si>
    <t>retired</t>
  </si>
  <si>
    <t xml:space="preserve">Andrea Mifsud </t>
  </si>
  <si>
    <t xml:space="preserve">Isaac Zammit </t>
  </si>
  <si>
    <t>Jean Paul Micallef</t>
  </si>
  <si>
    <t>Court 4</t>
  </si>
  <si>
    <t>Team F: Trevor Rutter</t>
  </si>
  <si>
    <t>Rose Anne Portelli</t>
  </si>
  <si>
    <t xml:space="preserve"> </t>
  </si>
  <si>
    <t>Team D: Carmen Elden</t>
  </si>
  <si>
    <t>Total Day 2 A</t>
  </si>
  <si>
    <t xml:space="preserve">Mariska Steenkamer </t>
  </si>
  <si>
    <t xml:space="preserve">Dave Elden </t>
  </si>
  <si>
    <t xml:space="preserve">6.30 pm </t>
  </si>
  <si>
    <t>Total Day 2 B</t>
  </si>
  <si>
    <t xml:space="preserve">Total Day 2 </t>
  </si>
  <si>
    <t>ret.</t>
  </si>
  <si>
    <t>7.45pm</t>
  </si>
  <si>
    <t>Twanny Pule'</t>
  </si>
  <si>
    <t>Team E:  Diane Debono</t>
  </si>
  <si>
    <t>w/o</t>
  </si>
  <si>
    <t>Total Day 3 A</t>
  </si>
  <si>
    <t xml:space="preserve">Paula Caruana </t>
  </si>
  <si>
    <t>Michelle Braddick Southgate</t>
  </si>
  <si>
    <t>Vincenzo Pappalardi</t>
  </si>
  <si>
    <t>Total Day 3 B</t>
  </si>
  <si>
    <t xml:space="preserve">Total Day 3 </t>
  </si>
  <si>
    <t>Annabelle Abela</t>
  </si>
  <si>
    <t xml:space="preserve">Lad C </t>
  </si>
  <si>
    <t>9.00pm</t>
  </si>
  <si>
    <t>Lonia Carabott (pro) Kirsty Mercieca</t>
  </si>
  <si>
    <t xml:space="preserve">
Juan Debono</t>
  </si>
  <si>
    <t>Total Day 4 A</t>
  </si>
  <si>
    <t xml:space="preserve">Julia Barbara </t>
  </si>
  <si>
    <t>Total Day 4 B</t>
  </si>
  <si>
    <t xml:space="preserve">Total Day 4 </t>
  </si>
  <si>
    <t xml:space="preserve">Chris Calleja </t>
  </si>
  <si>
    <t>Total Day 5 A</t>
  </si>
  <si>
    <t>6.30pm</t>
  </si>
  <si>
    <t>Total Day 5B</t>
  </si>
  <si>
    <t xml:space="preserve">Total Day 5 </t>
  </si>
  <si>
    <t>Max Anastasi (pro) Willem Steenkamer</t>
  </si>
  <si>
    <t>Franco Montesin (pro) Julian Esposito</t>
  </si>
  <si>
    <t>Jean Carl Azzopardi</t>
  </si>
  <si>
    <t>Total Day 5 B</t>
  </si>
  <si>
    <t>Semi Final</t>
  </si>
  <si>
    <t>Team D:  Carmen Elden</t>
  </si>
  <si>
    <t>Michela Demanuela</t>
  </si>
  <si>
    <t>Annna Casingena</t>
  </si>
  <si>
    <t>Total Day 2B</t>
  </si>
  <si>
    <t>Team E : Diane Debono</t>
  </si>
  <si>
    <t>Kristina Cauchi (pro)</t>
  </si>
  <si>
    <t>Josette D'Alessandro (pro)</t>
  </si>
  <si>
    <t>Isaac Zammit</t>
  </si>
  <si>
    <t>FINAL</t>
  </si>
  <si>
    <t>Team B : Clyde Grech</t>
  </si>
  <si>
    <t>T/B 7-0</t>
  </si>
  <si>
    <t>Ansbelle Abela</t>
  </si>
  <si>
    <t>Total Final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</si>
</sst>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9">
    <font>
      <sz val="10.0"/>
      <color rgb="FF000000"/>
      <name val="Calibri"/>
      <scheme val="minor"/>
    </font>
    <font>
      <b/>
      <sz val="18.0"/>
      <color rgb="FF800000"/>
      <name val="Arial"/>
    </font>
    <font>
      <b/>
      <sz val="16.0"/>
      <color rgb="FF800000"/>
      <name val="Tahoma"/>
    </font>
    <font>
      <sz val="10.0"/>
      <color theme="1"/>
      <name val="Arial"/>
    </font>
    <font>
      <b/>
      <sz val="12.0"/>
      <color theme="1"/>
      <name val="Tahoma"/>
    </font>
    <font>
      <b/>
      <sz val="14.0"/>
      <color theme="1"/>
      <name val="Tahoma"/>
    </font>
    <font/>
    <font>
      <b/>
      <sz val="14.0"/>
      <color rgb="FF000000"/>
      <name val="Tahoma"/>
    </font>
    <font>
      <sz val="14.0"/>
      <color theme="1"/>
      <name val="Arial"/>
    </font>
    <font>
      <b/>
      <sz val="14.0"/>
      <color theme="1"/>
      <name val="Arial"/>
    </font>
    <font>
      <sz val="14.0"/>
      <color theme="1"/>
      <name val="Tahoma"/>
    </font>
    <font>
      <u/>
      <color rgb="FF0000FF"/>
    </font>
    <font>
      <b/>
      <sz val="14.0"/>
      <color rgb="FF000000"/>
      <name val="Arial"/>
    </font>
    <font>
      <sz val="12.0"/>
      <color theme="1"/>
      <name val="Arial"/>
    </font>
    <font>
      <b/>
      <sz val="10.0"/>
      <color theme="1"/>
      <name val="Arial"/>
    </font>
    <font>
      <sz val="11.0"/>
      <color theme="1"/>
      <name val="Arial"/>
    </font>
    <font>
      <b/>
      <sz val="20.0"/>
      <color rgb="FF000080"/>
      <name val="Arial"/>
    </font>
    <font>
      <b/>
      <sz val="10.0"/>
      <color theme="1"/>
      <name val="Tahoma"/>
    </font>
    <font>
      <b/>
      <sz val="16.0"/>
      <color rgb="FF000080"/>
      <name val="Garamond"/>
    </font>
    <font>
      <b/>
      <sz val="12.0"/>
      <color rgb="FF000080"/>
      <name val="Arial"/>
    </font>
    <font>
      <b/>
      <sz val="11.0"/>
      <color rgb="FF000080"/>
      <name val="Arial"/>
    </font>
    <font>
      <b/>
      <sz val="12.0"/>
      <color theme="1"/>
      <name val="Arial"/>
    </font>
    <font>
      <b/>
      <sz val="11.0"/>
      <color rgb="FF008000"/>
      <name val="Arial"/>
    </font>
    <font>
      <b/>
      <sz val="11.0"/>
      <color rgb="FF800000"/>
      <name val="Arial"/>
    </font>
    <font>
      <b/>
      <sz val="12.0"/>
      <color rgb="FFFF0000"/>
      <name val="Arial"/>
    </font>
    <font>
      <b/>
      <sz val="14.0"/>
      <color rgb="FF008000"/>
      <name val="Arial"/>
    </font>
    <font>
      <b/>
      <sz val="14.0"/>
      <color rgb="FF800000"/>
      <name val="Arial"/>
    </font>
    <font>
      <b/>
      <sz val="12.0"/>
      <color rgb="FF800000"/>
      <name val="Arial"/>
    </font>
    <font>
      <b/>
      <sz val="12.0"/>
      <color rgb="FF008000"/>
      <name val="Arial"/>
    </font>
    <font>
      <sz val="16.0"/>
      <color theme="1"/>
      <name val="Arial"/>
    </font>
    <font>
      <b/>
      <sz val="16.0"/>
      <color theme="1"/>
      <name val="Arial"/>
    </font>
    <font>
      <b/>
      <sz val="14.0"/>
      <color rgb="FF3366FF"/>
      <name val="Arial"/>
    </font>
    <font>
      <sz val="11.0"/>
      <color rgb="FF3366FF"/>
      <name val="Arial"/>
    </font>
    <font>
      <sz val="7.0"/>
      <color theme="1"/>
      <name val="Roboto"/>
    </font>
    <font>
      <sz val="10.0"/>
      <color theme="1"/>
      <name val="Tahoma"/>
    </font>
    <font>
      <b/>
      <sz val="16.0"/>
      <color theme="1"/>
      <name val="Tahoma"/>
    </font>
    <font>
      <b/>
      <sz val="9.0"/>
      <color theme="1"/>
      <name val="Tahoma"/>
    </font>
    <font>
      <sz val="9.0"/>
      <color theme="1"/>
      <name val="Tahoma"/>
    </font>
    <font>
      <sz val="10.0"/>
      <color theme="1"/>
      <name val="Roboto"/>
    </font>
  </fonts>
  <fills count="9">
    <fill>
      <patternFill patternType="none"/>
    </fill>
    <fill>
      <patternFill patternType="lightGray"/>
    </fill>
    <fill>
      <patternFill patternType="solid">
        <fgColor rgb="FFDDDDDD"/>
        <bgColor rgb="FFDDDDDD"/>
      </patternFill>
    </fill>
    <fill>
      <patternFill patternType="solid">
        <fgColor rgb="FFFF0000"/>
        <bgColor rgb="FFFF0000"/>
      </patternFill>
    </fill>
    <fill>
      <patternFill patternType="solid">
        <fgColor rgb="FFE7E6E6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FF99CC"/>
        <bgColor rgb="FFFF99CC"/>
      </patternFill>
    </fill>
    <fill>
      <patternFill patternType="solid">
        <fgColor theme="0"/>
        <bgColor theme="0"/>
      </patternFill>
    </fill>
  </fills>
  <borders count="76">
    <border/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left/>
      <bottom/>
    </border>
    <border>
      <bottom/>
    </border>
    <border>
      <right style="medium">
        <color rgb="FF000000"/>
      </right>
      <bottom/>
    </border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/>
      <bottom style="thin">
        <color rgb="FF3366FF"/>
      </bottom>
    </border>
    <border>
      <left/>
      <right style="medium">
        <color rgb="FF000000"/>
      </right>
      <top/>
      <bottom/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bottom style="medium">
        <color rgb="FF3366FF"/>
      </bottom>
    </border>
    <border>
      <left style="medium">
        <color rgb="FF000000"/>
      </left>
      <right style="thin">
        <color rgb="FF3366FF"/>
      </right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hair">
        <color rgb="FF3366FF"/>
      </right>
      <top style="thin">
        <color rgb="FF000000"/>
      </top>
      <bottom style="hair">
        <color rgb="FF3366FF"/>
      </bottom>
    </border>
    <border>
      <right style="thin">
        <color rgb="FF000000"/>
      </right>
      <top style="thin">
        <color rgb="FF000000"/>
      </top>
      <bottom style="hair">
        <color rgb="FF3366FF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hair">
        <color rgb="FF3366FF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hair">
        <color rgb="FF3366FF"/>
      </right>
      <top style="thin">
        <color rgb="FF000000"/>
      </top>
      <bottom style="thin">
        <color rgb="FF000000"/>
      </bottom>
    </border>
    <border>
      <right style="hair">
        <color rgb="FF3366FF"/>
      </right>
      <top style="thin">
        <color rgb="FF000000"/>
      </top>
      <bottom style="hair">
        <color rgb="FF3366FF"/>
      </bottom>
    </border>
    <border>
      <right style="hair">
        <color rgb="FF3366FF"/>
      </right>
      <bottom style="thin">
        <color rgb="FF000000"/>
      </bottom>
    </border>
    <border>
      <left style="hair">
        <color rgb="FF3366FF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hair">
        <color rgb="FF3366FF"/>
      </bottom>
    </border>
    <border>
      <left style="hair">
        <color rgb="FF3366FF"/>
      </left>
      <right style="thin">
        <color rgb="FF000000"/>
      </right>
      <top style="thin">
        <color rgb="FF000000"/>
      </top>
      <bottom style="hair">
        <color rgb="FF3366FF"/>
      </bottom>
    </border>
    <border>
      <left style="hair">
        <color rgb="FF3366FF"/>
      </left>
      <right style="thin">
        <color rgb="FF000000"/>
      </right>
      <bottom style="thin">
        <color rgb="FF000000"/>
      </bottom>
    </border>
    <border>
      <left style="medium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medium">
        <color rgb="FF000000"/>
      </right>
      <top/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</borders>
  <cellStyleXfs count="1">
    <xf borderId="0" fillId="0" fontId="0" numFmtId="0" applyAlignment="1" applyFont="1"/>
  </cellStyleXfs>
  <cellXfs count="2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center" wrapText="0"/>
    </xf>
    <xf borderId="1" fillId="2" fontId="3" numFmtId="0" xfId="0" applyAlignment="1" applyBorder="1" applyFill="1" applyFont="1">
      <alignment shrinkToFit="0" vertical="bottom" wrapText="0"/>
    </xf>
    <xf borderId="2" fillId="2" fontId="4" numFmtId="0" xfId="0" applyAlignment="1" applyBorder="1" applyFont="1">
      <alignment horizontal="center" shrinkToFit="0" vertical="center" wrapText="0"/>
    </xf>
    <xf borderId="3" fillId="2" fontId="4" numFmtId="0" xfId="0" applyAlignment="1" applyBorder="1" applyFont="1">
      <alignment horizontal="center" shrinkToFit="0" vertical="center" wrapText="0"/>
    </xf>
    <xf borderId="4" fillId="2" fontId="4" numFmtId="0" xfId="0" applyAlignment="1" applyBorder="1" applyFont="1">
      <alignment horizontal="center" shrinkToFit="0" vertical="center" wrapText="0"/>
    </xf>
    <xf borderId="5" fillId="2" fontId="5" numFmtId="0" xfId="0" applyAlignment="1" applyBorder="1" applyFont="1">
      <alignment horizontal="center" shrinkToFit="0" vertical="center" wrapText="0"/>
    </xf>
    <xf borderId="6" fillId="0" fontId="5" numFmtId="0" xfId="0" applyAlignment="1" applyBorder="1" applyFont="1">
      <alignment horizontal="center" readingOrder="0" shrinkToFit="0" vertical="center" wrapText="0"/>
    </xf>
    <xf borderId="7" fillId="0" fontId="5" numFmtId="0" xfId="0" applyAlignment="1" applyBorder="1" applyFont="1">
      <alignment horizontal="center" readingOrder="0" shrinkToFit="0" vertical="center" wrapText="0"/>
    </xf>
    <xf borderId="8" fillId="3" fontId="4" numFmtId="0" xfId="0" applyAlignment="1" applyBorder="1" applyFill="1" applyFont="1">
      <alignment horizontal="center" shrinkToFit="0" vertical="center" wrapText="0"/>
    </xf>
    <xf borderId="9" fillId="0" fontId="6" numFmtId="0" xfId="0" applyBorder="1" applyFont="1"/>
    <xf borderId="10" fillId="0" fontId="6" numFmtId="0" xfId="0" applyBorder="1" applyFont="1"/>
    <xf borderId="8" fillId="0" fontId="7" numFmtId="0" xfId="0" applyAlignment="1" applyBorder="1" applyFont="1">
      <alignment horizontal="center" shrinkToFit="0" vertical="center" wrapText="0"/>
    </xf>
    <xf borderId="11" fillId="2" fontId="8" numFmtId="0" xfId="0" applyAlignment="1" applyBorder="1" applyFont="1">
      <alignment horizontal="center" shrinkToFit="0" vertical="center" wrapText="0"/>
    </xf>
    <xf borderId="0" fillId="0" fontId="8" numFmtId="0" xfId="0" applyAlignment="1" applyFont="1">
      <alignment horizontal="center" readingOrder="0" shrinkToFit="0" vertical="center" wrapText="0"/>
    </xf>
    <xf borderId="12" fillId="0" fontId="8" numFmtId="0" xfId="0" applyAlignment="1" applyBorder="1" applyFont="1">
      <alignment horizontal="center" readingOrder="0" shrinkToFit="0" vertical="center" wrapText="0"/>
    </xf>
    <xf borderId="13" fillId="0" fontId="8" numFmtId="0" xfId="0" applyAlignment="1" applyBorder="1" applyFont="1">
      <alignment horizontal="center" readingOrder="0" shrinkToFit="0" vertical="center" wrapText="0"/>
    </xf>
    <xf borderId="12" fillId="0" fontId="9" numFmtId="0" xfId="0" applyAlignment="1" applyBorder="1" applyFont="1">
      <alignment horizontal="center" readingOrder="0" shrinkToFit="0" vertical="center" wrapText="0"/>
    </xf>
    <xf borderId="13" fillId="0" fontId="9" numFmtId="0" xfId="0" applyAlignment="1" applyBorder="1" applyFont="1">
      <alignment horizontal="center" readingOrder="0" shrinkToFit="0" vertical="center" wrapText="0"/>
    </xf>
    <xf borderId="8" fillId="3" fontId="8" numFmtId="0" xfId="0" applyAlignment="1" applyBorder="1" applyFont="1">
      <alignment horizontal="center" shrinkToFit="0" vertical="center" wrapText="0"/>
    </xf>
    <xf borderId="6" fillId="0" fontId="10" numFmtId="0" xfId="0" applyAlignment="1" applyBorder="1" applyFont="1">
      <alignment horizontal="center" readingOrder="0" shrinkToFit="0" vertical="center" wrapText="0"/>
    </xf>
    <xf borderId="0" fillId="0" fontId="11" numFmtId="0" xfId="0" applyAlignment="1" applyFont="1">
      <alignment readingOrder="0"/>
    </xf>
    <xf borderId="0" fillId="0" fontId="3" numFmtId="0" xfId="0" applyAlignment="1" applyFont="1">
      <alignment shrinkToFit="0" vertical="bottom" wrapText="0"/>
    </xf>
    <xf borderId="14" fillId="3" fontId="8" numFmtId="0" xfId="0" applyAlignment="1" applyBorder="1" applyFont="1">
      <alignment horizontal="center" shrinkToFit="0" vertical="center" wrapText="0"/>
    </xf>
    <xf borderId="15" fillId="3" fontId="8" numFmtId="0" xfId="0" applyAlignment="1" applyBorder="1" applyFont="1">
      <alignment horizontal="center" shrinkToFit="0" vertical="center" wrapText="0"/>
    </xf>
    <xf borderId="16" fillId="3" fontId="8" numFmtId="0" xfId="0" applyAlignment="1" applyBorder="1" applyFont="1">
      <alignment horizontal="center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3" fillId="3" fontId="8" numFmtId="0" xfId="0" applyAlignment="1" applyBorder="1" applyFont="1">
      <alignment horizontal="center" readingOrder="0" shrinkToFit="0" vertical="center" wrapText="0"/>
    </xf>
    <xf borderId="12" fillId="0" fontId="13" numFmtId="0" xfId="0" applyAlignment="1" applyBorder="1" applyFont="1">
      <alignment horizontal="center" readingOrder="0" shrinkToFit="0" vertical="center" wrapText="0"/>
    </xf>
    <xf borderId="8" fillId="3" fontId="13" numFmtId="0" xfId="0" applyAlignment="1" applyBorder="1" applyFont="1">
      <alignment horizontal="center" shrinkToFit="0" vertical="center" wrapText="0"/>
    </xf>
    <xf borderId="0" fillId="0" fontId="14" numFmtId="0" xfId="0" applyAlignment="1" applyFont="1">
      <alignment horizontal="left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center" wrapText="0"/>
    </xf>
    <xf borderId="0" fillId="0" fontId="15" numFmtId="0" xfId="0" applyAlignment="1" applyFont="1">
      <alignment shrinkToFit="0" vertical="bottom" wrapText="0"/>
    </xf>
    <xf borderId="17" fillId="3" fontId="17" numFmtId="0" xfId="0" applyAlignment="1" applyBorder="1" applyFont="1">
      <alignment horizontal="left" shrinkToFit="0" vertical="bottom" wrapText="0"/>
    </xf>
    <xf borderId="18" fillId="3" fontId="18" numFmtId="0" xfId="0" applyAlignment="1" applyBorder="1" applyFont="1">
      <alignment horizontal="center" shrinkToFit="0" vertical="bottom" wrapText="0"/>
    </xf>
    <xf borderId="19" fillId="0" fontId="6" numFmtId="0" xfId="0" applyBorder="1" applyFont="1"/>
    <xf borderId="20" fillId="0" fontId="6" numFmtId="0" xfId="0" applyBorder="1" applyFont="1"/>
    <xf borderId="21" fillId="3" fontId="14" numFmtId="0" xfId="0" applyAlignment="1" applyBorder="1" applyFont="1">
      <alignment horizontal="left" shrinkToFit="0" vertical="bottom" wrapText="0"/>
    </xf>
    <xf borderId="22" fillId="0" fontId="6" numFmtId="0" xfId="0" applyBorder="1" applyFont="1"/>
    <xf borderId="23" fillId="0" fontId="6" numFmtId="0" xfId="0" applyBorder="1" applyFont="1"/>
    <xf borderId="24" fillId="0" fontId="6" numFmtId="0" xfId="0" applyBorder="1" applyFont="1"/>
    <xf borderId="0" fillId="0" fontId="19" numFmtId="0" xfId="0" applyAlignment="1" applyFont="1">
      <alignment shrinkToFit="0" vertical="bottom" wrapText="0"/>
    </xf>
    <xf borderId="21" fillId="3" fontId="19" numFmtId="0" xfId="0" applyAlignment="1" applyBorder="1" applyFont="1">
      <alignment horizontal="left" shrinkToFit="0" vertical="bottom" wrapText="0"/>
    </xf>
    <xf borderId="25" fillId="3" fontId="20" numFmtId="0" xfId="0" applyAlignment="1" applyBorder="1" applyFont="1">
      <alignment horizontal="center" shrinkToFit="0" vertical="bottom" wrapText="0"/>
    </xf>
    <xf borderId="26" fillId="0" fontId="21" numFmtId="0" xfId="0" applyAlignment="1" applyBorder="1" applyFont="1">
      <alignment horizontal="center" shrinkToFit="0" vertical="bottom" wrapText="0"/>
    </xf>
    <xf borderId="27" fillId="0" fontId="6" numFmtId="0" xfId="0" applyBorder="1" applyFont="1"/>
    <xf borderId="12" fillId="3" fontId="21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shrinkToFit="0" vertical="bottom" wrapText="0"/>
    </xf>
    <xf borderId="21" fillId="3" fontId="21" numFmtId="0" xfId="0" applyAlignment="1" applyBorder="1" applyFont="1">
      <alignment horizontal="left" shrinkToFit="0" vertical="bottom" wrapText="0"/>
    </xf>
    <xf borderId="25" fillId="3" fontId="15" numFmtId="0" xfId="0" applyAlignment="1" applyBorder="1" applyFont="1">
      <alignment horizontal="center" shrinkToFit="0" vertical="bottom" wrapText="0"/>
    </xf>
    <xf borderId="12" fillId="0" fontId="22" numFmtId="0" xfId="0" applyAlignment="1" applyBorder="1" applyFont="1">
      <alignment horizontal="center" shrinkToFit="0" vertical="bottom" wrapText="0"/>
    </xf>
    <xf borderId="12" fillId="0" fontId="23" numFmtId="0" xfId="0" applyAlignment="1" applyBorder="1" applyFont="1">
      <alignment horizontal="center" shrinkToFit="0" vertical="bottom" wrapText="0"/>
    </xf>
    <xf borderId="12" fillId="3" fontId="23" numFmtId="0" xfId="0" applyAlignment="1" applyBorder="1" applyFont="1">
      <alignment horizontal="center" shrinkToFit="0" vertical="center" wrapText="0"/>
    </xf>
    <xf borderId="13" fillId="0" fontId="23" numFmtId="0" xfId="0" applyAlignment="1" applyBorder="1" applyFont="1">
      <alignment horizontal="center" shrinkToFit="0" vertical="bottom" wrapText="0"/>
    </xf>
    <xf borderId="28" fillId="3" fontId="21" numFmtId="0" xfId="0" applyAlignment="1" applyBorder="1" applyFont="1">
      <alignment horizontal="left" shrinkToFit="0" vertical="bottom" wrapText="0"/>
    </xf>
    <xf borderId="25" fillId="3" fontId="24" numFmtId="0" xfId="0" applyAlignment="1" applyBorder="1" applyFont="1">
      <alignment shrinkToFit="0" vertical="bottom" wrapText="0"/>
    </xf>
    <xf borderId="21" fillId="3" fontId="24" numFmtId="0" xfId="0" applyAlignment="1" applyBorder="1" applyFont="1">
      <alignment shrinkToFit="0" vertical="bottom" wrapText="0"/>
    </xf>
    <xf borderId="29" fillId="3" fontId="24" numFmtId="0" xfId="0" applyAlignment="1" applyBorder="1" applyFont="1">
      <alignment shrinkToFit="0" vertical="bottom" wrapText="0"/>
    </xf>
    <xf borderId="30" fillId="0" fontId="21" numFmtId="0" xfId="0" applyAlignment="1" applyBorder="1" applyFont="1">
      <alignment horizontal="left" readingOrder="0" shrinkToFit="0" vertical="center" wrapText="0"/>
    </xf>
    <xf borderId="12" fillId="0" fontId="13" numFmtId="0" xfId="0" applyAlignment="1" applyBorder="1" applyFont="1">
      <alignment horizontal="center" shrinkToFit="0" vertical="center" wrapText="0"/>
    </xf>
    <xf borderId="12" fillId="0" fontId="25" numFmtId="1" xfId="0" applyAlignment="1" applyBorder="1" applyFont="1" applyNumberFormat="1">
      <alignment horizontal="center" shrinkToFit="0" vertical="center" wrapText="0"/>
    </xf>
    <xf borderId="31" fillId="0" fontId="25" numFmtId="1" xfId="0" applyAlignment="1" applyBorder="1" applyFont="1" applyNumberFormat="1">
      <alignment horizontal="center" shrinkToFit="0" vertical="center" wrapText="0"/>
    </xf>
    <xf borderId="31" fillId="0" fontId="26" numFmtId="1" xfId="0" applyAlignment="1" applyBorder="1" applyFont="1" applyNumberFormat="1">
      <alignment horizontal="center" shrinkToFit="0" vertical="center" wrapText="0"/>
    </xf>
    <xf borderId="12" fillId="3" fontId="26" numFmtId="0" xfId="0" applyAlignment="1" applyBorder="1" applyFont="1">
      <alignment horizontal="center" shrinkToFit="0" vertical="center" wrapText="0"/>
    </xf>
    <xf borderId="31" fillId="0" fontId="27" numFmtId="1" xfId="0" applyAlignment="1" applyBorder="1" applyFont="1" applyNumberFormat="1">
      <alignment horizontal="center" shrinkToFit="0" vertical="center" wrapText="0"/>
    </xf>
    <xf borderId="31" fillId="0" fontId="28" numFmtId="1" xfId="0" applyAlignment="1" applyBorder="1" applyFont="1" applyNumberFormat="1">
      <alignment horizontal="center" shrinkToFit="0" vertical="center" wrapText="0"/>
    </xf>
    <xf borderId="32" fillId="0" fontId="27" numFmtId="1" xfId="0" applyAlignment="1" applyBorder="1" applyFont="1" applyNumberFormat="1">
      <alignment horizontal="center" shrinkToFit="0" vertical="center" wrapText="0"/>
    </xf>
    <xf borderId="0" fillId="0" fontId="29" numFmtId="0" xfId="0" applyAlignment="1" applyFont="1">
      <alignment horizontal="center" shrinkToFit="0" vertical="center" wrapText="0"/>
    </xf>
    <xf borderId="30" fillId="0" fontId="6" numFmtId="0" xfId="0" applyBorder="1" applyFont="1"/>
    <xf borderId="6" fillId="0" fontId="6" numFmtId="0" xfId="0" applyBorder="1" applyFont="1"/>
    <xf borderId="7" fillId="0" fontId="6" numFmtId="0" xfId="0" applyBorder="1" applyFont="1"/>
    <xf borderId="21" fillId="3" fontId="21" numFmtId="0" xfId="0" applyAlignment="1" applyBorder="1" applyFont="1">
      <alignment horizontal="left" shrinkToFit="0" vertical="center" wrapText="0"/>
    </xf>
    <xf borderId="12" fillId="3" fontId="15" numFmtId="0" xfId="0" applyAlignment="1" applyBorder="1" applyFont="1">
      <alignment horizontal="center" shrinkToFit="0" vertical="center" wrapText="0"/>
    </xf>
    <xf borderId="12" fillId="3" fontId="28" numFmtId="0" xfId="0" applyAlignment="1" applyBorder="1" applyFont="1">
      <alignment horizontal="center" shrinkToFit="0" vertical="center" wrapText="0"/>
    </xf>
    <xf borderId="12" fillId="3" fontId="27" numFmtId="0" xfId="0" applyAlignment="1" applyBorder="1" applyFont="1">
      <alignment horizontal="center" shrinkToFit="0" vertical="center" wrapText="0"/>
    </xf>
    <xf borderId="13" fillId="3" fontId="27" numFmtId="0" xfId="0" applyAlignment="1" applyBorder="1" applyFont="1">
      <alignment horizontal="center" shrinkToFit="0" vertical="center" wrapText="0"/>
    </xf>
    <xf borderId="0" fillId="0" fontId="29" numFmtId="0" xfId="0" applyAlignment="1" applyFont="1">
      <alignment shrinkToFit="0" vertical="bottom" wrapText="0"/>
    </xf>
    <xf borderId="0" fillId="0" fontId="30" numFmtId="0" xfId="0" applyAlignment="1" applyFont="1">
      <alignment shrinkToFit="0" vertical="bottom" wrapText="0"/>
    </xf>
    <xf borderId="33" fillId="0" fontId="6" numFmtId="0" xfId="0" applyBorder="1" applyFont="1"/>
    <xf borderId="34" fillId="3" fontId="31" numFmtId="0" xfId="0" applyAlignment="1" applyBorder="1" applyFont="1">
      <alignment horizontal="left" shrinkToFit="0" vertical="center" wrapText="0"/>
    </xf>
    <xf borderId="35" fillId="3" fontId="32" numFmtId="0" xfId="0" applyAlignment="1" applyBorder="1" applyFont="1">
      <alignment horizontal="center" shrinkToFit="0" vertical="center" wrapText="0"/>
    </xf>
    <xf borderId="35" fillId="3" fontId="27" numFmtId="0" xfId="0" applyAlignment="1" applyBorder="1" applyFont="1">
      <alignment shrinkToFit="0" vertical="center" wrapText="0"/>
    </xf>
    <xf borderId="35" fillId="3" fontId="28" numFmtId="0" xfId="0" applyAlignment="1" applyBorder="1" applyFont="1">
      <alignment shrinkToFit="0" vertical="center" wrapText="0"/>
    </xf>
    <xf borderId="36" fillId="3" fontId="27" numFmtId="0" xfId="0" applyAlignment="1" applyBorder="1" applyFont="1">
      <alignment shrinkToFit="0" vertical="center" wrapText="0"/>
    </xf>
    <xf borderId="0" fillId="0" fontId="9" numFmtId="0" xfId="0" applyAlignment="1" applyFont="1">
      <alignment horizontal="left" shrinkToFit="0" vertical="center" wrapText="0"/>
    </xf>
    <xf borderId="0" fillId="0" fontId="15" numFmtId="0" xfId="0" applyAlignment="1" applyFont="1">
      <alignment horizontal="center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1" xfId="0" applyAlignment="1" applyFont="1" applyNumberFormat="1">
      <alignment shrinkToFit="0" vertical="bottom" wrapText="0"/>
    </xf>
    <xf borderId="0" fillId="0" fontId="9" numFmtId="0" xfId="0" applyAlignment="1" applyFont="1">
      <alignment horizontal="left" shrinkToFit="0" vertical="bottom" wrapText="0"/>
    </xf>
    <xf borderId="25" fillId="4" fontId="3" numFmtId="0" xfId="0" applyAlignment="1" applyBorder="1" applyFill="1" applyFont="1">
      <alignment shrinkToFit="0" vertical="bottom" wrapText="0"/>
    </xf>
    <xf borderId="12" fillId="4" fontId="14" numFmtId="0" xfId="0" applyAlignment="1" applyBorder="1" applyFont="1">
      <alignment shrinkToFit="0" vertical="bottom" wrapText="0"/>
    </xf>
    <xf borderId="12" fillId="4" fontId="14" numFmtId="0" xfId="0" applyAlignment="1" applyBorder="1" applyFont="1">
      <alignment horizontal="center" shrinkToFit="0" vertical="bottom" wrapText="0"/>
    </xf>
    <xf borderId="25" fillId="4" fontId="14" numFmtId="0" xfId="0" applyAlignment="1" applyBorder="1" applyFont="1">
      <alignment shrinkToFit="0" vertical="bottom" wrapText="0"/>
    </xf>
    <xf borderId="12" fillId="5" fontId="9" numFmtId="0" xfId="0" applyAlignment="1" applyBorder="1" applyFill="1" applyFont="1">
      <alignment horizontal="center" shrinkToFit="0" vertical="bottom" wrapText="0"/>
    </xf>
    <xf borderId="12" fillId="6" fontId="5" numFmtId="0" xfId="0" applyAlignment="1" applyBorder="1" applyFill="1" applyFont="1">
      <alignment horizontal="center" readingOrder="0" shrinkToFit="0" vertical="center" wrapText="0"/>
    </xf>
    <xf borderId="12" fillId="6" fontId="3" numFmtId="0" xfId="0" applyAlignment="1" applyBorder="1" applyFont="1">
      <alignment horizontal="center" shrinkToFit="0" vertical="bottom" wrapText="0"/>
    </xf>
    <xf borderId="12" fillId="6" fontId="3" numFmtId="0" xfId="0" applyAlignment="1" applyBorder="1" applyFont="1">
      <alignment shrinkToFit="0" vertical="bottom" wrapText="0"/>
    </xf>
    <xf borderId="37" fillId="6" fontId="5" numFmtId="0" xfId="0" applyAlignment="1" applyBorder="1" applyFont="1">
      <alignment horizontal="center" readingOrder="0" shrinkToFit="0" vertical="center" wrapText="0"/>
    </xf>
    <xf borderId="37" fillId="6" fontId="3" numFmtId="0" xfId="0" applyAlignment="1" applyBorder="1" applyFont="1">
      <alignment horizontal="center" shrinkToFit="0" vertical="bottom" wrapText="0"/>
    </xf>
    <xf borderId="37" fillId="6" fontId="14" numFmtId="0" xfId="0" applyAlignment="1" applyBorder="1" applyFont="1">
      <alignment horizontal="center" shrinkToFit="0" vertical="bottom" wrapText="0"/>
    </xf>
    <xf borderId="12" fillId="6" fontId="9" numFmtId="0" xfId="0" applyAlignment="1" applyBorder="1" applyFont="1">
      <alignment horizontal="center" shrinkToFit="0" vertical="center" wrapText="0"/>
    </xf>
    <xf borderId="12" fillId="6" fontId="3" numFmtId="0" xfId="0" applyAlignment="1" applyBorder="1" applyFont="1">
      <alignment horizontal="center" readingOrder="0" shrinkToFit="0" vertical="bottom" wrapText="0"/>
    </xf>
    <xf borderId="12" fillId="0" fontId="14" numFmtId="0" xfId="0" applyAlignment="1" applyBorder="1" applyFont="1">
      <alignment horizontal="center" shrinkToFit="0" vertical="bottom" wrapText="0"/>
    </xf>
    <xf borderId="12" fillId="3" fontId="8" numFmtId="0" xfId="0" applyAlignment="1" applyBorder="1" applyFont="1">
      <alignment horizontal="center" readingOrder="0" shrinkToFit="0" vertical="center" wrapText="0"/>
    </xf>
    <xf borderId="12" fillId="3" fontId="3" numFmtId="0" xfId="0" applyAlignment="1" applyBorder="1" applyFont="1">
      <alignment horizontal="center" readingOrder="0" shrinkToFit="0" vertical="bottom" wrapText="0"/>
    </xf>
    <xf borderId="0" fillId="0" fontId="14" numFmtId="0" xfId="0" applyAlignment="1" applyFont="1">
      <alignment shrinkToFit="0" vertical="bottom" wrapText="0"/>
    </xf>
    <xf borderId="11" fillId="7" fontId="9" numFmtId="0" xfId="0" applyAlignment="1" applyBorder="1" applyFill="1" applyFont="1">
      <alignment horizontal="center" shrinkToFit="0" vertical="center" wrapText="0"/>
    </xf>
    <xf borderId="12" fillId="7" fontId="3" numFmtId="0" xfId="0" applyAlignment="1" applyBorder="1" applyFont="1">
      <alignment horizontal="center" readingOrder="0" shrinkToFit="0" vertical="bottom" wrapText="0"/>
    </xf>
    <xf borderId="12" fillId="7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shrinkToFit="0" vertical="bottom" wrapText="0"/>
    </xf>
    <xf borderId="0" fillId="0" fontId="14" numFmtId="0" xfId="0" applyAlignment="1" applyFont="1">
      <alignment horizontal="center" shrinkToFit="0" vertical="bottom" wrapText="0"/>
    </xf>
    <xf borderId="25" fillId="4" fontId="14" numFmtId="0" xfId="0" applyAlignment="1" applyBorder="1" applyFont="1">
      <alignment horizontal="center" shrinkToFit="0" vertical="bottom" wrapText="0"/>
    </xf>
    <xf borderId="12" fillId="6" fontId="14" numFmtId="0" xfId="0" applyAlignment="1" applyBorder="1" applyFont="1">
      <alignment horizontal="center" shrinkToFit="0" vertical="bottom" wrapText="0"/>
    </xf>
    <xf borderId="9" fillId="0" fontId="8" numFmtId="0" xfId="0" applyAlignment="1" applyBorder="1" applyFont="1">
      <alignment horizontal="center" shrinkToFit="0" vertical="center" wrapText="0"/>
    </xf>
    <xf borderId="12" fillId="7" fontId="33" numFmtId="0" xfId="0" applyAlignment="1" applyBorder="1" applyFont="1">
      <alignment horizontal="center" readingOrder="0" shrinkToFit="0" vertical="bottom" wrapText="0"/>
    </xf>
    <xf borderId="12" fillId="7" fontId="9" numFmtId="0" xfId="0" applyAlignment="1" applyBorder="1" applyFont="1">
      <alignment horizontal="center" shrinkToFit="0" vertical="center" wrapText="0"/>
    </xf>
    <xf borderId="0" fillId="0" fontId="34" numFmtId="0" xfId="0" applyAlignment="1" applyFont="1">
      <alignment shrinkToFit="0" vertical="bottom" wrapText="0"/>
    </xf>
    <xf borderId="38" fillId="0" fontId="4" numFmtId="0" xfId="0" applyAlignment="1" applyBorder="1" applyFont="1">
      <alignment horizontal="center" shrinkToFit="0" vertical="center" wrapText="0"/>
    </xf>
    <xf borderId="39" fillId="0" fontId="6" numFmtId="0" xfId="0" applyBorder="1" applyFont="1"/>
    <xf borderId="30" fillId="0" fontId="34" numFmtId="0" xfId="0" applyAlignment="1" applyBorder="1" applyFont="1">
      <alignment shrinkToFit="0" vertical="bottom" wrapText="0"/>
    </xf>
    <xf borderId="39" fillId="0" fontId="34" numFmtId="0" xfId="0" applyAlignment="1" applyBorder="1" applyFont="1">
      <alignment shrinkToFit="0" vertical="bottom" wrapText="0"/>
    </xf>
    <xf borderId="26" fillId="0" fontId="35" numFmtId="0" xfId="0" applyAlignment="1" applyBorder="1" applyFont="1">
      <alignment horizontal="center" shrinkToFit="0" vertical="center" wrapText="0"/>
    </xf>
    <xf borderId="40" fillId="3" fontId="34" numFmtId="0" xfId="0" applyAlignment="1" applyBorder="1" applyFont="1">
      <alignment horizontal="center" shrinkToFit="0" vertical="bottom" wrapText="0"/>
    </xf>
    <xf borderId="41" fillId="0" fontId="6" numFmtId="0" xfId="0" applyBorder="1" applyFont="1"/>
    <xf borderId="42" fillId="0" fontId="6" numFmtId="0" xfId="0" applyBorder="1" applyFont="1"/>
    <xf borderId="43" fillId="0" fontId="6" numFmtId="0" xfId="0" applyBorder="1" applyFont="1"/>
    <xf borderId="44" fillId="0" fontId="6" numFmtId="0" xfId="0" applyBorder="1" applyFont="1"/>
    <xf borderId="45" fillId="0" fontId="6" numFmtId="0" xfId="0" applyBorder="1" applyFont="1"/>
    <xf borderId="40" fillId="0" fontId="5" numFmtId="0" xfId="0" applyAlignment="1" applyBorder="1" applyFont="1">
      <alignment horizontal="center" shrinkToFit="0" vertical="center" wrapText="0"/>
    </xf>
    <xf borderId="11" fillId="0" fontId="17" numFmtId="0" xfId="0" applyAlignment="1" applyBorder="1" applyFont="1">
      <alignment horizontal="center" shrinkToFit="0" vertical="center" wrapText="1"/>
    </xf>
    <xf borderId="12" fillId="0" fontId="17" numFmtId="0" xfId="0" applyAlignment="1" applyBorder="1" applyFont="1">
      <alignment horizontal="center" shrinkToFit="0" vertical="center" wrapText="1"/>
    </xf>
    <xf borderId="26" fillId="0" fontId="17" numFmtId="0" xfId="0" applyAlignment="1" applyBorder="1" applyFont="1">
      <alignment horizontal="center" readingOrder="0" shrinkToFit="0" vertical="center" wrapText="1"/>
    </xf>
    <xf borderId="26" fillId="0" fontId="17" numFmtId="0" xfId="0" applyAlignment="1" applyBorder="1" applyFont="1">
      <alignment horizontal="center" shrinkToFit="0" vertical="center" wrapText="1"/>
    </xf>
    <xf borderId="46" fillId="0" fontId="17" numFmtId="2" xfId="0" applyAlignment="1" applyBorder="1" applyFont="1" applyNumberFormat="1">
      <alignment horizontal="center" shrinkToFit="0" vertical="center" wrapText="0"/>
    </xf>
    <xf borderId="31" fillId="0" fontId="36" numFmtId="1" xfId="0" applyAlignment="1" applyBorder="1" applyFont="1" applyNumberFormat="1">
      <alignment horizontal="center" readingOrder="0" shrinkToFit="0" vertical="center" wrapText="1"/>
    </xf>
    <xf borderId="31" fillId="0" fontId="34" numFmtId="1" xfId="0" applyAlignment="1" applyBorder="1" applyFont="1" applyNumberFormat="1">
      <alignment horizontal="center" readingOrder="0" shrinkToFit="0" vertical="center" wrapText="1"/>
    </xf>
    <xf borderId="31" fillId="0" fontId="17" numFmtId="1" xfId="0" applyAlignment="1" applyBorder="1" applyFont="1" applyNumberFormat="1">
      <alignment horizontal="center" shrinkToFit="0" vertical="center" wrapText="1"/>
    </xf>
    <xf borderId="47" fillId="0" fontId="34" numFmtId="1" xfId="0" applyAlignment="1" applyBorder="1" applyFont="1" applyNumberFormat="1">
      <alignment horizontal="center" readingOrder="0" shrinkToFit="0" vertical="center" wrapText="1"/>
    </xf>
    <xf borderId="48" fillId="0" fontId="34" numFmtId="1" xfId="0" applyAlignment="1" applyBorder="1" applyFont="1" applyNumberFormat="1">
      <alignment horizontal="center" readingOrder="0" shrinkToFit="0" vertical="center" wrapText="1"/>
    </xf>
    <xf borderId="31" fillId="0" fontId="34" numFmtId="1" xfId="0" applyAlignment="1" applyBorder="1" applyFont="1" applyNumberFormat="1">
      <alignment horizontal="center" shrinkToFit="0" vertical="center" wrapText="1"/>
    </xf>
    <xf borderId="32" fillId="0" fontId="34" numFmtId="1" xfId="0" applyAlignment="1" applyBorder="1" applyFont="1" applyNumberFormat="1">
      <alignment horizontal="center" shrinkToFit="0" vertical="center" wrapText="1"/>
    </xf>
    <xf borderId="49" fillId="0" fontId="6" numFmtId="0" xfId="0" applyBorder="1" applyFont="1"/>
    <xf borderId="50" fillId="0" fontId="34" numFmtId="1" xfId="0" applyAlignment="1" applyBorder="1" applyFont="1" applyNumberFormat="1">
      <alignment horizontal="center" readingOrder="0" shrinkToFit="0" vertical="center" wrapText="1"/>
    </xf>
    <xf borderId="51" fillId="0" fontId="34" numFmtId="1" xfId="0" applyAlignment="1" applyBorder="1" applyFont="1" applyNumberFormat="1">
      <alignment horizontal="center" readingOrder="0" shrinkToFit="0" vertical="center" wrapText="1"/>
    </xf>
    <xf borderId="8" fillId="3" fontId="17" numFmtId="1" xfId="0" applyAlignment="1" applyBorder="1" applyFont="1" applyNumberFormat="1">
      <alignment horizontal="center" shrinkToFit="0" vertical="center" wrapText="0"/>
    </xf>
    <xf borderId="32" fillId="0" fontId="34" numFmtId="1" xfId="0" applyAlignment="1" applyBorder="1" applyFont="1" applyNumberFormat="1">
      <alignment horizontal="center" readingOrder="0" shrinkToFit="0" vertical="center" wrapText="1"/>
    </xf>
    <xf borderId="46" fillId="0" fontId="17" numFmtId="2" xfId="0" applyAlignment="1" applyBorder="1" applyFont="1" applyNumberFormat="1">
      <alignment horizontal="center" readingOrder="0" shrinkToFit="0" vertical="center" wrapText="0"/>
    </xf>
    <xf borderId="8" fillId="0" fontId="34" numFmtId="1" xfId="0" applyAlignment="1" applyBorder="1" applyFont="1" applyNumberFormat="1">
      <alignment horizontal="center" shrinkToFit="0" vertical="center" wrapText="0"/>
    </xf>
    <xf borderId="52" fillId="0" fontId="34" numFmtId="1" xfId="0" applyAlignment="1" applyBorder="1" applyFont="1" applyNumberFormat="1">
      <alignment horizontal="center" shrinkToFit="0" vertical="center" wrapText="1"/>
    </xf>
    <xf borderId="10" fillId="0" fontId="34" numFmtId="1" xfId="0" applyAlignment="1" applyBorder="1" applyFont="1" applyNumberFormat="1">
      <alignment horizontal="center" shrinkToFit="0" vertical="center" wrapText="1"/>
    </xf>
    <xf borderId="31" fillId="0" fontId="34" numFmtId="0" xfId="0" applyAlignment="1" applyBorder="1" applyFont="1">
      <alignment horizontal="center" readingOrder="0" shrinkToFit="0" vertical="center" wrapText="1"/>
    </xf>
    <xf borderId="53" fillId="0" fontId="34" numFmtId="1" xfId="0" applyAlignment="1" applyBorder="1" applyFont="1" applyNumberFormat="1">
      <alignment horizontal="center" readingOrder="0" shrinkToFit="0" vertical="center" wrapText="1"/>
    </xf>
    <xf borderId="54" fillId="0" fontId="34" numFmtId="1" xfId="0" applyAlignment="1" applyBorder="1" applyFont="1" applyNumberFormat="1">
      <alignment horizontal="center" readingOrder="0" shrinkToFit="0" vertical="center" wrapText="1"/>
    </xf>
    <xf borderId="31" fillId="0" fontId="17" numFmtId="1" xfId="0" applyAlignment="1" applyBorder="1" applyFont="1" applyNumberFormat="1">
      <alignment horizontal="center" readingOrder="0" shrinkToFit="0" vertical="center" wrapText="0"/>
    </xf>
    <xf borderId="8" fillId="0" fontId="17" numFmtId="1" xfId="0" applyAlignment="1" applyBorder="1" applyFont="1" applyNumberFormat="1">
      <alignment horizontal="center" shrinkToFit="0" vertical="center" wrapText="0"/>
    </xf>
    <xf borderId="26" fillId="0" fontId="17" numFmtId="1" xfId="0" applyAlignment="1" applyBorder="1" applyFont="1" applyNumberFormat="1">
      <alignment horizontal="center" shrinkToFit="0" vertical="center" wrapText="1"/>
    </xf>
    <xf borderId="55" fillId="0" fontId="17" numFmtId="1" xfId="0" applyAlignment="1" applyBorder="1" applyFont="1" applyNumberFormat="1">
      <alignment horizontal="center" shrinkToFit="0" vertical="center" wrapText="1"/>
    </xf>
    <xf borderId="52" fillId="0" fontId="17" numFmtId="1" xfId="0" applyAlignment="1" applyBorder="1" applyFont="1" applyNumberFormat="1">
      <alignment horizontal="center" shrinkToFit="0" vertical="center" wrapText="1"/>
    </xf>
    <xf borderId="10" fillId="0" fontId="17" numFmtId="1" xfId="0" applyAlignment="1" applyBorder="1" applyFont="1" applyNumberFormat="1">
      <alignment horizontal="center" shrinkToFit="0" vertical="center" wrapText="1"/>
    </xf>
    <xf borderId="56" fillId="0" fontId="34" numFmtId="0" xfId="0" applyAlignment="1" applyBorder="1" applyFont="1">
      <alignment horizontal="center" readingOrder="0" shrinkToFit="0" vertical="center" wrapText="1"/>
    </xf>
    <xf borderId="51" fillId="0" fontId="6" numFmtId="0" xfId="0" applyBorder="1" applyFont="1"/>
    <xf borderId="57" fillId="0" fontId="34" numFmtId="0" xfId="0" applyAlignment="1" applyBorder="1" applyFont="1">
      <alignment horizontal="center" readingOrder="0" shrinkToFit="0" vertical="center" wrapText="1"/>
    </xf>
    <xf borderId="58" fillId="0" fontId="6" numFmtId="0" xfId="0" applyBorder="1" applyFont="1"/>
    <xf borderId="0" fillId="0" fontId="34" numFmtId="0" xfId="0" applyAlignment="1" applyFont="1">
      <alignment readingOrder="0" shrinkToFit="0" vertical="bottom" wrapText="0"/>
    </xf>
    <xf borderId="59" fillId="0" fontId="34" numFmtId="1" xfId="0" applyAlignment="1" applyBorder="1" applyFont="1" applyNumberFormat="1">
      <alignment horizontal="center" readingOrder="0" shrinkToFit="0" vertical="center" wrapText="1"/>
    </xf>
    <xf borderId="60" fillId="0" fontId="34" numFmtId="1" xfId="0" applyAlignment="1" applyBorder="1" applyFont="1" applyNumberFormat="1">
      <alignment horizontal="center" readingOrder="0" shrinkToFit="0" vertical="center" wrapText="1"/>
    </xf>
    <xf borderId="44" fillId="0" fontId="34" numFmtId="1" xfId="0" applyAlignment="1" applyBorder="1" applyFont="1" applyNumberFormat="1">
      <alignment horizontal="center" readingOrder="0" shrinkToFit="0" vertical="center" wrapText="1"/>
    </xf>
    <xf borderId="61" fillId="0" fontId="34" numFmtId="1" xfId="0" applyAlignment="1" applyBorder="1" applyFont="1" applyNumberFormat="1">
      <alignment horizontal="center" readingOrder="0" shrinkToFit="0" vertical="center" wrapText="1"/>
    </xf>
    <xf borderId="62" fillId="3" fontId="17" numFmtId="1" xfId="0" applyAlignment="1" applyBorder="1" applyFont="1" applyNumberFormat="1">
      <alignment horizontal="center" shrinkToFit="0" vertical="center" wrapText="0"/>
    </xf>
    <xf borderId="63" fillId="0" fontId="6" numFmtId="0" xfId="0" applyBorder="1" applyFont="1"/>
    <xf borderId="64" fillId="0" fontId="6" numFmtId="0" xfId="0" applyBorder="1" applyFont="1"/>
    <xf borderId="31" fillId="0" fontId="17" numFmtId="1" xfId="0" applyAlignment="1" applyBorder="1" applyFont="1" applyNumberFormat="1">
      <alignment horizontal="center" shrinkToFit="0" vertical="center" wrapText="0"/>
    </xf>
    <xf borderId="31" fillId="0" fontId="34" numFmtId="0" xfId="0" applyAlignment="1" applyBorder="1" applyFont="1">
      <alignment horizontal="center" shrinkToFit="0" vertical="center" wrapText="1"/>
    </xf>
    <xf borderId="59" fillId="0" fontId="34" numFmtId="1" xfId="0" applyAlignment="1" applyBorder="1" applyFont="1" applyNumberFormat="1">
      <alignment horizontal="center" shrinkToFit="0" vertical="center" wrapText="1"/>
    </xf>
    <xf borderId="60" fillId="0" fontId="34" numFmtId="1" xfId="0" applyAlignment="1" applyBorder="1" applyFont="1" applyNumberFormat="1">
      <alignment horizontal="center" shrinkToFit="0" vertical="center" wrapText="1"/>
    </xf>
    <xf borderId="44" fillId="0" fontId="34" numFmtId="1" xfId="0" applyAlignment="1" applyBorder="1" applyFont="1" applyNumberFormat="1">
      <alignment horizontal="center" shrinkToFit="0" vertical="center" wrapText="1"/>
    </xf>
    <xf borderId="61" fillId="0" fontId="34" numFmtId="1" xfId="0" applyAlignment="1" applyBorder="1" applyFont="1" applyNumberFormat="1">
      <alignment horizontal="center" shrinkToFit="0" vertical="center" wrapText="1"/>
    </xf>
    <xf borderId="27" fillId="0" fontId="34" numFmtId="1" xfId="0" applyAlignment="1" applyBorder="1" applyFont="1" applyNumberFormat="1">
      <alignment horizontal="center" shrinkToFit="0" vertical="center" wrapText="1"/>
    </xf>
    <xf borderId="11" fillId="0" fontId="17" numFmtId="2" xfId="0" applyAlignment="1" applyBorder="1" applyFont="1" applyNumberFormat="1">
      <alignment horizontal="center" shrinkToFit="0" vertical="center" wrapText="1"/>
    </xf>
    <xf borderId="65" fillId="3" fontId="17" numFmtId="1" xfId="0" applyAlignment="1" applyBorder="1" applyFont="1" applyNumberFormat="1">
      <alignment horizontal="center" shrinkToFit="0" vertical="center" wrapText="0"/>
    </xf>
    <xf borderId="66" fillId="0" fontId="6" numFmtId="0" xfId="0" applyBorder="1" applyFont="1"/>
    <xf borderId="67" fillId="0" fontId="6" numFmtId="0" xfId="0" applyBorder="1" applyFont="1"/>
    <xf borderId="0" fillId="0" fontId="4" numFmtId="0" xfId="0" applyAlignment="1" applyFont="1">
      <alignment horizontal="center" shrinkToFit="0" vertical="center" wrapText="0"/>
    </xf>
    <xf borderId="57" fillId="3" fontId="34" numFmtId="0" xfId="0" applyAlignment="1" applyBorder="1" applyFont="1">
      <alignment horizontal="center" shrinkToFit="0" vertical="bottom" wrapText="0"/>
    </xf>
    <xf borderId="56" fillId="0" fontId="6" numFmtId="0" xfId="0" applyBorder="1" applyFont="1"/>
    <xf borderId="57" fillId="0" fontId="5" numFmtId="0" xfId="0" applyAlignment="1" applyBorder="1" applyFont="1">
      <alignment horizontal="center" shrinkToFit="0" vertical="center" wrapText="0"/>
    </xf>
    <xf borderId="26" fillId="0" fontId="17" numFmtId="0" xfId="0" applyAlignment="1" applyBorder="1" applyFont="1">
      <alignment horizontal="center" shrinkToFit="0" vertical="bottom" wrapText="0"/>
    </xf>
    <xf borderId="31" fillId="0" fontId="17" numFmtId="2" xfId="0" applyAlignment="1" applyBorder="1" applyFont="1" applyNumberFormat="1">
      <alignment horizontal="center" shrinkToFit="0" vertical="center" wrapText="0"/>
    </xf>
    <xf borderId="12" fillId="0" fontId="34" numFmtId="1" xfId="0" applyAlignment="1" applyBorder="1" applyFont="1" applyNumberFormat="1">
      <alignment horizontal="center" readingOrder="0" shrinkToFit="0" vertical="center" wrapText="1"/>
    </xf>
    <xf borderId="26" fillId="3" fontId="17" numFmtId="1" xfId="0" applyAlignment="1" applyBorder="1" applyFont="1" applyNumberFormat="1">
      <alignment horizontal="center" shrinkToFit="0" vertical="center" wrapText="0"/>
    </xf>
    <xf borderId="31" fillId="0" fontId="17" numFmtId="2" xfId="0" applyAlignment="1" applyBorder="1" applyFont="1" applyNumberFormat="1">
      <alignment horizontal="center" readingOrder="0" shrinkToFit="0" vertical="center" wrapText="0"/>
    </xf>
    <xf borderId="26" fillId="0" fontId="34" numFmtId="1" xfId="0" applyAlignment="1" applyBorder="1" applyFont="1" applyNumberFormat="1">
      <alignment horizontal="center" shrinkToFit="0" vertical="center" wrapText="0"/>
    </xf>
    <xf borderId="12" fillId="0" fontId="34" numFmtId="1" xfId="0" applyAlignment="1" applyBorder="1" applyFont="1" applyNumberFormat="1">
      <alignment horizontal="center" shrinkToFit="0" vertical="center" wrapText="1"/>
    </xf>
    <xf borderId="26" fillId="0" fontId="17" numFmtId="1" xfId="0" applyAlignment="1" applyBorder="1" applyFont="1" applyNumberFormat="1">
      <alignment horizontal="center" shrinkToFit="0" vertical="center" wrapText="0"/>
    </xf>
    <xf borderId="12" fillId="0" fontId="17" numFmtId="1" xfId="0" applyAlignment="1" applyBorder="1" applyFont="1" applyNumberFormat="1">
      <alignment horizontal="center" shrinkToFit="0" vertical="center" wrapText="1"/>
    </xf>
    <xf borderId="0" fillId="0" fontId="17" numFmtId="0" xfId="0" applyAlignment="1" applyFont="1">
      <alignment readingOrder="0" shrinkToFit="0" vertical="bottom" wrapText="0"/>
    </xf>
    <xf borderId="12" fillId="0" fontId="17" numFmtId="2" xfId="0" applyAlignment="1" applyBorder="1" applyFont="1" applyNumberFormat="1">
      <alignment horizontal="center" shrinkToFit="0" vertical="center" wrapText="1"/>
    </xf>
    <xf borderId="0" fillId="0" fontId="34" numFmtId="0" xfId="0" applyAlignment="1" applyFont="1">
      <alignment horizontal="center" shrinkToFit="0" vertical="center" wrapText="1"/>
    </xf>
    <xf borderId="26" fillId="3" fontId="17" numFmtId="1" xfId="0" applyAlignment="1" applyBorder="1" applyFont="1" applyNumberFormat="1">
      <alignment horizontal="center" readingOrder="0" shrinkToFit="0" vertical="center" wrapText="0"/>
    </xf>
    <xf borderId="0" fillId="0" fontId="34" numFmtId="1" xfId="0" applyAlignment="1" applyFont="1" applyNumberFormat="1">
      <alignment horizontal="center" shrinkToFit="0" vertical="center" wrapText="1"/>
    </xf>
    <xf borderId="31" fillId="0" fontId="17" numFmtId="0" xfId="0" applyAlignment="1" applyBorder="1" applyFont="1">
      <alignment horizontal="center" readingOrder="0" shrinkToFit="0" vertical="center" wrapText="0"/>
    </xf>
    <xf borderId="31" fillId="0" fontId="37" numFmtId="1" xfId="0" applyAlignment="1" applyBorder="1" applyFont="1" applyNumberFormat="1">
      <alignment horizontal="center" readingOrder="0" shrinkToFit="0" vertical="center" wrapText="1"/>
    </xf>
    <xf borderId="31" fillId="0" fontId="17" numFmtId="1" xfId="0" applyAlignment="1" applyBorder="1" applyFont="1" applyNumberFormat="1">
      <alignment horizontal="center" readingOrder="0" shrinkToFit="0" vertical="center" wrapText="1"/>
    </xf>
    <xf borderId="31" fillId="0" fontId="17" numFmtId="0" xfId="0" applyAlignment="1" applyBorder="1" applyFont="1">
      <alignment horizontal="center" shrinkToFit="0" vertical="center" wrapText="0"/>
    </xf>
    <xf borderId="31" fillId="0" fontId="36" numFmtId="1" xfId="0" applyAlignment="1" applyBorder="1" applyFont="1" applyNumberFormat="1">
      <alignment horizontal="center" shrinkToFit="0" vertical="center" wrapText="1"/>
    </xf>
    <xf borderId="0" fillId="0" fontId="17" numFmtId="0" xfId="0" applyAlignment="1" applyFont="1">
      <alignment shrinkToFit="0" vertical="bottom" wrapText="0"/>
    </xf>
    <xf borderId="0" fillId="0" fontId="17" numFmtId="16" xfId="0" applyAlignment="1" applyFont="1" applyNumberFormat="1">
      <alignment shrinkToFit="0" vertical="bottom" wrapText="0"/>
    </xf>
    <xf borderId="26" fillId="0" fontId="17" numFmtId="0" xfId="0" applyAlignment="1" applyBorder="1" applyFont="1">
      <alignment horizontal="center" readingOrder="0" shrinkToFit="0" vertical="bottom" wrapText="0"/>
    </xf>
    <xf borderId="38" fillId="0" fontId="35" numFmtId="0" xfId="0" applyAlignment="1" applyBorder="1" applyFont="1">
      <alignment horizontal="center" shrinkToFit="0" vertical="center" wrapText="0"/>
    </xf>
    <xf borderId="30" fillId="0" fontId="17" numFmtId="0" xfId="0" applyAlignment="1" applyBorder="1" applyFont="1">
      <alignment horizontal="center" shrinkToFit="0" vertical="bottom" wrapText="0"/>
    </xf>
    <xf borderId="0" fillId="0" fontId="34" numFmtId="16" xfId="0" applyAlignment="1" applyFont="1" applyNumberFormat="1">
      <alignment shrinkToFit="0" vertical="bottom" wrapText="0"/>
    </xf>
    <xf borderId="46" fillId="8" fontId="17" numFmtId="1" xfId="0" applyAlignment="1" applyBorder="1" applyFill="1" applyFont="1" applyNumberFormat="1">
      <alignment horizontal="center" shrinkToFit="0" vertical="center" wrapText="0"/>
    </xf>
    <xf borderId="31" fillId="8" fontId="17" numFmtId="1" xfId="0" applyAlignment="1" applyBorder="1" applyFont="1" applyNumberFormat="1">
      <alignment horizontal="center" readingOrder="0" shrinkToFit="0" vertical="center" wrapText="0"/>
    </xf>
    <xf borderId="31" fillId="8" fontId="34" numFmtId="1" xfId="0" applyAlignment="1" applyBorder="1" applyFont="1" applyNumberFormat="1">
      <alignment horizontal="center" readingOrder="0" shrinkToFit="0" vertical="center" wrapText="0"/>
    </xf>
    <xf borderId="31" fillId="8" fontId="17" numFmtId="1" xfId="0" applyAlignment="1" applyBorder="1" applyFont="1" applyNumberFormat="1">
      <alignment horizontal="center" shrinkToFit="0" vertical="center" wrapText="0"/>
    </xf>
    <xf borderId="68" fillId="8" fontId="34" numFmtId="1" xfId="0" applyAlignment="1" applyBorder="1" applyFont="1" applyNumberFormat="1">
      <alignment horizontal="center" readingOrder="0" shrinkToFit="0" vertical="center" wrapText="0"/>
    </xf>
    <xf borderId="69" fillId="8" fontId="34" numFmtId="1" xfId="0" applyAlignment="1" applyBorder="1" applyFont="1" applyNumberFormat="1">
      <alignment horizontal="center" readingOrder="0" shrinkToFit="0" vertical="center" wrapText="0"/>
    </xf>
    <xf borderId="70" fillId="8" fontId="34" numFmtId="1" xfId="0" applyAlignment="1" applyBorder="1" applyFont="1" applyNumberFormat="1">
      <alignment horizontal="center" readingOrder="0" shrinkToFit="0" vertical="center" wrapText="0"/>
    </xf>
    <xf borderId="32" fillId="8" fontId="34" numFmtId="1" xfId="0" applyAlignment="1" applyBorder="1" applyFont="1" applyNumberFormat="1">
      <alignment horizontal="center" readingOrder="0" shrinkToFit="0" vertical="center" wrapText="0"/>
    </xf>
    <xf borderId="71" fillId="0" fontId="6" numFmtId="0" xfId="0" applyBorder="1" applyFont="1"/>
    <xf borderId="72" fillId="8" fontId="34" numFmtId="1" xfId="0" applyAlignment="1" applyBorder="1" applyFont="1" applyNumberFormat="1">
      <alignment horizontal="center" readingOrder="0" shrinkToFit="0" vertical="center" wrapText="0"/>
    </xf>
    <xf borderId="73" fillId="8" fontId="34" numFmtId="1" xfId="0" applyAlignment="1" applyBorder="1" applyFont="1" applyNumberFormat="1">
      <alignment horizontal="center" readingOrder="0" shrinkToFit="0" vertical="center" wrapText="0"/>
    </xf>
    <xf borderId="11" fillId="3" fontId="17" numFmtId="1" xfId="0" applyAlignment="1" applyBorder="1" applyFont="1" applyNumberFormat="1">
      <alignment horizontal="center" shrinkToFit="0" vertical="center" wrapText="0"/>
    </xf>
    <xf borderId="12" fillId="3" fontId="17" numFmtId="1" xfId="0" applyAlignment="1" applyBorder="1" applyFont="1" applyNumberFormat="1">
      <alignment horizontal="center" shrinkToFit="0" vertical="center" wrapText="0"/>
    </xf>
    <xf borderId="74" fillId="3" fontId="17" numFmtId="1" xfId="0" applyAlignment="1" applyBorder="1" applyFont="1" applyNumberFormat="1">
      <alignment horizontal="center" shrinkToFit="0" vertical="center" wrapText="0"/>
    </xf>
    <xf borderId="75" fillId="3" fontId="17" numFmtId="1" xfId="0" applyAlignment="1" applyBorder="1" applyFont="1" applyNumberFormat="1">
      <alignment horizontal="center" shrinkToFit="0" vertical="center" wrapText="0"/>
    </xf>
    <xf borderId="13" fillId="3" fontId="17" numFmtId="1" xfId="0" applyAlignment="1" applyBorder="1" applyFont="1" applyNumberFormat="1">
      <alignment horizontal="center" shrinkToFit="0" vertical="center" wrapText="0"/>
    </xf>
    <xf borderId="47" fillId="0" fontId="34" numFmtId="1" xfId="0" applyAlignment="1" applyBorder="1" applyFont="1" applyNumberFormat="1">
      <alignment horizontal="center" shrinkToFit="0" vertical="center" wrapText="1"/>
    </xf>
    <xf borderId="48" fillId="0" fontId="34" numFmtId="1" xfId="0" applyAlignment="1" applyBorder="1" applyFont="1" applyNumberFormat="1">
      <alignment horizontal="center" shrinkToFit="0" vertical="center" wrapText="1"/>
    </xf>
    <xf borderId="50" fillId="0" fontId="34" numFmtId="1" xfId="0" applyAlignment="1" applyBorder="1" applyFont="1" applyNumberFormat="1">
      <alignment horizontal="center" shrinkToFit="0" vertical="center" wrapText="1"/>
    </xf>
    <xf borderId="51" fillId="0" fontId="34" numFmtId="1" xfId="0" applyAlignment="1" applyBorder="1" applyFont="1" applyNumberFormat="1">
      <alignment horizontal="center" shrinkToFit="0" vertical="center" wrapText="1"/>
    </xf>
    <xf borderId="8" fillId="0" fontId="4" numFmtId="1" xfId="0" applyAlignment="1" applyBorder="1" applyFont="1" applyNumberFormat="1">
      <alignment horizontal="center" shrinkToFit="0" vertical="center" wrapText="0"/>
    </xf>
    <xf borderId="26" fillId="0" fontId="4" numFmtId="1" xfId="0" applyAlignment="1" applyBorder="1" applyFont="1" applyNumberFormat="1">
      <alignment horizontal="center" readingOrder="0" shrinkToFit="0" vertical="center" wrapText="1"/>
    </xf>
    <xf borderId="55" fillId="0" fontId="4" numFmtId="1" xfId="0" applyAlignment="1" applyBorder="1" applyFont="1" applyNumberFormat="1">
      <alignment horizontal="center" readingOrder="0" shrinkToFit="0" vertical="center" wrapText="1"/>
    </xf>
    <xf borderId="52" fillId="0" fontId="4" numFmtId="1" xfId="0" applyAlignment="1" applyBorder="1" applyFont="1" applyNumberFormat="1">
      <alignment horizontal="center" readingOrder="0" shrinkToFit="0" vertical="center" wrapText="1"/>
    </xf>
    <xf borderId="10" fillId="0" fontId="4" numFmtId="1" xfId="0" applyAlignment="1" applyBorder="1" applyFont="1" applyNumberFormat="1">
      <alignment horizontal="center" readingOrder="0" shrinkToFit="0" vertical="center" wrapText="1"/>
    </xf>
    <xf borderId="0" fillId="0" fontId="38" numFmtId="0" xfId="0" applyAlignment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57150</xdr:colOff>
      <xdr:row>0</xdr:row>
      <xdr:rowOff>76200</xdr:rowOff>
    </xdr:from>
    <xdr:ext cx="866775" cy="86677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1895475</xdr:colOff>
      <xdr:row>0</xdr:row>
      <xdr:rowOff>95250</xdr:rowOff>
    </xdr:from>
    <xdr:ext cx="2476500" cy="79057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304800</xdr:colOff>
      <xdr:row>0</xdr:row>
      <xdr:rowOff>95250</xdr:rowOff>
    </xdr:from>
    <xdr:ext cx="781050" cy="8477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23</xdr:col>
      <xdr:colOff>295275</xdr:colOff>
      <xdr:row>1</xdr:row>
      <xdr:rowOff>0</xdr:rowOff>
    </xdr:from>
    <xdr:ext cx="2000250" cy="63817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142875</xdr:colOff>
      <xdr:row>0</xdr:row>
      <xdr:rowOff>95250</xdr:rowOff>
    </xdr:from>
    <xdr:ext cx="476250" cy="48577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657225</xdr:colOff>
      <xdr:row>0</xdr:row>
      <xdr:rowOff>47625</xdr:rowOff>
    </xdr:from>
    <xdr:ext cx="2219325" cy="647700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142875</xdr:colOff>
      <xdr:row>0</xdr:row>
      <xdr:rowOff>95250</xdr:rowOff>
    </xdr:from>
    <xdr:ext cx="476250" cy="48577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600075</xdr:colOff>
      <xdr:row>0</xdr:row>
      <xdr:rowOff>66675</xdr:rowOff>
    </xdr:from>
    <xdr:ext cx="2019300" cy="647700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142875</xdr:colOff>
      <xdr:row>0</xdr:row>
      <xdr:rowOff>95250</xdr:rowOff>
    </xdr:from>
    <xdr:ext cx="476250" cy="48577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0</xdr:row>
      <xdr:rowOff>47625</xdr:rowOff>
    </xdr:from>
    <xdr:ext cx="2190750" cy="647700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142875</xdr:colOff>
      <xdr:row>0</xdr:row>
      <xdr:rowOff>95250</xdr:rowOff>
    </xdr:from>
    <xdr:ext cx="476250" cy="48577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619125</xdr:colOff>
      <xdr:row>0</xdr:row>
      <xdr:rowOff>47625</xdr:rowOff>
    </xdr:from>
    <xdr:ext cx="2019300" cy="647700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142875</xdr:colOff>
      <xdr:row>0</xdr:row>
      <xdr:rowOff>95250</xdr:rowOff>
    </xdr:from>
    <xdr:ext cx="476250" cy="48577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600075</xdr:colOff>
      <xdr:row>0</xdr:row>
      <xdr:rowOff>66675</xdr:rowOff>
    </xdr:from>
    <xdr:ext cx="2019300" cy="647700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142875</xdr:colOff>
      <xdr:row>0</xdr:row>
      <xdr:rowOff>95250</xdr:rowOff>
    </xdr:from>
    <xdr:ext cx="476250" cy="48577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0</xdr:row>
      <xdr:rowOff>95250</xdr:rowOff>
    </xdr:from>
    <xdr:ext cx="476250" cy="48577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657225</xdr:colOff>
      <xdr:row>0</xdr:row>
      <xdr:rowOff>57150</xdr:rowOff>
    </xdr:from>
    <xdr:ext cx="2019300" cy="647700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0</xdr:row>
      <xdr:rowOff>95250</xdr:rowOff>
    </xdr:from>
    <xdr:ext cx="476250" cy="48577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600075</xdr:colOff>
      <xdr:row>0</xdr:row>
      <xdr:rowOff>66675</xdr:rowOff>
    </xdr:from>
    <xdr:ext cx="2019300" cy="647700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28575</xdr:colOff>
      <xdr:row>0</xdr:row>
      <xdr:rowOff>66675</xdr:rowOff>
    </xdr:from>
    <xdr:ext cx="676275" cy="71437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647700</xdr:colOff>
      <xdr:row>0</xdr:row>
      <xdr:rowOff>66675</xdr:rowOff>
    </xdr:from>
    <xdr:ext cx="2019300" cy="647700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open?id=1orKHl94rd7KrFnl6k2R9FBcd24YO8eeD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.29"/>
    <col customWidth="1" min="2" max="2" width="13.29"/>
    <col customWidth="1" min="3" max="8" width="32.71"/>
    <col customWidth="1" min="9" max="26" width="8.0"/>
  </cols>
  <sheetData>
    <row r="1" ht="32.25" customHeight="1">
      <c r="B1" s="1" t="s">
        <v>0</v>
      </c>
    </row>
    <row r="2" ht="47.25" customHeight="1">
      <c r="B2" s="2" t="s">
        <v>1</v>
      </c>
    </row>
    <row r="3" ht="24.0" customHeight="1">
      <c r="B3" s="3"/>
      <c r="C3" s="4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6" t="s">
        <v>7</v>
      </c>
    </row>
    <row r="4" ht="30.0" customHeight="1">
      <c r="B4" s="7" t="s">
        <v>8</v>
      </c>
      <c r="C4" s="8" t="s">
        <v>9</v>
      </c>
      <c r="D4" s="8" t="s">
        <v>10</v>
      </c>
      <c r="E4" s="8" t="s">
        <v>11</v>
      </c>
      <c r="F4" s="8" t="s">
        <v>12</v>
      </c>
      <c r="G4" s="8" t="s">
        <v>13</v>
      </c>
      <c r="H4" s="9" t="s">
        <v>14</v>
      </c>
    </row>
    <row r="5" ht="14.25" customHeight="1">
      <c r="B5" s="10"/>
      <c r="C5" s="11"/>
      <c r="D5" s="11"/>
      <c r="E5" s="11"/>
      <c r="F5" s="11"/>
      <c r="G5" s="11"/>
      <c r="H5" s="12"/>
    </row>
    <row r="6" ht="19.5" customHeight="1">
      <c r="B6" s="13" t="s">
        <v>15</v>
      </c>
      <c r="C6" s="11"/>
      <c r="D6" s="11"/>
      <c r="E6" s="11"/>
      <c r="F6" s="11"/>
      <c r="G6" s="11"/>
      <c r="H6" s="12"/>
    </row>
    <row r="7" ht="30.0" customHeight="1">
      <c r="B7" s="14" t="s">
        <v>16</v>
      </c>
      <c r="C7" s="15" t="s">
        <v>17</v>
      </c>
      <c r="D7" s="16" t="s">
        <v>18</v>
      </c>
      <c r="E7" s="16" t="s">
        <v>19</v>
      </c>
      <c r="F7" s="16" t="s">
        <v>20</v>
      </c>
      <c r="G7" s="16" t="s">
        <v>21</v>
      </c>
      <c r="H7" s="17" t="s">
        <v>22</v>
      </c>
    </row>
    <row r="8" ht="30.0" customHeight="1">
      <c r="B8" s="14" t="s">
        <v>23</v>
      </c>
      <c r="C8" s="16" t="s">
        <v>24</v>
      </c>
      <c r="D8" s="18" t="s">
        <v>25</v>
      </c>
      <c r="E8" s="16" t="s">
        <v>26</v>
      </c>
      <c r="F8" s="16" t="s">
        <v>27</v>
      </c>
      <c r="G8" s="16" t="s">
        <v>28</v>
      </c>
      <c r="H8" s="17" t="s">
        <v>29</v>
      </c>
    </row>
    <row r="9" ht="30.0" customHeight="1">
      <c r="B9" s="14" t="s">
        <v>30</v>
      </c>
      <c r="C9" s="16" t="s">
        <v>31</v>
      </c>
      <c r="D9" s="16" t="s">
        <v>32</v>
      </c>
      <c r="E9" s="16" t="s">
        <v>33</v>
      </c>
      <c r="F9" s="16" t="s">
        <v>34</v>
      </c>
      <c r="G9" s="16" t="s">
        <v>35</v>
      </c>
      <c r="H9" s="19" t="s">
        <v>36</v>
      </c>
    </row>
    <row r="10" ht="9.75" customHeight="1">
      <c r="B10" s="20"/>
      <c r="C10" s="11"/>
      <c r="D10" s="11"/>
      <c r="E10" s="11"/>
      <c r="F10" s="11"/>
      <c r="G10" s="11"/>
      <c r="H10" s="12"/>
    </row>
    <row r="11" ht="30.0" customHeight="1">
      <c r="B11" s="14" t="s">
        <v>37</v>
      </c>
      <c r="C11" s="16" t="s">
        <v>38</v>
      </c>
      <c r="D11" s="16" t="s">
        <v>39</v>
      </c>
      <c r="E11" s="21" t="s">
        <v>40</v>
      </c>
      <c r="F11" s="16" t="s">
        <v>41</v>
      </c>
      <c r="G11" s="16" t="s">
        <v>42</v>
      </c>
      <c r="H11" s="17" t="s">
        <v>43</v>
      </c>
      <c r="K11" s="22" t="s">
        <v>44</v>
      </c>
    </row>
    <row r="12" ht="30.0" customHeight="1">
      <c r="B12" s="14" t="s">
        <v>45</v>
      </c>
      <c r="C12" s="16" t="s">
        <v>46</v>
      </c>
      <c r="D12" s="16" t="s">
        <v>47</v>
      </c>
      <c r="E12" s="16" t="s">
        <v>48</v>
      </c>
      <c r="F12" s="16" t="s">
        <v>49</v>
      </c>
      <c r="G12" s="16" t="s">
        <v>50</v>
      </c>
      <c r="H12" s="17" t="s">
        <v>51</v>
      </c>
    </row>
    <row r="13" ht="30.0" customHeight="1">
      <c r="B13" s="14" t="s">
        <v>52</v>
      </c>
      <c r="C13" s="16" t="s">
        <v>53</v>
      </c>
      <c r="D13" s="16" t="s">
        <v>54</v>
      </c>
      <c r="E13" s="16" t="s">
        <v>55</v>
      </c>
      <c r="F13" s="16" t="s">
        <v>56</v>
      </c>
      <c r="G13" s="16" t="s">
        <v>57</v>
      </c>
      <c r="H13" s="17" t="s">
        <v>58</v>
      </c>
    </row>
    <row r="14" ht="9.75" customHeight="1">
      <c r="B14" s="20"/>
      <c r="C14" s="11"/>
      <c r="D14" s="11"/>
      <c r="E14" s="11"/>
      <c r="F14" s="11"/>
      <c r="G14" s="11"/>
      <c r="H14" s="12"/>
    </row>
    <row r="15" ht="30.0" customHeight="1">
      <c r="B15" s="14" t="s">
        <v>59</v>
      </c>
      <c r="C15" s="16" t="s">
        <v>60</v>
      </c>
      <c r="D15" s="16" t="s">
        <v>61</v>
      </c>
      <c r="E15" s="16" t="s">
        <v>62</v>
      </c>
      <c r="F15" s="16" t="s">
        <v>63</v>
      </c>
      <c r="G15" s="16" t="s">
        <v>64</v>
      </c>
      <c r="H15" s="17" t="s">
        <v>65</v>
      </c>
    </row>
    <row r="16" ht="30.0" customHeight="1">
      <c r="B16" s="14" t="s">
        <v>66</v>
      </c>
      <c r="C16" s="16" t="s">
        <v>67</v>
      </c>
      <c r="D16" s="16" t="s">
        <v>68</v>
      </c>
      <c r="E16" s="16" t="s">
        <v>69</v>
      </c>
      <c r="F16" s="16" t="s">
        <v>70</v>
      </c>
      <c r="G16" s="16" t="s">
        <v>71</v>
      </c>
      <c r="H16" s="17" t="s">
        <v>72</v>
      </c>
    </row>
    <row r="17" ht="30.0" customHeight="1">
      <c r="B17" s="14" t="s">
        <v>73</v>
      </c>
      <c r="C17" s="16" t="s">
        <v>74</v>
      </c>
      <c r="D17" s="16" t="s">
        <v>75</v>
      </c>
      <c r="E17" s="16" t="s">
        <v>76</v>
      </c>
      <c r="F17" s="16" t="s">
        <v>77</v>
      </c>
      <c r="G17" s="16" t="s">
        <v>78</v>
      </c>
      <c r="H17" s="17" t="s">
        <v>79</v>
      </c>
    </row>
    <row r="18" ht="9.75" customHeight="1">
      <c r="B18" s="20"/>
      <c r="C18" s="11"/>
      <c r="D18" s="11"/>
      <c r="E18" s="11"/>
      <c r="F18" s="11"/>
      <c r="G18" s="11"/>
      <c r="H18" s="12"/>
    </row>
    <row r="19" ht="30.0" customHeight="1">
      <c r="A19" s="23"/>
      <c r="B19" s="14" t="s">
        <v>80</v>
      </c>
      <c r="C19" s="16" t="s">
        <v>81</v>
      </c>
      <c r="D19" s="16" t="s">
        <v>82</v>
      </c>
      <c r="E19" s="16" t="s">
        <v>83</v>
      </c>
      <c r="F19" s="16" t="s">
        <v>84</v>
      </c>
      <c r="G19" s="16" t="s">
        <v>85</v>
      </c>
      <c r="H19" s="17" t="s">
        <v>86</v>
      </c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 ht="30.0" customHeight="1">
      <c r="A20" s="23"/>
      <c r="B20" s="14" t="s">
        <v>87</v>
      </c>
      <c r="C20" s="16" t="s">
        <v>88</v>
      </c>
      <c r="D20" s="16" t="s">
        <v>89</v>
      </c>
      <c r="E20" s="16" t="s">
        <v>90</v>
      </c>
      <c r="F20" s="16" t="s">
        <v>91</v>
      </c>
      <c r="G20" s="16" t="s">
        <v>92</v>
      </c>
      <c r="H20" s="17" t="s">
        <v>93</v>
      </c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</row>
    <row r="21" ht="30.0" customHeight="1">
      <c r="A21" s="23"/>
      <c r="B21" s="14" t="s">
        <v>94</v>
      </c>
      <c r="C21" s="16" t="s">
        <v>95</v>
      </c>
      <c r="D21" s="16" t="s">
        <v>96</v>
      </c>
      <c r="E21" s="16" t="s">
        <v>97</v>
      </c>
      <c r="F21" s="16" t="s">
        <v>98</v>
      </c>
      <c r="G21" s="16" t="s">
        <v>99</v>
      </c>
      <c r="H21" s="17" t="s">
        <v>100</v>
      </c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</row>
    <row r="22" ht="9.75" customHeight="1">
      <c r="B22" s="24"/>
      <c r="C22" s="25"/>
      <c r="D22" s="25"/>
      <c r="E22" s="25"/>
      <c r="F22" s="25"/>
      <c r="G22" s="25"/>
      <c r="H22" s="26"/>
    </row>
    <row r="23" ht="18.0" customHeight="1">
      <c r="B23" s="27" t="s">
        <v>101</v>
      </c>
      <c r="C23" s="11"/>
      <c r="D23" s="11"/>
      <c r="E23" s="11"/>
      <c r="F23" s="11"/>
      <c r="G23" s="11"/>
      <c r="H23" s="12"/>
    </row>
    <row r="24" ht="30.0" customHeight="1">
      <c r="B24" s="14" t="s">
        <v>16</v>
      </c>
      <c r="C24" s="16" t="s">
        <v>102</v>
      </c>
      <c r="D24" s="16" t="s">
        <v>103</v>
      </c>
      <c r="E24" s="16" t="s">
        <v>104</v>
      </c>
      <c r="F24" s="16" t="s">
        <v>105</v>
      </c>
      <c r="G24" s="16" t="s">
        <v>106</v>
      </c>
      <c r="H24" s="28" t="s">
        <v>107</v>
      </c>
    </row>
    <row r="25" ht="30.0" customHeight="1">
      <c r="B25" s="14" t="s">
        <v>23</v>
      </c>
      <c r="C25" s="16" t="s">
        <v>108</v>
      </c>
      <c r="D25" s="16" t="s">
        <v>109</v>
      </c>
      <c r="E25" s="16" t="s">
        <v>110</v>
      </c>
      <c r="F25" s="16" t="s">
        <v>111</v>
      </c>
      <c r="G25" s="16" t="s">
        <v>112</v>
      </c>
      <c r="H25" s="17" t="s">
        <v>113</v>
      </c>
    </row>
    <row r="26" ht="30.0" customHeight="1">
      <c r="B26" s="14" t="s">
        <v>30</v>
      </c>
      <c r="C26" s="16" t="s">
        <v>114</v>
      </c>
      <c r="D26" s="16" t="s">
        <v>115</v>
      </c>
      <c r="E26" s="16" t="s">
        <v>116</v>
      </c>
      <c r="F26" s="18" t="s">
        <v>117</v>
      </c>
      <c r="G26" s="29" t="s">
        <v>118</v>
      </c>
      <c r="H26" s="17" t="s">
        <v>119</v>
      </c>
    </row>
    <row r="27" ht="9.75" customHeight="1">
      <c r="B27" s="20"/>
      <c r="C27" s="11"/>
      <c r="D27" s="11"/>
      <c r="E27" s="11"/>
      <c r="F27" s="11"/>
      <c r="G27" s="11"/>
      <c r="H27" s="12"/>
    </row>
    <row r="28" ht="30.0" customHeight="1">
      <c r="B28" s="14" t="s">
        <v>37</v>
      </c>
      <c r="C28" s="16" t="s">
        <v>120</v>
      </c>
      <c r="D28" s="16" t="s">
        <v>121</v>
      </c>
      <c r="E28" s="16" t="s">
        <v>122</v>
      </c>
      <c r="F28" s="16" t="s">
        <v>123</v>
      </c>
      <c r="G28" s="16" t="s">
        <v>124</v>
      </c>
      <c r="H28" s="17" t="s">
        <v>125</v>
      </c>
    </row>
    <row r="29" ht="30.0" customHeight="1">
      <c r="B29" s="14" t="s">
        <v>45</v>
      </c>
      <c r="C29" s="16" t="s">
        <v>126</v>
      </c>
      <c r="D29" s="16" t="s">
        <v>127</v>
      </c>
      <c r="E29" s="16" t="s">
        <v>128</v>
      </c>
      <c r="F29" s="16" t="s">
        <v>129</v>
      </c>
      <c r="G29" s="16" t="s">
        <v>130</v>
      </c>
      <c r="H29" s="17" t="s">
        <v>131</v>
      </c>
    </row>
    <row r="30" ht="30.0" customHeight="1">
      <c r="B30" s="14" t="s">
        <v>52</v>
      </c>
      <c r="C30" s="18" t="s">
        <v>132</v>
      </c>
      <c r="D30" s="16" t="s">
        <v>133</v>
      </c>
      <c r="E30" s="16" t="s">
        <v>134</v>
      </c>
      <c r="F30" s="16" t="s">
        <v>135</v>
      </c>
      <c r="G30" s="18" t="s">
        <v>136</v>
      </c>
      <c r="H30" s="17" t="s">
        <v>137</v>
      </c>
    </row>
    <row r="31" ht="9.75" customHeight="1">
      <c r="B31" s="30"/>
      <c r="C31" s="11"/>
      <c r="D31" s="11"/>
      <c r="E31" s="11"/>
      <c r="F31" s="11"/>
      <c r="G31" s="11"/>
      <c r="H31" s="12"/>
    </row>
    <row r="32" ht="30.0" customHeight="1">
      <c r="B32" s="14" t="s">
        <v>59</v>
      </c>
      <c r="C32" s="16" t="s">
        <v>138</v>
      </c>
      <c r="D32" s="16" t="s">
        <v>139</v>
      </c>
      <c r="E32" s="16" t="s">
        <v>140</v>
      </c>
      <c r="F32" s="16" t="s">
        <v>141</v>
      </c>
      <c r="G32" s="16" t="s">
        <v>142</v>
      </c>
      <c r="H32" s="17" t="s">
        <v>143</v>
      </c>
    </row>
    <row r="33" ht="30.0" customHeight="1">
      <c r="B33" s="14" t="s">
        <v>66</v>
      </c>
      <c r="C33" s="16" t="s">
        <v>144</v>
      </c>
      <c r="D33" s="16" t="s">
        <v>145</v>
      </c>
      <c r="E33" s="16" t="s">
        <v>146</v>
      </c>
      <c r="F33" s="16" t="s">
        <v>147</v>
      </c>
      <c r="G33" s="16" t="s">
        <v>148</v>
      </c>
      <c r="H33" s="17" t="s">
        <v>149</v>
      </c>
    </row>
    <row r="34" ht="30.0" customHeight="1">
      <c r="B34" s="14" t="s">
        <v>73</v>
      </c>
      <c r="C34" s="16" t="s">
        <v>150</v>
      </c>
      <c r="D34" s="16" t="s">
        <v>151</v>
      </c>
      <c r="E34" s="16" t="s">
        <v>152</v>
      </c>
      <c r="F34" s="16" t="s">
        <v>153</v>
      </c>
      <c r="G34" s="16" t="s">
        <v>154</v>
      </c>
      <c r="H34" s="17" t="s">
        <v>155</v>
      </c>
    </row>
    <row r="35" ht="9.75" customHeight="1">
      <c r="B35" s="30"/>
      <c r="C35" s="11"/>
      <c r="D35" s="11"/>
      <c r="E35" s="11"/>
      <c r="F35" s="11"/>
      <c r="G35" s="11"/>
      <c r="H35" s="12"/>
    </row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1">
    <mergeCell ref="B23:H23"/>
    <mergeCell ref="B27:H27"/>
    <mergeCell ref="B31:H31"/>
    <mergeCell ref="B35:H35"/>
    <mergeCell ref="B1:H1"/>
    <mergeCell ref="B2:H2"/>
    <mergeCell ref="B5:H5"/>
    <mergeCell ref="B6:H6"/>
    <mergeCell ref="B10:H10"/>
    <mergeCell ref="B14:H14"/>
    <mergeCell ref="B18:H18"/>
  </mergeCells>
  <hyperlinks>
    <hyperlink r:id="rId1" ref="K11"/>
  </hyperlinks>
  <printOptions/>
  <pageMargins bottom="0.75" footer="0.0" header="0.0" left="0.7" right="0.7" top="0.75"/>
  <pageSetup orientation="landscape"/>
  <headerFooter>
    <oddHeader>&amp;C                                                    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0"/>
    <col customWidth="1" min="2" max="2" width="35.14"/>
    <col customWidth="1" min="3" max="3" width="14.0"/>
    <col customWidth="1" min="4" max="7" width="7.0"/>
    <col customWidth="1" min="8" max="8" width="0.86"/>
    <col customWidth="1" min="9" max="12" width="7.0"/>
    <col customWidth="1" min="13" max="13" width="0.86"/>
    <col customWidth="1" min="14" max="17" width="7.0"/>
    <col customWidth="1" min="18" max="18" width="0.86"/>
    <col customWidth="1" min="19" max="22" width="7.0"/>
    <col customWidth="1" min="23" max="23" width="0.86"/>
    <col customWidth="1" min="24" max="27" width="7.0"/>
    <col customWidth="1" min="28" max="28" width="0.86"/>
    <col customWidth="1" min="29" max="29" width="10.71"/>
    <col customWidth="1" min="30" max="30" width="9.43"/>
    <col customWidth="1" min="31" max="32" width="7.71"/>
  </cols>
  <sheetData>
    <row r="1" ht="14.25" customHeight="1">
      <c r="B1" s="31"/>
      <c r="C1" s="32"/>
    </row>
    <row r="2" ht="12.75" customHeight="1">
      <c r="B2" s="31"/>
      <c r="C2" s="33" t="s">
        <v>156</v>
      </c>
    </row>
    <row r="3" ht="12.75" customHeight="1">
      <c r="B3" s="31"/>
    </row>
    <row r="4" ht="12.75" customHeight="1">
      <c r="B4" s="31"/>
    </row>
    <row r="5" ht="14.25" customHeight="1">
      <c r="B5" s="31"/>
      <c r="C5" s="34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</row>
    <row r="6" ht="14.25" customHeight="1">
      <c r="B6" s="31"/>
      <c r="C6" s="34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AE6" s="23"/>
    </row>
    <row r="7" ht="15.0" customHeight="1">
      <c r="B7" s="31"/>
      <c r="C7" s="32"/>
      <c r="AE7" s="23"/>
    </row>
    <row r="8" ht="12.75" customHeight="1">
      <c r="B8" s="35"/>
      <c r="C8" s="36" t="s">
        <v>157</v>
      </c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8"/>
    </row>
    <row r="9" ht="12.75" customHeight="1">
      <c r="B9" s="39"/>
      <c r="C9" s="40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2"/>
      <c r="AE9" s="23"/>
    </row>
    <row r="10" ht="23.25" customHeight="1">
      <c r="A10" s="43"/>
      <c r="B10" s="44"/>
      <c r="C10" s="45"/>
      <c r="D10" s="46" t="s">
        <v>158</v>
      </c>
      <c r="E10" s="47"/>
      <c r="F10" s="46" t="s">
        <v>159</v>
      </c>
      <c r="G10" s="47"/>
      <c r="H10" s="48"/>
      <c r="I10" s="46" t="s">
        <v>160</v>
      </c>
      <c r="J10" s="47"/>
      <c r="K10" s="46" t="s">
        <v>161</v>
      </c>
      <c r="L10" s="47"/>
      <c r="M10" s="48"/>
      <c r="N10" s="46" t="s">
        <v>162</v>
      </c>
      <c r="O10" s="47"/>
      <c r="P10" s="46" t="s">
        <v>163</v>
      </c>
      <c r="Q10" s="47"/>
      <c r="R10" s="48"/>
      <c r="S10" s="46" t="s">
        <v>164</v>
      </c>
      <c r="T10" s="47"/>
      <c r="U10" s="46" t="s">
        <v>165</v>
      </c>
      <c r="V10" s="47"/>
      <c r="W10" s="48"/>
      <c r="X10" s="46" t="s">
        <v>166</v>
      </c>
      <c r="Y10" s="47"/>
      <c r="Z10" s="46" t="s">
        <v>167</v>
      </c>
      <c r="AA10" s="47"/>
      <c r="AB10" s="48"/>
      <c r="AC10" s="46" t="s">
        <v>168</v>
      </c>
      <c r="AD10" s="12"/>
      <c r="AE10" s="43"/>
      <c r="AF10" s="43"/>
    </row>
    <row r="11" ht="15.75" customHeight="1">
      <c r="A11" s="49"/>
      <c r="B11" s="50"/>
      <c r="C11" s="51"/>
      <c r="D11" s="52" t="s">
        <v>169</v>
      </c>
      <c r="E11" s="53" t="s">
        <v>170</v>
      </c>
      <c r="F11" s="52" t="s">
        <v>169</v>
      </c>
      <c r="G11" s="53" t="s">
        <v>170</v>
      </c>
      <c r="H11" s="54"/>
      <c r="I11" s="52" t="s">
        <v>169</v>
      </c>
      <c r="J11" s="53" t="s">
        <v>170</v>
      </c>
      <c r="K11" s="52" t="s">
        <v>169</v>
      </c>
      <c r="L11" s="53" t="s">
        <v>170</v>
      </c>
      <c r="M11" s="54"/>
      <c r="N11" s="52" t="s">
        <v>169</v>
      </c>
      <c r="O11" s="53" t="s">
        <v>170</v>
      </c>
      <c r="P11" s="52" t="s">
        <v>169</v>
      </c>
      <c r="Q11" s="53" t="s">
        <v>170</v>
      </c>
      <c r="R11" s="54"/>
      <c r="S11" s="52" t="s">
        <v>169</v>
      </c>
      <c r="T11" s="53" t="s">
        <v>170</v>
      </c>
      <c r="U11" s="52" t="s">
        <v>169</v>
      </c>
      <c r="V11" s="53" t="s">
        <v>170</v>
      </c>
      <c r="W11" s="54"/>
      <c r="X11" s="52" t="s">
        <v>169</v>
      </c>
      <c r="Y11" s="53" t="s">
        <v>170</v>
      </c>
      <c r="Z11" s="52" t="s">
        <v>169</v>
      </c>
      <c r="AA11" s="53" t="s">
        <v>170</v>
      </c>
      <c r="AB11" s="54"/>
      <c r="AC11" s="52" t="s">
        <v>169</v>
      </c>
      <c r="AD11" s="55" t="s">
        <v>170</v>
      </c>
      <c r="AE11" s="49"/>
      <c r="AF11" s="49"/>
    </row>
    <row r="12" ht="7.5" customHeight="1">
      <c r="A12" s="49"/>
      <c r="B12" s="56"/>
      <c r="C12" s="51"/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8"/>
      <c r="AD12" s="59"/>
      <c r="AE12" s="49"/>
      <c r="AF12" s="49"/>
    </row>
    <row r="13" ht="36.0" customHeight="1">
      <c r="A13" s="49"/>
      <c r="B13" s="60" t="s">
        <v>171</v>
      </c>
      <c r="C13" s="61" t="s">
        <v>172</v>
      </c>
      <c r="D13" s="62">
        <f>SUM('Day 1'!J22)</f>
        <v>37</v>
      </c>
      <c r="E13" s="62">
        <f>SUM('Day 1'!L22)</f>
        <v>5</v>
      </c>
      <c r="F13" s="63">
        <f t="shared" ref="F13:G13" si="1">D13+D14</f>
        <v>76</v>
      </c>
      <c r="G13" s="64">
        <f t="shared" si="1"/>
        <v>10</v>
      </c>
      <c r="H13" s="65"/>
      <c r="I13" s="62">
        <f>SUM('Day 2'!J60)</f>
        <v>42</v>
      </c>
      <c r="J13" s="62">
        <f>SUM('Day 2'!L60)</f>
        <v>5</v>
      </c>
      <c r="K13" s="63">
        <f>I13+I14</f>
        <v>55</v>
      </c>
      <c r="L13" s="66">
        <f>SUM(J13+J14)</f>
        <v>6</v>
      </c>
      <c r="M13" s="65"/>
      <c r="N13" s="62">
        <f>SUM('Day 3'!J95)</f>
        <v>26</v>
      </c>
      <c r="O13" s="62">
        <f>SUM('Day 3'!L95)</f>
        <v>2</v>
      </c>
      <c r="P13" s="63">
        <f t="shared" ref="P13:Q13" si="2">N13+N14</f>
        <v>50</v>
      </c>
      <c r="Q13" s="64">
        <f t="shared" si="2"/>
        <v>3</v>
      </c>
      <c r="R13" s="65"/>
      <c r="S13" s="62">
        <f>SUM('Day 4'!J60)</f>
        <v>30</v>
      </c>
      <c r="T13" s="62">
        <f>SUM('Day 4'!L60)</f>
        <v>2</v>
      </c>
      <c r="U13" s="67">
        <f t="shared" ref="U13:V13" si="3">S13+S14</f>
        <v>62</v>
      </c>
      <c r="V13" s="66">
        <f t="shared" si="3"/>
        <v>5</v>
      </c>
      <c r="W13" s="65"/>
      <c r="X13" s="62">
        <f>SUM('Day 5'!J95)</f>
        <v>40</v>
      </c>
      <c r="Y13" s="62">
        <f>SUM('Day 5'!L95)</f>
        <v>4</v>
      </c>
      <c r="Z13" s="63">
        <f t="shared" ref="Z13:AA13" si="4">X13+X14</f>
        <v>62</v>
      </c>
      <c r="AA13" s="64">
        <f t="shared" si="4"/>
        <v>7</v>
      </c>
      <c r="AB13" s="65"/>
      <c r="AC13" s="67">
        <f t="shared" ref="AC13:AD13" si="5">+F13+K13+P13+U13+Z13</f>
        <v>305</v>
      </c>
      <c r="AD13" s="68">
        <f t="shared" si="5"/>
        <v>31</v>
      </c>
      <c r="AE13" s="69"/>
      <c r="AF13" s="49"/>
    </row>
    <row r="14" ht="36.0" customHeight="1">
      <c r="A14" s="49"/>
      <c r="B14" s="70"/>
      <c r="C14" s="61" t="s">
        <v>173</v>
      </c>
      <c r="D14" s="62">
        <f>SUM('Day 1'!J36)</f>
        <v>39</v>
      </c>
      <c r="E14" s="62">
        <f>SUM('Day 1'!L36)</f>
        <v>5</v>
      </c>
      <c r="F14" s="71"/>
      <c r="G14" s="71"/>
      <c r="H14" s="65"/>
      <c r="I14" s="62">
        <f>SUM('Day 2'!J75)</f>
        <v>13</v>
      </c>
      <c r="J14" s="62">
        <f>SUM('Day 2'!L75)</f>
        <v>1</v>
      </c>
      <c r="K14" s="71"/>
      <c r="L14" s="71"/>
      <c r="M14" s="65"/>
      <c r="N14" s="62">
        <f>SUM('Day 3'!J110)</f>
        <v>24</v>
      </c>
      <c r="O14" s="62">
        <f>SUM('Day 3'!L110)</f>
        <v>1</v>
      </c>
      <c r="P14" s="71"/>
      <c r="Q14" s="71"/>
      <c r="R14" s="65"/>
      <c r="S14" s="62">
        <f>SUM('Day 4'!J75)</f>
        <v>32</v>
      </c>
      <c r="T14" s="62">
        <f>SUM('Day 4'!L75)</f>
        <v>3</v>
      </c>
      <c r="U14" s="71"/>
      <c r="V14" s="71"/>
      <c r="W14" s="65"/>
      <c r="X14" s="62">
        <f>SUM('Day 5'!J110)</f>
        <v>22</v>
      </c>
      <c r="Y14" s="62">
        <f>SUM('Day 5'!L110)</f>
        <v>3</v>
      </c>
      <c r="Z14" s="71"/>
      <c r="AA14" s="71"/>
      <c r="AB14" s="65"/>
      <c r="AC14" s="71"/>
      <c r="AD14" s="72"/>
      <c r="AF14" s="49"/>
    </row>
    <row r="15" ht="12.75" customHeight="1">
      <c r="A15" s="49"/>
      <c r="B15" s="73"/>
      <c r="C15" s="74"/>
      <c r="D15" s="75"/>
      <c r="E15" s="76"/>
      <c r="F15" s="75"/>
      <c r="G15" s="76"/>
      <c r="H15" s="76"/>
      <c r="I15" s="75"/>
      <c r="J15" s="76"/>
      <c r="K15" s="75"/>
      <c r="L15" s="76"/>
      <c r="M15" s="76"/>
      <c r="N15" s="75"/>
      <c r="O15" s="76"/>
      <c r="P15" s="75"/>
      <c r="Q15" s="76"/>
      <c r="R15" s="76"/>
      <c r="S15" s="75"/>
      <c r="T15" s="76"/>
      <c r="U15" s="75"/>
      <c r="V15" s="76"/>
      <c r="W15" s="76"/>
      <c r="X15" s="75"/>
      <c r="Y15" s="76"/>
      <c r="Z15" s="75"/>
      <c r="AA15" s="76"/>
      <c r="AB15" s="76"/>
      <c r="AC15" s="75"/>
      <c r="AD15" s="77"/>
      <c r="AE15" s="78"/>
      <c r="AF15" s="49"/>
    </row>
    <row r="16" ht="36.0" customHeight="1">
      <c r="A16" s="49"/>
      <c r="B16" s="60" t="s">
        <v>174</v>
      </c>
      <c r="C16" s="61" t="s">
        <v>172</v>
      </c>
      <c r="D16" s="62">
        <f>SUM('Day 1'!J55)</f>
        <v>33</v>
      </c>
      <c r="E16" s="62">
        <f>SUM('Day 1'!L55)</f>
        <v>3</v>
      </c>
      <c r="F16" s="67">
        <f t="shared" ref="F16:G16" si="6">D16+D17</f>
        <v>68</v>
      </c>
      <c r="G16" s="66">
        <f t="shared" si="6"/>
        <v>7</v>
      </c>
      <c r="H16" s="76"/>
      <c r="I16" s="62">
        <f>SUM('Day 2'!J25)</f>
        <v>22</v>
      </c>
      <c r="J16" s="62">
        <f>SUM('Day 2'!L25)</f>
        <v>1</v>
      </c>
      <c r="K16" s="63">
        <f>I16+I17</f>
        <v>44</v>
      </c>
      <c r="L16" s="66">
        <f>SUM(J16+J17)</f>
        <v>3</v>
      </c>
      <c r="M16" s="76"/>
      <c r="N16" s="62">
        <f>SUM('Day 3'!J60)</f>
        <v>32</v>
      </c>
      <c r="O16" s="62">
        <f>SUM('Day 3'!L60)</f>
        <v>4</v>
      </c>
      <c r="P16" s="67">
        <f t="shared" ref="P16:Q16" si="7">N16+N17</f>
        <v>59</v>
      </c>
      <c r="Q16" s="66">
        <f t="shared" si="7"/>
        <v>8</v>
      </c>
      <c r="R16" s="76"/>
      <c r="S16" s="62">
        <f>SUM('Day 4'!J95)</f>
        <v>39</v>
      </c>
      <c r="T16" s="62">
        <f>SUM('Day 4'!L95)</f>
        <v>3</v>
      </c>
      <c r="U16" s="67">
        <f t="shared" ref="U16:V16" si="8">S16+S17</f>
        <v>71</v>
      </c>
      <c r="V16" s="66">
        <f t="shared" si="8"/>
        <v>6</v>
      </c>
      <c r="W16" s="76"/>
      <c r="X16" s="62">
        <f>SUM('Day 5'!K95)</f>
        <v>45</v>
      </c>
      <c r="Y16" s="62">
        <f>SUM('Day 5'!M95)</f>
        <v>4</v>
      </c>
      <c r="Z16" s="67">
        <f t="shared" ref="Z16:AA16" si="9">X16+X17</f>
        <v>70</v>
      </c>
      <c r="AA16" s="66">
        <f t="shared" si="9"/>
        <v>7</v>
      </c>
      <c r="AB16" s="76"/>
      <c r="AC16" s="67">
        <f t="shared" ref="AC16:AD16" si="10">+F16+K16+P16+U16+Z16</f>
        <v>312</v>
      </c>
      <c r="AD16" s="68">
        <f t="shared" si="10"/>
        <v>31</v>
      </c>
      <c r="AE16" s="78"/>
      <c r="AF16" s="49"/>
    </row>
    <row r="17" ht="36.0" customHeight="1">
      <c r="A17" s="49"/>
      <c r="B17" s="70"/>
      <c r="C17" s="61" t="s">
        <v>173</v>
      </c>
      <c r="D17" s="62">
        <f>SUM('Day 1'!J69)</f>
        <v>35</v>
      </c>
      <c r="E17" s="62">
        <f>SUM('Day 1'!L69)</f>
        <v>4</v>
      </c>
      <c r="F17" s="71"/>
      <c r="G17" s="71"/>
      <c r="H17" s="76"/>
      <c r="I17" s="62">
        <f>SUM('Day 2'!J40)</f>
        <v>22</v>
      </c>
      <c r="J17" s="62">
        <f>SUM('Day 2'!L40)</f>
        <v>2</v>
      </c>
      <c r="K17" s="71"/>
      <c r="L17" s="71"/>
      <c r="M17" s="76"/>
      <c r="N17" s="62">
        <f>SUM('Day 3'!J75)</f>
        <v>27</v>
      </c>
      <c r="O17" s="62">
        <f>SUM('Day 3'!L75)</f>
        <v>4</v>
      </c>
      <c r="P17" s="71"/>
      <c r="Q17" s="71"/>
      <c r="R17" s="76"/>
      <c r="S17" s="62">
        <f>SUM('Day 4'!J110)</f>
        <v>32</v>
      </c>
      <c r="T17" s="62">
        <f>SUM('Day 4'!L110)</f>
        <v>3</v>
      </c>
      <c r="U17" s="71"/>
      <c r="V17" s="71"/>
      <c r="W17" s="76"/>
      <c r="X17" s="62">
        <f>SUM('Day 5'!K110)</f>
        <v>25</v>
      </c>
      <c r="Y17" s="62">
        <f>SUM('Day 5'!M110)</f>
        <v>3</v>
      </c>
      <c r="Z17" s="71"/>
      <c r="AA17" s="71"/>
      <c r="AB17" s="76"/>
      <c r="AC17" s="71"/>
      <c r="AD17" s="72"/>
      <c r="AE17" s="79"/>
      <c r="AF17" s="49"/>
    </row>
    <row r="18" ht="12.75" customHeight="1">
      <c r="A18" s="49"/>
      <c r="B18" s="73"/>
      <c r="C18" s="74"/>
      <c r="D18" s="75"/>
      <c r="E18" s="76"/>
      <c r="F18" s="75"/>
      <c r="G18" s="76"/>
      <c r="H18" s="76"/>
      <c r="I18" s="75"/>
      <c r="J18" s="76"/>
      <c r="K18" s="75"/>
      <c r="L18" s="76"/>
      <c r="M18" s="76"/>
      <c r="N18" s="75"/>
      <c r="O18" s="76"/>
      <c r="P18" s="75"/>
      <c r="Q18" s="76"/>
      <c r="R18" s="76"/>
      <c r="S18" s="75"/>
      <c r="T18" s="76"/>
      <c r="U18" s="75"/>
      <c r="V18" s="76"/>
      <c r="W18" s="76"/>
      <c r="X18" s="75"/>
      <c r="Y18" s="76"/>
      <c r="Z18" s="75"/>
      <c r="AA18" s="76"/>
      <c r="AB18" s="76"/>
      <c r="AC18" s="75"/>
      <c r="AD18" s="77"/>
      <c r="AE18" s="78"/>
      <c r="AF18" s="49"/>
    </row>
    <row r="19" ht="36.0" customHeight="1">
      <c r="A19" s="49"/>
      <c r="B19" s="60" t="s">
        <v>175</v>
      </c>
      <c r="C19" s="61" t="s">
        <v>172</v>
      </c>
      <c r="D19" s="62">
        <f>SUM('Day 1'!K22)</f>
        <v>18</v>
      </c>
      <c r="E19" s="62">
        <f>SUM('Day 1'!M22)</f>
        <v>1</v>
      </c>
      <c r="F19" s="67">
        <f t="shared" ref="F19:G19" si="11">D19+D20</f>
        <v>51</v>
      </c>
      <c r="G19" s="66">
        <f t="shared" si="11"/>
        <v>4</v>
      </c>
      <c r="H19" s="76"/>
      <c r="I19" s="62">
        <f>SUM('Day 2'!J95)</f>
        <v>25</v>
      </c>
      <c r="J19" s="62">
        <f>SUM('Day 2'!L95)</f>
        <v>2</v>
      </c>
      <c r="K19" s="63">
        <f>I19+I20</f>
        <v>49</v>
      </c>
      <c r="L19" s="66">
        <f>SUM(J19+J20)</f>
        <v>4</v>
      </c>
      <c r="M19" s="76"/>
      <c r="N19" s="62">
        <f>SUM('Day 3'!K60)</f>
        <v>34</v>
      </c>
      <c r="O19" s="62">
        <f>SUM('Day 3'!M60)</f>
        <v>4</v>
      </c>
      <c r="P19" s="67">
        <f t="shared" ref="P19:Q19" si="12">N19+N20</f>
        <v>56</v>
      </c>
      <c r="Q19" s="66">
        <f t="shared" si="12"/>
        <v>6</v>
      </c>
      <c r="R19" s="76"/>
      <c r="S19" s="62">
        <f>SUM('Day 4'!J25)</f>
        <v>42</v>
      </c>
      <c r="T19" s="62">
        <f>SUM('Day 4'!L25)</f>
        <v>3</v>
      </c>
      <c r="U19" s="67">
        <f t="shared" ref="U19:V19" si="13">S19+S20</f>
        <v>77</v>
      </c>
      <c r="V19" s="66">
        <f t="shared" si="13"/>
        <v>5</v>
      </c>
      <c r="W19" s="76"/>
      <c r="X19" s="62">
        <f>SUM('Day 5'!J25)</f>
        <v>40</v>
      </c>
      <c r="Y19" s="62">
        <f>SUM('Day 5'!L25)</f>
        <v>5</v>
      </c>
      <c r="Z19" s="67">
        <f t="shared" ref="Z19:AA19" si="14">X19+X20</f>
        <v>63</v>
      </c>
      <c r="AA19" s="66">
        <f t="shared" si="14"/>
        <v>6</v>
      </c>
      <c r="AB19" s="76"/>
      <c r="AC19" s="67">
        <f t="shared" ref="AC19:AD19" si="15">+F19+K19+P19+U19+Z19</f>
        <v>296</v>
      </c>
      <c r="AD19" s="68">
        <f t="shared" si="15"/>
        <v>25</v>
      </c>
      <c r="AE19" s="78"/>
      <c r="AF19" s="49"/>
    </row>
    <row r="20" ht="36.0" customHeight="1">
      <c r="A20" s="49"/>
      <c r="B20" s="70"/>
      <c r="C20" s="61" t="s">
        <v>173</v>
      </c>
      <c r="D20" s="62">
        <f>SUM('Day 1'!K36)</f>
        <v>33</v>
      </c>
      <c r="E20" s="62">
        <f>SUM('Day 1'!M36)</f>
        <v>3</v>
      </c>
      <c r="F20" s="71"/>
      <c r="G20" s="71"/>
      <c r="H20" s="76"/>
      <c r="I20" s="62">
        <f>SUM('Day 2'!J110)</f>
        <v>24</v>
      </c>
      <c r="J20" s="62">
        <f>SUM('Day 2'!L110)</f>
        <v>2</v>
      </c>
      <c r="K20" s="71"/>
      <c r="L20" s="71"/>
      <c r="M20" s="76"/>
      <c r="N20" s="62">
        <f>SUM('Day 3'!K75)</f>
        <v>22</v>
      </c>
      <c r="O20" s="62">
        <f>SUM('Day 3'!M75)</f>
        <v>2</v>
      </c>
      <c r="P20" s="71"/>
      <c r="Q20" s="71"/>
      <c r="R20" s="76"/>
      <c r="S20" s="62">
        <f>SUM('Day 4'!J40)</f>
        <v>35</v>
      </c>
      <c r="T20" s="62">
        <f>SUM('Day 4'!L40)</f>
        <v>2</v>
      </c>
      <c r="U20" s="71"/>
      <c r="V20" s="71"/>
      <c r="W20" s="76"/>
      <c r="X20" s="62">
        <f>SUM('Day 5'!J40)</f>
        <v>23</v>
      </c>
      <c r="Y20" s="62">
        <f>SUM('Day 5'!L40)</f>
        <v>1</v>
      </c>
      <c r="Z20" s="71"/>
      <c r="AA20" s="71"/>
      <c r="AB20" s="76"/>
      <c r="AC20" s="71"/>
      <c r="AD20" s="72"/>
      <c r="AE20" s="79"/>
      <c r="AF20" s="49"/>
    </row>
    <row r="21" ht="12.75" customHeight="1">
      <c r="A21" s="49"/>
      <c r="B21" s="73"/>
      <c r="C21" s="74"/>
      <c r="D21" s="75"/>
      <c r="E21" s="76"/>
      <c r="F21" s="75"/>
      <c r="G21" s="76"/>
      <c r="H21" s="76"/>
      <c r="I21" s="75"/>
      <c r="J21" s="76"/>
      <c r="K21" s="75"/>
      <c r="L21" s="76"/>
      <c r="M21" s="76"/>
      <c r="N21" s="75"/>
      <c r="O21" s="76"/>
      <c r="P21" s="75"/>
      <c r="Q21" s="76"/>
      <c r="R21" s="76"/>
      <c r="S21" s="75"/>
      <c r="T21" s="76"/>
      <c r="U21" s="75"/>
      <c r="V21" s="76"/>
      <c r="W21" s="76"/>
      <c r="X21" s="75"/>
      <c r="Y21" s="76"/>
      <c r="Z21" s="75"/>
      <c r="AA21" s="76"/>
      <c r="AB21" s="76"/>
      <c r="AC21" s="75"/>
      <c r="AD21" s="77"/>
      <c r="AE21" s="78"/>
      <c r="AF21" s="49"/>
    </row>
    <row r="22" ht="36.0" customHeight="1">
      <c r="A22" s="49"/>
      <c r="B22" s="60" t="s">
        <v>176</v>
      </c>
      <c r="C22" s="61" t="s">
        <v>172</v>
      </c>
      <c r="D22" s="62">
        <f>SUM('Day 1'!J86)</f>
        <v>32</v>
      </c>
      <c r="E22" s="62">
        <f>SUM('Day 1'!L86)</f>
        <v>4</v>
      </c>
      <c r="F22" s="67">
        <f t="shared" ref="F22:G22" si="16">D22+D23</f>
        <v>75</v>
      </c>
      <c r="G22" s="66">
        <f t="shared" si="16"/>
        <v>9</v>
      </c>
      <c r="H22" s="76"/>
      <c r="I22" s="62">
        <f>SUM('Day 2'!K25)</f>
        <v>47</v>
      </c>
      <c r="J22" s="62">
        <f>SUM('Day 2'!M25)</f>
        <v>7</v>
      </c>
      <c r="K22" s="63">
        <f>I22+I23</f>
        <v>78</v>
      </c>
      <c r="L22" s="66">
        <f>SUM(J22+J23)</f>
        <v>11</v>
      </c>
      <c r="M22" s="76"/>
      <c r="N22" s="62">
        <f>SUM('Day 3'!K95)</f>
        <v>46</v>
      </c>
      <c r="O22" s="62">
        <f>SUM('Day 3'!M95)</f>
        <v>6</v>
      </c>
      <c r="P22" s="67">
        <f t="shared" ref="P22:Q22" si="17">N22+N23</f>
        <v>83</v>
      </c>
      <c r="Q22" s="66">
        <f t="shared" si="17"/>
        <v>11</v>
      </c>
      <c r="R22" s="76"/>
      <c r="S22" s="62">
        <f>SUM('Day 4'!K25)</f>
        <v>47</v>
      </c>
      <c r="T22" s="62">
        <f>SUM('Day 4'!M25)</f>
        <v>5</v>
      </c>
      <c r="U22" s="67">
        <f t="shared" ref="U22:V22" si="18">S22+S23</f>
        <v>83</v>
      </c>
      <c r="V22" s="66">
        <f t="shared" si="18"/>
        <v>9</v>
      </c>
      <c r="W22" s="76"/>
      <c r="X22" s="62">
        <f>SUM('Day 5'!J60)</f>
        <v>31</v>
      </c>
      <c r="Y22" s="62">
        <f>SUM('Day 5'!L60)</f>
        <v>5</v>
      </c>
      <c r="Z22" s="67">
        <f t="shared" ref="Z22:AA22" si="19">X22+X23</f>
        <v>59</v>
      </c>
      <c r="AA22" s="66">
        <f t="shared" si="19"/>
        <v>7</v>
      </c>
      <c r="AB22" s="76"/>
      <c r="AC22" s="67">
        <f t="shared" ref="AC22:AD22" si="20">+F22+K22+P22+U22+Z22</f>
        <v>378</v>
      </c>
      <c r="AD22" s="68">
        <f t="shared" si="20"/>
        <v>47</v>
      </c>
      <c r="AE22" s="69"/>
      <c r="AF22" s="49"/>
    </row>
    <row r="23" ht="36.0" customHeight="1">
      <c r="A23" s="49"/>
      <c r="B23" s="70"/>
      <c r="C23" s="61" t="s">
        <v>173</v>
      </c>
      <c r="D23" s="62">
        <f>SUM('Day 1'!J100)</f>
        <v>43</v>
      </c>
      <c r="E23" s="62">
        <f>SUM('Day 1'!L100)</f>
        <v>5</v>
      </c>
      <c r="F23" s="71"/>
      <c r="G23" s="71"/>
      <c r="H23" s="76"/>
      <c r="I23" s="62">
        <f>SUM('Day 2'!K40)</f>
        <v>31</v>
      </c>
      <c r="J23" s="62">
        <f>SUM('Day 2'!M40)</f>
        <v>4</v>
      </c>
      <c r="K23" s="71"/>
      <c r="L23" s="71"/>
      <c r="M23" s="76"/>
      <c r="N23" s="62">
        <f>SUM('Day 3'!K110)</f>
        <v>37</v>
      </c>
      <c r="O23" s="62">
        <f>SUM('Day 3'!M110)</f>
        <v>5</v>
      </c>
      <c r="P23" s="71"/>
      <c r="Q23" s="71"/>
      <c r="R23" s="76"/>
      <c r="S23" s="62">
        <f>SUM('Day 4'!K40)</f>
        <v>36</v>
      </c>
      <c r="T23" s="62">
        <f>SUM('Day 4'!M40)</f>
        <v>4</v>
      </c>
      <c r="U23" s="71"/>
      <c r="V23" s="71"/>
      <c r="W23" s="76"/>
      <c r="X23" s="62">
        <f>SUM('Day 5'!J75)</f>
        <v>28</v>
      </c>
      <c r="Y23" s="62">
        <f>SUM('Day 5'!L75)</f>
        <v>2</v>
      </c>
      <c r="Z23" s="71"/>
      <c r="AA23" s="71"/>
      <c r="AB23" s="76"/>
      <c r="AC23" s="71"/>
      <c r="AD23" s="72"/>
      <c r="AF23" s="49"/>
    </row>
    <row r="24" ht="12.75" customHeight="1">
      <c r="A24" s="49"/>
      <c r="B24" s="73"/>
      <c r="C24" s="74"/>
      <c r="D24" s="75"/>
      <c r="E24" s="76"/>
      <c r="F24" s="75"/>
      <c r="G24" s="76"/>
      <c r="H24" s="76"/>
      <c r="I24" s="75"/>
      <c r="J24" s="76"/>
      <c r="K24" s="75"/>
      <c r="L24" s="76"/>
      <c r="M24" s="76"/>
      <c r="N24" s="75"/>
      <c r="O24" s="76"/>
      <c r="P24" s="75"/>
      <c r="Q24" s="76"/>
      <c r="R24" s="76"/>
      <c r="S24" s="75"/>
      <c r="T24" s="76"/>
      <c r="U24" s="75"/>
      <c r="V24" s="76"/>
      <c r="W24" s="76"/>
      <c r="X24" s="75"/>
      <c r="Y24" s="76"/>
      <c r="Z24" s="75"/>
      <c r="AA24" s="76"/>
      <c r="AB24" s="76"/>
      <c r="AC24" s="75"/>
      <c r="AD24" s="77"/>
      <c r="AE24" s="69"/>
      <c r="AF24" s="49"/>
    </row>
    <row r="25" ht="36.0" customHeight="1">
      <c r="A25" s="49"/>
      <c r="B25" s="60" t="s">
        <v>177</v>
      </c>
      <c r="C25" s="61" t="s">
        <v>172</v>
      </c>
      <c r="D25" s="62">
        <f>SUM('Day 1'!K55)</f>
        <v>39</v>
      </c>
      <c r="E25" s="62">
        <f>SUM('Day 1'!M55)</f>
        <v>5</v>
      </c>
      <c r="F25" s="67">
        <f t="shared" ref="F25:G25" si="21">D25+D26</f>
        <v>63</v>
      </c>
      <c r="G25" s="66">
        <f t="shared" si="21"/>
        <v>7</v>
      </c>
      <c r="H25" s="76"/>
      <c r="I25" s="62">
        <f>SUM('Day 2'!K95)</f>
        <v>44</v>
      </c>
      <c r="J25" s="62">
        <f>SUM('Day 2'!M95)</f>
        <v>6</v>
      </c>
      <c r="K25" s="63">
        <f>I25+I26</f>
        <v>76</v>
      </c>
      <c r="L25" s="66">
        <f>SUM(J25+J26)</f>
        <v>10</v>
      </c>
      <c r="M25" s="76"/>
      <c r="N25" s="62">
        <f>SUM('Day 3'!J25)</f>
        <v>25</v>
      </c>
      <c r="O25" s="62">
        <f>SUM('Day 3'!L25)</f>
        <v>2</v>
      </c>
      <c r="P25" s="67">
        <f t="shared" ref="P25:Q25" si="22">N25+N26</f>
        <v>68</v>
      </c>
      <c r="Q25" s="66">
        <f t="shared" si="22"/>
        <v>8</v>
      </c>
      <c r="R25" s="76"/>
      <c r="S25" s="62">
        <f>SUM('Day 4'!K60)</f>
        <v>43</v>
      </c>
      <c r="T25" s="62">
        <f>SUM('Day 4'!M60)</f>
        <v>6</v>
      </c>
      <c r="U25" s="67">
        <f t="shared" ref="U25:V25" si="23">S25+S26</f>
        <v>73</v>
      </c>
      <c r="V25" s="66">
        <f t="shared" si="23"/>
        <v>9</v>
      </c>
      <c r="W25" s="76"/>
      <c r="X25" s="62">
        <f>SUM('Day 5'!K60)</f>
        <v>20</v>
      </c>
      <c r="Y25" s="62">
        <f>SUM('Day 5'!M60)</f>
        <v>1</v>
      </c>
      <c r="Z25" s="67">
        <f t="shared" ref="Z25:AA25" si="24">X25+X26</f>
        <v>64</v>
      </c>
      <c r="AA25" s="66">
        <f t="shared" si="24"/>
        <v>7</v>
      </c>
      <c r="AB25" s="76"/>
      <c r="AC25" s="67">
        <f t="shared" ref="AC25:AD25" si="25">+F25+K25+P25+U25+Z25</f>
        <v>344</v>
      </c>
      <c r="AD25" s="68">
        <f t="shared" si="25"/>
        <v>41</v>
      </c>
      <c r="AE25" s="69"/>
      <c r="AF25" s="49"/>
    </row>
    <row r="26" ht="36.0" customHeight="1">
      <c r="A26" s="49"/>
      <c r="B26" s="70"/>
      <c r="C26" s="61" t="s">
        <v>173</v>
      </c>
      <c r="D26" s="62">
        <f>SUM('Day 1'!K69)</f>
        <v>24</v>
      </c>
      <c r="E26" s="62">
        <f>SUM('Day 1'!M69)</f>
        <v>2</v>
      </c>
      <c r="F26" s="71"/>
      <c r="G26" s="71"/>
      <c r="H26" s="76"/>
      <c r="I26" s="62">
        <f>SUM('Day 2'!K110)</f>
        <v>32</v>
      </c>
      <c r="J26" s="62">
        <f>SUM('Day 2'!M110)</f>
        <v>4</v>
      </c>
      <c r="K26" s="71"/>
      <c r="L26" s="71"/>
      <c r="M26" s="76"/>
      <c r="N26" s="62">
        <f>SUM('Day 3'!J40)</f>
        <v>43</v>
      </c>
      <c r="O26" s="62">
        <f>SUM('Day 3'!L40)</f>
        <v>6</v>
      </c>
      <c r="P26" s="71"/>
      <c r="Q26" s="71"/>
      <c r="R26" s="76"/>
      <c r="S26" s="62">
        <f>SUM('Day 4'!K75)</f>
        <v>30</v>
      </c>
      <c r="T26" s="62">
        <f>SUM('Day 4'!M75)</f>
        <v>3</v>
      </c>
      <c r="U26" s="71"/>
      <c r="V26" s="71"/>
      <c r="W26" s="76"/>
      <c r="X26" s="62">
        <f>SUM('Day 5'!K75)</f>
        <v>44</v>
      </c>
      <c r="Y26" s="62">
        <f>SUM('Day 5'!M75)</f>
        <v>6</v>
      </c>
      <c r="Z26" s="71"/>
      <c r="AA26" s="71"/>
      <c r="AB26" s="76"/>
      <c r="AC26" s="71"/>
      <c r="AD26" s="72"/>
      <c r="AF26" s="49"/>
    </row>
    <row r="27" ht="12.75" customHeight="1">
      <c r="A27" s="49"/>
      <c r="B27" s="73"/>
      <c r="C27" s="74"/>
      <c r="D27" s="75"/>
      <c r="E27" s="76"/>
      <c r="F27" s="75"/>
      <c r="G27" s="76"/>
      <c r="H27" s="76"/>
      <c r="I27" s="75"/>
      <c r="J27" s="76"/>
      <c r="K27" s="75"/>
      <c r="L27" s="76"/>
      <c r="M27" s="76"/>
      <c r="N27" s="75"/>
      <c r="O27" s="76"/>
      <c r="P27" s="75"/>
      <c r="Q27" s="76"/>
      <c r="R27" s="76"/>
      <c r="S27" s="75"/>
      <c r="T27" s="76"/>
      <c r="U27" s="75"/>
      <c r="V27" s="76"/>
      <c r="W27" s="76"/>
      <c r="X27" s="75"/>
      <c r="Y27" s="76"/>
      <c r="Z27" s="75"/>
      <c r="AA27" s="76"/>
      <c r="AB27" s="76"/>
      <c r="AC27" s="75"/>
      <c r="AD27" s="77"/>
      <c r="AE27" s="69"/>
      <c r="AF27" s="49"/>
    </row>
    <row r="28" ht="36.0" customHeight="1">
      <c r="A28" s="49"/>
      <c r="B28" s="60" t="s">
        <v>178</v>
      </c>
      <c r="C28" s="61" t="s">
        <v>172</v>
      </c>
      <c r="D28" s="62">
        <f>SUM('Day 1'!K86)</f>
        <v>28</v>
      </c>
      <c r="E28" s="62">
        <f>SUM('Day 1'!M86)</f>
        <v>2</v>
      </c>
      <c r="F28" s="67">
        <f t="shared" ref="F28:G28" si="26">D28+D29</f>
        <v>61</v>
      </c>
      <c r="G28" s="66">
        <f t="shared" si="26"/>
        <v>5</v>
      </c>
      <c r="H28" s="76"/>
      <c r="I28" s="62">
        <f>SUM('Day 2'!K60)</f>
        <v>32</v>
      </c>
      <c r="J28" s="62">
        <f>SUM('Day 2'!M60)</f>
        <v>3</v>
      </c>
      <c r="K28" s="63">
        <f>I28+I29</f>
        <v>64</v>
      </c>
      <c r="L28" s="66">
        <f>SUM(J28+J29)</f>
        <v>8</v>
      </c>
      <c r="M28" s="76"/>
      <c r="N28" s="62">
        <f>SUM('Day 3'!K25)</f>
        <v>26</v>
      </c>
      <c r="O28" s="62">
        <f>SUM('Day 3'!M25)</f>
        <v>4</v>
      </c>
      <c r="P28" s="67">
        <f t="shared" ref="P28:Q28" si="27">N28+N29</f>
        <v>58</v>
      </c>
      <c r="Q28" s="66">
        <f t="shared" si="27"/>
        <v>6</v>
      </c>
      <c r="R28" s="76"/>
      <c r="S28" s="62">
        <f>SUM('Day 4'!K95)</f>
        <v>39</v>
      </c>
      <c r="T28" s="62">
        <f>SUM('Day 4'!M95)</f>
        <v>5</v>
      </c>
      <c r="U28" s="67">
        <f t="shared" ref="U28:V28" si="28">S28+S29</f>
        <v>70</v>
      </c>
      <c r="V28" s="66">
        <f t="shared" si="28"/>
        <v>8</v>
      </c>
      <c r="W28" s="76"/>
      <c r="X28" s="62">
        <f>SUM('Day 5'!K25)</f>
        <v>34</v>
      </c>
      <c r="Y28" s="62">
        <f>SUM('Day 5'!M25)</f>
        <v>3</v>
      </c>
      <c r="Z28" s="67">
        <f t="shared" ref="Z28:AA28" si="29">X28+X29</f>
        <v>70</v>
      </c>
      <c r="AA28" s="66">
        <f t="shared" si="29"/>
        <v>8</v>
      </c>
      <c r="AB28" s="76"/>
      <c r="AC28" s="67">
        <f t="shared" ref="AC28:AD28" si="30">+F28+K28+P28+U28+Z28</f>
        <v>323</v>
      </c>
      <c r="AD28" s="68">
        <f t="shared" si="30"/>
        <v>35</v>
      </c>
      <c r="AE28" s="69"/>
      <c r="AF28" s="49"/>
    </row>
    <row r="29" ht="36.0" customHeight="1">
      <c r="A29" s="49"/>
      <c r="B29" s="80"/>
      <c r="C29" s="61" t="s">
        <v>173</v>
      </c>
      <c r="D29" s="62">
        <f>SUM('Day 1'!K100)</f>
        <v>33</v>
      </c>
      <c r="E29" s="62">
        <f>SUM('Day 1'!M100)</f>
        <v>3</v>
      </c>
      <c r="F29" s="71"/>
      <c r="G29" s="71"/>
      <c r="H29" s="76"/>
      <c r="I29" s="62">
        <f>SUM('Day 2'!K75)</f>
        <v>32</v>
      </c>
      <c r="J29" s="62">
        <f>SUM('Day 2'!M75)</f>
        <v>5</v>
      </c>
      <c r="K29" s="71"/>
      <c r="L29" s="71"/>
      <c r="M29" s="76"/>
      <c r="N29" s="62">
        <f>SUM('Day 3'!K40)</f>
        <v>32</v>
      </c>
      <c r="O29" s="62">
        <f>SUM('Day 3'!M40)</f>
        <v>2</v>
      </c>
      <c r="P29" s="71"/>
      <c r="Q29" s="71"/>
      <c r="R29" s="76"/>
      <c r="S29" s="62">
        <f>SUM('Day 4'!K110)</f>
        <v>31</v>
      </c>
      <c r="T29" s="62">
        <f>SUM('Day 4'!M110)</f>
        <v>3</v>
      </c>
      <c r="U29" s="71"/>
      <c r="V29" s="71"/>
      <c r="W29" s="76"/>
      <c r="X29" s="62">
        <f>SUM('Day 5'!K40)</f>
        <v>36</v>
      </c>
      <c r="Y29" s="62">
        <f>SUM('Day 5'!M40)</f>
        <v>5</v>
      </c>
      <c r="Z29" s="71"/>
      <c r="AA29" s="71"/>
      <c r="AB29" s="76"/>
      <c r="AC29" s="71"/>
      <c r="AD29" s="72"/>
      <c r="AF29" s="49"/>
    </row>
    <row r="30" ht="12.75" customHeight="1">
      <c r="A30" s="49"/>
      <c r="B30" s="81"/>
      <c r="C30" s="82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4"/>
      <c r="T30" s="83"/>
      <c r="U30" s="84"/>
      <c r="V30" s="83"/>
      <c r="W30" s="83"/>
      <c r="X30" s="84"/>
      <c r="Y30" s="83"/>
      <c r="Z30" s="83"/>
      <c r="AA30" s="83"/>
      <c r="AB30" s="83"/>
      <c r="AC30" s="84"/>
      <c r="AD30" s="85"/>
      <c r="AE30" s="49"/>
      <c r="AF30" s="49"/>
    </row>
    <row r="31" ht="15.0" customHeight="1">
      <c r="B31" s="86"/>
      <c r="C31" s="87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</row>
    <row r="32" ht="14.25" customHeight="1">
      <c r="B32" s="31"/>
      <c r="C32" s="32"/>
    </row>
    <row r="33" ht="14.25" customHeight="1">
      <c r="B33" s="31"/>
      <c r="C33" s="32"/>
      <c r="AA33" s="89"/>
    </row>
    <row r="34" ht="18.0" customHeight="1">
      <c r="B34" s="90"/>
    </row>
    <row r="35" ht="18.0" customHeight="1">
      <c r="B35" s="90" t="s">
        <v>179</v>
      </c>
      <c r="C35" s="32"/>
    </row>
    <row r="36" ht="18.0" customHeight="1">
      <c r="B36" s="90"/>
      <c r="C36" s="32"/>
    </row>
    <row r="37" ht="18.0" customHeight="1">
      <c r="B37" s="90" t="s">
        <v>180</v>
      </c>
      <c r="C37" s="32"/>
    </row>
    <row r="38" ht="14.25" customHeight="1">
      <c r="B38" s="31"/>
      <c r="C38" s="32"/>
    </row>
    <row r="39" ht="14.25" customHeight="1">
      <c r="B39" s="31"/>
      <c r="C39" s="32"/>
    </row>
    <row r="40" ht="18.0" customHeight="1">
      <c r="B40" s="90"/>
      <c r="C40" s="32"/>
    </row>
    <row r="41" ht="14.25" customHeight="1">
      <c r="B41" s="31"/>
      <c r="C41" s="32"/>
    </row>
    <row r="42" ht="14.25" customHeight="1">
      <c r="B42" s="31"/>
      <c r="C42" s="32"/>
    </row>
    <row r="43" ht="14.25" customHeight="1">
      <c r="B43" s="31"/>
      <c r="C43" s="32"/>
    </row>
    <row r="44" ht="14.25" customHeight="1">
      <c r="B44" s="31"/>
      <c r="C44" s="32"/>
    </row>
    <row r="45" ht="14.25" customHeight="1">
      <c r="B45" s="31"/>
      <c r="C45" s="32"/>
    </row>
    <row r="46" ht="14.25" customHeight="1">
      <c r="B46" s="31"/>
      <c r="C46" s="32"/>
    </row>
    <row r="47" ht="14.25" customHeight="1">
      <c r="B47" s="31"/>
      <c r="C47" s="32"/>
    </row>
    <row r="48" ht="14.25" customHeight="1">
      <c r="B48" s="31"/>
      <c r="C48" s="32"/>
    </row>
    <row r="49" ht="14.25" customHeight="1">
      <c r="B49" s="31"/>
      <c r="C49" s="32"/>
    </row>
    <row r="50" ht="14.25" customHeight="1">
      <c r="B50" s="31"/>
      <c r="C50" s="32"/>
    </row>
    <row r="51" ht="14.25" customHeight="1">
      <c r="B51" s="31"/>
      <c r="C51" s="32"/>
    </row>
    <row r="52" ht="14.25" customHeight="1">
      <c r="B52" s="31"/>
      <c r="C52" s="32"/>
    </row>
    <row r="53" ht="14.25" customHeight="1">
      <c r="B53" s="31"/>
      <c r="C53" s="32"/>
    </row>
    <row r="54" ht="14.25" customHeight="1">
      <c r="B54" s="31"/>
      <c r="C54" s="32"/>
    </row>
    <row r="55" ht="14.25" customHeight="1">
      <c r="B55" s="31"/>
      <c r="C55" s="32"/>
    </row>
    <row r="56" ht="14.25" customHeight="1">
      <c r="B56" s="31"/>
      <c r="C56" s="32"/>
    </row>
    <row r="57" ht="14.25" customHeight="1">
      <c r="B57" s="31"/>
      <c r="C57" s="32"/>
    </row>
    <row r="58" ht="14.25" customHeight="1">
      <c r="B58" s="31"/>
      <c r="C58" s="32"/>
    </row>
    <row r="59" ht="14.25" customHeight="1">
      <c r="B59" s="31"/>
      <c r="C59" s="32"/>
    </row>
    <row r="60" ht="14.25" customHeight="1">
      <c r="B60" s="31"/>
      <c r="C60" s="32"/>
    </row>
    <row r="61" ht="14.25" customHeight="1">
      <c r="B61" s="31"/>
      <c r="C61" s="32"/>
    </row>
    <row r="62" ht="14.25" customHeight="1">
      <c r="B62" s="31"/>
      <c r="C62" s="32"/>
    </row>
    <row r="63" ht="14.25" customHeight="1">
      <c r="B63" s="31"/>
      <c r="C63" s="32"/>
    </row>
    <row r="64" ht="14.25" customHeight="1">
      <c r="B64" s="31"/>
      <c r="C64" s="32"/>
    </row>
    <row r="65" ht="14.25" customHeight="1">
      <c r="B65" s="31"/>
      <c r="C65" s="32"/>
    </row>
    <row r="66" ht="14.25" customHeight="1">
      <c r="B66" s="31"/>
      <c r="C66" s="32"/>
    </row>
    <row r="67" ht="14.25" customHeight="1">
      <c r="B67" s="31"/>
      <c r="C67" s="32"/>
    </row>
    <row r="68" ht="14.25" customHeight="1">
      <c r="B68" s="31"/>
      <c r="C68" s="32"/>
    </row>
    <row r="69" ht="14.25" customHeight="1">
      <c r="B69" s="31"/>
      <c r="C69" s="32"/>
    </row>
    <row r="70" ht="14.25" customHeight="1">
      <c r="B70" s="31"/>
      <c r="C70" s="32"/>
    </row>
    <row r="71" ht="14.25" customHeight="1">
      <c r="B71" s="31"/>
      <c r="C71" s="32"/>
    </row>
    <row r="72" ht="14.25" customHeight="1">
      <c r="B72" s="31"/>
      <c r="C72" s="32"/>
    </row>
    <row r="73" ht="14.25" customHeight="1">
      <c r="B73" s="31"/>
      <c r="C73" s="32"/>
    </row>
    <row r="74" ht="14.25" customHeight="1">
      <c r="B74" s="31"/>
      <c r="C74" s="32"/>
    </row>
    <row r="75" ht="14.25" customHeight="1">
      <c r="B75" s="31"/>
      <c r="C75" s="32"/>
    </row>
    <row r="76" ht="14.25" customHeight="1">
      <c r="B76" s="31"/>
      <c r="C76" s="32"/>
    </row>
    <row r="77" ht="14.25" customHeight="1">
      <c r="B77" s="31"/>
      <c r="C77" s="32"/>
    </row>
    <row r="78" ht="14.25" customHeight="1">
      <c r="B78" s="31"/>
      <c r="C78" s="32"/>
    </row>
    <row r="79" ht="14.25" customHeight="1">
      <c r="B79" s="31"/>
      <c r="C79" s="32"/>
    </row>
    <row r="80" ht="14.25" customHeight="1">
      <c r="B80" s="31"/>
      <c r="C80" s="32"/>
    </row>
    <row r="81" ht="14.25" customHeight="1">
      <c r="B81" s="31"/>
      <c r="C81" s="32"/>
    </row>
    <row r="82" ht="14.25" customHeight="1">
      <c r="B82" s="31"/>
      <c r="C82" s="32"/>
    </row>
    <row r="83" ht="14.25" customHeight="1">
      <c r="B83" s="31"/>
      <c r="C83" s="32"/>
    </row>
    <row r="84" ht="14.25" customHeight="1">
      <c r="B84" s="31"/>
      <c r="C84" s="32"/>
    </row>
    <row r="85" ht="14.25" customHeight="1">
      <c r="B85" s="31"/>
      <c r="C85" s="32"/>
    </row>
    <row r="86" ht="14.25" customHeight="1">
      <c r="B86" s="31"/>
      <c r="C86" s="32"/>
    </row>
    <row r="87" ht="14.25" customHeight="1">
      <c r="B87" s="31"/>
      <c r="C87" s="32"/>
    </row>
    <row r="88" ht="14.25" customHeight="1">
      <c r="B88" s="31"/>
      <c r="C88" s="32"/>
    </row>
    <row r="89" ht="14.25" customHeight="1">
      <c r="B89" s="31"/>
      <c r="C89" s="32"/>
    </row>
    <row r="90" ht="14.25" customHeight="1">
      <c r="B90" s="31"/>
      <c r="C90" s="32"/>
    </row>
    <row r="91" ht="14.25" customHeight="1">
      <c r="B91" s="31"/>
      <c r="C91" s="32"/>
    </row>
    <row r="92" ht="14.25" customHeight="1">
      <c r="B92" s="31"/>
      <c r="C92" s="32"/>
    </row>
    <row r="93" ht="14.25" customHeight="1">
      <c r="B93" s="31"/>
      <c r="C93" s="32"/>
    </row>
    <row r="94" ht="14.25" customHeight="1">
      <c r="B94" s="31"/>
      <c r="C94" s="32"/>
    </row>
    <row r="95" ht="14.25" customHeight="1">
      <c r="B95" s="31"/>
      <c r="C95" s="32"/>
    </row>
    <row r="96" ht="14.25" customHeight="1">
      <c r="B96" s="31"/>
      <c r="C96" s="32"/>
    </row>
    <row r="97" ht="14.25" customHeight="1">
      <c r="B97" s="31"/>
      <c r="C97" s="32"/>
    </row>
    <row r="98" ht="14.25" customHeight="1">
      <c r="B98" s="31"/>
      <c r="C98" s="32"/>
    </row>
    <row r="99" ht="14.25" customHeight="1">
      <c r="B99" s="31"/>
      <c r="C99" s="32"/>
    </row>
    <row r="100" ht="14.25" customHeight="1">
      <c r="B100" s="31"/>
      <c r="C100" s="32"/>
    </row>
    <row r="101" ht="14.25" customHeight="1">
      <c r="B101" s="31"/>
      <c r="C101" s="32"/>
    </row>
    <row r="102" ht="14.25" customHeight="1">
      <c r="B102" s="31"/>
      <c r="C102" s="32"/>
    </row>
    <row r="103" ht="14.25" customHeight="1">
      <c r="B103" s="31"/>
      <c r="C103" s="32"/>
    </row>
    <row r="104" ht="14.25" customHeight="1">
      <c r="B104" s="31"/>
      <c r="C104" s="32"/>
    </row>
    <row r="105" ht="14.25" customHeight="1">
      <c r="B105" s="31"/>
      <c r="C105" s="32"/>
    </row>
    <row r="106" ht="14.25" customHeight="1">
      <c r="B106" s="31"/>
      <c r="C106" s="32"/>
    </row>
    <row r="107" ht="14.25" customHeight="1">
      <c r="B107" s="31"/>
      <c r="C107" s="32"/>
    </row>
    <row r="108" ht="14.25" customHeight="1">
      <c r="B108" s="31"/>
      <c r="C108" s="32"/>
    </row>
    <row r="109" ht="14.25" customHeight="1">
      <c r="B109" s="31"/>
      <c r="C109" s="32"/>
    </row>
    <row r="110" ht="14.25" customHeight="1">
      <c r="B110" s="31"/>
      <c r="C110" s="32"/>
    </row>
    <row r="111" ht="14.25" customHeight="1">
      <c r="B111" s="31"/>
      <c r="C111" s="32"/>
    </row>
    <row r="112" ht="14.25" customHeight="1">
      <c r="B112" s="31"/>
      <c r="C112" s="32"/>
    </row>
    <row r="113" ht="14.25" customHeight="1">
      <c r="B113" s="31"/>
      <c r="C113" s="32"/>
    </row>
    <row r="114" ht="14.25" customHeight="1">
      <c r="B114" s="31"/>
      <c r="C114" s="32"/>
    </row>
    <row r="115" ht="14.25" customHeight="1">
      <c r="B115" s="31"/>
      <c r="C115" s="32"/>
    </row>
    <row r="116" ht="14.25" customHeight="1">
      <c r="B116" s="31"/>
      <c r="C116" s="32"/>
    </row>
    <row r="117" ht="14.25" customHeight="1">
      <c r="B117" s="31"/>
      <c r="C117" s="32"/>
    </row>
    <row r="118" ht="14.25" customHeight="1">
      <c r="B118" s="31"/>
      <c r="C118" s="32"/>
    </row>
    <row r="119" ht="14.25" customHeight="1">
      <c r="B119" s="31"/>
      <c r="C119" s="32"/>
    </row>
    <row r="120" ht="14.25" customHeight="1">
      <c r="B120" s="31"/>
      <c r="C120" s="32"/>
    </row>
    <row r="121" ht="14.25" customHeight="1">
      <c r="B121" s="31"/>
      <c r="C121" s="32"/>
    </row>
    <row r="122" ht="14.25" customHeight="1">
      <c r="B122" s="31"/>
      <c r="C122" s="32"/>
    </row>
    <row r="123" ht="14.25" customHeight="1">
      <c r="B123" s="31"/>
      <c r="C123" s="32"/>
    </row>
    <row r="124" ht="14.25" customHeight="1">
      <c r="B124" s="31"/>
      <c r="C124" s="32"/>
    </row>
    <row r="125" ht="14.25" customHeight="1">
      <c r="B125" s="31"/>
      <c r="C125" s="32"/>
    </row>
    <row r="126" ht="14.25" customHeight="1">
      <c r="B126" s="31"/>
      <c r="C126" s="32"/>
    </row>
    <row r="127" ht="14.25" customHeight="1">
      <c r="B127" s="31"/>
      <c r="C127" s="32"/>
    </row>
    <row r="128" ht="14.25" customHeight="1">
      <c r="B128" s="31"/>
      <c r="C128" s="32"/>
    </row>
    <row r="129" ht="14.25" customHeight="1">
      <c r="B129" s="31"/>
      <c r="C129" s="32"/>
    </row>
    <row r="130" ht="14.25" customHeight="1">
      <c r="B130" s="31"/>
      <c r="C130" s="32"/>
    </row>
    <row r="131" ht="14.25" customHeight="1">
      <c r="B131" s="31"/>
      <c r="C131" s="32"/>
    </row>
    <row r="132" ht="14.25" customHeight="1">
      <c r="B132" s="31"/>
      <c r="C132" s="32"/>
    </row>
    <row r="133" ht="14.25" customHeight="1">
      <c r="B133" s="31"/>
      <c r="C133" s="32"/>
    </row>
    <row r="134" ht="14.25" customHeight="1">
      <c r="B134" s="31"/>
      <c r="C134" s="32"/>
    </row>
    <row r="135" ht="14.25" customHeight="1">
      <c r="B135" s="31"/>
      <c r="C135" s="32"/>
    </row>
    <row r="136" ht="14.25" customHeight="1">
      <c r="B136" s="31"/>
      <c r="C136" s="32"/>
    </row>
    <row r="137" ht="14.25" customHeight="1">
      <c r="B137" s="31"/>
      <c r="C137" s="32"/>
    </row>
    <row r="138" ht="14.25" customHeight="1">
      <c r="B138" s="31"/>
      <c r="C138" s="32"/>
    </row>
    <row r="139" ht="14.25" customHeight="1">
      <c r="B139" s="31"/>
      <c r="C139" s="32"/>
    </row>
    <row r="140" ht="14.25" customHeight="1">
      <c r="B140" s="31"/>
      <c r="C140" s="32"/>
    </row>
    <row r="141" ht="14.25" customHeight="1">
      <c r="B141" s="31"/>
      <c r="C141" s="32"/>
    </row>
    <row r="142" ht="14.25" customHeight="1">
      <c r="B142" s="31"/>
      <c r="C142" s="32"/>
    </row>
    <row r="143" ht="14.25" customHeight="1">
      <c r="B143" s="31"/>
      <c r="C143" s="32"/>
    </row>
    <row r="144" ht="14.25" customHeight="1">
      <c r="B144" s="31"/>
      <c r="C144" s="32"/>
    </row>
    <row r="145" ht="14.25" customHeight="1">
      <c r="B145" s="31"/>
      <c r="C145" s="32"/>
    </row>
    <row r="146" ht="14.25" customHeight="1">
      <c r="B146" s="31"/>
      <c r="C146" s="32"/>
    </row>
    <row r="147" ht="14.25" customHeight="1">
      <c r="B147" s="31"/>
      <c r="C147" s="32"/>
    </row>
    <row r="148" ht="14.25" customHeight="1">
      <c r="B148" s="31"/>
      <c r="C148" s="32"/>
    </row>
    <row r="149" ht="14.25" customHeight="1">
      <c r="B149" s="31"/>
      <c r="C149" s="32"/>
    </row>
    <row r="150" ht="14.25" customHeight="1">
      <c r="B150" s="31"/>
      <c r="C150" s="32"/>
    </row>
    <row r="151" ht="14.25" customHeight="1">
      <c r="B151" s="31"/>
      <c r="C151" s="32"/>
    </row>
    <row r="152" ht="14.25" customHeight="1">
      <c r="B152" s="31"/>
      <c r="C152" s="32"/>
    </row>
    <row r="153" ht="14.25" customHeight="1">
      <c r="B153" s="31"/>
      <c r="C153" s="32"/>
    </row>
    <row r="154" ht="14.25" customHeight="1">
      <c r="B154" s="31"/>
      <c r="C154" s="32"/>
    </row>
    <row r="155" ht="14.25" customHeight="1">
      <c r="B155" s="31"/>
      <c r="C155" s="32"/>
    </row>
    <row r="156" ht="14.25" customHeight="1">
      <c r="B156" s="31"/>
      <c r="C156" s="32"/>
    </row>
    <row r="157" ht="14.25" customHeight="1">
      <c r="B157" s="31"/>
      <c r="C157" s="32"/>
    </row>
    <row r="158" ht="14.25" customHeight="1">
      <c r="B158" s="31"/>
      <c r="C158" s="32"/>
    </row>
    <row r="159" ht="14.25" customHeight="1">
      <c r="B159" s="31"/>
      <c r="C159" s="32"/>
    </row>
    <row r="160" ht="14.25" customHeight="1">
      <c r="B160" s="31"/>
      <c r="C160" s="32"/>
    </row>
    <row r="161" ht="14.25" customHeight="1">
      <c r="B161" s="31"/>
      <c r="C161" s="32"/>
    </row>
    <row r="162" ht="14.25" customHeight="1">
      <c r="B162" s="31"/>
      <c r="C162" s="32"/>
    </row>
    <row r="163" ht="14.25" customHeight="1">
      <c r="B163" s="31"/>
      <c r="C163" s="32"/>
    </row>
    <row r="164" ht="14.25" customHeight="1">
      <c r="B164" s="31"/>
      <c r="C164" s="32"/>
    </row>
    <row r="165" ht="14.25" customHeight="1">
      <c r="B165" s="31"/>
      <c r="C165" s="32"/>
    </row>
    <row r="166" ht="14.25" customHeight="1">
      <c r="B166" s="31"/>
      <c r="C166" s="32"/>
    </row>
    <row r="167" ht="14.25" customHeight="1">
      <c r="B167" s="31"/>
      <c r="C167" s="32"/>
    </row>
    <row r="168" ht="14.25" customHeight="1">
      <c r="B168" s="31"/>
      <c r="C168" s="32"/>
    </row>
    <row r="169" ht="14.25" customHeight="1">
      <c r="B169" s="31"/>
      <c r="C169" s="32"/>
    </row>
    <row r="170" ht="14.25" customHeight="1">
      <c r="B170" s="31"/>
      <c r="C170" s="32"/>
    </row>
    <row r="171" ht="14.25" customHeight="1">
      <c r="B171" s="31"/>
      <c r="C171" s="32"/>
    </row>
    <row r="172" ht="14.25" customHeight="1">
      <c r="B172" s="31"/>
      <c r="C172" s="32"/>
    </row>
    <row r="173" ht="14.25" customHeight="1">
      <c r="B173" s="31"/>
      <c r="C173" s="32"/>
    </row>
    <row r="174" ht="14.25" customHeight="1">
      <c r="B174" s="31"/>
      <c r="C174" s="32"/>
    </row>
    <row r="175" ht="14.25" customHeight="1">
      <c r="B175" s="31"/>
      <c r="C175" s="32"/>
    </row>
    <row r="176" ht="14.25" customHeight="1">
      <c r="B176" s="31"/>
      <c r="C176" s="32"/>
    </row>
    <row r="177" ht="14.25" customHeight="1">
      <c r="B177" s="31"/>
      <c r="C177" s="32"/>
    </row>
    <row r="178" ht="14.25" customHeight="1">
      <c r="B178" s="31"/>
      <c r="C178" s="32"/>
    </row>
    <row r="179" ht="14.25" customHeight="1">
      <c r="B179" s="31"/>
      <c r="C179" s="32"/>
    </row>
    <row r="180" ht="14.25" customHeight="1">
      <c r="B180" s="31"/>
      <c r="C180" s="32"/>
    </row>
    <row r="181" ht="14.25" customHeight="1">
      <c r="B181" s="31"/>
      <c r="C181" s="32"/>
    </row>
    <row r="182" ht="14.25" customHeight="1">
      <c r="B182" s="31"/>
      <c r="C182" s="32"/>
    </row>
    <row r="183" ht="14.25" customHeight="1">
      <c r="B183" s="31"/>
      <c r="C183" s="32"/>
    </row>
    <row r="184" ht="14.25" customHeight="1">
      <c r="B184" s="31"/>
      <c r="C184" s="32"/>
    </row>
    <row r="185" ht="14.25" customHeight="1">
      <c r="B185" s="31"/>
      <c r="C185" s="32"/>
    </row>
    <row r="186" ht="14.25" customHeight="1">
      <c r="B186" s="31"/>
      <c r="C186" s="32"/>
    </row>
    <row r="187" ht="14.25" customHeight="1">
      <c r="B187" s="31"/>
      <c r="C187" s="32"/>
    </row>
    <row r="188" ht="14.25" customHeight="1">
      <c r="B188" s="31"/>
      <c r="C188" s="32"/>
    </row>
    <row r="189" ht="14.25" customHeight="1">
      <c r="B189" s="31"/>
      <c r="C189" s="32"/>
    </row>
    <row r="190" ht="14.25" customHeight="1">
      <c r="B190" s="31"/>
      <c r="C190" s="32"/>
    </row>
    <row r="191" ht="14.25" customHeight="1">
      <c r="B191" s="31"/>
      <c r="C191" s="32"/>
    </row>
    <row r="192" ht="14.25" customHeight="1">
      <c r="B192" s="31"/>
      <c r="C192" s="32"/>
    </row>
    <row r="193" ht="14.25" customHeight="1">
      <c r="B193" s="31"/>
      <c r="C193" s="32"/>
    </row>
    <row r="194" ht="14.25" customHeight="1">
      <c r="B194" s="31"/>
      <c r="C194" s="32"/>
    </row>
    <row r="195" ht="14.25" customHeight="1">
      <c r="B195" s="31"/>
      <c r="C195" s="32"/>
    </row>
    <row r="196" ht="14.25" customHeight="1">
      <c r="B196" s="31"/>
      <c r="C196" s="32"/>
    </row>
    <row r="197" ht="14.25" customHeight="1">
      <c r="B197" s="31"/>
      <c r="C197" s="32"/>
    </row>
    <row r="198" ht="14.25" customHeight="1">
      <c r="B198" s="31"/>
      <c r="C198" s="32"/>
    </row>
    <row r="199" ht="14.25" customHeight="1">
      <c r="B199" s="31"/>
      <c r="C199" s="32"/>
    </row>
    <row r="200" ht="14.25" customHeight="1">
      <c r="B200" s="31"/>
      <c r="C200" s="32"/>
    </row>
    <row r="201" ht="14.25" customHeight="1">
      <c r="B201" s="31"/>
      <c r="C201" s="32"/>
    </row>
    <row r="202" ht="14.25" customHeight="1">
      <c r="B202" s="31"/>
      <c r="C202" s="32"/>
    </row>
    <row r="203" ht="14.25" customHeight="1">
      <c r="B203" s="31"/>
      <c r="C203" s="32"/>
    </row>
    <row r="204" ht="14.25" customHeight="1">
      <c r="B204" s="31"/>
      <c r="C204" s="32"/>
    </row>
    <row r="205" ht="14.25" customHeight="1">
      <c r="B205" s="31"/>
      <c r="C205" s="32"/>
    </row>
    <row r="206" ht="14.25" customHeight="1">
      <c r="B206" s="31"/>
      <c r="C206" s="32"/>
    </row>
    <row r="207" ht="14.25" customHeight="1">
      <c r="B207" s="31"/>
      <c r="C207" s="32"/>
    </row>
    <row r="208" ht="14.25" customHeight="1">
      <c r="B208" s="31"/>
      <c r="C208" s="32"/>
    </row>
    <row r="209" ht="14.25" customHeight="1">
      <c r="B209" s="31"/>
      <c r="C209" s="32"/>
    </row>
    <row r="210" ht="14.25" customHeight="1">
      <c r="B210" s="31"/>
      <c r="C210" s="32"/>
    </row>
    <row r="211" ht="14.25" customHeight="1">
      <c r="B211" s="31"/>
      <c r="C211" s="32"/>
    </row>
    <row r="212" ht="14.25" customHeight="1">
      <c r="B212" s="31"/>
      <c r="C212" s="32"/>
    </row>
    <row r="213" ht="14.25" customHeight="1">
      <c r="B213" s="31"/>
      <c r="C213" s="32"/>
    </row>
    <row r="214" ht="14.25" customHeight="1">
      <c r="B214" s="31"/>
      <c r="C214" s="32"/>
    </row>
    <row r="215" ht="14.25" customHeight="1">
      <c r="B215" s="31"/>
      <c r="C215" s="32"/>
    </row>
    <row r="216" ht="14.25" customHeight="1">
      <c r="B216" s="31"/>
      <c r="C216" s="32"/>
    </row>
    <row r="217" ht="14.25" customHeight="1">
      <c r="B217" s="31"/>
      <c r="C217" s="32"/>
    </row>
    <row r="218" ht="14.25" customHeight="1">
      <c r="B218" s="31"/>
      <c r="C218" s="32"/>
    </row>
    <row r="219" ht="14.25" customHeight="1">
      <c r="B219" s="31"/>
      <c r="C219" s="32"/>
    </row>
    <row r="220" ht="14.25" customHeight="1">
      <c r="B220" s="31"/>
      <c r="C220" s="32"/>
    </row>
    <row r="221" ht="14.25" customHeight="1">
      <c r="B221" s="31"/>
      <c r="C221" s="32"/>
    </row>
    <row r="222" ht="14.25" customHeight="1">
      <c r="B222" s="31"/>
      <c r="C222" s="32"/>
    </row>
    <row r="223" ht="14.25" customHeight="1">
      <c r="B223" s="31"/>
      <c r="C223" s="32"/>
    </row>
    <row r="224" ht="14.25" customHeight="1">
      <c r="B224" s="31"/>
      <c r="C224" s="32"/>
    </row>
    <row r="225" ht="14.25" customHeight="1">
      <c r="B225" s="31"/>
      <c r="C225" s="32"/>
    </row>
    <row r="226" ht="14.25" customHeight="1">
      <c r="B226" s="31"/>
      <c r="C226" s="32"/>
    </row>
    <row r="227" ht="14.25" customHeight="1">
      <c r="B227" s="31"/>
      <c r="C227" s="32"/>
    </row>
    <row r="228" ht="14.25" customHeight="1">
      <c r="B228" s="31"/>
      <c r="C228" s="32"/>
    </row>
    <row r="229" ht="14.25" customHeight="1">
      <c r="B229" s="31"/>
      <c r="C229" s="32"/>
    </row>
    <row r="230" ht="14.25" customHeight="1">
      <c r="B230" s="31"/>
      <c r="C230" s="32"/>
    </row>
    <row r="231" ht="14.25" customHeight="1">
      <c r="B231" s="31"/>
      <c r="C231" s="32"/>
    </row>
    <row r="232" ht="14.25" customHeight="1">
      <c r="B232" s="31"/>
      <c r="C232" s="32"/>
    </row>
    <row r="233" ht="14.25" customHeight="1">
      <c r="B233" s="31"/>
      <c r="C233" s="32"/>
    </row>
    <row r="234" ht="14.25" customHeight="1">
      <c r="B234" s="31"/>
      <c r="C234" s="32"/>
    </row>
    <row r="235" ht="14.25" customHeight="1">
      <c r="B235" s="31"/>
      <c r="C235" s="32"/>
    </row>
    <row r="236" ht="14.25" customHeight="1">
      <c r="B236" s="31"/>
      <c r="C236" s="32"/>
    </row>
    <row r="237" ht="14.25" customHeight="1">
      <c r="B237" s="31"/>
      <c r="C237" s="32"/>
    </row>
    <row r="238" ht="14.25" customHeight="1">
      <c r="B238" s="31"/>
      <c r="C238" s="32"/>
    </row>
    <row r="239" ht="14.25" customHeight="1">
      <c r="B239" s="31"/>
      <c r="C239" s="32"/>
    </row>
    <row r="240" ht="14.25" customHeight="1">
      <c r="B240" s="31"/>
      <c r="C240" s="32"/>
    </row>
    <row r="241" ht="14.25" customHeight="1">
      <c r="B241" s="31"/>
      <c r="C241" s="32"/>
    </row>
    <row r="242" ht="14.25" customHeight="1">
      <c r="B242" s="31"/>
      <c r="C242" s="32"/>
    </row>
    <row r="243" ht="14.25" customHeight="1">
      <c r="B243" s="31"/>
      <c r="C243" s="32"/>
    </row>
    <row r="244" ht="14.25" customHeight="1">
      <c r="B244" s="31"/>
      <c r="C244" s="32"/>
    </row>
    <row r="245" ht="14.25" customHeight="1">
      <c r="B245" s="31"/>
      <c r="C245" s="32"/>
    </row>
    <row r="246" ht="14.25" customHeight="1">
      <c r="B246" s="31"/>
      <c r="C246" s="32"/>
    </row>
    <row r="247" ht="14.25" customHeight="1">
      <c r="B247" s="31"/>
      <c r="C247" s="32"/>
    </row>
    <row r="248" ht="14.25" customHeight="1">
      <c r="B248" s="31"/>
      <c r="C248" s="32"/>
    </row>
    <row r="249" ht="14.25" customHeight="1">
      <c r="B249" s="31"/>
      <c r="C249" s="32"/>
    </row>
    <row r="250" ht="14.25" customHeight="1">
      <c r="B250" s="31"/>
      <c r="C250" s="32"/>
    </row>
    <row r="251" ht="14.25" customHeight="1">
      <c r="B251" s="31"/>
      <c r="C251" s="32"/>
    </row>
    <row r="252" ht="14.25" customHeight="1">
      <c r="B252" s="31"/>
      <c r="C252" s="32"/>
    </row>
    <row r="253" ht="14.25" customHeight="1">
      <c r="B253" s="31"/>
      <c r="C253" s="32"/>
    </row>
    <row r="254" ht="14.25" customHeight="1">
      <c r="B254" s="31"/>
      <c r="C254" s="32"/>
    </row>
    <row r="255" ht="14.25" customHeight="1">
      <c r="B255" s="31"/>
      <c r="C255" s="32"/>
    </row>
    <row r="256" ht="14.25" customHeight="1">
      <c r="B256" s="31"/>
      <c r="C256" s="32"/>
    </row>
    <row r="257" ht="14.25" customHeight="1">
      <c r="B257" s="31"/>
      <c r="C257" s="32"/>
    </row>
    <row r="258" ht="14.25" customHeight="1">
      <c r="B258" s="31"/>
      <c r="C258" s="32"/>
    </row>
    <row r="259" ht="14.25" customHeight="1">
      <c r="B259" s="31"/>
      <c r="C259" s="32"/>
    </row>
    <row r="260" ht="14.25" customHeight="1">
      <c r="B260" s="31"/>
      <c r="C260" s="32"/>
    </row>
    <row r="261" ht="14.25" customHeight="1">
      <c r="B261" s="31"/>
      <c r="C261" s="32"/>
    </row>
    <row r="262" ht="14.25" customHeight="1">
      <c r="B262" s="31"/>
      <c r="C262" s="32"/>
    </row>
    <row r="263" ht="14.25" customHeight="1">
      <c r="B263" s="31"/>
      <c r="C263" s="32"/>
    </row>
    <row r="264" ht="14.25" customHeight="1">
      <c r="B264" s="31"/>
      <c r="C264" s="32"/>
    </row>
    <row r="265" ht="14.25" customHeight="1">
      <c r="B265" s="31"/>
      <c r="C265" s="32"/>
    </row>
    <row r="266" ht="14.25" customHeight="1">
      <c r="B266" s="31"/>
      <c r="C266" s="32"/>
    </row>
    <row r="267" ht="14.25" customHeight="1">
      <c r="B267" s="31"/>
      <c r="C267" s="32"/>
    </row>
    <row r="268" ht="14.25" customHeight="1">
      <c r="B268" s="31"/>
      <c r="C268" s="32"/>
    </row>
    <row r="269" ht="14.25" customHeight="1">
      <c r="B269" s="31"/>
      <c r="C269" s="32"/>
    </row>
    <row r="270" ht="14.25" customHeight="1">
      <c r="B270" s="31"/>
      <c r="C270" s="32"/>
    </row>
    <row r="271" ht="14.25" customHeight="1">
      <c r="B271" s="31"/>
      <c r="C271" s="32"/>
    </row>
    <row r="272" ht="14.25" customHeight="1">
      <c r="B272" s="31"/>
      <c r="C272" s="32"/>
    </row>
    <row r="273" ht="14.25" customHeight="1">
      <c r="B273" s="31"/>
      <c r="C273" s="32"/>
    </row>
    <row r="274" ht="14.25" customHeight="1">
      <c r="B274" s="31"/>
      <c r="C274" s="32"/>
    </row>
    <row r="275" ht="14.25" customHeight="1">
      <c r="B275" s="31"/>
      <c r="C275" s="32"/>
    </row>
    <row r="276" ht="14.25" customHeight="1">
      <c r="B276" s="31"/>
      <c r="C276" s="32"/>
    </row>
    <row r="277" ht="14.25" customHeight="1">
      <c r="B277" s="31"/>
      <c r="C277" s="32"/>
    </row>
    <row r="278" ht="14.25" customHeight="1">
      <c r="B278" s="31"/>
      <c r="C278" s="32"/>
    </row>
    <row r="279" ht="14.25" customHeight="1">
      <c r="B279" s="31"/>
      <c r="C279" s="32"/>
    </row>
    <row r="280" ht="14.25" customHeight="1">
      <c r="B280" s="31"/>
      <c r="C280" s="32"/>
    </row>
    <row r="281" ht="14.25" customHeight="1">
      <c r="B281" s="31"/>
      <c r="C281" s="32"/>
    </row>
    <row r="282" ht="14.25" customHeight="1">
      <c r="B282" s="31"/>
      <c r="C282" s="32"/>
    </row>
    <row r="283" ht="14.25" customHeight="1">
      <c r="B283" s="31"/>
      <c r="C283" s="32"/>
    </row>
    <row r="284" ht="14.25" customHeight="1">
      <c r="B284" s="31"/>
      <c r="C284" s="32"/>
    </row>
    <row r="285" ht="14.25" customHeight="1">
      <c r="B285" s="31"/>
      <c r="C285" s="32"/>
    </row>
    <row r="286" ht="14.25" customHeight="1">
      <c r="B286" s="31"/>
      <c r="C286" s="32"/>
    </row>
    <row r="287" ht="14.25" customHeight="1">
      <c r="B287" s="31"/>
      <c r="C287" s="32"/>
    </row>
    <row r="288" ht="14.25" customHeight="1">
      <c r="B288" s="31"/>
      <c r="C288" s="32"/>
    </row>
    <row r="289" ht="14.25" customHeight="1">
      <c r="B289" s="31"/>
      <c r="C289" s="32"/>
    </row>
    <row r="290" ht="14.25" customHeight="1">
      <c r="B290" s="31"/>
      <c r="C290" s="32"/>
    </row>
    <row r="291" ht="14.25" customHeight="1">
      <c r="B291" s="31"/>
      <c r="C291" s="32"/>
    </row>
    <row r="292" ht="14.25" customHeight="1">
      <c r="B292" s="31"/>
      <c r="C292" s="32"/>
    </row>
    <row r="293" ht="14.25" customHeight="1">
      <c r="B293" s="31"/>
      <c r="C293" s="32"/>
    </row>
    <row r="294" ht="14.25" customHeight="1">
      <c r="B294" s="31"/>
      <c r="C294" s="32"/>
    </row>
    <row r="295" ht="14.25" customHeight="1">
      <c r="B295" s="31"/>
      <c r="C295" s="32"/>
    </row>
    <row r="296" ht="14.25" customHeight="1">
      <c r="B296" s="31"/>
      <c r="C296" s="32"/>
    </row>
    <row r="297" ht="14.25" customHeight="1">
      <c r="B297" s="31"/>
      <c r="C297" s="32"/>
    </row>
    <row r="298" ht="14.25" customHeight="1">
      <c r="B298" s="31"/>
      <c r="C298" s="32"/>
    </row>
    <row r="299" ht="14.25" customHeight="1">
      <c r="B299" s="31"/>
      <c r="C299" s="32"/>
    </row>
    <row r="300" ht="14.25" customHeight="1">
      <c r="B300" s="31"/>
      <c r="C300" s="32"/>
    </row>
    <row r="301" ht="14.25" customHeight="1">
      <c r="B301" s="31"/>
      <c r="C301" s="32"/>
    </row>
    <row r="302" ht="14.25" customHeight="1">
      <c r="B302" s="31"/>
      <c r="C302" s="32"/>
    </row>
    <row r="303" ht="14.25" customHeight="1">
      <c r="B303" s="31"/>
      <c r="C303" s="32"/>
    </row>
    <row r="304" ht="14.25" customHeight="1">
      <c r="B304" s="31"/>
      <c r="C304" s="32"/>
    </row>
    <row r="305" ht="14.25" customHeight="1">
      <c r="B305" s="31"/>
      <c r="C305" s="32"/>
    </row>
    <row r="306" ht="14.25" customHeight="1">
      <c r="B306" s="31"/>
      <c r="C306" s="32"/>
    </row>
    <row r="307" ht="14.25" customHeight="1">
      <c r="B307" s="31"/>
      <c r="C307" s="32"/>
    </row>
    <row r="308" ht="14.25" customHeight="1">
      <c r="B308" s="31"/>
      <c r="C308" s="32"/>
    </row>
    <row r="309" ht="14.25" customHeight="1">
      <c r="B309" s="31"/>
      <c r="C309" s="32"/>
    </row>
    <row r="310" ht="14.25" customHeight="1">
      <c r="B310" s="31"/>
      <c r="C310" s="32"/>
    </row>
    <row r="311" ht="14.25" customHeight="1">
      <c r="B311" s="31"/>
      <c r="C311" s="32"/>
    </row>
    <row r="312" ht="14.25" customHeight="1">
      <c r="B312" s="31"/>
      <c r="C312" s="32"/>
    </row>
    <row r="313" ht="14.25" customHeight="1">
      <c r="B313" s="31"/>
      <c r="C313" s="32"/>
    </row>
    <row r="314" ht="14.25" customHeight="1">
      <c r="B314" s="31"/>
      <c r="C314" s="32"/>
    </row>
    <row r="315" ht="14.25" customHeight="1">
      <c r="B315" s="31"/>
      <c r="C315" s="32"/>
    </row>
    <row r="316" ht="14.25" customHeight="1">
      <c r="B316" s="31"/>
      <c r="C316" s="32"/>
    </row>
    <row r="317" ht="14.25" customHeight="1">
      <c r="B317" s="31"/>
      <c r="C317" s="32"/>
    </row>
    <row r="318" ht="14.25" customHeight="1">
      <c r="B318" s="31"/>
      <c r="C318" s="32"/>
    </row>
    <row r="319" ht="14.25" customHeight="1">
      <c r="B319" s="31"/>
      <c r="C319" s="32"/>
    </row>
    <row r="320" ht="14.25" customHeight="1">
      <c r="B320" s="31"/>
      <c r="C320" s="32"/>
    </row>
    <row r="321" ht="14.25" customHeight="1">
      <c r="B321" s="31"/>
      <c r="C321" s="32"/>
    </row>
    <row r="322" ht="14.25" customHeight="1">
      <c r="B322" s="31"/>
      <c r="C322" s="32"/>
    </row>
    <row r="323" ht="14.25" customHeight="1">
      <c r="B323" s="31"/>
      <c r="C323" s="32"/>
    </row>
    <row r="324" ht="14.25" customHeight="1">
      <c r="B324" s="31"/>
      <c r="C324" s="32"/>
    </row>
    <row r="325" ht="14.25" customHeight="1">
      <c r="B325" s="31"/>
      <c r="C325" s="32"/>
    </row>
    <row r="326" ht="14.25" customHeight="1">
      <c r="B326" s="31"/>
      <c r="C326" s="32"/>
    </row>
    <row r="327" ht="14.25" customHeight="1">
      <c r="B327" s="31"/>
      <c r="C327" s="32"/>
    </row>
    <row r="328" ht="14.25" customHeight="1">
      <c r="B328" s="31"/>
      <c r="C328" s="32"/>
    </row>
    <row r="329" ht="14.25" customHeight="1">
      <c r="B329" s="31"/>
      <c r="C329" s="32"/>
    </row>
    <row r="330" ht="14.25" customHeight="1">
      <c r="B330" s="31"/>
      <c r="C330" s="32"/>
    </row>
    <row r="331" ht="14.25" customHeight="1">
      <c r="B331" s="31"/>
      <c r="C331" s="32"/>
    </row>
    <row r="332" ht="14.25" customHeight="1">
      <c r="B332" s="31"/>
      <c r="C332" s="32"/>
    </row>
    <row r="333" ht="14.25" customHeight="1">
      <c r="B333" s="31"/>
      <c r="C333" s="32"/>
    </row>
    <row r="334" ht="14.25" customHeight="1">
      <c r="B334" s="31"/>
      <c r="C334" s="32"/>
    </row>
    <row r="335" ht="14.25" customHeight="1">
      <c r="B335" s="31"/>
      <c r="C335" s="32"/>
    </row>
    <row r="336" ht="14.25" customHeight="1">
      <c r="B336" s="31"/>
      <c r="C336" s="32"/>
    </row>
    <row r="337" ht="14.25" customHeight="1">
      <c r="B337" s="31"/>
      <c r="C337" s="32"/>
    </row>
    <row r="338" ht="14.25" customHeight="1">
      <c r="B338" s="31"/>
      <c r="C338" s="32"/>
    </row>
    <row r="339" ht="14.25" customHeight="1">
      <c r="B339" s="31"/>
      <c r="C339" s="32"/>
    </row>
    <row r="340" ht="14.25" customHeight="1">
      <c r="B340" s="31"/>
      <c r="C340" s="32"/>
    </row>
    <row r="341" ht="14.25" customHeight="1">
      <c r="B341" s="31"/>
      <c r="C341" s="32"/>
    </row>
    <row r="342" ht="14.25" customHeight="1">
      <c r="B342" s="31"/>
      <c r="C342" s="32"/>
    </row>
    <row r="343" ht="14.25" customHeight="1">
      <c r="B343" s="31"/>
      <c r="C343" s="32"/>
    </row>
    <row r="344" ht="14.25" customHeight="1">
      <c r="B344" s="31"/>
      <c r="C344" s="32"/>
    </row>
    <row r="345" ht="14.25" customHeight="1">
      <c r="B345" s="31"/>
      <c r="C345" s="32"/>
    </row>
    <row r="346" ht="14.25" customHeight="1">
      <c r="B346" s="31"/>
      <c r="C346" s="32"/>
    </row>
    <row r="347" ht="14.25" customHeight="1">
      <c r="B347" s="31"/>
      <c r="C347" s="32"/>
    </row>
    <row r="348" ht="14.25" customHeight="1">
      <c r="B348" s="31"/>
      <c r="C348" s="32"/>
    </row>
    <row r="349" ht="14.25" customHeight="1">
      <c r="B349" s="31"/>
      <c r="C349" s="32"/>
    </row>
    <row r="350" ht="14.25" customHeight="1">
      <c r="B350" s="31"/>
      <c r="C350" s="32"/>
    </row>
    <row r="351" ht="14.25" customHeight="1">
      <c r="B351" s="31"/>
      <c r="C351" s="32"/>
    </row>
    <row r="352" ht="14.25" customHeight="1">
      <c r="B352" s="31"/>
      <c r="C352" s="32"/>
    </row>
    <row r="353" ht="14.25" customHeight="1">
      <c r="B353" s="31"/>
      <c r="C353" s="32"/>
    </row>
    <row r="354" ht="14.25" customHeight="1">
      <c r="B354" s="31"/>
      <c r="C354" s="32"/>
    </row>
    <row r="355" ht="14.25" customHeight="1">
      <c r="B355" s="31"/>
      <c r="C355" s="32"/>
    </row>
    <row r="356" ht="14.25" customHeight="1">
      <c r="B356" s="31"/>
      <c r="C356" s="32"/>
    </row>
    <row r="357" ht="14.25" customHeight="1">
      <c r="B357" s="31"/>
      <c r="C357" s="32"/>
    </row>
    <row r="358" ht="14.25" customHeight="1">
      <c r="B358" s="31"/>
      <c r="C358" s="32"/>
    </row>
    <row r="359" ht="14.25" customHeight="1">
      <c r="B359" s="31"/>
      <c r="C359" s="32"/>
    </row>
    <row r="360" ht="14.25" customHeight="1">
      <c r="B360" s="31"/>
      <c r="C360" s="32"/>
    </row>
    <row r="361" ht="14.25" customHeight="1">
      <c r="B361" s="31"/>
      <c r="C361" s="32"/>
    </row>
    <row r="362" ht="14.25" customHeight="1">
      <c r="B362" s="31"/>
      <c r="C362" s="32"/>
    </row>
    <row r="363" ht="14.25" customHeight="1">
      <c r="B363" s="31"/>
      <c r="C363" s="32"/>
    </row>
    <row r="364" ht="14.25" customHeight="1">
      <c r="B364" s="31"/>
      <c r="C364" s="32"/>
    </row>
    <row r="365" ht="14.25" customHeight="1">
      <c r="B365" s="31"/>
      <c r="C365" s="32"/>
    </row>
    <row r="366" ht="14.25" customHeight="1">
      <c r="B366" s="31"/>
      <c r="C366" s="32"/>
    </row>
    <row r="367" ht="14.25" customHeight="1">
      <c r="B367" s="31"/>
      <c r="C367" s="32"/>
    </row>
    <row r="368" ht="14.25" customHeight="1">
      <c r="B368" s="31"/>
      <c r="C368" s="32"/>
    </row>
    <row r="369" ht="14.25" customHeight="1">
      <c r="B369" s="31"/>
      <c r="C369" s="32"/>
    </row>
    <row r="370" ht="14.25" customHeight="1">
      <c r="B370" s="31"/>
      <c r="C370" s="32"/>
    </row>
    <row r="371" ht="14.25" customHeight="1">
      <c r="B371" s="31"/>
      <c r="C371" s="32"/>
    </row>
    <row r="372" ht="14.25" customHeight="1">
      <c r="B372" s="31"/>
      <c r="C372" s="32"/>
    </row>
    <row r="373" ht="14.25" customHeight="1">
      <c r="B373" s="31"/>
      <c r="C373" s="32"/>
    </row>
    <row r="374" ht="14.25" customHeight="1">
      <c r="B374" s="31"/>
      <c r="C374" s="32"/>
    </row>
    <row r="375" ht="14.25" customHeight="1">
      <c r="B375" s="31"/>
      <c r="C375" s="32"/>
    </row>
    <row r="376" ht="14.25" customHeight="1">
      <c r="B376" s="31"/>
      <c r="C376" s="32"/>
    </row>
    <row r="377" ht="14.25" customHeight="1">
      <c r="B377" s="31"/>
      <c r="C377" s="32"/>
    </row>
    <row r="378" ht="14.25" customHeight="1">
      <c r="B378" s="31"/>
      <c r="C378" s="32"/>
    </row>
    <row r="379" ht="14.25" customHeight="1">
      <c r="B379" s="31"/>
      <c r="C379" s="32"/>
    </row>
    <row r="380" ht="14.25" customHeight="1">
      <c r="B380" s="31"/>
      <c r="C380" s="32"/>
    </row>
    <row r="381" ht="14.25" customHeight="1">
      <c r="B381" s="31"/>
      <c r="C381" s="32"/>
    </row>
    <row r="382" ht="14.25" customHeight="1">
      <c r="B382" s="31"/>
      <c r="C382" s="32"/>
    </row>
    <row r="383" ht="14.25" customHeight="1">
      <c r="B383" s="31"/>
      <c r="C383" s="32"/>
    </row>
    <row r="384" ht="14.25" customHeight="1">
      <c r="B384" s="31"/>
      <c r="C384" s="32"/>
    </row>
    <row r="385" ht="14.25" customHeight="1">
      <c r="B385" s="31"/>
      <c r="C385" s="32"/>
    </row>
    <row r="386" ht="14.25" customHeight="1">
      <c r="B386" s="31"/>
      <c r="C386" s="32"/>
    </row>
    <row r="387" ht="14.25" customHeight="1">
      <c r="B387" s="31"/>
      <c r="C387" s="32"/>
    </row>
    <row r="388" ht="14.25" customHeight="1">
      <c r="B388" s="31"/>
      <c r="C388" s="32"/>
    </row>
    <row r="389" ht="14.25" customHeight="1">
      <c r="B389" s="31"/>
      <c r="C389" s="32"/>
    </row>
    <row r="390" ht="14.25" customHeight="1">
      <c r="B390" s="31"/>
      <c r="C390" s="32"/>
    </row>
    <row r="391" ht="14.25" customHeight="1">
      <c r="B391" s="31"/>
      <c r="C391" s="32"/>
    </row>
    <row r="392" ht="14.25" customHeight="1">
      <c r="B392" s="31"/>
      <c r="C392" s="32"/>
    </row>
    <row r="393" ht="14.25" customHeight="1">
      <c r="B393" s="31"/>
      <c r="C393" s="32"/>
    </row>
    <row r="394" ht="14.25" customHeight="1">
      <c r="B394" s="31"/>
      <c r="C394" s="32"/>
    </row>
    <row r="395" ht="14.25" customHeight="1">
      <c r="B395" s="31"/>
      <c r="C395" s="32"/>
    </row>
    <row r="396" ht="14.25" customHeight="1">
      <c r="B396" s="31"/>
      <c r="C396" s="32"/>
    </row>
    <row r="397" ht="14.25" customHeight="1">
      <c r="B397" s="31"/>
      <c r="C397" s="32"/>
    </row>
    <row r="398" ht="14.25" customHeight="1">
      <c r="B398" s="31"/>
      <c r="C398" s="32"/>
    </row>
    <row r="399" ht="14.25" customHeight="1">
      <c r="B399" s="31"/>
      <c r="C399" s="32"/>
    </row>
    <row r="400" ht="14.25" customHeight="1">
      <c r="B400" s="31"/>
      <c r="C400" s="32"/>
    </row>
    <row r="401" ht="14.25" customHeight="1">
      <c r="B401" s="31"/>
      <c r="C401" s="32"/>
    </row>
    <row r="402" ht="14.25" customHeight="1">
      <c r="B402" s="31"/>
      <c r="C402" s="32"/>
    </row>
    <row r="403" ht="14.25" customHeight="1">
      <c r="B403" s="31"/>
      <c r="C403" s="32"/>
    </row>
    <row r="404" ht="14.25" customHeight="1">
      <c r="B404" s="31"/>
      <c r="C404" s="32"/>
    </row>
    <row r="405" ht="14.25" customHeight="1">
      <c r="B405" s="31"/>
      <c r="C405" s="32"/>
    </row>
    <row r="406" ht="14.25" customHeight="1">
      <c r="B406" s="31"/>
      <c r="C406" s="32"/>
    </row>
    <row r="407" ht="14.25" customHeight="1">
      <c r="B407" s="31"/>
      <c r="C407" s="32"/>
    </row>
    <row r="408" ht="14.25" customHeight="1">
      <c r="B408" s="31"/>
      <c r="C408" s="32"/>
    </row>
    <row r="409" ht="14.25" customHeight="1">
      <c r="B409" s="31"/>
      <c r="C409" s="32"/>
    </row>
    <row r="410" ht="14.25" customHeight="1">
      <c r="B410" s="31"/>
      <c r="C410" s="32"/>
    </row>
    <row r="411" ht="14.25" customHeight="1">
      <c r="B411" s="31"/>
      <c r="C411" s="32"/>
    </row>
    <row r="412" ht="14.25" customHeight="1">
      <c r="B412" s="31"/>
      <c r="C412" s="32"/>
    </row>
    <row r="413" ht="14.25" customHeight="1">
      <c r="B413" s="31"/>
      <c r="C413" s="32"/>
    </row>
    <row r="414" ht="14.25" customHeight="1">
      <c r="B414" s="31"/>
      <c r="C414" s="32"/>
    </row>
    <row r="415" ht="14.25" customHeight="1">
      <c r="B415" s="31"/>
      <c r="C415" s="32"/>
    </row>
    <row r="416" ht="14.25" customHeight="1">
      <c r="B416" s="31"/>
      <c r="C416" s="32"/>
    </row>
    <row r="417" ht="14.25" customHeight="1">
      <c r="B417" s="31"/>
      <c r="C417" s="32"/>
    </row>
    <row r="418" ht="14.25" customHeight="1">
      <c r="B418" s="31"/>
      <c r="C418" s="32"/>
    </row>
    <row r="419" ht="14.25" customHeight="1">
      <c r="B419" s="31"/>
      <c r="C419" s="32"/>
    </row>
    <row r="420" ht="14.25" customHeight="1">
      <c r="B420" s="31"/>
      <c r="C420" s="32"/>
    </row>
    <row r="421" ht="14.25" customHeight="1">
      <c r="B421" s="31"/>
      <c r="C421" s="32"/>
    </row>
    <row r="422" ht="14.25" customHeight="1">
      <c r="B422" s="31"/>
      <c r="C422" s="32"/>
    </row>
    <row r="423" ht="14.25" customHeight="1">
      <c r="B423" s="31"/>
      <c r="C423" s="32"/>
    </row>
    <row r="424" ht="14.25" customHeight="1">
      <c r="B424" s="31"/>
      <c r="C424" s="32"/>
    </row>
    <row r="425" ht="14.25" customHeight="1">
      <c r="B425" s="31"/>
      <c r="C425" s="32"/>
    </row>
    <row r="426" ht="14.25" customHeight="1">
      <c r="B426" s="31"/>
      <c r="C426" s="32"/>
    </row>
    <row r="427" ht="14.25" customHeight="1">
      <c r="B427" s="31"/>
      <c r="C427" s="32"/>
    </row>
    <row r="428" ht="14.25" customHeight="1">
      <c r="B428" s="31"/>
      <c r="C428" s="32"/>
    </row>
    <row r="429" ht="14.25" customHeight="1">
      <c r="B429" s="31"/>
      <c r="C429" s="32"/>
    </row>
    <row r="430" ht="14.25" customHeight="1">
      <c r="B430" s="31"/>
      <c r="C430" s="32"/>
    </row>
    <row r="431" ht="14.25" customHeight="1">
      <c r="B431" s="31"/>
      <c r="C431" s="32"/>
    </row>
    <row r="432" ht="14.25" customHeight="1">
      <c r="B432" s="31"/>
      <c r="C432" s="32"/>
    </row>
    <row r="433" ht="14.25" customHeight="1">
      <c r="B433" s="31"/>
      <c r="C433" s="32"/>
    </row>
    <row r="434" ht="14.25" customHeight="1">
      <c r="B434" s="31"/>
      <c r="C434" s="32"/>
    </row>
    <row r="435" ht="14.25" customHeight="1">
      <c r="B435" s="31"/>
      <c r="C435" s="32"/>
    </row>
    <row r="436" ht="14.25" customHeight="1">
      <c r="B436" s="31"/>
      <c r="C436" s="32"/>
    </row>
    <row r="437" ht="14.25" customHeight="1">
      <c r="B437" s="31"/>
      <c r="C437" s="32"/>
    </row>
    <row r="438" ht="14.25" customHeight="1">
      <c r="B438" s="31"/>
      <c r="C438" s="32"/>
    </row>
    <row r="439" ht="14.25" customHeight="1">
      <c r="B439" s="31"/>
      <c r="C439" s="32"/>
    </row>
    <row r="440" ht="14.25" customHeight="1">
      <c r="B440" s="31"/>
      <c r="C440" s="32"/>
    </row>
    <row r="441" ht="14.25" customHeight="1">
      <c r="B441" s="31"/>
      <c r="C441" s="32"/>
    </row>
    <row r="442" ht="14.25" customHeight="1">
      <c r="B442" s="31"/>
      <c r="C442" s="32"/>
    </row>
    <row r="443" ht="14.25" customHeight="1">
      <c r="B443" s="31"/>
      <c r="C443" s="32"/>
    </row>
    <row r="444" ht="14.25" customHeight="1">
      <c r="B444" s="31"/>
      <c r="C444" s="32"/>
    </row>
    <row r="445" ht="14.25" customHeight="1">
      <c r="B445" s="31"/>
      <c r="C445" s="32"/>
    </row>
    <row r="446" ht="14.25" customHeight="1">
      <c r="B446" s="31"/>
      <c r="C446" s="32"/>
    </row>
    <row r="447" ht="14.25" customHeight="1">
      <c r="B447" s="31"/>
      <c r="C447" s="32"/>
    </row>
    <row r="448" ht="14.25" customHeight="1">
      <c r="B448" s="31"/>
      <c r="C448" s="32"/>
    </row>
    <row r="449" ht="14.25" customHeight="1">
      <c r="B449" s="31"/>
      <c r="C449" s="32"/>
    </row>
    <row r="450" ht="14.25" customHeight="1">
      <c r="B450" s="31"/>
      <c r="C450" s="32"/>
    </row>
    <row r="451" ht="14.25" customHeight="1">
      <c r="B451" s="31"/>
      <c r="C451" s="32"/>
    </row>
    <row r="452" ht="14.25" customHeight="1">
      <c r="B452" s="31"/>
      <c r="C452" s="32"/>
    </row>
    <row r="453" ht="14.25" customHeight="1">
      <c r="B453" s="31"/>
      <c r="C453" s="32"/>
    </row>
    <row r="454" ht="14.25" customHeight="1">
      <c r="B454" s="31"/>
      <c r="C454" s="32"/>
    </row>
    <row r="455" ht="14.25" customHeight="1">
      <c r="B455" s="31"/>
      <c r="C455" s="32"/>
    </row>
    <row r="456" ht="14.25" customHeight="1">
      <c r="B456" s="31"/>
      <c r="C456" s="32"/>
    </row>
    <row r="457" ht="14.25" customHeight="1">
      <c r="B457" s="31"/>
      <c r="C457" s="32"/>
    </row>
    <row r="458" ht="14.25" customHeight="1">
      <c r="B458" s="31"/>
      <c r="C458" s="32"/>
    </row>
    <row r="459" ht="14.25" customHeight="1">
      <c r="B459" s="31"/>
      <c r="C459" s="32"/>
    </row>
    <row r="460" ht="14.25" customHeight="1">
      <c r="B460" s="31"/>
      <c r="C460" s="32"/>
    </row>
    <row r="461" ht="14.25" customHeight="1">
      <c r="B461" s="31"/>
      <c r="C461" s="32"/>
    </row>
    <row r="462" ht="14.25" customHeight="1">
      <c r="B462" s="31"/>
      <c r="C462" s="32"/>
    </row>
    <row r="463" ht="14.25" customHeight="1">
      <c r="B463" s="31"/>
      <c r="C463" s="32"/>
    </row>
    <row r="464" ht="14.25" customHeight="1">
      <c r="B464" s="31"/>
      <c r="C464" s="32"/>
    </row>
    <row r="465" ht="14.25" customHeight="1">
      <c r="B465" s="31"/>
      <c r="C465" s="32"/>
    </row>
    <row r="466" ht="14.25" customHeight="1">
      <c r="B466" s="31"/>
      <c r="C466" s="32"/>
    </row>
    <row r="467" ht="14.25" customHeight="1">
      <c r="B467" s="31"/>
      <c r="C467" s="32"/>
    </row>
    <row r="468" ht="14.25" customHeight="1">
      <c r="B468" s="31"/>
      <c r="C468" s="32"/>
    </row>
    <row r="469" ht="14.25" customHeight="1">
      <c r="B469" s="31"/>
      <c r="C469" s="32"/>
    </row>
    <row r="470" ht="14.25" customHeight="1">
      <c r="B470" s="31"/>
      <c r="C470" s="32"/>
    </row>
    <row r="471" ht="14.25" customHeight="1">
      <c r="B471" s="31"/>
      <c r="C471" s="32"/>
    </row>
    <row r="472" ht="14.25" customHeight="1">
      <c r="B472" s="31"/>
      <c r="C472" s="32"/>
    </row>
    <row r="473" ht="14.25" customHeight="1">
      <c r="B473" s="31"/>
      <c r="C473" s="32"/>
    </row>
    <row r="474" ht="14.25" customHeight="1">
      <c r="B474" s="31"/>
      <c r="C474" s="32"/>
    </row>
    <row r="475" ht="14.25" customHeight="1">
      <c r="B475" s="31"/>
      <c r="C475" s="32"/>
    </row>
    <row r="476" ht="14.25" customHeight="1">
      <c r="B476" s="31"/>
      <c r="C476" s="32"/>
    </row>
    <row r="477" ht="14.25" customHeight="1">
      <c r="B477" s="31"/>
      <c r="C477" s="32"/>
    </row>
    <row r="478" ht="14.25" customHeight="1">
      <c r="B478" s="31"/>
      <c r="C478" s="32"/>
    </row>
    <row r="479" ht="14.25" customHeight="1">
      <c r="B479" s="31"/>
      <c r="C479" s="32"/>
    </row>
    <row r="480" ht="14.25" customHeight="1">
      <c r="B480" s="31"/>
      <c r="C480" s="32"/>
    </row>
    <row r="481" ht="14.25" customHeight="1">
      <c r="B481" s="31"/>
      <c r="C481" s="32"/>
    </row>
    <row r="482" ht="14.25" customHeight="1">
      <c r="B482" s="31"/>
      <c r="C482" s="32"/>
    </row>
    <row r="483" ht="14.25" customHeight="1">
      <c r="B483" s="31"/>
      <c r="C483" s="32"/>
    </row>
    <row r="484" ht="14.25" customHeight="1">
      <c r="B484" s="31"/>
      <c r="C484" s="32"/>
    </row>
    <row r="485" ht="14.25" customHeight="1">
      <c r="B485" s="31"/>
      <c r="C485" s="32"/>
    </row>
    <row r="486" ht="14.25" customHeight="1">
      <c r="B486" s="31"/>
      <c r="C486" s="32"/>
    </row>
    <row r="487" ht="14.25" customHeight="1">
      <c r="B487" s="31"/>
      <c r="C487" s="32"/>
    </row>
    <row r="488" ht="14.25" customHeight="1">
      <c r="B488" s="31"/>
      <c r="C488" s="32"/>
    </row>
    <row r="489" ht="14.25" customHeight="1">
      <c r="B489" s="31"/>
      <c r="C489" s="32"/>
    </row>
    <row r="490" ht="14.25" customHeight="1">
      <c r="B490" s="31"/>
      <c r="C490" s="32"/>
    </row>
    <row r="491" ht="14.25" customHeight="1">
      <c r="B491" s="31"/>
      <c r="C491" s="32"/>
    </row>
    <row r="492" ht="14.25" customHeight="1">
      <c r="B492" s="31"/>
      <c r="C492" s="32"/>
    </row>
    <row r="493" ht="14.25" customHeight="1">
      <c r="B493" s="31"/>
      <c r="C493" s="32"/>
    </row>
    <row r="494" ht="14.25" customHeight="1">
      <c r="B494" s="31"/>
      <c r="C494" s="32"/>
    </row>
    <row r="495" ht="14.25" customHeight="1">
      <c r="B495" s="31"/>
      <c r="C495" s="32"/>
    </row>
    <row r="496" ht="14.25" customHeight="1">
      <c r="B496" s="31"/>
      <c r="C496" s="32"/>
    </row>
    <row r="497" ht="14.25" customHeight="1">
      <c r="B497" s="31"/>
      <c r="C497" s="32"/>
    </row>
    <row r="498" ht="14.25" customHeight="1">
      <c r="B498" s="31"/>
      <c r="C498" s="32"/>
    </row>
    <row r="499" ht="14.25" customHeight="1">
      <c r="B499" s="31"/>
      <c r="C499" s="32"/>
    </row>
    <row r="500" ht="14.25" customHeight="1">
      <c r="B500" s="31"/>
      <c r="C500" s="32"/>
    </row>
    <row r="501" ht="14.25" customHeight="1">
      <c r="B501" s="31"/>
      <c r="C501" s="32"/>
    </row>
    <row r="502" ht="14.25" customHeight="1">
      <c r="B502" s="31"/>
      <c r="C502" s="32"/>
    </row>
    <row r="503" ht="14.25" customHeight="1">
      <c r="B503" s="31"/>
      <c r="C503" s="32"/>
    </row>
    <row r="504" ht="14.25" customHeight="1">
      <c r="B504" s="31"/>
      <c r="C504" s="32"/>
    </row>
    <row r="505" ht="14.25" customHeight="1">
      <c r="B505" s="31"/>
      <c r="C505" s="32"/>
    </row>
    <row r="506" ht="14.25" customHeight="1">
      <c r="B506" s="31"/>
      <c r="C506" s="32"/>
    </row>
    <row r="507" ht="14.25" customHeight="1">
      <c r="B507" s="31"/>
      <c r="C507" s="32"/>
    </row>
    <row r="508" ht="14.25" customHeight="1">
      <c r="B508" s="31"/>
      <c r="C508" s="32"/>
    </row>
    <row r="509" ht="14.25" customHeight="1">
      <c r="B509" s="31"/>
      <c r="C509" s="32"/>
    </row>
    <row r="510" ht="14.25" customHeight="1">
      <c r="B510" s="31"/>
      <c r="C510" s="32"/>
    </row>
    <row r="511" ht="14.25" customHeight="1">
      <c r="B511" s="31"/>
      <c r="C511" s="32"/>
    </row>
    <row r="512" ht="14.25" customHeight="1">
      <c r="B512" s="31"/>
      <c r="C512" s="32"/>
    </row>
    <row r="513" ht="14.25" customHeight="1">
      <c r="B513" s="31"/>
      <c r="C513" s="32"/>
    </row>
    <row r="514" ht="14.25" customHeight="1">
      <c r="B514" s="31"/>
      <c r="C514" s="32"/>
    </row>
    <row r="515" ht="14.25" customHeight="1">
      <c r="B515" s="31"/>
      <c r="C515" s="32"/>
    </row>
    <row r="516" ht="14.25" customHeight="1">
      <c r="B516" s="31"/>
      <c r="C516" s="32"/>
    </row>
    <row r="517" ht="14.25" customHeight="1">
      <c r="B517" s="31"/>
      <c r="C517" s="32"/>
    </row>
    <row r="518" ht="14.25" customHeight="1">
      <c r="B518" s="31"/>
      <c r="C518" s="32"/>
    </row>
    <row r="519" ht="14.25" customHeight="1">
      <c r="B519" s="31"/>
      <c r="C519" s="32"/>
    </row>
    <row r="520" ht="14.25" customHeight="1">
      <c r="B520" s="31"/>
      <c r="C520" s="32"/>
    </row>
    <row r="521" ht="14.25" customHeight="1">
      <c r="B521" s="31"/>
      <c r="C521" s="32"/>
    </row>
    <row r="522" ht="14.25" customHeight="1">
      <c r="B522" s="31"/>
      <c r="C522" s="32"/>
    </row>
    <row r="523" ht="14.25" customHeight="1">
      <c r="B523" s="31"/>
      <c r="C523" s="32"/>
    </row>
    <row r="524" ht="14.25" customHeight="1">
      <c r="B524" s="31"/>
      <c r="C524" s="32"/>
    </row>
    <row r="525" ht="14.25" customHeight="1">
      <c r="B525" s="31"/>
      <c r="C525" s="32"/>
    </row>
    <row r="526" ht="14.25" customHeight="1">
      <c r="B526" s="31"/>
      <c r="C526" s="32"/>
    </row>
    <row r="527" ht="14.25" customHeight="1">
      <c r="B527" s="31"/>
      <c r="C527" s="32"/>
    </row>
    <row r="528" ht="14.25" customHeight="1">
      <c r="B528" s="31"/>
      <c r="C528" s="32"/>
    </row>
    <row r="529" ht="14.25" customHeight="1">
      <c r="B529" s="31"/>
      <c r="C529" s="32"/>
    </row>
    <row r="530" ht="14.25" customHeight="1">
      <c r="B530" s="31"/>
      <c r="C530" s="32"/>
    </row>
    <row r="531" ht="14.25" customHeight="1">
      <c r="B531" s="31"/>
      <c r="C531" s="32"/>
    </row>
    <row r="532" ht="14.25" customHeight="1">
      <c r="B532" s="31"/>
      <c r="C532" s="32"/>
    </row>
    <row r="533" ht="14.25" customHeight="1">
      <c r="B533" s="31"/>
      <c r="C533" s="32"/>
    </row>
    <row r="534" ht="14.25" customHeight="1">
      <c r="B534" s="31"/>
      <c r="C534" s="32"/>
    </row>
    <row r="535" ht="14.25" customHeight="1">
      <c r="B535" s="31"/>
      <c r="C535" s="32"/>
    </row>
    <row r="536" ht="14.25" customHeight="1">
      <c r="B536" s="31"/>
      <c r="C536" s="32"/>
    </row>
    <row r="537" ht="14.25" customHeight="1">
      <c r="B537" s="31"/>
      <c r="C537" s="32"/>
    </row>
    <row r="538" ht="14.25" customHeight="1">
      <c r="B538" s="31"/>
      <c r="C538" s="32"/>
    </row>
    <row r="539" ht="14.25" customHeight="1">
      <c r="B539" s="31"/>
      <c r="C539" s="32"/>
    </row>
    <row r="540" ht="14.25" customHeight="1">
      <c r="B540" s="31"/>
      <c r="C540" s="32"/>
    </row>
    <row r="541" ht="14.25" customHeight="1">
      <c r="B541" s="31"/>
      <c r="C541" s="32"/>
    </row>
    <row r="542" ht="14.25" customHeight="1">
      <c r="B542" s="31"/>
      <c r="C542" s="32"/>
    </row>
    <row r="543" ht="14.25" customHeight="1">
      <c r="B543" s="31"/>
      <c r="C543" s="32"/>
    </row>
    <row r="544" ht="14.25" customHeight="1">
      <c r="B544" s="31"/>
      <c r="C544" s="32"/>
    </row>
    <row r="545" ht="14.25" customHeight="1">
      <c r="B545" s="31"/>
      <c r="C545" s="32"/>
    </row>
    <row r="546" ht="14.25" customHeight="1">
      <c r="B546" s="31"/>
      <c r="C546" s="32"/>
    </row>
    <row r="547" ht="14.25" customHeight="1">
      <c r="B547" s="31"/>
      <c r="C547" s="32"/>
    </row>
    <row r="548" ht="14.25" customHeight="1">
      <c r="B548" s="31"/>
      <c r="C548" s="32"/>
    </row>
    <row r="549" ht="14.25" customHeight="1">
      <c r="B549" s="31"/>
      <c r="C549" s="32"/>
    </row>
    <row r="550" ht="14.25" customHeight="1">
      <c r="B550" s="31"/>
      <c r="C550" s="32"/>
    </row>
    <row r="551" ht="14.25" customHeight="1">
      <c r="B551" s="31"/>
      <c r="C551" s="32"/>
    </row>
    <row r="552" ht="14.25" customHeight="1">
      <c r="B552" s="31"/>
      <c r="C552" s="32"/>
    </row>
    <row r="553" ht="14.25" customHeight="1">
      <c r="B553" s="31"/>
      <c r="C553" s="32"/>
    </row>
    <row r="554" ht="14.25" customHeight="1">
      <c r="B554" s="31"/>
      <c r="C554" s="32"/>
    </row>
    <row r="555" ht="14.25" customHeight="1">
      <c r="B555" s="31"/>
      <c r="C555" s="32"/>
    </row>
    <row r="556" ht="14.25" customHeight="1">
      <c r="B556" s="31"/>
      <c r="C556" s="32"/>
    </row>
    <row r="557" ht="14.25" customHeight="1">
      <c r="B557" s="31"/>
      <c r="C557" s="32"/>
    </row>
    <row r="558" ht="14.25" customHeight="1">
      <c r="B558" s="31"/>
      <c r="C558" s="32"/>
    </row>
    <row r="559" ht="14.25" customHeight="1">
      <c r="B559" s="31"/>
      <c r="C559" s="32"/>
    </row>
    <row r="560" ht="14.25" customHeight="1">
      <c r="B560" s="31"/>
      <c r="C560" s="32"/>
    </row>
    <row r="561" ht="14.25" customHeight="1">
      <c r="B561" s="31"/>
      <c r="C561" s="32"/>
    </row>
    <row r="562" ht="14.25" customHeight="1">
      <c r="B562" s="31"/>
      <c r="C562" s="32"/>
    </row>
    <row r="563" ht="14.25" customHeight="1">
      <c r="B563" s="31"/>
      <c r="C563" s="32"/>
    </row>
    <row r="564" ht="14.25" customHeight="1">
      <c r="B564" s="31"/>
      <c r="C564" s="32"/>
    </row>
    <row r="565" ht="14.25" customHeight="1">
      <c r="B565" s="31"/>
      <c r="C565" s="32"/>
    </row>
    <row r="566" ht="14.25" customHeight="1">
      <c r="B566" s="31"/>
      <c r="C566" s="32"/>
    </row>
    <row r="567" ht="14.25" customHeight="1">
      <c r="B567" s="31"/>
      <c r="C567" s="32"/>
    </row>
    <row r="568" ht="14.25" customHeight="1">
      <c r="B568" s="31"/>
      <c r="C568" s="32"/>
    </row>
    <row r="569" ht="14.25" customHeight="1">
      <c r="B569" s="31"/>
      <c r="C569" s="32"/>
    </row>
    <row r="570" ht="14.25" customHeight="1">
      <c r="B570" s="31"/>
      <c r="C570" s="32"/>
    </row>
    <row r="571" ht="14.25" customHeight="1">
      <c r="B571" s="31"/>
      <c r="C571" s="32"/>
    </row>
    <row r="572" ht="14.25" customHeight="1">
      <c r="B572" s="31"/>
      <c r="C572" s="32"/>
    </row>
    <row r="573" ht="14.25" customHeight="1">
      <c r="B573" s="31"/>
      <c r="C573" s="32"/>
    </row>
    <row r="574" ht="14.25" customHeight="1">
      <c r="B574" s="31"/>
      <c r="C574" s="32"/>
    </row>
    <row r="575" ht="14.25" customHeight="1">
      <c r="B575" s="31"/>
      <c r="C575" s="32"/>
    </row>
    <row r="576" ht="14.25" customHeight="1">
      <c r="B576" s="31"/>
      <c r="C576" s="32"/>
    </row>
    <row r="577" ht="14.25" customHeight="1">
      <c r="B577" s="31"/>
      <c r="C577" s="32"/>
    </row>
    <row r="578" ht="14.25" customHeight="1">
      <c r="B578" s="31"/>
      <c r="C578" s="32"/>
    </row>
    <row r="579" ht="14.25" customHeight="1">
      <c r="B579" s="31"/>
      <c r="C579" s="32"/>
    </row>
    <row r="580" ht="14.25" customHeight="1">
      <c r="B580" s="31"/>
      <c r="C580" s="32"/>
    </row>
    <row r="581" ht="14.25" customHeight="1">
      <c r="B581" s="31"/>
      <c r="C581" s="32"/>
    </row>
    <row r="582" ht="14.25" customHeight="1">
      <c r="B582" s="31"/>
      <c r="C582" s="32"/>
    </row>
    <row r="583" ht="14.25" customHeight="1">
      <c r="B583" s="31"/>
      <c r="C583" s="32"/>
    </row>
    <row r="584" ht="14.25" customHeight="1">
      <c r="B584" s="31"/>
      <c r="C584" s="32"/>
    </row>
    <row r="585" ht="14.25" customHeight="1">
      <c r="B585" s="31"/>
      <c r="C585" s="32"/>
    </row>
    <row r="586" ht="14.25" customHeight="1">
      <c r="B586" s="31"/>
      <c r="C586" s="32"/>
    </row>
    <row r="587" ht="14.25" customHeight="1">
      <c r="B587" s="31"/>
      <c r="C587" s="32"/>
    </row>
    <row r="588" ht="14.25" customHeight="1">
      <c r="B588" s="31"/>
      <c r="C588" s="32"/>
    </row>
    <row r="589" ht="14.25" customHeight="1">
      <c r="B589" s="31"/>
      <c r="C589" s="32"/>
    </row>
    <row r="590" ht="14.25" customHeight="1">
      <c r="B590" s="31"/>
      <c r="C590" s="32"/>
    </row>
    <row r="591" ht="14.25" customHeight="1">
      <c r="B591" s="31"/>
      <c r="C591" s="32"/>
    </row>
    <row r="592" ht="14.25" customHeight="1">
      <c r="B592" s="31"/>
      <c r="C592" s="32"/>
    </row>
    <row r="593" ht="14.25" customHeight="1">
      <c r="B593" s="31"/>
      <c r="C593" s="32"/>
    </row>
    <row r="594" ht="14.25" customHeight="1">
      <c r="B594" s="31"/>
      <c r="C594" s="32"/>
    </row>
    <row r="595" ht="14.25" customHeight="1">
      <c r="B595" s="31"/>
      <c r="C595" s="32"/>
    </row>
    <row r="596" ht="14.25" customHeight="1">
      <c r="B596" s="31"/>
      <c r="C596" s="32"/>
    </row>
    <row r="597" ht="14.25" customHeight="1">
      <c r="B597" s="31"/>
      <c r="C597" s="32"/>
    </row>
    <row r="598" ht="14.25" customHeight="1">
      <c r="B598" s="31"/>
      <c r="C598" s="32"/>
    </row>
    <row r="599" ht="14.25" customHeight="1">
      <c r="B599" s="31"/>
      <c r="C599" s="32"/>
    </row>
    <row r="600" ht="14.25" customHeight="1">
      <c r="B600" s="31"/>
      <c r="C600" s="32"/>
    </row>
    <row r="601" ht="14.25" customHeight="1">
      <c r="B601" s="31"/>
      <c r="C601" s="32"/>
    </row>
    <row r="602" ht="14.25" customHeight="1">
      <c r="B602" s="31"/>
      <c r="C602" s="32"/>
    </row>
    <row r="603" ht="14.25" customHeight="1">
      <c r="B603" s="31"/>
      <c r="C603" s="32"/>
    </row>
    <row r="604" ht="14.25" customHeight="1">
      <c r="B604" s="31"/>
      <c r="C604" s="32"/>
    </row>
    <row r="605" ht="14.25" customHeight="1">
      <c r="B605" s="31"/>
      <c r="C605" s="32"/>
    </row>
    <row r="606" ht="14.25" customHeight="1">
      <c r="B606" s="31"/>
      <c r="C606" s="32"/>
    </row>
    <row r="607" ht="14.25" customHeight="1">
      <c r="B607" s="31"/>
      <c r="C607" s="32"/>
    </row>
    <row r="608" ht="14.25" customHeight="1">
      <c r="B608" s="31"/>
      <c r="C608" s="32"/>
    </row>
    <row r="609" ht="14.25" customHeight="1">
      <c r="B609" s="31"/>
      <c r="C609" s="32"/>
    </row>
    <row r="610" ht="14.25" customHeight="1">
      <c r="B610" s="31"/>
      <c r="C610" s="32"/>
    </row>
    <row r="611" ht="14.25" customHeight="1">
      <c r="B611" s="31"/>
      <c r="C611" s="32"/>
    </row>
    <row r="612" ht="14.25" customHeight="1">
      <c r="B612" s="31"/>
      <c r="C612" s="32"/>
    </row>
    <row r="613" ht="14.25" customHeight="1">
      <c r="B613" s="31"/>
      <c r="C613" s="32"/>
    </row>
    <row r="614" ht="14.25" customHeight="1">
      <c r="B614" s="31"/>
      <c r="C614" s="32"/>
    </row>
    <row r="615" ht="14.25" customHeight="1">
      <c r="B615" s="31"/>
      <c r="C615" s="32"/>
    </row>
    <row r="616" ht="14.25" customHeight="1">
      <c r="B616" s="31"/>
      <c r="C616" s="32"/>
    </row>
    <row r="617" ht="14.25" customHeight="1">
      <c r="B617" s="31"/>
      <c r="C617" s="32"/>
    </row>
    <row r="618" ht="14.25" customHeight="1">
      <c r="B618" s="31"/>
      <c r="C618" s="32"/>
    </row>
    <row r="619" ht="14.25" customHeight="1">
      <c r="B619" s="31"/>
      <c r="C619" s="32"/>
    </row>
    <row r="620" ht="14.25" customHeight="1">
      <c r="B620" s="31"/>
      <c r="C620" s="32"/>
    </row>
    <row r="621" ht="14.25" customHeight="1">
      <c r="B621" s="31"/>
      <c r="C621" s="32"/>
    </row>
    <row r="622" ht="14.25" customHeight="1">
      <c r="B622" s="31"/>
      <c r="C622" s="32"/>
    </row>
    <row r="623" ht="14.25" customHeight="1">
      <c r="B623" s="31"/>
      <c r="C623" s="32"/>
    </row>
    <row r="624" ht="14.25" customHeight="1">
      <c r="B624" s="31"/>
      <c r="C624" s="32"/>
    </row>
    <row r="625" ht="14.25" customHeight="1">
      <c r="B625" s="31"/>
      <c r="C625" s="32"/>
    </row>
    <row r="626" ht="14.25" customHeight="1">
      <c r="B626" s="31"/>
      <c r="C626" s="32"/>
    </row>
    <row r="627" ht="14.25" customHeight="1">
      <c r="B627" s="31"/>
      <c r="C627" s="32"/>
    </row>
    <row r="628" ht="14.25" customHeight="1">
      <c r="B628" s="31"/>
      <c r="C628" s="32"/>
    </row>
    <row r="629" ht="14.25" customHeight="1">
      <c r="B629" s="31"/>
      <c r="C629" s="32"/>
    </row>
    <row r="630" ht="14.25" customHeight="1">
      <c r="B630" s="31"/>
      <c r="C630" s="32"/>
    </row>
    <row r="631" ht="14.25" customHeight="1">
      <c r="B631" s="31"/>
      <c r="C631" s="32"/>
    </row>
    <row r="632" ht="14.25" customHeight="1">
      <c r="B632" s="31"/>
      <c r="C632" s="32"/>
    </row>
    <row r="633" ht="14.25" customHeight="1">
      <c r="B633" s="31"/>
      <c r="C633" s="32"/>
    </row>
    <row r="634" ht="14.25" customHeight="1">
      <c r="B634" s="31"/>
      <c r="C634" s="32"/>
    </row>
    <row r="635" ht="14.25" customHeight="1">
      <c r="B635" s="31"/>
      <c r="C635" s="32"/>
    </row>
    <row r="636" ht="14.25" customHeight="1">
      <c r="B636" s="31"/>
      <c r="C636" s="32"/>
    </row>
    <row r="637" ht="14.25" customHeight="1">
      <c r="B637" s="31"/>
      <c r="C637" s="32"/>
    </row>
    <row r="638" ht="14.25" customHeight="1">
      <c r="B638" s="31"/>
      <c r="C638" s="32"/>
    </row>
    <row r="639" ht="14.25" customHeight="1">
      <c r="B639" s="31"/>
      <c r="C639" s="32"/>
    </row>
    <row r="640" ht="14.25" customHeight="1">
      <c r="B640" s="31"/>
      <c r="C640" s="32"/>
    </row>
    <row r="641" ht="14.25" customHeight="1">
      <c r="B641" s="31"/>
      <c r="C641" s="32"/>
    </row>
    <row r="642" ht="14.25" customHeight="1">
      <c r="B642" s="31"/>
      <c r="C642" s="32"/>
    </row>
    <row r="643" ht="14.25" customHeight="1">
      <c r="B643" s="31"/>
      <c r="C643" s="32"/>
    </row>
    <row r="644" ht="14.25" customHeight="1">
      <c r="B644" s="31"/>
      <c r="C644" s="32"/>
    </row>
    <row r="645" ht="14.25" customHeight="1">
      <c r="B645" s="31"/>
      <c r="C645" s="32"/>
    </row>
    <row r="646" ht="14.25" customHeight="1">
      <c r="B646" s="31"/>
      <c r="C646" s="32"/>
    </row>
    <row r="647" ht="14.25" customHeight="1">
      <c r="B647" s="31"/>
      <c r="C647" s="32"/>
    </row>
    <row r="648" ht="14.25" customHeight="1">
      <c r="B648" s="31"/>
      <c r="C648" s="32"/>
    </row>
    <row r="649" ht="14.25" customHeight="1">
      <c r="B649" s="31"/>
      <c r="C649" s="32"/>
    </row>
    <row r="650" ht="14.25" customHeight="1">
      <c r="B650" s="31"/>
      <c r="C650" s="32"/>
    </row>
    <row r="651" ht="14.25" customHeight="1">
      <c r="B651" s="31"/>
      <c r="C651" s="32"/>
    </row>
    <row r="652" ht="14.25" customHeight="1">
      <c r="B652" s="31"/>
      <c r="C652" s="32"/>
    </row>
    <row r="653" ht="14.25" customHeight="1">
      <c r="B653" s="31"/>
      <c r="C653" s="32"/>
    </row>
    <row r="654" ht="14.25" customHeight="1">
      <c r="B654" s="31"/>
      <c r="C654" s="32"/>
    </row>
    <row r="655" ht="14.25" customHeight="1">
      <c r="B655" s="31"/>
      <c r="C655" s="32"/>
    </row>
    <row r="656" ht="14.25" customHeight="1">
      <c r="B656" s="31"/>
      <c r="C656" s="32"/>
    </row>
    <row r="657" ht="14.25" customHeight="1">
      <c r="B657" s="31"/>
      <c r="C657" s="32"/>
    </row>
    <row r="658" ht="14.25" customHeight="1">
      <c r="B658" s="31"/>
      <c r="C658" s="32"/>
    </row>
    <row r="659" ht="14.25" customHeight="1">
      <c r="B659" s="31"/>
      <c r="C659" s="32"/>
    </row>
    <row r="660" ht="14.25" customHeight="1">
      <c r="B660" s="31"/>
      <c r="C660" s="32"/>
    </row>
    <row r="661" ht="14.25" customHeight="1">
      <c r="B661" s="31"/>
      <c r="C661" s="32"/>
    </row>
    <row r="662" ht="14.25" customHeight="1">
      <c r="B662" s="31"/>
      <c r="C662" s="32"/>
    </row>
    <row r="663" ht="14.25" customHeight="1">
      <c r="B663" s="31"/>
      <c r="C663" s="32"/>
    </row>
    <row r="664" ht="14.25" customHeight="1">
      <c r="B664" s="31"/>
      <c r="C664" s="32"/>
    </row>
    <row r="665" ht="14.25" customHeight="1">
      <c r="B665" s="31"/>
      <c r="C665" s="32"/>
    </row>
    <row r="666" ht="14.25" customHeight="1">
      <c r="B666" s="31"/>
      <c r="C666" s="32"/>
    </row>
    <row r="667" ht="14.25" customHeight="1">
      <c r="B667" s="31"/>
      <c r="C667" s="32"/>
    </row>
    <row r="668" ht="14.25" customHeight="1">
      <c r="B668" s="31"/>
      <c r="C668" s="32"/>
    </row>
    <row r="669" ht="14.25" customHeight="1">
      <c r="B669" s="31"/>
      <c r="C669" s="32"/>
    </row>
    <row r="670" ht="14.25" customHeight="1">
      <c r="B670" s="31"/>
      <c r="C670" s="32"/>
    </row>
    <row r="671" ht="14.25" customHeight="1">
      <c r="B671" s="31"/>
      <c r="C671" s="32"/>
    </row>
    <row r="672" ht="14.25" customHeight="1">
      <c r="B672" s="31"/>
      <c r="C672" s="32"/>
    </row>
    <row r="673" ht="14.25" customHeight="1">
      <c r="B673" s="31"/>
      <c r="C673" s="32"/>
    </row>
    <row r="674" ht="14.25" customHeight="1">
      <c r="B674" s="31"/>
      <c r="C674" s="32"/>
    </row>
    <row r="675" ht="14.25" customHeight="1">
      <c r="B675" s="31"/>
      <c r="C675" s="32"/>
    </row>
    <row r="676" ht="14.25" customHeight="1">
      <c r="B676" s="31"/>
      <c r="C676" s="32"/>
    </row>
    <row r="677" ht="14.25" customHeight="1">
      <c r="B677" s="31"/>
      <c r="C677" s="32"/>
    </row>
    <row r="678" ht="14.25" customHeight="1">
      <c r="B678" s="31"/>
      <c r="C678" s="32"/>
    </row>
    <row r="679" ht="14.25" customHeight="1">
      <c r="B679" s="31"/>
      <c r="C679" s="32"/>
    </row>
    <row r="680" ht="14.25" customHeight="1">
      <c r="B680" s="31"/>
      <c r="C680" s="32"/>
    </row>
    <row r="681" ht="14.25" customHeight="1">
      <c r="B681" s="31"/>
      <c r="C681" s="32"/>
    </row>
    <row r="682" ht="14.25" customHeight="1">
      <c r="B682" s="31"/>
      <c r="C682" s="32"/>
    </row>
    <row r="683" ht="14.25" customHeight="1">
      <c r="B683" s="31"/>
      <c r="C683" s="32"/>
    </row>
    <row r="684" ht="14.25" customHeight="1">
      <c r="B684" s="31"/>
      <c r="C684" s="32"/>
    </row>
    <row r="685" ht="14.25" customHeight="1">
      <c r="B685" s="31"/>
      <c r="C685" s="32"/>
    </row>
    <row r="686" ht="14.25" customHeight="1">
      <c r="B686" s="31"/>
      <c r="C686" s="32"/>
    </row>
    <row r="687" ht="14.25" customHeight="1">
      <c r="B687" s="31"/>
      <c r="C687" s="32"/>
    </row>
    <row r="688" ht="14.25" customHeight="1">
      <c r="B688" s="31"/>
      <c r="C688" s="32"/>
    </row>
    <row r="689" ht="14.25" customHeight="1">
      <c r="B689" s="31"/>
      <c r="C689" s="32"/>
    </row>
    <row r="690" ht="14.25" customHeight="1">
      <c r="B690" s="31"/>
      <c r="C690" s="32"/>
    </row>
    <row r="691" ht="14.25" customHeight="1">
      <c r="B691" s="31"/>
      <c r="C691" s="32"/>
    </row>
    <row r="692" ht="14.25" customHeight="1">
      <c r="B692" s="31"/>
      <c r="C692" s="32"/>
    </row>
    <row r="693" ht="14.25" customHeight="1">
      <c r="B693" s="31"/>
      <c r="C693" s="32"/>
    </row>
    <row r="694" ht="14.25" customHeight="1">
      <c r="B694" s="31"/>
      <c r="C694" s="32"/>
    </row>
    <row r="695" ht="14.25" customHeight="1">
      <c r="B695" s="31"/>
      <c r="C695" s="32"/>
    </row>
    <row r="696" ht="14.25" customHeight="1">
      <c r="B696" s="31"/>
      <c r="C696" s="32"/>
    </row>
    <row r="697" ht="14.25" customHeight="1">
      <c r="B697" s="31"/>
      <c r="C697" s="32"/>
    </row>
    <row r="698" ht="14.25" customHeight="1">
      <c r="B698" s="31"/>
      <c r="C698" s="32"/>
    </row>
    <row r="699" ht="14.25" customHeight="1">
      <c r="B699" s="31"/>
      <c r="C699" s="32"/>
    </row>
    <row r="700" ht="14.25" customHeight="1">
      <c r="B700" s="31"/>
      <c r="C700" s="32"/>
    </row>
    <row r="701" ht="14.25" customHeight="1">
      <c r="B701" s="31"/>
      <c r="C701" s="32"/>
    </row>
    <row r="702" ht="14.25" customHeight="1">
      <c r="B702" s="31"/>
      <c r="C702" s="32"/>
    </row>
    <row r="703" ht="14.25" customHeight="1">
      <c r="B703" s="31"/>
      <c r="C703" s="32"/>
    </row>
    <row r="704" ht="14.25" customHeight="1">
      <c r="B704" s="31"/>
      <c r="C704" s="32"/>
    </row>
    <row r="705" ht="14.25" customHeight="1">
      <c r="B705" s="31"/>
      <c r="C705" s="32"/>
    </row>
    <row r="706" ht="14.25" customHeight="1">
      <c r="B706" s="31"/>
      <c r="C706" s="32"/>
    </row>
    <row r="707" ht="14.25" customHeight="1">
      <c r="B707" s="31"/>
      <c r="C707" s="32"/>
    </row>
    <row r="708" ht="14.25" customHeight="1">
      <c r="B708" s="31"/>
      <c r="C708" s="32"/>
    </row>
    <row r="709" ht="14.25" customHeight="1">
      <c r="B709" s="31"/>
      <c r="C709" s="32"/>
    </row>
    <row r="710" ht="14.25" customHeight="1">
      <c r="B710" s="31"/>
      <c r="C710" s="32"/>
    </row>
    <row r="711" ht="14.25" customHeight="1">
      <c r="B711" s="31"/>
      <c r="C711" s="32"/>
    </row>
    <row r="712" ht="14.25" customHeight="1">
      <c r="B712" s="31"/>
      <c r="C712" s="32"/>
    </row>
    <row r="713" ht="14.25" customHeight="1">
      <c r="B713" s="31"/>
      <c r="C713" s="32"/>
    </row>
    <row r="714" ht="14.25" customHeight="1">
      <c r="B714" s="31"/>
      <c r="C714" s="32"/>
    </row>
    <row r="715" ht="14.25" customHeight="1">
      <c r="B715" s="31"/>
      <c r="C715" s="32"/>
    </row>
    <row r="716" ht="14.25" customHeight="1">
      <c r="B716" s="31"/>
      <c r="C716" s="32"/>
    </row>
    <row r="717" ht="14.25" customHeight="1">
      <c r="B717" s="31"/>
      <c r="C717" s="32"/>
    </row>
    <row r="718" ht="14.25" customHeight="1">
      <c r="B718" s="31"/>
      <c r="C718" s="32"/>
    </row>
    <row r="719" ht="14.25" customHeight="1">
      <c r="B719" s="31"/>
      <c r="C719" s="32"/>
    </row>
    <row r="720" ht="14.25" customHeight="1">
      <c r="B720" s="31"/>
      <c r="C720" s="32"/>
    </row>
    <row r="721" ht="14.25" customHeight="1">
      <c r="B721" s="31"/>
      <c r="C721" s="32"/>
    </row>
    <row r="722" ht="14.25" customHeight="1">
      <c r="B722" s="31"/>
      <c r="C722" s="32"/>
    </row>
    <row r="723" ht="14.25" customHeight="1">
      <c r="B723" s="31"/>
      <c r="C723" s="32"/>
    </row>
    <row r="724" ht="14.25" customHeight="1">
      <c r="B724" s="31"/>
      <c r="C724" s="32"/>
    </row>
    <row r="725" ht="14.25" customHeight="1">
      <c r="B725" s="31"/>
      <c r="C725" s="32"/>
    </row>
    <row r="726" ht="14.25" customHeight="1">
      <c r="B726" s="31"/>
      <c r="C726" s="32"/>
    </row>
    <row r="727" ht="14.25" customHeight="1">
      <c r="B727" s="31"/>
      <c r="C727" s="32"/>
    </row>
    <row r="728" ht="14.25" customHeight="1">
      <c r="B728" s="31"/>
      <c r="C728" s="32"/>
    </row>
    <row r="729" ht="14.25" customHeight="1">
      <c r="B729" s="31"/>
      <c r="C729" s="32"/>
    </row>
    <row r="730" ht="14.25" customHeight="1">
      <c r="B730" s="31"/>
      <c r="C730" s="32"/>
    </row>
    <row r="731" ht="14.25" customHeight="1">
      <c r="B731" s="31"/>
      <c r="C731" s="32"/>
    </row>
    <row r="732" ht="14.25" customHeight="1">
      <c r="B732" s="31"/>
      <c r="C732" s="32"/>
    </row>
    <row r="733" ht="14.25" customHeight="1">
      <c r="B733" s="31"/>
      <c r="C733" s="32"/>
    </row>
    <row r="734" ht="14.25" customHeight="1">
      <c r="B734" s="31"/>
      <c r="C734" s="32"/>
    </row>
    <row r="735" ht="14.25" customHeight="1">
      <c r="B735" s="31"/>
      <c r="C735" s="32"/>
    </row>
    <row r="736" ht="14.25" customHeight="1">
      <c r="B736" s="31"/>
      <c r="C736" s="32"/>
    </row>
    <row r="737" ht="14.25" customHeight="1">
      <c r="B737" s="31"/>
      <c r="C737" s="32"/>
    </row>
    <row r="738" ht="14.25" customHeight="1">
      <c r="B738" s="31"/>
      <c r="C738" s="32"/>
    </row>
    <row r="739" ht="14.25" customHeight="1">
      <c r="B739" s="31"/>
      <c r="C739" s="32"/>
    </row>
    <row r="740" ht="14.25" customHeight="1">
      <c r="B740" s="31"/>
      <c r="C740" s="32"/>
    </row>
    <row r="741" ht="14.25" customHeight="1">
      <c r="B741" s="31"/>
      <c r="C741" s="32"/>
    </row>
    <row r="742" ht="14.25" customHeight="1">
      <c r="B742" s="31"/>
      <c r="C742" s="32"/>
    </row>
    <row r="743" ht="14.25" customHeight="1">
      <c r="B743" s="31"/>
      <c r="C743" s="32"/>
    </row>
    <row r="744" ht="14.25" customHeight="1">
      <c r="B744" s="31"/>
      <c r="C744" s="32"/>
    </row>
    <row r="745" ht="14.25" customHeight="1">
      <c r="B745" s="31"/>
      <c r="C745" s="32"/>
    </row>
    <row r="746" ht="14.25" customHeight="1">
      <c r="B746" s="31"/>
      <c r="C746" s="32"/>
    </row>
    <row r="747" ht="14.25" customHeight="1">
      <c r="B747" s="31"/>
      <c r="C747" s="32"/>
    </row>
    <row r="748" ht="14.25" customHeight="1">
      <c r="B748" s="31"/>
      <c r="C748" s="32"/>
    </row>
    <row r="749" ht="14.25" customHeight="1">
      <c r="B749" s="31"/>
      <c r="C749" s="32"/>
    </row>
    <row r="750" ht="14.25" customHeight="1">
      <c r="B750" s="31"/>
      <c r="C750" s="32"/>
    </row>
    <row r="751" ht="14.25" customHeight="1">
      <c r="B751" s="31"/>
      <c r="C751" s="32"/>
    </row>
    <row r="752" ht="14.25" customHeight="1">
      <c r="B752" s="31"/>
      <c r="C752" s="32"/>
    </row>
    <row r="753" ht="14.25" customHeight="1">
      <c r="B753" s="31"/>
      <c r="C753" s="32"/>
    </row>
    <row r="754" ht="14.25" customHeight="1">
      <c r="B754" s="31"/>
      <c r="C754" s="32"/>
    </row>
    <row r="755" ht="14.25" customHeight="1">
      <c r="B755" s="31"/>
      <c r="C755" s="32"/>
    </row>
    <row r="756" ht="14.25" customHeight="1">
      <c r="B756" s="31"/>
      <c r="C756" s="32"/>
    </row>
    <row r="757" ht="14.25" customHeight="1">
      <c r="B757" s="31"/>
      <c r="C757" s="32"/>
    </row>
    <row r="758" ht="14.25" customHeight="1">
      <c r="B758" s="31"/>
      <c r="C758" s="32"/>
    </row>
    <row r="759" ht="14.25" customHeight="1">
      <c r="B759" s="31"/>
      <c r="C759" s="32"/>
    </row>
    <row r="760" ht="14.25" customHeight="1">
      <c r="B760" s="31"/>
      <c r="C760" s="32"/>
    </row>
    <row r="761" ht="14.25" customHeight="1">
      <c r="B761" s="31"/>
      <c r="C761" s="32"/>
    </row>
    <row r="762" ht="14.25" customHeight="1">
      <c r="B762" s="31"/>
      <c r="C762" s="32"/>
    </row>
    <row r="763" ht="14.25" customHeight="1">
      <c r="B763" s="31"/>
      <c r="C763" s="32"/>
    </row>
    <row r="764" ht="14.25" customHeight="1">
      <c r="B764" s="31"/>
      <c r="C764" s="32"/>
    </row>
    <row r="765" ht="14.25" customHeight="1">
      <c r="B765" s="31"/>
      <c r="C765" s="32"/>
    </row>
    <row r="766" ht="14.25" customHeight="1">
      <c r="B766" s="31"/>
      <c r="C766" s="32"/>
    </row>
    <row r="767" ht="14.25" customHeight="1">
      <c r="B767" s="31"/>
      <c r="C767" s="32"/>
    </row>
    <row r="768" ht="14.25" customHeight="1">
      <c r="B768" s="31"/>
      <c r="C768" s="32"/>
    </row>
    <row r="769" ht="14.25" customHeight="1">
      <c r="B769" s="31"/>
      <c r="C769" s="32"/>
    </row>
    <row r="770" ht="14.25" customHeight="1">
      <c r="B770" s="31"/>
      <c r="C770" s="32"/>
    </row>
    <row r="771" ht="14.25" customHeight="1">
      <c r="B771" s="31"/>
      <c r="C771" s="32"/>
    </row>
    <row r="772" ht="14.25" customHeight="1">
      <c r="B772" s="31"/>
      <c r="C772" s="32"/>
    </row>
    <row r="773" ht="14.25" customHeight="1">
      <c r="B773" s="31"/>
      <c r="C773" s="32"/>
    </row>
    <row r="774" ht="14.25" customHeight="1">
      <c r="B774" s="31"/>
      <c r="C774" s="32"/>
    </row>
    <row r="775" ht="14.25" customHeight="1">
      <c r="B775" s="31"/>
      <c r="C775" s="32"/>
    </row>
    <row r="776" ht="14.25" customHeight="1">
      <c r="B776" s="31"/>
      <c r="C776" s="32"/>
    </row>
    <row r="777" ht="14.25" customHeight="1">
      <c r="B777" s="31"/>
      <c r="C777" s="32"/>
    </row>
    <row r="778" ht="14.25" customHeight="1">
      <c r="B778" s="31"/>
      <c r="C778" s="32"/>
    </row>
    <row r="779" ht="14.25" customHeight="1">
      <c r="B779" s="31"/>
      <c r="C779" s="32"/>
    </row>
    <row r="780" ht="14.25" customHeight="1">
      <c r="B780" s="31"/>
      <c r="C780" s="32"/>
    </row>
    <row r="781" ht="14.25" customHeight="1">
      <c r="B781" s="31"/>
      <c r="C781" s="32"/>
    </row>
    <row r="782" ht="14.25" customHeight="1">
      <c r="B782" s="31"/>
      <c r="C782" s="32"/>
    </row>
    <row r="783" ht="14.25" customHeight="1">
      <c r="B783" s="31"/>
      <c r="C783" s="32"/>
    </row>
    <row r="784" ht="14.25" customHeight="1">
      <c r="B784" s="31"/>
      <c r="C784" s="32"/>
    </row>
    <row r="785" ht="14.25" customHeight="1">
      <c r="B785" s="31"/>
      <c r="C785" s="32"/>
    </row>
    <row r="786" ht="14.25" customHeight="1">
      <c r="B786" s="31"/>
      <c r="C786" s="32"/>
    </row>
    <row r="787" ht="14.25" customHeight="1">
      <c r="B787" s="31"/>
      <c r="C787" s="32"/>
    </row>
    <row r="788" ht="14.25" customHeight="1">
      <c r="B788" s="31"/>
      <c r="C788" s="32"/>
    </row>
    <row r="789" ht="14.25" customHeight="1">
      <c r="B789" s="31"/>
      <c r="C789" s="32"/>
    </row>
    <row r="790" ht="14.25" customHeight="1">
      <c r="B790" s="31"/>
      <c r="C790" s="32"/>
    </row>
    <row r="791" ht="14.25" customHeight="1">
      <c r="B791" s="31"/>
      <c r="C791" s="32"/>
    </row>
    <row r="792" ht="14.25" customHeight="1">
      <c r="B792" s="31"/>
      <c r="C792" s="32"/>
    </row>
    <row r="793" ht="14.25" customHeight="1">
      <c r="B793" s="31"/>
      <c r="C793" s="32"/>
    </row>
    <row r="794" ht="14.25" customHeight="1">
      <c r="B794" s="31"/>
      <c r="C794" s="32"/>
    </row>
    <row r="795" ht="14.25" customHeight="1">
      <c r="B795" s="31"/>
      <c r="C795" s="32"/>
    </row>
    <row r="796" ht="14.25" customHeight="1">
      <c r="B796" s="31"/>
      <c r="C796" s="32"/>
    </row>
    <row r="797" ht="14.25" customHeight="1">
      <c r="B797" s="31"/>
      <c r="C797" s="32"/>
    </row>
    <row r="798" ht="14.25" customHeight="1">
      <c r="B798" s="31"/>
      <c r="C798" s="32"/>
    </row>
    <row r="799" ht="14.25" customHeight="1">
      <c r="B799" s="31"/>
      <c r="C799" s="32"/>
    </row>
    <row r="800" ht="14.25" customHeight="1">
      <c r="B800" s="31"/>
      <c r="C800" s="32"/>
    </row>
    <row r="801" ht="14.25" customHeight="1">
      <c r="B801" s="31"/>
      <c r="C801" s="32"/>
    </row>
    <row r="802" ht="14.25" customHeight="1">
      <c r="B802" s="31"/>
      <c r="C802" s="32"/>
    </row>
    <row r="803" ht="14.25" customHeight="1">
      <c r="B803" s="31"/>
      <c r="C803" s="32"/>
    </row>
    <row r="804" ht="14.25" customHeight="1">
      <c r="B804" s="31"/>
      <c r="C804" s="32"/>
    </row>
    <row r="805" ht="14.25" customHeight="1">
      <c r="B805" s="31"/>
      <c r="C805" s="32"/>
    </row>
    <row r="806" ht="14.25" customHeight="1">
      <c r="B806" s="31"/>
      <c r="C806" s="32"/>
    </row>
    <row r="807" ht="14.25" customHeight="1">
      <c r="B807" s="31"/>
      <c r="C807" s="32"/>
    </row>
    <row r="808" ht="14.25" customHeight="1">
      <c r="B808" s="31"/>
      <c r="C808" s="32"/>
    </row>
    <row r="809" ht="14.25" customHeight="1">
      <c r="B809" s="31"/>
      <c r="C809" s="32"/>
    </row>
    <row r="810" ht="14.25" customHeight="1">
      <c r="B810" s="31"/>
      <c r="C810" s="32"/>
    </row>
    <row r="811" ht="14.25" customHeight="1">
      <c r="B811" s="31"/>
      <c r="C811" s="32"/>
    </row>
    <row r="812" ht="14.25" customHeight="1">
      <c r="B812" s="31"/>
      <c r="C812" s="32"/>
    </row>
    <row r="813" ht="14.25" customHeight="1">
      <c r="B813" s="31"/>
      <c r="C813" s="32"/>
    </row>
    <row r="814" ht="14.25" customHeight="1">
      <c r="B814" s="31"/>
      <c r="C814" s="32"/>
    </row>
    <row r="815" ht="14.25" customHeight="1">
      <c r="B815" s="31"/>
      <c r="C815" s="32"/>
    </row>
    <row r="816" ht="14.25" customHeight="1">
      <c r="B816" s="31"/>
      <c r="C816" s="32"/>
    </row>
    <row r="817" ht="14.25" customHeight="1">
      <c r="B817" s="31"/>
      <c r="C817" s="32"/>
    </row>
    <row r="818" ht="14.25" customHeight="1">
      <c r="B818" s="31"/>
      <c r="C818" s="32"/>
    </row>
    <row r="819" ht="14.25" customHeight="1">
      <c r="B819" s="31"/>
      <c r="C819" s="32"/>
    </row>
    <row r="820" ht="14.25" customHeight="1">
      <c r="B820" s="31"/>
      <c r="C820" s="32"/>
    </row>
    <row r="821" ht="14.25" customHeight="1">
      <c r="B821" s="31"/>
      <c r="C821" s="32"/>
    </row>
    <row r="822" ht="14.25" customHeight="1">
      <c r="B822" s="31"/>
      <c r="C822" s="32"/>
    </row>
    <row r="823" ht="14.25" customHeight="1">
      <c r="B823" s="31"/>
      <c r="C823" s="32"/>
    </row>
    <row r="824" ht="14.25" customHeight="1">
      <c r="B824" s="31"/>
      <c r="C824" s="32"/>
    </row>
    <row r="825" ht="14.25" customHeight="1">
      <c r="B825" s="31"/>
      <c r="C825" s="32"/>
    </row>
    <row r="826" ht="14.25" customHeight="1">
      <c r="B826" s="31"/>
      <c r="C826" s="32"/>
    </row>
    <row r="827" ht="14.25" customHeight="1">
      <c r="B827" s="31"/>
      <c r="C827" s="32"/>
    </row>
    <row r="828" ht="14.25" customHeight="1">
      <c r="B828" s="31"/>
      <c r="C828" s="32"/>
    </row>
    <row r="829" ht="14.25" customHeight="1">
      <c r="B829" s="31"/>
      <c r="C829" s="32"/>
    </row>
    <row r="830" ht="14.25" customHeight="1">
      <c r="B830" s="31"/>
      <c r="C830" s="32"/>
    </row>
    <row r="831" ht="14.25" customHeight="1">
      <c r="B831" s="31"/>
      <c r="C831" s="32"/>
    </row>
    <row r="832" ht="14.25" customHeight="1">
      <c r="B832" s="31"/>
      <c r="C832" s="32"/>
    </row>
    <row r="833" ht="14.25" customHeight="1">
      <c r="B833" s="31"/>
      <c r="C833" s="32"/>
    </row>
    <row r="834" ht="14.25" customHeight="1">
      <c r="B834" s="31"/>
      <c r="C834" s="32"/>
    </row>
    <row r="835" ht="14.25" customHeight="1">
      <c r="B835" s="31"/>
      <c r="C835" s="32"/>
    </row>
    <row r="836" ht="14.25" customHeight="1">
      <c r="B836" s="31"/>
      <c r="C836" s="32"/>
    </row>
    <row r="837" ht="14.25" customHeight="1">
      <c r="B837" s="31"/>
      <c r="C837" s="32"/>
    </row>
    <row r="838" ht="14.25" customHeight="1">
      <c r="B838" s="31"/>
      <c r="C838" s="32"/>
    </row>
    <row r="839" ht="14.25" customHeight="1">
      <c r="B839" s="31"/>
      <c r="C839" s="32"/>
    </row>
    <row r="840" ht="14.25" customHeight="1">
      <c r="B840" s="31"/>
      <c r="C840" s="32"/>
    </row>
    <row r="841" ht="14.25" customHeight="1">
      <c r="B841" s="31"/>
      <c r="C841" s="32"/>
    </row>
    <row r="842" ht="14.25" customHeight="1">
      <c r="B842" s="31"/>
      <c r="C842" s="32"/>
    </row>
    <row r="843" ht="14.25" customHeight="1">
      <c r="B843" s="31"/>
      <c r="C843" s="32"/>
    </row>
    <row r="844" ht="14.25" customHeight="1">
      <c r="B844" s="31"/>
      <c r="C844" s="32"/>
    </row>
    <row r="845" ht="14.25" customHeight="1">
      <c r="B845" s="31"/>
      <c r="C845" s="32"/>
    </row>
    <row r="846" ht="14.25" customHeight="1">
      <c r="B846" s="31"/>
      <c r="C846" s="32"/>
    </row>
    <row r="847" ht="14.25" customHeight="1">
      <c r="B847" s="31"/>
      <c r="C847" s="32"/>
    </row>
    <row r="848" ht="14.25" customHeight="1">
      <c r="B848" s="31"/>
      <c r="C848" s="32"/>
    </row>
    <row r="849" ht="14.25" customHeight="1">
      <c r="B849" s="31"/>
      <c r="C849" s="32"/>
    </row>
    <row r="850" ht="14.25" customHeight="1">
      <c r="B850" s="31"/>
      <c r="C850" s="32"/>
    </row>
    <row r="851" ht="14.25" customHeight="1">
      <c r="B851" s="31"/>
      <c r="C851" s="32"/>
    </row>
    <row r="852" ht="14.25" customHeight="1">
      <c r="B852" s="31"/>
      <c r="C852" s="32"/>
    </row>
    <row r="853" ht="14.25" customHeight="1">
      <c r="B853" s="31"/>
      <c r="C853" s="32"/>
    </row>
    <row r="854" ht="14.25" customHeight="1">
      <c r="B854" s="31"/>
      <c r="C854" s="32"/>
    </row>
    <row r="855" ht="14.25" customHeight="1">
      <c r="B855" s="31"/>
      <c r="C855" s="32"/>
    </row>
    <row r="856" ht="14.25" customHeight="1">
      <c r="B856" s="31"/>
      <c r="C856" s="32"/>
    </row>
    <row r="857" ht="14.25" customHeight="1">
      <c r="B857" s="31"/>
      <c r="C857" s="32"/>
    </row>
    <row r="858" ht="14.25" customHeight="1">
      <c r="B858" s="31"/>
      <c r="C858" s="32"/>
    </row>
    <row r="859" ht="14.25" customHeight="1">
      <c r="B859" s="31"/>
      <c r="C859" s="32"/>
    </row>
    <row r="860" ht="14.25" customHeight="1">
      <c r="B860" s="31"/>
      <c r="C860" s="32"/>
    </row>
    <row r="861" ht="14.25" customHeight="1">
      <c r="B861" s="31"/>
      <c r="C861" s="32"/>
    </row>
    <row r="862" ht="14.25" customHeight="1">
      <c r="B862" s="31"/>
      <c r="C862" s="32"/>
    </row>
    <row r="863" ht="14.25" customHeight="1">
      <c r="B863" s="31"/>
      <c r="C863" s="32"/>
    </row>
    <row r="864" ht="14.25" customHeight="1">
      <c r="B864" s="31"/>
      <c r="C864" s="32"/>
    </row>
    <row r="865" ht="14.25" customHeight="1">
      <c r="B865" s="31"/>
      <c r="C865" s="32"/>
    </row>
    <row r="866" ht="14.25" customHeight="1">
      <c r="B866" s="31"/>
      <c r="C866" s="32"/>
    </row>
    <row r="867" ht="14.25" customHeight="1">
      <c r="B867" s="31"/>
      <c r="C867" s="32"/>
    </row>
    <row r="868" ht="14.25" customHeight="1">
      <c r="B868" s="31"/>
      <c r="C868" s="32"/>
    </row>
    <row r="869" ht="14.25" customHeight="1">
      <c r="B869" s="31"/>
      <c r="C869" s="32"/>
    </row>
    <row r="870" ht="14.25" customHeight="1">
      <c r="B870" s="31"/>
      <c r="C870" s="32"/>
    </row>
    <row r="871" ht="14.25" customHeight="1">
      <c r="B871" s="31"/>
      <c r="C871" s="32"/>
    </row>
    <row r="872" ht="14.25" customHeight="1">
      <c r="B872" s="31"/>
      <c r="C872" s="32"/>
    </row>
    <row r="873" ht="14.25" customHeight="1">
      <c r="B873" s="31"/>
      <c r="C873" s="32"/>
    </row>
    <row r="874" ht="14.25" customHeight="1">
      <c r="B874" s="31"/>
      <c r="C874" s="32"/>
    </row>
    <row r="875" ht="14.25" customHeight="1">
      <c r="B875" s="31"/>
      <c r="C875" s="32"/>
    </row>
    <row r="876" ht="14.25" customHeight="1">
      <c r="B876" s="31"/>
      <c r="C876" s="32"/>
    </row>
    <row r="877" ht="14.25" customHeight="1">
      <c r="B877" s="31"/>
      <c r="C877" s="32"/>
    </row>
    <row r="878" ht="14.25" customHeight="1">
      <c r="B878" s="31"/>
      <c r="C878" s="32"/>
    </row>
    <row r="879" ht="14.25" customHeight="1">
      <c r="B879" s="31"/>
      <c r="C879" s="32"/>
    </row>
    <row r="880" ht="14.25" customHeight="1">
      <c r="B880" s="31"/>
      <c r="C880" s="32"/>
    </row>
    <row r="881" ht="14.25" customHeight="1">
      <c r="B881" s="31"/>
      <c r="C881" s="32"/>
    </row>
    <row r="882" ht="14.25" customHeight="1">
      <c r="B882" s="31"/>
      <c r="C882" s="32"/>
    </row>
    <row r="883" ht="14.25" customHeight="1">
      <c r="B883" s="31"/>
      <c r="C883" s="32"/>
    </row>
    <row r="884" ht="14.25" customHeight="1">
      <c r="B884" s="31"/>
      <c r="C884" s="32"/>
    </row>
    <row r="885" ht="14.25" customHeight="1">
      <c r="B885" s="31"/>
      <c r="C885" s="32"/>
    </row>
    <row r="886" ht="14.25" customHeight="1">
      <c r="B886" s="31"/>
      <c r="C886" s="32"/>
    </row>
    <row r="887" ht="14.25" customHeight="1">
      <c r="B887" s="31"/>
      <c r="C887" s="32"/>
    </row>
    <row r="888" ht="14.25" customHeight="1">
      <c r="B888" s="31"/>
      <c r="C888" s="32"/>
    </row>
    <row r="889" ht="14.25" customHeight="1">
      <c r="B889" s="31"/>
      <c r="C889" s="32"/>
    </row>
    <row r="890" ht="14.25" customHeight="1">
      <c r="B890" s="31"/>
      <c r="C890" s="32"/>
    </row>
    <row r="891" ht="14.25" customHeight="1">
      <c r="B891" s="31"/>
      <c r="C891" s="32"/>
    </row>
    <row r="892" ht="14.25" customHeight="1">
      <c r="B892" s="31"/>
      <c r="C892" s="32"/>
    </row>
    <row r="893" ht="14.25" customHeight="1">
      <c r="B893" s="31"/>
      <c r="C893" s="32"/>
    </row>
    <row r="894" ht="14.25" customHeight="1">
      <c r="B894" s="31"/>
      <c r="C894" s="32"/>
    </row>
    <row r="895" ht="14.25" customHeight="1">
      <c r="B895" s="31"/>
      <c r="C895" s="32"/>
    </row>
    <row r="896" ht="14.25" customHeight="1">
      <c r="B896" s="31"/>
      <c r="C896" s="32"/>
    </row>
    <row r="897" ht="14.25" customHeight="1">
      <c r="B897" s="31"/>
      <c r="C897" s="32"/>
    </row>
    <row r="898" ht="14.25" customHeight="1">
      <c r="B898" s="31"/>
      <c r="C898" s="32"/>
    </row>
    <row r="899" ht="14.25" customHeight="1">
      <c r="B899" s="31"/>
      <c r="C899" s="32"/>
    </row>
    <row r="900" ht="14.25" customHeight="1">
      <c r="B900" s="31"/>
      <c r="C900" s="32"/>
    </row>
    <row r="901" ht="14.25" customHeight="1">
      <c r="B901" s="31"/>
      <c r="C901" s="32"/>
    </row>
    <row r="902" ht="14.25" customHeight="1">
      <c r="B902" s="31"/>
      <c r="C902" s="32"/>
    </row>
    <row r="903" ht="14.25" customHeight="1">
      <c r="B903" s="31"/>
      <c r="C903" s="32"/>
    </row>
    <row r="904" ht="14.25" customHeight="1">
      <c r="B904" s="31"/>
      <c r="C904" s="32"/>
    </row>
    <row r="905" ht="14.25" customHeight="1">
      <c r="B905" s="31"/>
      <c r="C905" s="32"/>
    </row>
    <row r="906" ht="14.25" customHeight="1">
      <c r="B906" s="31"/>
      <c r="C906" s="32"/>
    </row>
    <row r="907" ht="14.25" customHeight="1">
      <c r="B907" s="31"/>
      <c r="C907" s="32"/>
    </row>
    <row r="908" ht="14.25" customHeight="1">
      <c r="B908" s="31"/>
      <c r="C908" s="32"/>
    </row>
    <row r="909" ht="14.25" customHeight="1">
      <c r="B909" s="31"/>
      <c r="C909" s="32"/>
    </row>
    <row r="910" ht="14.25" customHeight="1">
      <c r="B910" s="31"/>
      <c r="C910" s="32"/>
    </row>
    <row r="911" ht="14.25" customHeight="1">
      <c r="B911" s="31"/>
      <c r="C911" s="32"/>
    </row>
    <row r="912" ht="14.25" customHeight="1">
      <c r="B912" s="31"/>
      <c r="C912" s="32"/>
    </row>
    <row r="913" ht="14.25" customHeight="1">
      <c r="B913" s="31"/>
      <c r="C913" s="32"/>
    </row>
    <row r="914" ht="14.25" customHeight="1">
      <c r="B914" s="31"/>
      <c r="C914" s="32"/>
    </row>
    <row r="915" ht="14.25" customHeight="1">
      <c r="B915" s="31"/>
      <c r="C915" s="32"/>
    </row>
    <row r="916" ht="14.25" customHeight="1">
      <c r="B916" s="31"/>
      <c r="C916" s="32"/>
    </row>
    <row r="917" ht="14.25" customHeight="1">
      <c r="B917" s="31"/>
      <c r="C917" s="32"/>
    </row>
    <row r="918" ht="14.25" customHeight="1">
      <c r="B918" s="31"/>
      <c r="C918" s="32"/>
    </row>
    <row r="919" ht="14.25" customHeight="1">
      <c r="B919" s="31"/>
      <c r="C919" s="32"/>
    </row>
    <row r="920" ht="14.25" customHeight="1">
      <c r="B920" s="31"/>
      <c r="C920" s="32"/>
    </row>
    <row r="921" ht="14.25" customHeight="1">
      <c r="B921" s="31"/>
      <c r="C921" s="32"/>
    </row>
    <row r="922" ht="14.25" customHeight="1">
      <c r="B922" s="31"/>
      <c r="C922" s="32"/>
    </row>
    <row r="923" ht="14.25" customHeight="1">
      <c r="B923" s="31"/>
      <c r="C923" s="32"/>
    </row>
    <row r="924" ht="14.25" customHeight="1">
      <c r="B924" s="31"/>
      <c r="C924" s="32"/>
    </row>
    <row r="925" ht="14.25" customHeight="1">
      <c r="B925" s="31"/>
      <c r="C925" s="32"/>
    </row>
    <row r="926" ht="14.25" customHeight="1">
      <c r="B926" s="31"/>
      <c r="C926" s="32"/>
    </row>
    <row r="927" ht="14.25" customHeight="1">
      <c r="B927" s="31"/>
      <c r="C927" s="32"/>
    </row>
    <row r="928" ht="14.25" customHeight="1">
      <c r="B928" s="31"/>
      <c r="C928" s="32"/>
    </row>
    <row r="929" ht="14.25" customHeight="1">
      <c r="B929" s="31"/>
      <c r="C929" s="32"/>
    </row>
    <row r="930" ht="14.25" customHeight="1">
      <c r="B930" s="31"/>
      <c r="C930" s="32"/>
    </row>
    <row r="931" ht="14.25" customHeight="1">
      <c r="B931" s="31"/>
      <c r="C931" s="32"/>
    </row>
    <row r="932" ht="14.25" customHeight="1">
      <c r="B932" s="31"/>
      <c r="C932" s="32"/>
    </row>
    <row r="933" ht="14.25" customHeight="1">
      <c r="B933" s="31"/>
      <c r="C933" s="32"/>
    </row>
    <row r="934" ht="14.25" customHeight="1">
      <c r="B934" s="31"/>
      <c r="C934" s="32"/>
    </row>
    <row r="935" ht="14.25" customHeight="1">
      <c r="B935" s="31"/>
      <c r="C935" s="32"/>
    </row>
    <row r="936" ht="14.25" customHeight="1">
      <c r="B936" s="31"/>
      <c r="C936" s="32"/>
    </row>
    <row r="937" ht="14.25" customHeight="1">
      <c r="B937" s="31"/>
      <c r="C937" s="32"/>
    </row>
    <row r="938" ht="14.25" customHeight="1">
      <c r="B938" s="31"/>
      <c r="C938" s="32"/>
    </row>
    <row r="939" ht="14.25" customHeight="1">
      <c r="B939" s="31"/>
      <c r="C939" s="32"/>
    </row>
    <row r="940" ht="14.25" customHeight="1">
      <c r="B940" s="31"/>
      <c r="C940" s="32"/>
    </row>
    <row r="941" ht="14.25" customHeight="1">
      <c r="B941" s="31"/>
      <c r="C941" s="32"/>
    </row>
    <row r="942" ht="14.25" customHeight="1">
      <c r="B942" s="31"/>
      <c r="C942" s="32"/>
    </row>
    <row r="943" ht="14.25" customHeight="1">
      <c r="B943" s="31"/>
      <c r="C943" s="32"/>
    </row>
    <row r="944" ht="14.25" customHeight="1">
      <c r="B944" s="31"/>
      <c r="C944" s="32"/>
    </row>
    <row r="945" ht="14.25" customHeight="1">
      <c r="B945" s="31"/>
      <c r="C945" s="32"/>
    </row>
    <row r="946" ht="14.25" customHeight="1">
      <c r="B946" s="31"/>
      <c r="C946" s="32"/>
    </row>
    <row r="947" ht="14.25" customHeight="1">
      <c r="B947" s="31"/>
      <c r="C947" s="32"/>
    </row>
    <row r="948" ht="14.25" customHeight="1">
      <c r="B948" s="31"/>
      <c r="C948" s="32"/>
    </row>
    <row r="949" ht="14.25" customHeight="1">
      <c r="B949" s="31"/>
      <c r="C949" s="32"/>
    </row>
    <row r="950" ht="14.25" customHeight="1">
      <c r="B950" s="31"/>
      <c r="C950" s="32"/>
    </row>
    <row r="951" ht="14.25" customHeight="1">
      <c r="B951" s="31"/>
      <c r="C951" s="32"/>
    </row>
    <row r="952" ht="14.25" customHeight="1">
      <c r="B952" s="31"/>
      <c r="C952" s="32"/>
    </row>
    <row r="953" ht="14.25" customHeight="1">
      <c r="B953" s="31"/>
      <c r="C953" s="32"/>
    </row>
    <row r="954" ht="14.25" customHeight="1">
      <c r="B954" s="31"/>
      <c r="C954" s="32"/>
    </row>
    <row r="955" ht="14.25" customHeight="1">
      <c r="B955" s="31"/>
      <c r="C955" s="32"/>
    </row>
    <row r="956" ht="14.25" customHeight="1">
      <c r="B956" s="31"/>
      <c r="C956" s="32"/>
    </row>
    <row r="957" ht="14.25" customHeight="1">
      <c r="B957" s="31"/>
      <c r="C957" s="32"/>
    </row>
    <row r="958" ht="14.25" customHeight="1">
      <c r="B958" s="31"/>
      <c r="C958" s="32"/>
    </row>
    <row r="959" ht="14.25" customHeight="1">
      <c r="B959" s="31"/>
      <c r="C959" s="32"/>
    </row>
    <row r="960" ht="14.25" customHeight="1">
      <c r="B960" s="31"/>
      <c r="C960" s="32"/>
    </row>
    <row r="961" ht="14.25" customHeight="1">
      <c r="B961" s="31"/>
      <c r="C961" s="32"/>
    </row>
    <row r="962" ht="14.25" customHeight="1">
      <c r="B962" s="31"/>
      <c r="C962" s="32"/>
    </row>
    <row r="963" ht="14.25" customHeight="1">
      <c r="B963" s="31"/>
      <c r="C963" s="32"/>
    </row>
    <row r="964" ht="14.25" customHeight="1">
      <c r="B964" s="31"/>
      <c r="C964" s="32"/>
    </row>
    <row r="965" ht="14.25" customHeight="1">
      <c r="B965" s="31"/>
      <c r="C965" s="32"/>
    </row>
    <row r="966" ht="14.25" customHeight="1">
      <c r="B966" s="31"/>
      <c r="C966" s="32"/>
    </row>
    <row r="967" ht="14.25" customHeight="1">
      <c r="B967" s="31"/>
      <c r="C967" s="32"/>
    </row>
    <row r="968" ht="14.25" customHeight="1">
      <c r="B968" s="31"/>
      <c r="C968" s="32"/>
    </row>
    <row r="969" ht="14.25" customHeight="1">
      <c r="B969" s="31"/>
      <c r="C969" s="32"/>
    </row>
    <row r="970" ht="14.25" customHeight="1">
      <c r="B970" s="31"/>
      <c r="C970" s="32"/>
    </row>
    <row r="971" ht="14.25" customHeight="1">
      <c r="B971" s="31"/>
      <c r="C971" s="32"/>
    </row>
    <row r="972" ht="14.25" customHeight="1">
      <c r="B972" s="31"/>
      <c r="C972" s="32"/>
    </row>
    <row r="973" ht="14.25" customHeight="1">
      <c r="B973" s="31"/>
      <c r="C973" s="32"/>
    </row>
    <row r="974" ht="14.25" customHeight="1">
      <c r="B974" s="31"/>
      <c r="C974" s="32"/>
    </row>
    <row r="975" ht="14.25" customHeight="1">
      <c r="B975" s="31"/>
      <c r="C975" s="32"/>
    </row>
    <row r="976" ht="14.25" customHeight="1">
      <c r="B976" s="31"/>
      <c r="C976" s="32"/>
    </row>
    <row r="977" ht="14.25" customHeight="1">
      <c r="B977" s="31"/>
      <c r="C977" s="32"/>
    </row>
    <row r="978" ht="14.25" customHeight="1">
      <c r="B978" s="31"/>
      <c r="C978" s="32"/>
    </row>
    <row r="979" ht="14.25" customHeight="1">
      <c r="B979" s="31"/>
      <c r="C979" s="32"/>
    </row>
    <row r="980" ht="14.25" customHeight="1">
      <c r="B980" s="31"/>
      <c r="C980" s="32"/>
    </row>
    <row r="981" ht="14.25" customHeight="1">
      <c r="B981" s="31"/>
      <c r="C981" s="32"/>
    </row>
    <row r="982" ht="14.25" customHeight="1">
      <c r="B982" s="31"/>
      <c r="C982" s="32"/>
    </row>
    <row r="983" ht="14.25" customHeight="1">
      <c r="B983" s="31"/>
      <c r="C983" s="32"/>
    </row>
    <row r="984" ht="14.25" customHeight="1">
      <c r="B984" s="31"/>
      <c r="C984" s="32"/>
    </row>
    <row r="985" ht="14.25" customHeight="1">
      <c r="B985" s="31"/>
      <c r="C985" s="32"/>
    </row>
    <row r="986" ht="14.25" customHeight="1">
      <c r="B986" s="31"/>
      <c r="C986" s="32"/>
    </row>
    <row r="987" ht="14.25" customHeight="1">
      <c r="B987" s="31"/>
      <c r="C987" s="32"/>
    </row>
    <row r="988" ht="14.25" customHeight="1">
      <c r="B988" s="31"/>
      <c r="C988" s="32"/>
    </row>
    <row r="989" ht="14.25" customHeight="1">
      <c r="B989" s="31"/>
      <c r="C989" s="32"/>
    </row>
    <row r="990" ht="14.25" customHeight="1">
      <c r="B990" s="31"/>
      <c r="C990" s="32"/>
    </row>
    <row r="991" ht="14.25" customHeight="1">
      <c r="B991" s="31"/>
      <c r="C991" s="32"/>
    </row>
    <row r="992" ht="14.25" customHeight="1">
      <c r="B992" s="31"/>
      <c r="C992" s="32"/>
    </row>
    <row r="993" ht="14.25" customHeight="1">
      <c r="B993" s="31"/>
      <c r="C993" s="32"/>
    </row>
    <row r="994" ht="14.25" customHeight="1">
      <c r="B994" s="31"/>
      <c r="C994" s="32"/>
    </row>
    <row r="995" ht="14.25" customHeight="1">
      <c r="B995" s="31"/>
      <c r="C995" s="32"/>
    </row>
    <row r="996" ht="14.25" customHeight="1">
      <c r="B996" s="31"/>
      <c r="C996" s="32"/>
    </row>
    <row r="997" ht="14.25" customHeight="1">
      <c r="B997" s="31"/>
      <c r="C997" s="32"/>
    </row>
    <row r="998" ht="14.25" customHeight="1">
      <c r="B998" s="31"/>
      <c r="C998" s="32"/>
    </row>
    <row r="999" ht="14.25" customHeight="1">
      <c r="B999" s="31"/>
      <c r="C999" s="32"/>
    </row>
    <row r="1000" ht="14.25" customHeight="1">
      <c r="B1000" s="31"/>
      <c r="C1000" s="32"/>
    </row>
  </sheetData>
  <mergeCells count="96">
    <mergeCell ref="U10:V10"/>
    <mergeCell ref="X10:Y10"/>
    <mergeCell ref="Z10:AA10"/>
    <mergeCell ref="AC10:AD10"/>
    <mergeCell ref="C2:X4"/>
    <mergeCell ref="C8:AD9"/>
    <mergeCell ref="D10:E10"/>
    <mergeCell ref="F10:G10"/>
    <mergeCell ref="I10:J10"/>
    <mergeCell ref="K10:L10"/>
    <mergeCell ref="N10:O10"/>
    <mergeCell ref="P13:P14"/>
    <mergeCell ref="Q13:Q14"/>
    <mergeCell ref="U16:U17"/>
    <mergeCell ref="V16:V17"/>
    <mergeCell ref="Z16:Z17"/>
    <mergeCell ref="AA16:AA17"/>
    <mergeCell ref="AC16:AC17"/>
    <mergeCell ref="AD16:AD17"/>
    <mergeCell ref="U13:U14"/>
    <mergeCell ref="V13:V14"/>
    <mergeCell ref="Z13:Z14"/>
    <mergeCell ref="AA13:AA14"/>
    <mergeCell ref="AC13:AC14"/>
    <mergeCell ref="AD13:AD14"/>
    <mergeCell ref="AE13:AE14"/>
    <mergeCell ref="F13:F14"/>
    <mergeCell ref="F16:F17"/>
    <mergeCell ref="K13:K14"/>
    <mergeCell ref="K16:K17"/>
    <mergeCell ref="AD25:AD26"/>
    <mergeCell ref="AE25:AE26"/>
    <mergeCell ref="P25:P26"/>
    <mergeCell ref="Q25:Q26"/>
    <mergeCell ref="U25:U26"/>
    <mergeCell ref="V25:V26"/>
    <mergeCell ref="Z25:Z26"/>
    <mergeCell ref="AA25:AA26"/>
    <mergeCell ref="AC25:AC26"/>
    <mergeCell ref="B16:B17"/>
    <mergeCell ref="B19:B20"/>
    <mergeCell ref="F19:F20"/>
    <mergeCell ref="G19:G20"/>
    <mergeCell ref="K19:K20"/>
    <mergeCell ref="L19:L20"/>
    <mergeCell ref="B22:B23"/>
    <mergeCell ref="G28:G29"/>
    <mergeCell ref="B34:G34"/>
    <mergeCell ref="F22:F23"/>
    <mergeCell ref="G22:G23"/>
    <mergeCell ref="B25:B26"/>
    <mergeCell ref="G25:G26"/>
    <mergeCell ref="L25:L26"/>
    <mergeCell ref="B28:B29"/>
    <mergeCell ref="L28:L29"/>
    <mergeCell ref="P10:Q10"/>
    <mergeCell ref="S10:T10"/>
    <mergeCell ref="B13:B14"/>
    <mergeCell ref="G13:G14"/>
    <mergeCell ref="L13:L14"/>
    <mergeCell ref="G16:G17"/>
    <mergeCell ref="Q16:Q17"/>
    <mergeCell ref="AA19:AA20"/>
    <mergeCell ref="AC19:AC20"/>
    <mergeCell ref="AD19:AD20"/>
    <mergeCell ref="L16:L17"/>
    <mergeCell ref="P16:P17"/>
    <mergeCell ref="P19:P20"/>
    <mergeCell ref="Q19:Q20"/>
    <mergeCell ref="U19:U20"/>
    <mergeCell ref="V19:V20"/>
    <mergeCell ref="Z19:Z20"/>
    <mergeCell ref="AA22:AA23"/>
    <mergeCell ref="AC22:AC23"/>
    <mergeCell ref="AD22:AD23"/>
    <mergeCell ref="AE22:AE23"/>
    <mergeCell ref="K22:K23"/>
    <mergeCell ref="L22:L23"/>
    <mergeCell ref="P22:P23"/>
    <mergeCell ref="Q22:Q23"/>
    <mergeCell ref="U22:U23"/>
    <mergeCell ref="V22:V23"/>
    <mergeCell ref="Z22:Z23"/>
    <mergeCell ref="F25:F26"/>
    <mergeCell ref="F28:F29"/>
    <mergeCell ref="AA28:AA29"/>
    <mergeCell ref="AC28:AC29"/>
    <mergeCell ref="AD28:AD29"/>
    <mergeCell ref="AE28:AE29"/>
    <mergeCell ref="K25:K26"/>
    <mergeCell ref="K28:K29"/>
    <mergeCell ref="P28:P29"/>
    <mergeCell ref="Q28:Q29"/>
    <mergeCell ref="U28:U29"/>
    <mergeCell ref="V28:V29"/>
    <mergeCell ref="Z28:Z29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86"/>
    <col customWidth="1" min="2" max="2" width="28.71"/>
    <col customWidth="1" min="3" max="8" width="6.71"/>
    <col customWidth="1" min="9" max="9" width="7.0"/>
    <col customWidth="1" min="10" max="10" width="31.71"/>
    <col customWidth="1" min="11" max="16" width="6.71"/>
    <col customWidth="1" min="17" max="26" width="8.0"/>
  </cols>
  <sheetData>
    <row r="1" ht="12.75" customHeight="1">
      <c r="A1" s="91"/>
      <c r="B1" s="92" t="s">
        <v>181</v>
      </c>
      <c r="C1" s="93">
        <v>1.0</v>
      </c>
      <c r="D1" s="93">
        <v>2.0</v>
      </c>
      <c r="E1" s="93">
        <v>3.0</v>
      </c>
      <c r="F1" s="93">
        <v>4.0</v>
      </c>
      <c r="G1" s="93">
        <v>5.0</v>
      </c>
      <c r="H1" s="93" t="s">
        <v>182</v>
      </c>
      <c r="I1" s="94"/>
      <c r="J1" s="92" t="s">
        <v>181</v>
      </c>
      <c r="K1" s="93">
        <v>1.0</v>
      </c>
      <c r="L1" s="93">
        <v>2.0</v>
      </c>
      <c r="M1" s="93">
        <v>3.0</v>
      </c>
      <c r="N1" s="93">
        <v>4.0</v>
      </c>
      <c r="O1" s="93">
        <v>5.0</v>
      </c>
      <c r="P1" s="93" t="s">
        <v>182</v>
      </c>
    </row>
    <row r="2" ht="18.0" customHeight="1">
      <c r="A2" s="95" t="s">
        <v>2</v>
      </c>
      <c r="B2" s="96" t="s">
        <v>132</v>
      </c>
      <c r="C2" s="97"/>
      <c r="D2" s="97"/>
      <c r="E2" s="97"/>
      <c r="F2" s="98"/>
      <c r="G2" s="98"/>
      <c r="H2" s="98"/>
      <c r="I2" s="95" t="s">
        <v>3</v>
      </c>
      <c r="J2" s="99" t="s">
        <v>25</v>
      </c>
      <c r="K2" s="100"/>
      <c r="L2" s="100"/>
      <c r="M2" s="100"/>
      <c r="N2" s="100"/>
      <c r="O2" s="100"/>
      <c r="P2" s="101"/>
    </row>
    <row r="3" ht="18.0" customHeight="1">
      <c r="A3" s="102" t="s">
        <v>16</v>
      </c>
      <c r="B3" s="15" t="s">
        <v>17</v>
      </c>
      <c r="C3" s="103">
        <v>1.0</v>
      </c>
      <c r="D3" s="103">
        <v>1.0</v>
      </c>
      <c r="E3" s="103">
        <v>1.0</v>
      </c>
      <c r="F3" s="103">
        <v>1.0</v>
      </c>
      <c r="G3" s="97"/>
      <c r="H3" s="104">
        <f t="shared" ref="H3:H14" si="1">SUM(C3:G3)</f>
        <v>4</v>
      </c>
      <c r="I3" s="102" t="s">
        <v>16</v>
      </c>
      <c r="J3" s="16" t="s">
        <v>18</v>
      </c>
      <c r="K3" s="103">
        <v>1.0</v>
      </c>
      <c r="L3" s="103">
        <v>1.0</v>
      </c>
      <c r="M3" s="103">
        <v>1.0</v>
      </c>
      <c r="N3" s="103">
        <v>1.0</v>
      </c>
      <c r="O3" s="97"/>
      <c r="P3" s="104">
        <f t="shared" ref="P3:P14" si="2">SUM(K3:O3)</f>
        <v>4</v>
      </c>
    </row>
    <row r="4" ht="18.0" customHeight="1">
      <c r="A4" s="102" t="s">
        <v>23</v>
      </c>
      <c r="B4" s="16" t="s">
        <v>24</v>
      </c>
      <c r="C4" s="103">
        <v>1.0</v>
      </c>
      <c r="D4" s="97"/>
      <c r="E4" s="103"/>
      <c r="F4" s="103">
        <v>1.0</v>
      </c>
      <c r="G4" s="103">
        <v>1.0</v>
      </c>
      <c r="H4" s="104">
        <f t="shared" si="1"/>
        <v>3</v>
      </c>
      <c r="I4" s="102" t="s">
        <v>23</v>
      </c>
      <c r="J4" s="16" t="s">
        <v>25</v>
      </c>
      <c r="K4" s="103">
        <v>1.0</v>
      </c>
      <c r="L4" s="103">
        <v>1.0</v>
      </c>
      <c r="M4" s="97"/>
      <c r="N4" s="97"/>
      <c r="O4" s="103">
        <v>1.0</v>
      </c>
      <c r="P4" s="104">
        <f t="shared" si="2"/>
        <v>3</v>
      </c>
    </row>
    <row r="5" ht="18.0" customHeight="1">
      <c r="A5" s="102" t="s">
        <v>30</v>
      </c>
      <c r="B5" s="16" t="s">
        <v>183</v>
      </c>
      <c r="C5" s="97"/>
      <c r="D5" s="103">
        <v>1.0</v>
      </c>
      <c r="E5" s="103">
        <v>1.0</v>
      </c>
      <c r="F5" s="97"/>
      <c r="G5" s="103">
        <v>1.0</v>
      </c>
      <c r="H5" s="104">
        <f t="shared" si="1"/>
        <v>3</v>
      </c>
      <c r="I5" s="102" t="s">
        <v>30</v>
      </c>
      <c r="J5" s="16" t="s">
        <v>184</v>
      </c>
      <c r="K5" s="97"/>
      <c r="L5" s="97"/>
      <c r="M5" s="103">
        <v>1.0</v>
      </c>
      <c r="N5" s="103">
        <v>1.0</v>
      </c>
      <c r="O5" s="103">
        <v>1.0</v>
      </c>
      <c r="P5" s="104">
        <f t="shared" si="2"/>
        <v>3</v>
      </c>
    </row>
    <row r="6" ht="18.0" customHeight="1">
      <c r="A6" s="102" t="s">
        <v>37</v>
      </c>
      <c r="B6" s="16" t="s">
        <v>38</v>
      </c>
      <c r="C6" s="103">
        <v>1.0</v>
      </c>
      <c r="D6" s="103"/>
      <c r="E6" s="103">
        <v>1.0</v>
      </c>
      <c r="F6" s="97"/>
      <c r="G6" s="97"/>
      <c r="H6" s="104">
        <f t="shared" si="1"/>
        <v>2</v>
      </c>
      <c r="I6" s="102" t="s">
        <v>37</v>
      </c>
      <c r="J6" s="16" t="s">
        <v>39</v>
      </c>
      <c r="K6" s="103">
        <v>1.0</v>
      </c>
      <c r="L6" s="103">
        <v>1.0</v>
      </c>
      <c r="M6" s="103">
        <v>1.0</v>
      </c>
      <c r="N6" s="97"/>
      <c r="O6" s="97"/>
      <c r="P6" s="104">
        <f t="shared" si="2"/>
        <v>3</v>
      </c>
    </row>
    <row r="7" ht="18.0" customHeight="1">
      <c r="A7" s="102" t="s">
        <v>45</v>
      </c>
      <c r="B7" s="16" t="s">
        <v>46</v>
      </c>
      <c r="C7" s="103">
        <v>1.0</v>
      </c>
      <c r="D7" s="103">
        <v>1.0</v>
      </c>
      <c r="E7" s="97"/>
      <c r="F7" s="103">
        <v>1.0</v>
      </c>
      <c r="G7" s="97"/>
      <c r="H7" s="104">
        <f t="shared" si="1"/>
        <v>3</v>
      </c>
      <c r="I7" s="102" t="s">
        <v>45</v>
      </c>
      <c r="J7" s="16" t="s">
        <v>47</v>
      </c>
      <c r="K7" s="97"/>
      <c r="L7" s="97"/>
      <c r="M7" s="103">
        <v>1.0</v>
      </c>
      <c r="N7" s="103">
        <v>1.0</v>
      </c>
      <c r="O7" s="97"/>
      <c r="P7" s="104">
        <f t="shared" si="2"/>
        <v>2</v>
      </c>
    </row>
    <row r="8" ht="18.0" customHeight="1">
      <c r="A8" s="102" t="s">
        <v>52</v>
      </c>
      <c r="B8" s="16" t="s">
        <v>53</v>
      </c>
      <c r="C8" s="97"/>
      <c r="D8" s="103">
        <v>1.0</v>
      </c>
      <c r="E8" s="103">
        <v>1.0</v>
      </c>
      <c r="F8" s="103">
        <v>1.0</v>
      </c>
      <c r="G8" s="97"/>
      <c r="H8" s="104">
        <f t="shared" si="1"/>
        <v>3</v>
      </c>
      <c r="I8" s="102" t="s">
        <v>52</v>
      </c>
      <c r="J8" s="105" t="s">
        <v>185</v>
      </c>
      <c r="K8" s="103">
        <v>1.0</v>
      </c>
      <c r="L8" s="103">
        <v>1.0</v>
      </c>
      <c r="M8" s="97"/>
      <c r="N8" s="103">
        <v>1.0</v>
      </c>
      <c r="O8" s="97"/>
      <c r="P8" s="104">
        <f t="shared" si="2"/>
        <v>3</v>
      </c>
    </row>
    <row r="9" ht="18.0" customHeight="1">
      <c r="A9" s="102" t="s">
        <v>59</v>
      </c>
      <c r="B9" s="16" t="s">
        <v>60</v>
      </c>
      <c r="C9" s="97"/>
      <c r="D9" s="103">
        <v>1.0</v>
      </c>
      <c r="E9" s="103">
        <v>1.0</v>
      </c>
      <c r="F9" s="97"/>
      <c r="G9" s="106">
        <v>1.0</v>
      </c>
      <c r="H9" s="104">
        <f t="shared" si="1"/>
        <v>3</v>
      </c>
      <c r="I9" s="102" t="s">
        <v>59</v>
      </c>
      <c r="J9" s="16" t="s">
        <v>61</v>
      </c>
      <c r="K9" s="97"/>
      <c r="L9" s="103">
        <v>1.0</v>
      </c>
      <c r="M9" s="103">
        <v>1.0</v>
      </c>
      <c r="N9" s="103">
        <v>1.0</v>
      </c>
      <c r="O9" s="97"/>
      <c r="P9" s="104">
        <f t="shared" si="2"/>
        <v>3</v>
      </c>
    </row>
    <row r="10" ht="18.0" customHeight="1">
      <c r="A10" s="102" t="s">
        <v>66</v>
      </c>
      <c r="B10" s="16" t="s">
        <v>67</v>
      </c>
      <c r="C10" s="103">
        <v>1.0</v>
      </c>
      <c r="D10" s="103">
        <v>1.0</v>
      </c>
      <c r="E10" s="97"/>
      <c r="F10" s="103">
        <v>1.0</v>
      </c>
      <c r="G10" s="103">
        <v>1.0</v>
      </c>
      <c r="H10" s="104">
        <f t="shared" si="1"/>
        <v>4</v>
      </c>
      <c r="I10" s="102" t="s">
        <v>66</v>
      </c>
      <c r="J10" s="16" t="s">
        <v>68</v>
      </c>
      <c r="K10" s="103">
        <v>1.0</v>
      </c>
      <c r="L10" s="103">
        <v>1.0</v>
      </c>
      <c r="M10" s="97"/>
      <c r="N10" s="103">
        <v>1.0</v>
      </c>
      <c r="O10" s="103">
        <v>1.0</v>
      </c>
      <c r="P10" s="104">
        <f t="shared" si="2"/>
        <v>4</v>
      </c>
    </row>
    <row r="11" ht="18.0" customHeight="1">
      <c r="A11" s="102" t="s">
        <v>73</v>
      </c>
      <c r="B11" s="16" t="s">
        <v>74</v>
      </c>
      <c r="C11" s="103">
        <v>1.0</v>
      </c>
      <c r="D11" s="97"/>
      <c r="E11" s="103">
        <v>1.0</v>
      </c>
      <c r="F11" s="103">
        <v>1.0</v>
      </c>
      <c r="G11" s="97"/>
      <c r="H11" s="104">
        <f t="shared" si="1"/>
        <v>3</v>
      </c>
      <c r="I11" s="102" t="s">
        <v>73</v>
      </c>
      <c r="J11" s="16" t="s">
        <v>75</v>
      </c>
      <c r="K11" s="103">
        <v>1.0</v>
      </c>
      <c r="L11" s="97"/>
      <c r="M11" s="103">
        <v>1.0</v>
      </c>
      <c r="N11" s="97"/>
      <c r="O11" s="103">
        <v>1.0</v>
      </c>
      <c r="P11" s="104">
        <f t="shared" si="2"/>
        <v>3</v>
      </c>
    </row>
    <row r="12" ht="18.0" customHeight="1">
      <c r="A12" s="102" t="s">
        <v>80</v>
      </c>
      <c r="B12" s="16" t="s">
        <v>81</v>
      </c>
      <c r="C12" s="103">
        <v>1.0</v>
      </c>
      <c r="D12" s="97"/>
      <c r="E12" s="103">
        <v>1.0</v>
      </c>
      <c r="F12" s="103">
        <v>1.0</v>
      </c>
      <c r="G12" s="97"/>
      <c r="H12" s="104">
        <f t="shared" si="1"/>
        <v>3</v>
      </c>
      <c r="I12" s="102" t="s">
        <v>80</v>
      </c>
      <c r="J12" s="16" t="s">
        <v>82</v>
      </c>
      <c r="K12" s="103">
        <v>1.0</v>
      </c>
      <c r="L12" s="103">
        <v>1.0</v>
      </c>
      <c r="M12" s="103"/>
      <c r="N12" s="103">
        <v>1.0</v>
      </c>
      <c r="O12" s="97"/>
      <c r="P12" s="104">
        <f t="shared" si="2"/>
        <v>3</v>
      </c>
    </row>
    <row r="13" ht="18.0" customHeight="1">
      <c r="A13" s="102" t="s">
        <v>87</v>
      </c>
      <c r="B13" s="16" t="s">
        <v>88</v>
      </c>
      <c r="C13" s="103">
        <v>1.0</v>
      </c>
      <c r="D13" s="103">
        <v>1.0</v>
      </c>
      <c r="E13" s="97"/>
      <c r="F13" s="97"/>
      <c r="G13" s="97"/>
      <c r="H13" s="104">
        <f t="shared" si="1"/>
        <v>2</v>
      </c>
      <c r="I13" s="102" t="s">
        <v>87</v>
      </c>
      <c r="J13" s="16" t="s">
        <v>89</v>
      </c>
      <c r="K13" s="97"/>
      <c r="L13" s="103">
        <v>1.0</v>
      </c>
      <c r="M13" s="103">
        <v>1.0</v>
      </c>
      <c r="N13" s="103">
        <v>1.0</v>
      </c>
      <c r="O13" s="97"/>
      <c r="P13" s="104">
        <f t="shared" si="2"/>
        <v>3</v>
      </c>
    </row>
    <row r="14" ht="18.0" customHeight="1">
      <c r="A14" s="102" t="s">
        <v>94</v>
      </c>
      <c r="B14" s="16" t="s">
        <v>95</v>
      </c>
      <c r="C14" s="97"/>
      <c r="D14" s="103">
        <v>1.0</v>
      </c>
      <c r="E14" s="103">
        <v>1.0</v>
      </c>
      <c r="F14" s="103">
        <v>1.0</v>
      </c>
      <c r="G14" s="97"/>
      <c r="H14" s="104">
        <f t="shared" si="1"/>
        <v>3</v>
      </c>
      <c r="I14" s="102" t="s">
        <v>94</v>
      </c>
      <c r="J14" s="16" t="s">
        <v>96</v>
      </c>
      <c r="K14" s="103">
        <v>1.0</v>
      </c>
      <c r="L14" s="97"/>
      <c r="M14" s="103">
        <v>1.0</v>
      </c>
      <c r="N14" s="97"/>
      <c r="O14" s="97"/>
      <c r="P14" s="104">
        <f t="shared" si="2"/>
        <v>2</v>
      </c>
    </row>
    <row r="15" ht="15.0" customHeight="1">
      <c r="J15" s="49"/>
      <c r="P15" s="107"/>
    </row>
    <row r="16" ht="18.0" customHeight="1">
      <c r="A16" s="108" t="s">
        <v>16</v>
      </c>
      <c r="B16" s="16" t="s">
        <v>102</v>
      </c>
      <c r="C16" s="109">
        <v>1.0</v>
      </c>
      <c r="D16" s="109">
        <v>1.0</v>
      </c>
      <c r="E16" s="109">
        <v>1.0</v>
      </c>
      <c r="F16" s="110"/>
      <c r="G16" s="109">
        <v>1.0</v>
      </c>
      <c r="H16" s="104">
        <f t="shared" ref="H16:H24" si="3">SUM(C16:G16)</f>
        <v>4</v>
      </c>
      <c r="I16" s="108" t="s">
        <v>16</v>
      </c>
      <c r="J16" s="16" t="s">
        <v>103</v>
      </c>
      <c r="K16" s="109">
        <v>1.0</v>
      </c>
      <c r="L16" s="109">
        <v>1.0</v>
      </c>
      <c r="M16" s="109">
        <v>1.0</v>
      </c>
      <c r="N16" s="109">
        <v>1.0</v>
      </c>
      <c r="O16" s="110"/>
      <c r="P16" s="104">
        <f t="shared" ref="P16:P24" si="4">SUM(K16:O16)</f>
        <v>4</v>
      </c>
    </row>
    <row r="17" ht="18.0" customHeight="1">
      <c r="A17" s="108" t="s">
        <v>23</v>
      </c>
      <c r="B17" s="16" t="s">
        <v>108</v>
      </c>
      <c r="C17" s="109">
        <v>1.0</v>
      </c>
      <c r="D17" s="110"/>
      <c r="E17" s="109">
        <v>1.0</v>
      </c>
      <c r="F17" s="109">
        <v>1.0</v>
      </c>
      <c r="G17" s="110"/>
      <c r="H17" s="104">
        <f t="shared" si="3"/>
        <v>3</v>
      </c>
      <c r="I17" s="108" t="s">
        <v>23</v>
      </c>
      <c r="J17" s="16" t="s">
        <v>109</v>
      </c>
      <c r="K17" s="109">
        <v>1.0</v>
      </c>
      <c r="L17" s="110"/>
      <c r="M17" s="110"/>
      <c r="N17" s="109">
        <v>1.0</v>
      </c>
      <c r="O17" s="109">
        <v>1.0</v>
      </c>
      <c r="P17" s="104">
        <f t="shared" si="4"/>
        <v>3</v>
      </c>
    </row>
    <row r="18" ht="18.0" customHeight="1">
      <c r="A18" s="108" t="s">
        <v>30</v>
      </c>
      <c r="B18" s="16" t="s">
        <v>114</v>
      </c>
      <c r="C18" s="110"/>
      <c r="D18" s="109">
        <v>1.0</v>
      </c>
      <c r="E18" s="110"/>
      <c r="F18" s="109">
        <v>1.0</v>
      </c>
      <c r="G18" s="109">
        <v>1.0</v>
      </c>
      <c r="H18" s="104">
        <f t="shared" si="3"/>
        <v>3</v>
      </c>
      <c r="I18" s="108" t="s">
        <v>30</v>
      </c>
      <c r="J18" s="16" t="s">
        <v>115</v>
      </c>
      <c r="K18" s="110"/>
      <c r="L18" s="109">
        <v>1.0</v>
      </c>
      <c r="M18" s="109">
        <v>1.0</v>
      </c>
      <c r="N18" s="110"/>
      <c r="O18" s="109">
        <v>1.0</v>
      </c>
      <c r="P18" s="104">
        <f t="shared" si="4"/>
        <v>3</v>
      </c>
    </row>
    <row r="19" ht="18.0" customHeight="1">
      <c r="A19" s="108" t="s">
        <v>37</v>
      </c>
      <c r="B19" s="16" t="s">
        <v>120</v>
      </c>
      <c r="C19" s="109">
        <v>1.0</v>
      </c>
      <c r="D19" s="110"/>
      <c r="E19" s="109">
        <v>1.0</v>
      </c>
      <c r="F19" s="110"/>
      <c r="G19" s="109">
        <v>1.0</v>
      </c>
      <c r="H19" s="104">
        <f t="shared" si="3"/>
        <v>3</v>
      </c>
      <c r="I19" s="108" t="s">
        <v>37</v>
      </c>
      <c r="J19" s="16" t="s">
        <v>121</v>
      </c>
      <c r="K19" s="109">
        <v>1.0</v>
      </c>
      <c r="L19" s="109">
        <v>1.0</v>
      </c>
      <c r="M19" s="110"/>
      <c r="N19" s="109">
        <v>1.0</v>
      </c>
      <c r="O19" s="109">
        <v>1.0</v>
      </c>
      <c r="P19" s="104">
        <f t="shared" si="4"/>
        <v>4</v>
      </c>
    </row>
    <row r="20" ht="18.0" customHeight="1">
      <c r="A20" s="108" t="s">
        <v>45</v>
      </c>
      <c r="B20" s="16" t="s">
        <v>186</v>
      </c>
      <c r="C20" s="109">
        <v>1.0</v>
      </c>
      <c r="D20" s="109">
        <v>1.0</v>
      </c>
      <c r="E20" s="110"/>
      <c r="F20" s="109">
        <v>1.0</v>
      </c>
      <c r="G20" s="109">
        <v>1.0</v>
      </c>
      <c r="H20" s="104">
        <f t="shared" si="3"/>
        <v>4</v>
      </c>
      <c r="I20" s="108" t="s">
        <v>45</v>
      </c>
      <c r="J20" s="16" t="s">
        <v>187</v>
      </c>
      <c r="K20" s="109">
        <v>1.0</v>
      </c>
      <c r="L20" s="110"/>
      <c r="M20" s="109">
        <v>1.0</v>
      </c>
      <c r="N20" s="109">
        <v>1.0</v>
      </c>
      <c r="O20" s="110"/>
      <c r="P20" s="104">
        <f t="shared" si="4"/>
        <v>3</v>
      </c>
    </row>
    <row r="21" ht="18.0" customHeight="1">
      <c r="A21" s="108" t="s">
        <v>52</v>
      </c>
      <c r="B21" s="16" t="s">
        <v>132</v>
      </c>
      <c r="C21" s="110"/>
      <c r="D21" s="109">
        <v>1.0</v>
      </c>
      <c r="E21" s="109">
        <v>1.0</v>
      </c>
      <c r="F21" s="109">
        <v>1.0</v>
      </c>
      <c r="G21" s="110"/>
      <c r="H21" s="104">
        <f t="shared" si="3"/>
        <v>3</v>
      </c>
      <c r="I21" s="108" t="s">
        <v>52</v>
      </c>
      <c r="J21" s="16" t="s">
        <v>133</v>
      </c>
      <c r="K21" s="110"/>
      <c r="L21" s="109">
        <v>1.0</v>
      </c>
      <c r="M21" s="109">
        <v>1.0</v>
      </c>
      <c r="N21" s="110"/>
      <c r="O21" s="109">
        <v>1.0</v>
      </c>
      <c r="P21" s="104">
        <f t="shared" si="4"/>
        <v>3</v>
      </c>
    </row>
    <row r="22" ht="18.0" customHeight="1">
      <c r="A22" s="108" t="s">
        <v>59</v>
      </c>
      <c r="B22" s="16" t="s">
        <v>138</v>
      </c>
      <c r="C22" s="109">
        <v>1.0</v>
      </c>
      <c r="D22" s="109">
        <v>1.0</v>
      </c>
      <c r="E22" s="110"/>
      <c r="F22" s="109">
        <v>1.0</v>
      </c>
      <c r="G22" s="110"/>
      <c r="H22" s="104">
        <f t="shared" si="3"/>
        <v>3</v>
      </c>
      <c r="I22" s="108" t="s">
        <v>59</v>
      </c>
      <c r="J22" s="16" t="s">
        <v>139</v>
      </c>
      <c r="K22" s="109">
        <v>1.0</v>
      </c>
      <c r="L22" s="109">
        <v>1.0</v>
      </c>
      <c r="M22" s="110"/>
      <c r="N22" s="109">
        <v>1.0</v>
      </c>
      <c r="O22" s="110"/>
      <c r="P22" s="104">
        <f t="shared" si="4"/>
        <v>3</v>
      </c>
    </row>
    <row r="23" ht="18.0" customHeight="1">
      <c r="A23" s="108" t="s">
        <v>66</v>
      </c>
      <c r="B23" s="16" t="s">
        <v>144</v>
      </c>
      <c r="C23" s="109">
        <v>1.0</v>
      </c>
      <c r="D23" s="110"/>
      <c r="E23" s="109">
        <v>1.0</v>
      </c>
      <c r="F23" s="110"/>
      <c r="G23" s="110"/>
      <c r="H23" s="104">
        <f t="shared" si="3"/>
        <v>2</v>
      </c>
      <c r="I23" s="108" t="s">
        <v>66</v>
      </c>
      <c r="J23" s="16" t="s">
        <v>145</v>
      </c>
      <c r="K23" s="109">
        <v>1.0</v>
      </c>
      <c r="L23" s="110"/>
      <c r="M23" s="109">
        <v>1.0</v>
      </c>
      <c r="N23" s="109">
        <v>1.0</v>
      </c>
      <c r="O23" s="110"/>
      <c r="P23" s="104">
        <f t="shared" si="4"/>
        <v>3</v>
      </c>
    </row>
    <row r="24" ht="18.0" customHeight="1">
      <c r="A24" s="108" t="s">
        <v>73</v>
      </c>
      <c r="B24" s="16" t="s">
        <v>150</v>
      </c>
      <c r="C24" s="110"/>
      <c r="D24" s="109">
        <v>1.0</v>
      </c>
      <c r="E24" s="109">
        <v>1.0</v>
      </c>
      <c r="F24" s="109">
        <v>1.0</v>
      </c>
      <c r="G24" s="110"/>
      <c r="H24" s="104">
        <f t="shared" si="3"/>
        <v>3</v>
      </c>
      <c r="I24" s="108" t="s">
        <v>73</v>
      </c>
      <c r="J24" s="16" t="s">
        <v>151</v>
      </c>
      <c r="K24" s="110"/>
      <c r="L24" s="109">
        <v>1.0</v>
      </c>
      <c r="M24" s="109">
        <v>1.0</v>
      </c>
      <c r="N24" s="110"/>
      <c r="O24" s="110"/>
      <c r="P24" s="104">
        <f t="shared" si="4"/>
        <v>2</v>
      </c>
    </row>
    <row r="25" ht="18.0" customHeight="1">
      <c r="A25" s="111"/>
      <c r="B25" s="112"/>
      <c r="C25" s="113"/>
      <c r="D25" s="113"/>
      <c r="E25" s="113"/>
      <c r="F25" s="113"/>
      <c r="G25" s="113"/>
      <c r="H25" s="114"/>
      <c r="I25" s="111"/>
      <c r="J25" s="112"/>
      <c r="K25" s="113"/>
      <c r="L25" s="113"/>
      <c r="M25" s="113"/>
      <c r="N25" s="113"/>
      <c r="O25" s="113"/>
      <c r="P25" s="114"/>
      <c r="Q25" s="23"/>
      <c r="R25" s="23"/>
    </row>
    <row r="26" ht="18.0" customHeight="1">
      <c r="A26" s="111"/>
      <c r="B26" s="112"/>
      <c r="C26" s="113"/>
      <c r="D26" s="113"/>
      <c r="E26" s="113"/>
      <c r="F26" s="113"/>
      <c r="G26" s="113"/>
      <c r="H26" s="114"/>
      <c r="I26" s="111"/>
      <c r="J26" s="112"/>
      <c r="K26" s="113"/>
      <c r="L26" s="113"/>
      <c r="M26" s="113"/>
      <c r="N26" s="113"/>
      <c r="O26" s="113"/>
      <c r="P26" s="114"/>
      <c r="Q26" s="23"/>
      <c r="R26" s="23"/>
    </row>
    <row r="27" ht="18.0" customHeight="1">
      <c r="A27" s="111"/>
      <c r="B27" s="112"/>
      <c r="C27" s="113"/>
      <c r="D27" s="113"/>
      <c r="E27" s="113"/>
      <c r="F27" s="113"/>
      <c r="G27" s="113"/>
      <c r="H27" s="114"/>
      <c r="I27" s="111"/>
      <c r="J27" s="112"/>
      <c r="K27" s="113"/>
      <c r="L27" s="113"/>
      <c r="M27" s="113"/>
      <c r="N27" s="113"/>
      <c r="O27" s="113"/>
      <c r="P27" s="114"/>
      <c r="Q27" s="23"/>
      <c r="R27" s="23"/>
    </row>
    <row r="28" ht="18.0" customHeight="1">
      <c r="A28" s="111"/>
      <c r="B28" s="112"/>
      <c r="C28" s="113"/>
      <c r="D28" s="113"/>
      <c r="E28" s="113"/>
      <c r="F28" s="113"/>
      <c r="G28" s="113"/>
      <c r="H28" s="114"/>
      <c r="I28" s="111"/>
      <c r="J28" s="112"/>
      <c r="K28" s="113"/>
      <c r="L28" s="113"/>
      <c r="M28" s="113"/>
      <c r="N28" s="113"/>
      <c r="O28" s="113"/>
      <c r="P28" s="114"/>
      <c r="Q28" s="23"/>
      <c r="R28" s="23"/>
    </row>
    <row r="29" ht="12.75" customHeight="1"/>
    <row r="30" ht="12.75" customHeight="1"/>
    <row r="31" ht="12.75" customHeight="1">
      <c r="A31" s="94"/>
      <c r="B31" s="94"/>
      <c r="C31" s="115">
        <v>1.0</v>
      </c>
      <c r="D31" s="115">
        <v>2.0</v>
      </c>
      <c r="E31" s="115">
        <v>3.0</v>
      </c>
      <c r="F31" s="115">
        <v>4.0</v>
      </c>
      <c r="G31" s="115">
        <v>5.0</v>
      </c>
      <c r="H31" s="115" t="s">
        <v>182</v>
      </c>
      <c r="I31" s="94"/>
      <c r="J31" s="94"/>
      <c r="K31" s="115">
        <v>1.0</v>
      </c>
      <c r="L31" s="115">
        <v>2.0</v>
      </c>
      <c r="M31" s="115">
        <v>3.0</v>
      </c>
      <c r="N31" s="115">
        <v>4.0</v>
      </c>
      <c r="O31" s="115">
        <v>5.0</v>
      </c>
      <c r="P31" s="115" t="s">
        <v>182</v>
      </c>
    </row>
    <row r="32" ht="18.0" customHeight="1">
      <c r="A32" s="95" t="s">
        <v>4</v>
      </c>
      <c r="B32" s="96" t="s">
        <v>188</v>
      </c>
      <c r="C32" s="97"/>
      <c r="D32" s="97"/>
      <c r="E32" s="97"/>
      <c r="F32" s="97"/>
      <c r="G32" s="97"/>
      <c r="H32" s="116"/>
      <c r="I32" s="95" t="s">
        <v>5</v>
      </c>
      <c r="J32" s="96" t="s">
        <v>117</v>
      </c>
      <c r="K32" s="97"/>
      <c r="L32" s="97"/>
      <c r="M32" s="97"/>
      <c r="N32" s="97"/>
      <c r="O32" s="97"/>
      <c r="P32" s="97"/>
    </row>
    <row r="33" ht="18.0" customHeight="1">
      <c r="A33" s="102" t="s">
        <v>16</v>
      </c>
      <c r="B33" s="105" t="s">
        <v>189</v>
      </c>
      <c r="C33" s="97"/>
      <c r="D33" s="103">
        <v>1.0</v>
      </c>
      <c r="E33" s="103">
        <v>1.0</v>
      </c>
      <c r="F33" s="103">
        <v>1.0</v>
      </c>
      <c r="G33" s="97"/>
      <c r="H33" s="104">
        <f t="shared" ref="H33:H44" si="5">SUM(C33:G33)</f>
        <v>3</v>
      </c>
      <c r="I33" s="102" t="s">
        <v>16</v>
      </c>
      <c r="J33" s="16" t="s">
        <v>20</v>
      </c>
      <c r="K33" s="103">
        <v>1.0</v>
      </c>
      <c r="L33" s="103">
        <v>1.0</v>
      </c>
      <c r="M33" s="103">
        <v>1.0</v>
      </c>
      <c r="N33" s="103">
        <v>1.0</v>
      </c>
      <c r="O33" s="97"/>
      <c r="P33" s="104">
        <f t="shared" ref="P33:P44" si="6">SUM(K33:O33)</f>
        <v>4</v>
      </c>
    </row>
    <row r="34" ht="18.0" customHeight="1">
      <c r="A34" s="102" t="s">
        <v>23</v>
      </c>
      <c r="B34" s="16" t="s">
        <v>26</v>
      </c>
      <c r="C34" s="103">
        <v>1.0</v>
      </c>
      <c r="D34" s="103">
        <v>1.0</v>
      </c>
      <c r="E34" s="97"/>
      <c r="F34" s="103">
        <v>1.0</v>
      </c>
      <c r="G34" s="97"/>
      <c r="H34" s="104">
        <f t="shared" si="5"/>
        <v>3</v>
      </c>
      <c r="I34" s="102" t="s">
        <v>23</v>
      </c>
      <c r="J34" s="16" t="s">
        <v>27</v>
      </c>
      <c r="K34" s="97"/>
      <c r="L34" s="103">
        <v>1.0</v>
      </c>
      <c r="M34" s="97"/>
      <c r="N34" s="103">
        <v>1.0</v>
      </c>
      <c r="O34" s="97"/>
      <c r="P34" s="104">
        <f t="shared" si="6"/>
        <v>2</v>
      </c>
    </row>
    <row r="35" ht="18.0" customHeight="1">
      <c r="A35" s="102" t="s">
        <v>30</v>
      </c>
      <c r="B35" s="16" t="s">
        <v>33</v>
      </c>
      <c r="C35" s="103">
        <v>1.0</v>
      </c>
      <c r="D35" s="97"/>
      <c r="E35" s="103">
        <v>1.0</v>
      </c>
      <c r="F35" s="97"/>
      <c r="G35" s="97"/>
      <c r="H35" s="104">
        <f t="shared" si="5"/>
        <v>2</v>
      </c>
      <c r="I35" s="102" t="s">
        <v>30</v>
      </c>
      <c r="J35" s="16" t="s">
        <v>34</v>
      </c>
      <c r="K35" s="103">
        <v>1.0</v>
      </c>
      <c r="L35" s="103"/>
      <c r="M35" s="103">
        <v>1.0</v>
      </c>
      <c r="N35" s="97"/>
      <c r="O35" s="97"/>
      <c r="P35" s="104">
        <f t="shared" si="6"/>
        <v>2</v>
      </c>
    </row>
    <row r="36" ht="18.0" customHeight="1">
      <c r="A36" s="102" t="s">
        <v>37</v>
      </c>
      <c r="B36" s="21" t="s">
        <v>40</v>
      </c>
      <c r="C36" s="103">
        <v>1.0</v>
      </c>
      <c r="D36" s="97"/>
      <c r="E36" s="103">
        <v>1.0</v>
      </c>
      <c r="F36" s="103">
        <v>1.0</v>
      </c>
      <c r="G36" s="97"/>
      <c r="H36" s="104">
        <f t="shared" si="5"/>
        <v>3</v>
      </c>
      <c r="I36" s="102" t="s">
        <v>37</v>
      </c>
      <c r="J36" s="16" t="s">
        <v>41</v>
      </c>
      <c r="K36" s="103">
        <v>1.0</v>
      </c>
      <c r="L36" s="103">
        <v>1.0</v>
      </c>
      <c r="M36" s="103">
        <v>1.0</v>
      </c>
      <c r="N36" s="103">
        <v>1.0</v>
      </c>
      <c r="O36" s="97"/>
      <c r="P36" s="104">
        <f t="shared" si="6"/>
        <v>4</v>
      </c>
    </row>
    <row r="37" ht="18.0" customHeight="1">
      <c r="A37" s="102" t="s">
        <v>45</v>
      </c>
      <c r="B37" s="16" t="s">
        <v>48</v>
      </c>
      <c r="C37" s="103">
        <v>1.0</v>
      </c>
      <c r="D37" s="103">
        <v>1.0</v>
      </c>
      <c r="E37" s="97"/>
      <c r="F37" s="103">
        <v>1.0</v>
      </c>
      <c r="G37" s="97"/>
      <c r="H37" s="104">
        <f t="shared" si="5"/>
        <v>3</v>
      </c>
      <c r="I37" s="102" t="s">
        <v>45</v>
      </c>
      <c r="J37" s="16" t="s">
        <v>49</v>
      </c>
      <c r="K37" s="103">
        <v>1.0</v>
      </c>
      <c r="L37" s="103"/>
      <c r="M37" s="103">
        <v>1.0</v>
      </c>
      <c r="N37" s="97"/>
      <c r="O37" s="106">
        <v>1.0</v>
      </c>
      <c r="P37" s="104">
        <f t="shared" si="6"/>
        <v>3</v>
      </c>
    </row>
    <row r="38" ht="18.0" customHeight="1">
      <c r="A38" s="102" t="s">
        <v>52</v>
      </c>
      <c r="B38" s="16" t="s">
        <v>55</v>
      </c>
      <c r="C38" s="97"/>
      <c r="D38" s="103">
        <v>1.0</v>
      </c>
      <c r="E38" s="103">
        <v>1.0</v>
      </c>
      <c r="F38" s="97"/>
      <c r="G38" s="97"/>
      <c r="H38" s="104">
        <f t="shared" si="5"/>
        <v>2</v>
      </c>
      <c r="I38" s="102" t="s">
        <v>52</v>
      </c>
      <c r="J38" s="16" t="s">
        <v>56</v>
      </c>
      <c r="K38" s="97"/>
      <c r="L38" s="103">
        <v>1.0</v>
      </c>
      <c r="M38" s="97"/>
      <c r="N38" s="103">
        <v>1.0</v>
      </c>
      <c r="O38" s="103">
        <v>1.0</v>
      </c>
      <c r="P38" s="104">
        <f t="shared" si="6"/>
        <v>3</v>
      </c>
    </row>
    <row r="39" ht="18.0" customHeight="1">
      <c r="A39" s="102" t="s">
        <v>59</v>
      </c>
      <c r="B39" s="16" t="s">
        <v>62</v>
      </c>
      <c r="C39" s="103">
        <v>1.0</v>
      </c>
      <c r="D39" s="103">
        <v>1.0</v>
      </c>
      <c r="E39" s="97"/>
      <c r="F39" s="103">
        <v>1.0</v>
      </c>
      <c r="G39" s="97"/>
      <c r="H39" s="104">
        <f t="shared" si="5"/>
        <v>3</v>
      </c>
      <c r="I39" s="102" t="s">
        <v>59</v>
      </c>
      <c r="J39" s="16" t="s">
        <v>63</v>
      </c>
      <c r="K39" s="103">
        <v>1.0</v>
      </c>
      <c r="L39" s="103">
        <v>1.0</v>
      </c>
      <c r="M39" s="97"/>
      <c r="N39" s="103">
        <v>1.0</v>
      </c>
      <c r="O39" s="97"/>
      <c r="P39" s="104">
        <f t="shared" si="6"/>
        <v>3</v>
      </c>
    </row>
    <row r="40" ht="18.0" customHeight="1">
      <c r="A40" s="102" t="s">
        <v>66</v>
      </c>
      <c r="B40" s="16" t="s">
        <v>69</v>
      </c>
      <c r="C40" s="103">
        <v>1.0</v>
      </c>
      <c r="D40" s="97"/>
      <c r="E40" s="103">
        <v>1.0</v>
      </c>
      <c r="F40" s="103">
        <v>1.0</v>
      </c>
      <c r="G40" s="103">
        <v>1.0</v>
      </c>
      <c r="H40" s="104">
        <f t="shared" si="5"/>
        <v>4</v>
      </c>
      <c r="I40" s="102" t="s">
        <v>66</v>
      </c>
      <c r="J40" s="16" t="s">
        <v>70</v>
      </c>
      <c r="K40" s="97"/>
      <c r="L40" s="103">
        <v>1.0</v>
      </c>
      <c r="M40" s="103">
        <v>1.0</v>
      </c>
      <c r="N40" s="97"/>
      <c r="O40" s="97"/>
      <c r="P40" s="104">
        <f t="shared" si="6"/>
        <v>2</v>
      </c>
    </row>
    <row r="41" ht="18.0" customHeight="1">
      <c r="A41" s="102" t="s">
        <v>73</v>
      </c>
      <c r="B41" s="16" t="s">
        <v>76</v>
      </c>
      <c r="C41" s="97"/>
      <c r="D41" s="103">
        <v>1.0</v>
      </c>
      <c r="E41" s="103">
        <v>1.0</v>
      </c>
      <c r="F41" s="97"/>
      <c r="G41" s="103">
        <v>1.0</v>
      </c>
      <c r="H41" s="104">
        <f t="shared" si="5"/>
        <v>3</v>
      </c>
      <c r="I41" s="102" t="s">
        <v>73</v>
      </c>
      <c r="J41" s="16" t="s">
        <v>77</v>
      </c>
      <c r="K41" s="103">
        <v>1.0</v>
      </c>
      <c r="L41" s="97"/>
      <c r="M41" s="103">
        <v>1.0</v>
      </c>
      <c r="N41" s="103">
        <v>1.0</v>
      </c>
      <c r="O41" s="97"/>
      <c r="P41" s="104">
        <f t="shared" si="6"/>
        <v>3</v>
      </c>
    </row>
    <row r="42" ht="18.0" customHeight="1">
      <c r="A42" s="102" t="s">
        <v>80</v>
      </c>
      <c r="B42" s="16" t="s">
        <v>83</v>
      </c>
      <c r="C42" s="103">
        <v>1.0</v>
      </c>
      <c r="D42" s="103">
        <v>1.0</v>
      </c>
      <c r="E42" s="97"/>
      <c r="F42" s="103">
        <v>1.0</v>
      </c>
      <c r="G42" s="97"/>
      <c r="H42" s="104">
        <f t="shared" si="5"/>
        <v>3</v>
      </c>
      <c r="I42" s="102" t="s">
        <v>80</v>
      </c>
      <c r="J42" s="16" t="s">
        <v>84</v>
      </c>
      <c r="K42" s="103">
        <v>1.0</v>
      </c>
      <c r="L42" s="103">
        <v>1.0</v>
      </c>
      <c r="M42" s="97"/>
      <c r="N42" s="97"/>
      <c r="O42" s="103">
        <v>1.0</v>
      </c>
      <c r="P42" s="104">
        <f t="shared" si="6"/>
        <v>3</v>
      </c>
    </row>
    <row r="43" ht="18.0" customHeight="1">
      <c r="A43" s="102" t="s">
        <v>87</v>
      </c>
      <c r="B43" s="16" t="s">
        <v>90</v>
      </c>
      <c r="C43" s="103">
        <v>1.0</v>
      </c>
      <c r="D43" s="97"/>
      <c r="E43" s="103">
        <v>1.0</v>
      </c>
      <c r="F43" s="103">
        <v>1.0</v>
      </c>
      <c r="G43" s="97"/>
      <c r="H43" s="104">
        <f t="shared" si="5"/>
        <v>3</v>
      </c>
      <c r="I43" s="102" t="s">
        <v>87</v>
      </c>
      <c r="J43" s="16" t="s">
        <v>91</v>
      </c>
      <c r="K43" s="103">
        <v>1.0</v>
      </c>
      <c r="L43" s="97"/>
      <c r="M43" s="103">
        <v>1.0</v>
      </c>
      <c r="N43" s="103">
        <v>1.0</v>
      </c>
      <c r="O43" s="103">
        <v>1.0</v>
      </c>
      <c r="P43" s="104">
        <f t="shared" si="6"/>
        <v>4</v>
      </c>
    </row>
    <row r="44" ht="18.0" customHeight="1">
      <c r="A44" s="102" t="s">
        <v>94</v>
      </c>
      <c r="B44" s="16" t="s">
        <v>97</v>
      </c>
      <c r="C44" s="97"/>
      <c r="D44" s="103">
        <v>1.0</v>
      </c>
      <c r="E44" s="103">
        <v>1.0</v>
      </c>
      <c r="F44" s="97"/>
      <c r="G44" s="97"/>
      <c r="H44" s="104">
        <f t="shared" si="5"/>
        <v>2</v>
      </c>
      <c r="I44" s="102" t="s">
        <v>94</v>
      </c>
      <c r="J44" s="16" t="s">
        <v>98</v>
      </c>
      <c r="K44" s="97"/>
      <c r="L44" s="103">
        <v>1.0</v>
      </c>
      <c r="M44" s="103">
        <v>1.0</v>
      </c>
      <c r="N44" s="103">
        <v>1.0</v>
      </c>
      <c r="O44" s="97"/>
      <c r="P44" s="104">
        <f t="shared" si="6"/>
        <v>3</v>
      </c>
    </row>
    <row r="45" ht="18.0" customHeight="1">
      <c r="B45" s="117"/>
      <c r="J45" s="49"/>
    </row>
    <row r="46" ht="18.0" customHeight="1">
      <c r="A46" s="108" t="s">
        <v>16</v>
      </c>
      <c r="B46" s="16" t="s">
        <v>104</v>
      </c>
      <c r="C46" s="109">
        <v>1.0</v>
      </c>
      <c r="D46" s="109">
        <v>1.0</v>
      </c>
      <c r="E46" s="109">
        <v>1.0</v>
      </c>
      <c r="F46" s="110"/>
      <c r="G46" s="109">
        <v>1.0</v>
      </c>
      <c r="H46" s="104">
        <f t="shared" ref="H46:H54" si="7">SUM(C46:G46)</f>
        <v>4</v>
      </c>
      <c r="I46" s="108" t="s">
        <v>16</v>
      </c>
      <c r="J46" s="16" t="s">
        <v>105</v>
      </c>
      <c r="K46" s="109">
        <v>1.0</v>
      </c>
      <c r="L46" s="109">
        <v>1.0</v>
      </c>
      <c r="M46" s="109">
        <v>1.0</v>
      </c>
      <c r="N46" s="109">
        <v>1.0</v>
      </c>
      <c r="O46" s="110"/>
      <c r="P46" s="104">
        <f t="shared" ref="P46:P54" si="8">SUM(K46:O46)</f>
        <v>4</v>
      </c>
    </row>
    <row r="47" ht="18.0" customHeight="1">
      <c r="A47" s="108" t="s">
        <v>23</v>
      </c>
      <c r="B47" s="16" t="s">
        <v>110</v>
      </c>
      <c r="C47" s="109">
        <v>1.0</v>
      </c>
      <c r="D47" s="110"/>
      <c r="E47" s="109">
        <v>1.0</v>
      </c>
      <c r="F47" s="109">
        <v>1.0</v>
      </c>
      <c r="G47" s="110"/>
      <c r="H47" s="104">
        <f t="shared" si="7"/>
        <v>3</v>
      </c>
      <c r="I47" s="108" t="s">
        <v>23</v>
      </c>
      <c r="J47" s="16" t="s">
        <v>111</v>
      </c>
      <c r="K47" s="109">
        <v>1.0</v>
      </c>
      <c r="L47" s="110"/>
      <c r="M47" s="109">
        <v>1.0</v>
      </c>
      <c r="N47" s="109"/>
      <c r="O47" s="109">
        <v>1.0</v>
      </c>
      <c r="P47" s="104">
        <f t="shared" si="8"/>
        <v>3</v>
      </c>
    </row>
    <row r="48" ht="18.0" customHeight="1">
      <c r="A48" s="108" t="s">
        <v>30</v>
      </c>
      <c r="B48" s="16" t="s">
        <v>116</v>
      </c>
      <c r="C48" s="110"/>
      <c r="D48" s="109">
        <v>1.0</v>
      </c>
      <c r="E48" s="110"/>
      <c r="F48" s="106">
        <v>1.0</v>
      </c>
      <c r="G48" s="109">
        <v>1.0</v>
      </c>
      <c r="H48" s="104">
        <f t="shared" si="7"/>
        <v>3</v>
      </c>
      <c r="I48" s="108" t="s">
        <v>30</v>
      </c>
      <c r="J48" s="18" t="s">
        <v>117</v>
      </c>
      <c r="K48" s="109"/>
      <c r="L48" s="109">
        <v>1.0</v>
      </c>
      <c r="M48" s="110"/>
      <c r="N48" s="109">
        <v>1.0</v>
      </c>
      <c r="O48" s="109">
        <v>1.0</v>
      </c>
      <c r="P48" s="104">
        <f t="shared" si="8"/>
        <v>3</v>
      </c>
    </row>
    <row r="49" ht="18.0" customHeight="1">
      <c r="A49" s="108" t="s">
        <v>37</v>
      </c>
      <c r="B49" s="16" t="s">
        <v>122</v>
      </c>
      <c r="C49" s="109">
        <v>1.0</v>
      </c>
      <c r="D49" s="110"/>
      <c r="E49" s="109">
        <v>1.0</v>
      </c>
      <c r="F49" s="110"/>
      <c r="G49" s="109">
        <v>1.0</v>
      </c>
      <c r="H49" s="104">
        <f t="shared" si="7"/>
        <v>3</v>
      </c>
      <c r="I49" s="108" t="s">
        <v>37</v>
      </c>
      <c r="J49" s="16" t="s">
        <v>123</v>
      </c>
      <c r="K49" s="109">
        <v>1.0</v>
      </c>
      <c r="L49" s="109">
        <v>1.0</v>
      </c>
      <c r="M49" s="109">
        <v>1.0</v>
      </c>
      <c r="N49" s="109">
        <v>1.0</v>
      </c>
      <c r="O49" s="110"/>
      <c r="P49" s="104">
        <f t="shared" si="8"/>
        <v>4</v>
      </c>
    </row>
    <row r="50" ht="18.0" customHeight="1">
      <c r="A50" s="108" t="s">
        <v>45</v>
      </c>
      <c r="B50" s="16" t="s">
        <v>128</v>
      </c>
      <c r="C50" s="109">
        <v>1.0</v>
      </c>
      <c r="D50" s="109">
        <v>1.0</v>
      </c>
      <c r="E50" s="109">
        <v>1.0</v>
      </c>
      <c r="F50" s="109">
        <v>1.0</v>
      </c>
      <c r="G50" s="110"/>
      <c r="H50" s="104">
        <f t="shared" si="7"/>
        <v>4</v>
      </c>
      <c r="I50" s="108" t="s">
        <v>45</v>
      </c>
      <c r="J50" s="16" t="s">
        <v>129</v>
      </c>
      <c r="K50" s="110"/>
      <c r="L50" s="109">
        <v>1.0</v>
      </c>
      <c r="M50" s="110"/>
      <c r="N50" s="109">
        <v>1.0</v>
      </c>
      <c r="O50" s="110"/>
      <c r="P50" s="104">
        <f t="shared" si="8"/>
        <v>2</v>
      </c>
    </row>
    <row r="51" ht="18.0" customHeight="1">
      <c r="A51" s="108" t="s">
        <v>52</v>
      </c>
      <c r="B51" s="16" t="s">
        <v>134</v>
      </c>
      <c r="C51" s="110"/>
      <c r="D51" s="109">
        <v>1.0</v>
      </c>
      <c r="E51" s="110"/>
      <c r="F51" s="109">
        <v>1.0</v>
      </c>
      <c r="G51" s="109">
        <v>1.0</v>
      </c>
      <c r="H51" s="104">
        <f t="shared" si="7"/>
        <v>3</v>
      </c>
      <c r="I51" s="108" t="s">
        <v>52</v>
      </c>
      <c r="J51" s="16" t="s">
        <v>135</v>
      </c>
      <c r="K51" s="118">
        <v>1.0</v>
      </c>
      <c r="L51" s="110"/>
      <c r="M51" s="109">
        <v>1.0</v>
      </c>
      <c r="N51" s="110"/>
      <c r="O51" s="110"/>
      <c r="P51" s="104">
        <f t="shared" si="8"/>
        <v>2</v>
      </c>
    </row>
    <row r="52" ht="18.0" customHeight="1">
      <c r="A52" s="108" t="s">
        <v>59</v>
      </c>
      <c r="B52" s="16" t="s">
        <v>140</v>
      </c>
      <c r="C52" s="109">
        <v>1.0</v>
      </c>
      <c r="D52" s="109">
        <v>1.0</v>
      </c>
      <c r="E52" s="110"/>
      <c r="F52" s="109">
        <v>1.0</v>
      </c>
      <c r="G52" s="109">
        <v>1.0</v>
      </c>
      <c r="H52" s="104">
        <f t="shared" si="7"/>
        <v>4</v>
      </c>
      <c r="I52" s="108" t="s">
        <v>59</v>
      </c>
      <c r="J52" s="16" t="s">
        <v>141</v>
      </c>
      <c r="K52" s="109">
        <v>1.0</v>
      </c>
      <c r="L52" s="109">
        <v>1.0</v>
      </c>
      <c r="M52" s="109">
        <v>1.0</v>
      </c>
      <c r="N52" s="110"/>
      <c r="O52" s="110"/>
      <c r="P52" s="104">
        <f t="shared" si="8"/>
        <v>3</v>
      </c>
    </row>
    <row r="53" ht="18.0" customHeight="1">
      <c r="A53" s="108" t="s">
        <v>66</v>
      </c>
      <c r="B53" s="16" t="s">
        <v>146</v>
      </c>
      <c r="C53" s="109">
        <v>1.0</v>
      </c>
      <c r="D53" s="110"/>
      <c r="E53" s="109">
        <v>1.0</v>
      </c>
      <c r="F53" s="109">
        <v>1.0</v>
      </c>
      <c r="G53" s="110"/>
      <c r="H53" s="104">
        <f t="shared" si="7"/>
        <v>3</v>
      </c>
      <c r="I53" s="108" t="s">
        <v>66</v>
      </c>
      <c r="J53" s="16" t="s">
        <v>147</v>
      </c>
      <c r="K53" s="110"/>
      <c r="L53" s="109">
        <v>1.0</v>
      </c>
      <c r="M53" s="109">
        <v>1.0</v>
      </c>
      <c r="N53" s="109">
        <v>1.0</v>
      </c>
      <c r="O53" s="110"/>
      <c r="P53" s="104">
        <f t="shared" si="8"/>
        <v>3</v>
      </c>
    </row>
    <row r="54" ht="18.0" customHeight="1">
      <c r="A54" s="108" t="s">
        <v>73</v>
      </c>
      <c r="B54" s="16" t="s">
        <v>190</v>
      </c>
      <c r="C54" s="110"/>
      <c r="D54" s="109">
        <v>1.0</v>
      </c>
      <c r="E54" s="109">
        <v>1.0</v>
      </c>
      <c r="F54" s="110"/>
      <c r="G54" s="109">
        <v>1.0</v>
      </c>
      <c r="H54" s="104">
        <f t="shared" si="7"/>
        <v>3</v>
      </c>
      <c r="I54" s="108" t="s">
        <v>73</v>
      </c>
      <c r="J54" s="16" t="s">
        <v>153</v>
      </c>
      <c r="K54" s="109">
        <v>1.0</v>
      </c>
      <c r="L54" s="110"/>
      <c r="M54" s="110"/>
      <c r="N54" s="109">
        <v>1.0</v>
      </c>
      <c r="O54" s="110"/>
      <c r="P54" s="104">
        <f t="shared" si="8"/>
        <v>2</v>
      </c>
    </row>
    <row r="55" ht="18.0" customHeight="1">
      <c r="A55" s="111"/>
      <c r="B55" s="112"/>
      <c r="C55" s="113"/>
      <c r="D55" s="113"/>
      <c r="E55" s="113"/>
      <c r="F55" s="113"/>
      <c r="G55" s="113"/>
      <c r="H55" s="114"/>
      <c r="I55" s="111"/>
      <c r="J55" s="112"/>
      <c r="K55" s="113"/>
      <c r="L55" s="113"/>
      <c r="M55" s="113"/>
      <c r="N55" s="113"/>
      <c r="O55" s="113"/>
      <c r="P55" s="113"/>
      <c r="Q55" s="23"/>
    </row>
    <row r="56" ht="18.0" customHeight="1">
      <c r="A56" s="111"/>
      <c r="B56" s="112"/>
      <c r="C56" s="113"/>
      <c r="D56" s="113"/>
      <c r="E56" s="113"/>
      <c r="F56" s="113"/>
      <c r="G56" s="113"/>
      <c r="H56" s="114"/>
      <c r="I56" s="111"/>
      <c r="J56" s="112"/>
      <c r="K56" s="113"/>
      <c r="L56" s="113"/>
      <c r="M56" s="113"/>
      <c r="N56" s="113"/>
      <c r="O56" s="113"/>
      <c r="P56" s="113"/>
      <c r="Q56" s="23"/>
    </row>
    <row r="57" ht="18.0" customHeight="1">
      <c r="A57" s="111"/>
      <c r="B57" s="112"/>
      <c r="C57" s="113"/>
      <c r="D57" s="113"/>
      <c r="E57" s="113"/>
      <c r="F57" s="113"/>
      <c r="G57" s="113"/>
      <c r="H57" s="114"/>
      <c r="I57" s="111"/>
      <c r="J57" s="112"/>
      <c r="K57" s="113"/>
      <c r="L57" s="113"/>
      <c r="M57" s="113"/>
      <c r="N57" s="113"/>
      <c r="O57" s="113"/>
      <c r="P57" s="113"/>
      <c r="Q57" s="23"/>
    </row>
    <row r="58" ht="18.0" customHeight="1">
      <c r="A58" s="111"/>
      <c r="B58" s="112"/>
      <c r="C58" s="113"/>
      <c r="D58" s="113"/>
      <c r="E58" s="113"/>
      <c r="F58" s="113"/>
      <c r="G58" s="113"/>
      <c r="H58" s="114"/>
      <c r="I58" s="111"/>
      <c r="J58" s="112"/>
      <c r="K58" s="113"/>
      <c r="L58" s="113"/>
      <c r="M58" s="113"/>
      <c r="N58" s="113"/>
      <c r="O58" s="113"/>
      <c r="P58" s="113"/>
      <c r="Q58" s="23"/>
    </row>
    <row r="59" ht="18.0" customHeight="1">
      <c r="A59" s="111"/>
      <c r="B59" s="112"/>
      <c r="C59" s="113"/>
      <c r="D59" s="113"/>
      <c r="E59" s="113"/>
      <c r="F59" s="113"/>
      <c r="G59" s="113"/>
      <c r="H59" s="114"/>
      <c r="I59" s="111"/>
      <c r="J59" s="112"/>
      <c r="K59" s="113"/>
      <c r="L59" s="113"/>
      <c r="M59" s="113"/>
      <c r="N59" s="113"/>
      <c r="O59" s="113"/>
      <c r="P59" s="113"/>
      <c r="Q59" s="23"/>
    </row>
    <row r="60" ht="18.0" customHeight="1">
      <c r="A60" s="111"/>
      <c r="B60" s="112"/>
      <c r="C60" s="113"/>
      <c r="D60" s="113"/>
      <c r="E60" s="113"/>
      <c r="F60" s="113"/>
      <c r="G60" s="113"/>
      <c r="H60" s="114"/>
      <c r="I60" s="111"/>
      <c r="J60" s="112"/>
      <c r="K60" s="113"/>
      <c r="L60" s="113"/>
      <c r="M60" s="113"/>
      <c r="N60" s="113"/>
      <c r="O60" s="113"/>
      <c r="P60" s="113"/>
      <c r="Q60" s="23"/>
    </row>
    <row r="61" ht="18.0" customHeight="1">
      <c r="A61" s="111"/>
      <c r="B61" s="112"/>
      <c r="C61" s="113"/>
      <c r="D61" s="113"/>
      <c r="E61" s="113"/>
      <c r="F61" s="113"/>
      <c r="G61" s="113"/>
      <c r="H61" s="114"/>
      <c r="I61" s="111"/>
      <c r="J61" s="112"/>
      <c r="K61" s="113"/>
      <c r="L61" s="113"/>
      <c r="M61" s="113"/>
      <c r="N61" s="113"/>
      <c r="O61" s="113"/>
      <c r="P61" s="113"/>
      <c r="Q61" s="23"/>
    </row>
    <row r="62" ht="18.0" customHeight="1">
      <c r="A62" s="111"/>
      <c r="B62" s="112"/>
      <c r="C62" s="113"/>
      <c r="D62" s="113"/>
      <c r="E62" s="113"/>
      <c r="F62" s="113"/>
      <c r="G62" s="113"/>
      <c r="H62" s="114"/>
      <c r="I62" s="111"/>
      <c r="J62" s="112"/>
      <c r="K62" s="113"/>
      <c r="L62" s="113"/>
      <c r="M62" s="113"/>
      <c r="N62" s="113"/>
      <c r="O62" s="113"/>
      <c r="P62" s="113"/>
      <c r="Q62" s="23"/>
    </row>
    <row r="63" ht="18.0" customHeight="1">
      <c r="A63" s="111"/>
      <c r="B63" s="112"/>
      <c r="C63" s="113"/>
      <c r="D63" s="113"/>
      <c r="E63" s="113"/>
      <c r="F63" s="113"/>
      <c r="G63" s="113"/>
      <c r="H63" s="114"/>
      <c r="I63" s="111"/>
      <c r="J63" s="112"/>
      <c r="K63" s="113"/>
      <c r="L63" s="113"/>
      <c r="M63" s="113"/>
      <c r="N63" s="113"/>
      <c r="O63" s="113"/>
      <c r="P63" s="113"/>
      <c r="Q63" s="23"/>
    </row>
    <row r="64" ht="18.0" customHeight="1">
      <c r="A64" s="111"/>
      <c r="B64" s="112"/>
      <c r="C64" s="113"/>
      <c r="D64" s="113"/>
      <c r="E64" s="113"/>
      <c r="F64" s="113"/>
      <c r="G64" s="113"/>
      <c r="H64" s="114"/>
      <c r="I64" s="111"/>
      <c r="J64" s="112"/>
      <c r="K64" s="113"/>
      <c r="L64" s="113"/>
      <c r="M64" s="113"/>
      <c r="N64" s="113"/>
      <c r="O64" s="113"/>
      <c r="P64" s="113"/>
      <c r="Q64" s="23"/>
    </row>
    <row r="65" ht="14.25" customHeight="1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</row>
    <row r="66" ht="12.75" customHeight="1"/>
    <row r="67" ht="12.75" customHeight="1">
      <c r="A67" s="94"/>
      <c r="B67" s="94"/>
      <c r="C67" s="115">
        <v>1.0</v>
      </c>
      <c r="D67" s="115">
        <v>2.0</v>
      </c>
      <c r="E67" s="115">
        <v>3.0</v>
      </c>
      <c r="F67" s="115">
        <v>4.0</v>
      </c>
      <c r="G67" s="115">
        <v>5.0</v>
      </c>
      <c r="H67" s="115" t="s">
        <v>182</v>
      </c>
      <c r="I67" s="94"/>
      <c r="J67" s="94"/>
      <c r="K67" s="115">
        <v>1.0</v>
      </c>
      <c r="L67" s="115">
        <v>2.0</v>
      </c>
      <c r="M67" s="115">
        <v>3.0</v>
      </c>
      <c r="N67" s="115">
        <v>4.0</v>
      </c>
      <c r="O67" s="115">
        <v>5.0</v>
      </c>
      <c r="P67" s="115" t="s">
        <v>182</v>
      </c>
    </row>
    <row r="68" ht="18.0" customHeight="1">
      <c r="A68" s="95" t="s">
        <v>6</v>
      </c>
      <c r="B68" s="96" t="s">
        <v>136</v>
      </c>
      <c r="C68" s="97"/>
      <c r="D68" s="97"/>
      <c r="E68" s="97"/>
      <c r="F68" s="97"/>
      <c r="G68" s="97"/>
      <c r="H68" s="97"/>
      <c r="I68" s="95" t="s">
        <v>7</v>
      </c>
      <c r="J68" s="96" t="s">
        <v>36</v>
      </c>
      <c r="K68" s="97"/>
      <c r="L68" s="97"/>
      <c r="M68" s="97"/>
      <c r="N68" s="97"/>
      <c r="O68" s="97"/>
      <c r="P68" s="97"/>
    </row>
    <row r="69" ht="18.0" customHeight="1">
      <c r="A69" s="102" t="s">
        <v>16</v>
      </c>
      <c r="B69" s="16" t="s">
        <v>21</v>
      </c>
      <c r="C69" s="103">
        <v>1.0</v>
      </c>
      <c r="D69" s="103">
        <v>1.0</v>
      </c>
      <c r="E69" s="103">
        <v>1.0</v>
      </c>
      <c r="F69" s="103">
        <v>1.0</v>
      </c>
      <c r="G69" s="97"/>
      <c r="H69" s="104">
        <f t="shared" ref="H69:H80" si="9">SUM(C69:G69)</f>
        <v>4</v>
      </c>
      <c r="I69" s="102" t="s">
        <v>16</v>
      </c>
      <c r="J69" s="17" t="s">
        <v>22</v>
      </c>
      <c r="K69" s="97"/>
      <c r="L69" s="103">
        <v>1.0</v>
      </c>
      <c r="M69" s="103">
        <v>1.0</v>
      </c>
      <c r="N69" s="103">
        <v>1.0</v>
      </c>
      <c r="O69" s="97"/>
      <c r="P69" s="116">
        <f t="shared" ref="P69:P80" si="10">SUM(K69:O69)</f>
        <v>3</v>
      </c>
    </row>
    <row r="70" ht="18.0" customHeight="1">
      <c r="A70" s="102" t="s">
        <v>23</v>
      </c>
      <c r="B70" s="16" t="s">
        <v>28</v>
      </c>
      <c r="C70" s="97"/>
      <c r="D70" s="103">
        <v>1.0</v>
      </c>
      <c r="E70" s="97"/>
      <c r="F70" s="103">
        <v>1.0</v>
      </c>
      <c r="G70" s="97"/>
      <c r="H70" s="104">
        <f t="shared" si="9"/>
        <v>2</v>
      </c>
      <c r="I70" s="102" t="s">
        <v>23</v>
      </c>
      <c r="J70" s="17" t="s">
        <v>29</v>
      </c>
      <c r="K70" s="103">
        <v>1.0</v>
      </c>
      <c r="L70" s="103">
        <v>1.0</v>
      </c>
      <c r="M70" s="97"/>
      <c r="N70" s="103">
        <v>1.0</v>
      </c>
      <c r="O70" s="97"/>
      <c r="P70" s="116">
        <f t="shared" si="10"/>
        <v>3</v>
      </c>
    </row>
    <row r="71" ht="18.0" customHeight="1">
      <c r="A71" s="102" t="s">
        <v>30</v>
      </c>
      <c r="B71" s="16" t="s">
        <v>35</v>
      </c>
      <c r="C71" s="103">
        <v>1.0</v>
      </c>
      <c r="D71" s="97"/>
      <c r="E71" s="103">
        <v>1.0</v>
      </c>
      <c r="F71" s="97"/>
      <c r="G71" s="97"/>
      <c r="H71" s="104">
        <f t="shared" si="9"/>
        <v>2</v>
      </c>
      <c r="I71" s="102" t="s">
        <v>30</v>
      </c>
      <c r="J71" s="19" t="s">
        <v>36</v>
      </c>
      <c r="K71" s="103">
        <v>1.0</v>
      </c>
      <c r="L71" s="97"/>
      <c r="M71" s="103">
        <v>1.0</v>
      </c>
      <c r="N71" s="97"/>
      <c r="O71" s="97"/>
      <c r="P71" s="116">
        <f t="shared" si="10"/>
        <v>2</v>
      </c>
    </row>
    <row r="72" ht="18.0" customHeight="1">
      <c r="A72" s="102" t="s">
        <v>37</v>
      </c>
      <c r="B72" s="16" t="s">
        <v>42</v>
      </c>
      <c r="C72" s="103">
        <v>1.0</v>
      </c>
      <c r="D72" s="103">
        <v>1.0</v>
      </c>
      <c r="E72" s="103">
        <v>1.0</v>
      </c>
      <c r="F72" s="103">
        <v>1.0</v>
      </c>
      <c r="G72" s="97"/>
      <c r="H72" s="104">
        <f t="shared" si="9"/>
        <v>4</v>
      </c>
      <c r="I72" s="102" t="s">
        <v>37</v>
      </c>
      <c r="J72" s="17" t="s">
        <v>43</v>
      </c>
      <c r="K72" s="103">
        <v>1.0</v>
      </c>
      <c r="L72" s="97"/>
      <c r="M72" s="103">
        <v>1.0</v>
      </c>
      <c r="N72" s="103">
        <v>1.0</v>
      </c>
      <c r="O72" s="97"/>
      <c r="P72" s="116">
        <f t="shared" si="10"/>
        <v>3</v>
      </c>
    </row>
    <row r="73" ht="18.0" customHeight="1">
      <c r="A73" s="102" t="s">
        <v>45</v>
      </c>
      <c r="B73" s="16" t="s">
        <v>50</v>
      </c>
      <c r="C73" s="97"/>
      <c r="D73" s="103">
        <v>1.0</v>
      </c>
      <c r="E73" s="103">
        <v>1.0</v>
      </c>
      <c r="F73" s="97"/>
      <c r="G73" s="103">
        <v>1.0</v>
      </c>
      <c r="H73" s="104">
        <f t="shared" si="9"/>
        <v>3</v>
      </c>
      <c r="I73" s="102" t="s">
        <v>45</v>
      </c>
      <c r="J73" s="17" t="s">
        <v>51</v>
      </c>
      <c r="K73" s="97"/>
      <c r="L73" s="103">
        <v>1.0</v>
      </c>
      <c r="M73" s="103">
        <v>1.0</v>
      </c>
      <c r="N73" s="103">
        <v>1.0</v>
      </c>
      <c r="O73" s="97"/>
      <c r="P73" s="116">
        <f t="shared" si="10"/>
        <v>3</v>
      </c>
    </row>
    <row r="74" ht="18.0" customHeight="1">
      <c r="A74" s="102" t="s">
        <v>52</v>
      </c>
      <c r="B74" s="16" t="s">
        <v>57</v>
      </c>
      <c r="C74" s="103">
        <v>1.0</v>
      </c>
      <c r="D74" s="97"/>
      <c r="E74" s="97"/>
      <c r="F74" s="103">
        <v>1.0</v>
      </c>
      <c r="G74" s="103">
        <v>1.0</v>
      </c>
      <c r="H74" s="104">
        <f t="shared" si="9"/>
        <v>3</v>
      </c>
      <c r="I74" s="102" t="s">
        <v>52</v>
      </c>
      <c r="J74" s="17" t="s">
        <v>58</v>
      </c>
      <c r="K74" s="103">
        <v>1.0</v>
      </c>
      <c r="L74" s="103">
        <v>1.0</v>
      </c>
      <c r="M74" s="97"/>
      <c r="N74" s="97"/>
      <c r="O74" s="97"/>
      <c r="P74" s="116">
        <f t="shared" si="10"/>
        <v>2</v>
      </c>
    </row>
    <row r="75" ht="18.0" customHeight="1">
      <c r="A75" s="102" t="s">
        <v>59</v>
      </c>
      <c r="B75" s="16" t="s">
        <v>64</v>
      </c>
      <c r="C75" s="103">
        <v>1.0</v>
      </c>
      <c r="D75" s="103">
        <v>1.0</v>
      </c>
      <c r="E75" s="97"/>
      <c r="F75" s="103">
        <v>1.0</v>
      </c>
      <c r="G75" s="97"/>
      <c r="H75" s="104">
        <f t="shared" si="9"/>
        <v>3</v>
      </c>
      <c r="I75" s="102" t="s">
        <v>59</v>
      </c>
      <c r="J75" s="17" t="s">
        <v>65</v>
      </c>
      <c r="K75" s="97"/>
      <c r="L75" s="103">
        <v>1.0</v>
      </c>
      <c r="M75" s="103">
        <v>1.0</v>
      </c>
      <c r="N75" s="103">
        <v>1.0</v>
      </c>
      <c r="O75" s="97"/>
      <c r="P75" s="116">
        <f t="shared" si="10"/>
        <v>3</v>
      </c>
    </row>
    <row r="76" ht="18.0" customHeight="1">
      <c r="A76" s="102" t="s">
        <v>66</v>
      </c>
      <c r="B76" s="16" t="s">
        <v>71</v>
      </c>
      <c r="C76" s="103">
        <v>1.0</v>
      </c>
      <c r="D76" s="97"/>
      <c r="E76" s="103">
        <v>1.0</v>
      </c>
      <c r="F76" s="103">
        <v>1.0</v>
      </c>
      <c r="G76" s="97"/>
      <c r="H76" s="104">
        <f t="shared" si="9"/>
        <v>3</v>
      </c>
      <c r="I76" s="102" t="s">
        <v>66</v>
      </c>
      <c r="J76" s="17" t="s">
        <v>72</v>
      </c>
      <c r="K76" s="103">
        <v>1.0</v>
      </c>
      <c r="L76" s="97"/>
      <c r="M76" s="97"/>
      <c r="N76" s="103">
        <v>1.0</v>
      </c>
      <c r="O76" s="103">
        <v>1.0</v>
      </c>
      <c r="P76" s="116">
        <f t="shared" si="10"/>
        <v>3</v>
      </c>
    </row>
    <row r="77" ht="18.0" customHeight="1">
      <c r="A77" s="102" t="s">
        <v>73</v>
      </c>
      <c r="B77" s="16" t="s">
        <v>78</v>
      </c>
      <c r="C77" s="97"/>
      <c r="D77" s="103">
        <v>1.0</v>
      </c>
      <c r="E77" s="103">
        <v>1.0</v>
      </c>
      <c r="F77" s="97"/>
      <c r="G77" s="97"/>
      <c r="H77" s="104">
        <f t="shared" si="9"/>
        <v>2</v>
      </c>
      <c r="I77" s="102" t="s">
        <v>73</v>
      </c>
      <c r="J77" s="17" t="s">
        <v>79</v>
      </c>
      <c r="K77" s="103">
        <v>1.0</v>
      </c>
      <c r="L77" s="103">
        <v>1.0</v>
      </c>
      <c r="M77" s="103">
        <v>1.0</v>
      </c>
      <c r="N77" s="97"/>
      <c r="O77" s="103">
        <v>1.0</v>
      </c>
      <c r="P77" s="116">
        <f t="shared" si="10"/>
        <v>4</v>
      </c>
    </row>
    <row r="78" ht="18.0" customHeight="1">
      <c r="A78" s="102" t="s">
        <v>80</v>
      </c>
      <c r="B78" s="16" t="s">
        <v>85</v>
      </c>
      <c r="C78" s="103">
        <v>1.0</v>
      </c>
      <c r="D78" s="103">
        <v>1.0</v>
      </c>
      <c r="E78" s="103">
        <v>1.0</v>
      </c>
      <c r="F78" s="103">
        <v>1.0</v>
      </c>
      <c r="G78" s="97"/>
      <c r="H78" s="104">
        <f t="shared" si="9"/>
        <v>4</v>
      </c>
      <c r="I78" s="102" t="s">
        <v>80</v>
      </c>
      <c r="J78" s="17" t="s">
        <v>86</v>
      </c>
      <c r="K78" s="103">
        <v>1.0</v>
      </c>
      <c r="L78" s="103">
        <v>1.0</v>
      </c>
      <c r="M78" s="103">
        <v>1.0</v>
      </c>
      <c r="N78" s="97"/>
      <c r="O78" s="97"/>
      <c r="P78" s="116">
        <f t="shared" si="10"/>
        <v>3</v>
      </c>
    </row>
    <row r="79" ht="18.0" customHeight="1">
      <c r="A79" s="102" t="s">
        <v>87</v>
      </c>
      <c r="B79" s="16" t="s">
        <v>92</v>
      </c>
      <c r="C79" s="103">
        <v>1.0</v>
      </c>
      <c r="D79" s="97"/>
      <c r="E79" s="103">
        <v>1.0</v>
      </c>
      <c r="F79" s="97"/>
      <c r="G79" s="103">
        <v>1.0</v>
      </c>
      <c r="H79" s="104">
        <f t="shared" si="9"/>
        <v>3</v>
      </c>
      <c r="I79" s="102" t="s">
        <v>87</v>
      </c>
      <c r="J79" s="17" t="s">
        <v>93</v>
      </c>
      <c r="K79" s="97"/>
      <c r="L79" s="103">
        <v>1.0</v>
      </c>
      <c r="M79" s="97"/>
      <c r="N79" s="103">
        <v>1.0</v>
      </c>
      <c r="O79" s="97"/>
      <c r="P79" s="116">
        <f t="shared" si="10"/>
        <v>2</v>
      </c>
    </row>
    <row r="80" ht="18.0" customHeight="1">
      <c r="A80" s="102" t="s">
        <v>94</v>
      </c>
      <c r="B80" s="16" t="s">
        <v>99</v>
      </c>
      <c r="C80" s="97"/>
      <c r="D80" s="103">
        <v>1.0</v>
      </c>
      <c r="E80" s="97"/>
      <c r="F80" s="103">
        <v>1.0</v>
      </c>
      <c r="G80" s="103">
        <v>1.0</v>
      </c>
      <c r="H80" s="104">
        <f t="shared" si="9"/>
        <v>3</v>
      </c>
      <c r="I80" s="102" t="s">
        <v>94</v>
      </c>
      <c r="J80" s="17" t="s">
        <v>100</v>
      </c>
      <c r="K80" s="103">
        <v>1.0</v>
      </c>
      <c r="L80" s="97"/>
      <c r="M80" s="103">
        <v>1.0</v>
      </c>
      <c r="N80" s="103">
        <v>1.0</v>
      </c>
      <c r="O80" s="97"/>
      <c r="P80" s="116">
        <f t="shared" si="10"/>
        <v>3</v>
      </c>
    </row>
    <row r="81" ht="15.0" customHeight="1">
      <c r="J81" s="49"/>
    </row>
    <row r="82" ht="18.0" customHeight="1">
      <c r="A82" s="108" t="s">
        <v>16</v>
      </c>
      <c r="B82" s="16" t="s">
        <v>106</v>
      </c>
      <c r="C82" s="109">
        <v>1.0</v>
      </c>
      <c r="D82" s="110"/>
      <c r="E82" s="109">
        <v>1.0</v>
      </c>
      <c r="F82" s="109">
        <v>1.0</v>
      </c>
      <c r="G82" s="109">
        <v>1.0</v>
      </c>
      <c r="H82" s="104">
        <f t="shared" ref="H82:H90" si="11">SUM(C82:G82)</f>
        <v>4</v>
      </c>
      <c r="I82" s="119" t="s">
        <v>16</v>
      </c>
      <c r="J82" s="28" t="s">
        <v>107</v>
      </c>
      <c r="K82" s="110"/>
      <c r="L82" s="109">
        <v>1.0</v>
      </c>
      <c r="M82" s="109">
        <v>1.0</v>
      </c>
      <c r="N82" s="109">
        <v>1.0</v>
      </c>
      <c r="O82" s="109">
        <v>1.0</v>
      </c>
      <c r="P82" s="104">
        <f t="shared" ref="P82:P90" si="12">SUM(K82:O82)</f>
        <v>4</v>
      </c>
    </row>
    <row r="83" ht="18.0" customHeight="1">
      <c r="A83" s="108" t="s">
        <v>23</v>
      </c>
      <c r="B83" s="16" t="s">
        <v>112</v>
      </c>
      <c r="C83" s="109">
        <v>1.0</v>
      </c>
      <c r="D83" s="109">
        <v>1.0</v>
      </c>
      <c r="E83" s="110"/>
      <c r="F83" s="109">
        <v>1.0</v>
      </c>
      <c r="G83" s="110"/>
      <c r="H83" s="104">
        <f t="shared" si="11"/>
        <v>3</v>
      </c>
      <c r="I83" s="119" t="s">
        <v>23</v>
      </c>
      <c r="J83" s="17" t="s">
        <v>113</v>
      </c>
      <c r="K83" s="109">
        <v>1.0</v>
      </c>
      <c r="L83" s="110"/>
      <c r="M83" s="109">
        <v>1.0</v>
      </c>
      <c r="N83" s="109">
        <v>1.0</v>
      </c>
      <c r="O83" s="109" t="s">
        <v>191</v>
      </c>
      <c r="P83" s="104">
        <f t="shared" si="12"/>
        <v>3</v>
      </c>
    </row>
    <row r="84" ht="18.0" customHeight="1">
      <c r="A84" s="108" t="s">
        <v>30</v>
      </c>
      <c r="B84" s="29" t="s">
        <v>118</v>
      </c>
      <c r="C84" s="110"/>
      <c r="D84" s="109">
        <v>1.0</v>
      </c>
      <c r="E84" s="109">
        <v>1.0</v>
      </c>
      <c r="F84" s="110"/>
      <c r="G84" s="109">
        <v>1.0</v>
      </c>
      <c r="H84" s="104">
        <f t="shared" si="11"/>
        <v>3</v>
      </c>
      <c r="I84" s="119" t="s">
        <v>30</v>
      </c>
      <c r="J84" s="17" t="s">
        <v>119</v>
      </c>
      <c r="K84" s="109">
        <v>1.0</v>
      </c>
      <c r="L84" s="109">
        <v>1.0</v>
      </c>
      <c r="M84" s="110"/>
      <c r="N84" s="110"/>
      <c r="O84" s="109">
        <v>1.0</v>
      </c>
      <c r="P84" s="104">
        <f t="shared" si="12"/>
        <v>3</v>
      </c>
    </row>
    <row r="85" ht="18.0" customHeight="1">
      <c r="A85" s="108" t="s">
        <v>37</v>
      </c>
      <c r="B85" s="16" t="s">
        <v>124</v>
      </c>
      <c r="C85" s="109">
        <v>1.0</v>
      </c>
      <c r="D85" s="109">
        <v>1.0</v>
      </c>
      <c r="E85" s="109">
        <v>1.0</v>
      </c>
      <c r="F85" s="110"/>
      <c r="G85" s="110"/>
      <c r="H85" s="104">
        <f t="shared" si="11"/>
        <v>3</v>
      </c>
      <c r="I85" s="119" t="s">
        <v>37</v>
      </c>
      <c r="J85" s="17" t="s">
        <v>125</v>
      </c>
      <c r="K85" s="109">
        <v>1.0</v>
      </c>
      <c r="L85" s="109">
        <v>1.0</v>
      </c>
      <c r="M85" s="109">
        <v>1.0</v>
      </c>
      <c r="N85" s="109">
        <v>1.0</v>
      </c>
      <c r="O85" s="110"/>
      <c r="P85" s="104">
        <f t="shared" si="12"/>
        <v>4</v>
      </c>
    </row>
    <row r="86" ht="18.0" customHeight="1">
      <c r="A86" s="108" t="s">
        <v>45</v>
      </c>
      <c r="B86" s="16" t="s">
        <v>130</v>
      </c>
      <c r="C86" s="109">
        <v>1.0</v>
      </c>
      <c r="D86" s="110"/>
      <c r="E86" s="109">
        <v>1.0</v>
      </c>
      <c r="F86" s="109">
        <v>1.0</v>
      </c>
      <c r="G86" s="110"/>
      <c r="H86" s="104">
        <f t="shared" si="11"/>
        <v>3</v>
      </c>
      <c r="I86" s="119" t="s">
        <v>45</v>
      </c>
      <c r="J86" s="17" t="s">
        <v>131</v>
      </c>
      <c r="K86" s="109">
        <v>1.0</v>
      </c>
      <c r="L86" s="110"/>
      <c r="M86" s="109">
        <v>1.0</v>
      </c>
      <c r="N86" s="110"/>
      <c r="O86" s="109">
        <v>1.0</v>
      </c>
      <c r="P86" s="104">
        <f t="shared" si="12"/>
        <v>3</v>
      </c>
    </row>
    <row r="87" ht="18.0" customHeight="1">
      <c r="A87" s="108" t="s">
        <v>52</v>
      </c>
      <c r="B87" s="18" t="s">
        <v>136</v>
      </c>
      <c r="C87" s="110"/>
      <c r="D87" s="109">
        <v>1.0</v>
      </c>
      <c r="E87" s="110"/>
      <c r="F87" s="109">
        <v>1.0</v>
      </c>
      <c r="G87" s="110"/>
      <c r="H87" s="104">
        <f t="shared" si="11"/>
        <v>2</v>
      </c>
      <c r="I87" s="119" t="s">
        <v>52</v>
      </c>
      <c r="J87" s="17" t="s">
        <v>137</v>
      </c>
      <c r="K87" s="110"/>
      <c r="L87" s="109">
        <v>1.0</v>
      </c>
      <c r="M87" s="110"/>
      <c r="N87" s="109">
        <v>1.0</v>
      </c>
      <c r="O87" s="109">
        <v>1.0</v>
      </c>
      <c r="P87" s="104">
        <f t="shared" si="12"/>
        <v>3</v>
      </c>
    </row>
    <row r="88" ht="18.0" customHeight="1">
      <c r="A88" s="108" t="s">
        <v>59</v>
      </c>
      <c r="B88" s="16" t="s">
        <v>142</v>
      </c>
      <c r="C88" s="109">
        <v>1.0</v>
      </c>
      <c r="D88" s="109">
        <v>1.0</v>
      </c>
      <c r="E88" s="109">
        <v>1.0</v>
      </c>
      <c r="F88" s="109">
        <v>1.0</v>
      </c>
      <c r="G88" s="110"/>
      <c r="H88" s="104">
        <f t="shared" si="11"/>
        <v>4</v>
      </c>
      <c r="I88" s="119" t="s">
        <v>59</v>
      </c>
      <c r="J88" s="17" t="s">
        <v>143</v>
      </c>
      <c r="K88" s="110"/>
      <c r="L88" s="109">
        <v>1.0</v>
      </c>
      <c r="M88" s="109">
        <v>1.0</v>
      </c>
      <c r="N88" s="109">
        <v>1.0</v>
      </c>
      <c r="O88" s="109">
        <v>1.0</v>
      </c>
      <c r="P88" s="104">
        <f t="shared" si="12"/>
        <v>4</v>
      </c>
    </row>
    <row r="89" ht="18.0" customHeight="1">
      <c r="A89" s="108" t="s">
        <v>66</v>
      </c>
      <c r="B89" s="16" t="s">
        <v>148</v>
      </c>
      <c r="C89" s="110"/>
      <c r="D89" s="109">
        <v>1.0</v>
      </c>
      <c r="E89" s="109">
        <v>1.0</v>
      </c>
      <c r="F89" s="110"/>
      <c r="G89" s="110"/>
      <c r="H89" s="104">
        <f t="shared" si="11"/>
        <v>2</v>
      </c>
      <c r="I89" s="119" t="s">
        <v>66</v>
      </c>
      <c r="J89" s="17" t="s">
        <v>149</v>
      </c>
      <c r="K89" s="109">
        <v>1.0</v>
      </c>
      <c r="L89" s="110"/>
      <c r="M89" s="109">
        <v>1.0</v>
      </c>
      <c r="N89" s="109">
        <v>1.0</v>
      </c>
      <c r="O89" s="110"/>
      <c r="P89" s="104">
        <f t="shared" si="12"/>
        <v>3</v>
      </c>
    </row>
    <row r="90" ht="18.0" customHeight="1">
      <c r="A90" s="108" t="s">
        <v>73</v>
      </c>
      <c r="B90" s="16" t="s">
        <v>154</v>
      </c>
      <c r="C90" s="109">
        <v>1.0</v>
      </c>
      <c r="D90" s="110"/>
      <c r="E90" s="110"/>
      <c r="F90" s="109">
        <v>1.0</v>
      </c>
      <c r="G90" s="110"/>
      <c r="H90" s="104">
        <f t="shared" si="11"/>
        <v>2</v>
      </c>
      <c r="I90" s="119" t="s">
        <v>73</v>
      </c>
      <c r="J90" s="17" t="s">
        <v>155</v>
      </c>
      <c r="K90" s="109">
        <v>1.0</v>
      </c>
      <c r="L90" s="109">
        <v>1.0</v>
      </c>
      <c r="M90" s="110"/>
      <c r="N90" s="110"/>
      <c r="O90" s="109">
        <v>1.0</v>
      </c>
      <c r="P90" s="104">
        <f t="shared" si="12"/>
        <v>3</v>
      </c>
    </row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hidden="1" min="1" max="1" width="2.71"/>
    <col customWidth="1" min="2" max="2" width="2.71"/>
    <col customWidth="1" min="3" max="3" width="7.57"/>
    <col customWidth="1" min="4" max="4" width="7.43"/>
    <col customWidth="1" min="5" max="5" width="21.57"/>
    <col customWidth="1" min="6" max="6" width="19.29"/>
    <col customWidth="1" min="7" max="7" width="4.86"/>
    <col customWidth="1" min="8" max="8" width="17.86"/>
    <col customWidth="1" min="9" max="9" width="21.14"/>
    <col customWidth="1" min="10" max="13" width="5.71"/>
    <col customWidth="1" min="14" max="15" width="9.14"/>
    <col customWidth="1" min="16" max="26" width="8.0"/>
  </cols>
  <sheetData>
    <row r="1" ht="12.75" customHeight="1">
      <c r="A1" s="120"/>
      <c r="B1" s="120"/>
      <c r="C1" s="121" t="s">
        <v>192</v>
      </c>
      <c r="D1" s="37"/>
      <c r="E1" s="37"/>
      <c r="F1" s="37"/>
      <c r="G1" s="37"/>
      <c r="H1" s="37"/>
      <c r="I1" s="37"/>
      <c r="J1" s="37"/>
      <c r="K1" s="37"/>
      <c r="L1" s="37"/>
      <c r="M1" s="38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 ht="12.75" customHeight="1">
      <c r="A2" s="120"/>
      <c r="B2" s="120"/>
      <c r="C2" s="70"/>
      <c r="M2" s="122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 ht="12.75" customHeight="1">
      <c r="A3" s="120"/>
      <c r="B3" s="120"/>
      <c r="C3" s="70"/>
      <c r="M3" s="122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 ht="12.75" customHeight="1">
      <c r="A4" s="120"/>
      <c r="B4" s="120"/>
      <c r="C4" s="123"/>
      <c r="D4" s="120"/>
      <c r="E4" s="120"/>
      <c r="F4" s="120"/>
      <c r="G4" s="120"/>
      <c r="H4" s="120"/>
      <c r="I4" s="120"/>
      <c r="J4" s="120"/>
      <c r="K4" s="120"/>
      <c r="L4" s="120"/>
      <c r="M4" s="124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</row>
    <row r="5" ht="12.75" customHeight="1">
      <c r="A5" s="120"/>
      <c r="B5" s="120"/>
      <c r="C5" s="123"/>
      <c r="D5" s="120"/>
      <c r="E5" s="120"/>
      <c r="F5" s="120"/>
      <c r="G5" s="120"/>
      <c r="H5" s="120"/>
      <c r="I5" s="120"/>
      <c r="J5" s="120"/>
      <c r="K5" s="120"/>
      <c r="L5" s="120"/>
      <c r="M5" s="124"/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</row>
    <row r="6" ht="19.5" customHeight="1">
      <c r="A6" s="120"/>
      <c r="B6" s="120"/>
      <c r="C6" s="125" t="s">
        <v>193</v>
      </c>
      <c r="D6" s="11"/>
      <c r="E6" s="11"/>
      <c r="F6" s="11"/>
      <c r="G6" s="11"/>
      <c r="H6" s="11"/>
      <c r="I6" s="11"/>
      <c r="J6" s="11"/>
      <c r="K6" s="11"/>
      <c r="L6" s="11"/>
      <c r="M6" s="47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</row>
    <row r="7" ht="4.5" customHeight="1">
      <c r="A7" s="120"/>
      <c r="B7" s="120"/>
      <c r="C7" s="126"/>
      <c r="D7" s="127"/>
      <c r="E7" s="127"/>
      <c r="F7" s="127"/>
      <c r="G7" s="127"/>
      <c r="H7" s="127"/>
      <c r="I7" s="127"/>
      <c r="J7" s="127"/>
      <c r="K7" s="127"/>
      <c r="L7" s="127"/>
      <c r="M7" s="128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</row>
    <row r="8" ht="4.5" customHeight="1">
      <c r="A8" s="120"/>
      <c r="B8" s="120"/>
      <c r="C8" s="129"/>
      <c r="D8" s="130"/>
      <c r="E8" s="130"/>
      <c r="F8" s="130"/>
      <c r="G8" s="130"/>
      <c r="H8" s="130"/>
      <c r="I8" s="130"/>
      <c r="J8" s="130"/>
      <c r="K8" s="130"/>
      <c r="L8" s="130"/>
      <c r="M8" s="131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</row>
    <row r="9" ht="12.75" customHeight="1">
      <c r="A9" s="120"/>
      <c r="B9" s="120"/>
      <c r="C9" s="132" t="s">
        <v>194</v>
      </c>
      <c r="D9" s="127"/>
      <c r="E9" s="127"/>
      <c r="F9" s="127"/>
      <c r="G9" s="127"/>
      <c r="H9" s="127"/>
      <c r="I9" s="127"/>
      <c r="J9" s="127"/>
      <c r="K9" s="127"/>
      <c r="L9" s="127"/>
      <c r="M9" s="128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</row>
    <row r="10" ht="12.75" customHeight="1">
      <c r="A10" s="120"/>
      <c r="B10" s="120"/>
      <c r="C10" s="129"/>
      <c r="D10" s="130"/>
      <c r="E10" s="130"/>
      <c r="F10" s="130"/>
      <c r="G10" s="130"/>
      <c r="H10" s="130"/>
      <c r="I10" s="130"/>
      <c r="J10" s="130"/>
      <c r="K10" s="130"/>
      <c r="L10" s="130"/>
      <c r="M10" s="131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</row>
    <row r="11" ht="19.5" customHeight="1">
      <c r="A11" s="120"/>
      <c r="B11" s="120"/>
      <c r="C11" s="133" t="s">
        <v>195</v>
      </c>
      <c r="D11" s="134" t="s">
        <v>196</v>
      </c>
      <c r="E11" s="135" t="s">
        <v>197</v>
      </c>
      <c r="F11" s="47"/>
      <c r="G11" s="134" t="s">
        <v>198</v>
      </c>
      <c r="H11" s="135" t="s">
        <v>199</v>
      </c>
      <c r="I11" s="47"/>
      <c r="J11" s="136" t="s">
        <v>200</v>
      </c>
      <c r="K11" s="47"/>
      <c r="L11" s="136" t="s">
        <v>201</v>
      </c>
      <c r="M11" s="12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</row>
    <row r="12" ht="13.5" customHeight="1">
      <c r="A12" s="120"/>
      <c r="B12" s="120"/>
      <c r="C12" s="137" t="s">
        <v>202</v>
      </c>
      <c r="D12" s="138" t="s">
        <v>203</v>
      </c>
      <c r="E12" s="139" t="s">
        <v>138</v>
      </c>
      <c r="F12" s="139" t="s">
        <v>144</v>
      </c>
      <c r="G12" s="140" t="s">
        <v>198</v>
      </c>
      <c r="H12" s="139" t="s">
        <v>140</v>
      </c>
      <c r="I12" s="139" t="s">
        <v>146</v>
      </c>
      <c r="J12" s="141">
        <v>6.0</v>
      </c>
      <c r="K12" s="142">
        <v>0.0</v>
      </c>
      <c r="L12" s="143">
        <f t="shared" ref="L12:M12" si="1">IF(J12+J13=12,2,IF(J12=6,1,IF(J13=6,1,0)))</f>
        <v>2</v>
      </c>
      <c r="M12" s="144">
        <f t="shared" si="1"/>
        <v>0</v>
      </c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</row>
    <row r="13" ht="12.75" customHeight="1">
      <c r="A13" s="120"/>
      <c r="B13" s="120"/>
      <c r="C13" s="145"/>
      <c r="D13" s="71"/>
      <c r="E13" s="71"/>
      <c r="F13" s="71"/>
      <c r="G13" s="71"/>
      <c r="H13" s="71"/>
      <c r="I13" s="71"/>
      <c r="J13" s="146">
        <v>6.0</v>
      </c>
      <c r="K13" s="147">
        <v>1.0</v>
      </c>
      <c r="L13" s="71"/>
      <c r="M13" s="72"/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</row>
    <row r="14" ht="4.5" customHeight="1">
      <c r="A14" s="120"/>
      <c r="B14" s="120"/>
      <c r="C14" s="148"/>
      <c r="D14" s="11"/>
      <c r="E14" s="11"/>
      <c r="F14" s="11"/>
      <c r="G14" s="11"/>
      <c r="H14" s="11"/>
      <c r="I14" s="11"/>
      <c r="J14" s="11"/>
      <c r="K14" s="11"/>
      <c r="L14" s="11"/>
      <c r="M14" s="12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</row>
    <row r="15" ht="12.75" customHeight="1">
      <c r="A15" s="120"/>
      <c r="B15" s="120"/>
      <c r="C15" s="137" t="s">
        <v>204</v>
      </c>
      <c r="D15" s="138" t="s">
        <v>205</v>
      </c>
      <c r="E15" s="139" t="s">
        <v>102</v>
      </c>
      <c r="F15" s="139" t="s">
        <v>108</v>
      </c>
      <c r="G15" s="140" t="s">
        <v>198</v>
      </c>
      <c r="H15" s="139" t="s">
        <v>104</v>
      </c>
      <c r="I15" s="139" t="s">
        <v>206</v>
      </c>
      <c r="J15" s="141">
        <v>7.0</v>
      </c>
      <c r="K15" s="142">
        <v>6.0</v>
      </c>
      <c r="L15" s="143">
        <f>IF(J15+J16=12,2,IF(J15=6,1,IF(J16=6,1,0)))</f>
        <v>1</v>
      </c>
      <c r="M15" s="149">
        <v>1.0</v>
      </c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</row>
    <row r="16" ht="12.75" customHeight="1">
      <c r="A16" s="120"/>
      <c r="B16" s="120"/>
      <c r="C16" s="145"/>
      <c r="D16" s="71"/>
      <c r="E16" s="71"/>
      <c r="F16" s="71"/>
      <c r="G16" s="71"/>
      <c r="H16" s="71"/>
      <c r="I16" s="71"/>
      <c r="J16" s="146">
        <v>6.0</v>
      </c>
      <c r="K16" s="147">
        <v>7.0</v>
      </c>
      <c r="L16" s="71"/>
      <c r="M16" s="72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</row>
    <row r="17" ht="4.5" customHeight="1">
      <c r="A17" s="120"/>
      <c r="B17" s="120"/>
      <c r="C17" s="148"/>
      <c r="D17" s="11"/>
      <c r="E17" s="11"/>
      <c r="F17" s="11"/>
      <c r="G17" s="11"/>
      <c r="H17" s="11"/>
      <c r="I17" s="11"/>
      <c r="J17" s="11"/>
      <c r="K17" s="11"/>
      <c r="L17" s="11"/>
      <c r="M17" s="12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</row>
    <row r="18" ht="12.75" customHeight="1">
      <c r="A18" s="120"/>
      <c r="B18" s="120"/>
      <c r="C18" s="150" t="s">
        <v>202</v>
      </c>
      <c r="D18" s="138" t="s">
        <v>207</v>
      </c>
      <c r="E18" s="139" t="s">
        <v>81</v>
      </c>
      <c r="F18" s="139" t="s">
        <v>88</v>
      </c>
      <c r="G18" s="140" t="s">
        <v>198</v>
      </c>
      <c r="H18" s="139" t="s">
        <v>83</v>
      </c>
      <c r="I18" s="139" t="s">
        <v>90</v>
      </c>
      <c r="J18" s="141">
        <v>6.0</v>
      </c>
      <c r="K18" s="142">
        <v>1.0</v>
      </c>
      <c r="L18" s="143">
        <f t="shared" ref="L18:M18" si="2">IF(J18+J19=12,2,IF(J18=6,1,IF(J19=6,1,0)))</f>
        <v>2</v>
      </c>
      <c r="M18" s="144">
        <f t="shared" si="2"/>
        <v>0</v>
      </c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</row>
    <row r="19" ht="12.75" customHeight="1">
      <c r="A19" s="120"/>
      <c r="B19" s="120"/>
      <c r="C19" s="145"/>
      <c r="D19" s="71"/>
      <c r="E19" s="71"/>
      <c r="F19" s="71"/>
      <c r="G19" s="71"/>
      <c r="H19" s="71"/>
      <c r="I19" s="71"/>
      <c r="J19" s="146">
        <v>6.0</v>
      </c>
      <c r="K19" s="147">
        <v>3.0</v>
      </c>
      <c r="L19" s="71"/>
      <c r="M19" s="72"/>
      <c r="N19" s="120"/>
      <c r="O19" s="120"/>
      <c r="P19" s="120"/>
      <c r="Q19" s="120"/>
      <c r="R19" s="120"/>
      <c r="S19" s="120"/>
      <c r="T19" s="120"/>
      <c r="U19" s="120"/>
      <c r="V19" s="120"/>
      <c r="W19" s="120"/>
      <c r="X19" s="120"/>
      <c r="Y19" s="120"/>
      <c r="Z19" s="120"/>
    </row>
    <row r="20" ht="4.5" customHeight="1">
      <c r="A20" s="120"/>
      <c r="B20" s="120"/>
      <c r="C20" s="148"/>
      <c r="D20" s="11"/>
      <c r="E20" s="11"/>
      <c r="F20" s="11"/>
      <c r="G20" s="11"/>
      <c r="H20" s="11"/>
      <c r="I20" s="11"/>
      <c r="J20" s="11"/>
      <c r="K20" s="11"/>
      <c r="L20" s="11"/>
      <c r="M20" s="12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</row>
    <row r="21" ht="4.5" customHeight="1">
      <c r="A21" s="120"/>
      <c r="B21" s="120"/>
      <c r="C21" s="148"/>
      <c r="D21" s="11"/>
      <c r="E21" s="11"/>
      <c r="F21" s="11"/>
      <c r="G21" s="11"/>
      <c r="H21" s="11"/>
      <c r="I21" s="11"/>
      <c r="J21" s="11"/>
      <c r="K21" s="11"/>
      <c r="L21" s="11"/>
      <c r="M21" s="12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</row>
    <row r="22" ht="12.75" customHeight="1">
      <c r="A22" s="120"/>
      <c r="B22" s="120"/>
      <c r="C22" s="151" t="s">
        <v>208</v>
      </c>
      <c r="D22" s="11"/>
      <c r="E22" s="11"/>
      <c r="F22" s="11"/>
      <c r="G22" s="11"/>
      <c r="H22" s="11"/>
      <c r="I22" s="47"/>
      <c r="J22" s="152">
        <f t="shared" ref="J22:M22" si="3">SUM(J12:J20)</f>
        <v>37</v>
      </c>
      <c r="K22" s="152">
        <f t="shared" si="3"/>
        <v>18</v>
      </c>
      <c r="L22" s="152">
        <f t="shared" si="3"/>
        <v>5</v>
      </c>
      <c r="M22" s="153">
        <f t="shared" si="3"/>
        <v>1</v>
      </c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</row>
    <row r="23" ht="4.5" customHeight="1">
      <c r="A23" s="120"/>
      <c r="B23" s="120"/>
      <c r="C23" s="148"/>
      <c r="D23" s="11"/>
      <c r="E23" s="11"/>
      <c r="F23" s="11"/>
      <c r="G23" s="11"/>
      <c r="H23" s="11"/>
      <c r="I23" s="11"/>
      <c r="J23" s="11"/>
      <c r="K23" s="11"/>
      <c r="L23" s="11"/>
      <c r="M23" s="12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</row>
    <row r="24" ht="12.75" customHeight="1">
      <c r="A24" s="120"/>
      <c r="B24" s="120"/>
      <c r="C24" s="137" t="s">
        <v>202</v>
      </c>
      <c r="D24" s="138" t="s">
        <v>209</v>
      </c>
      <c r="E24" s="154" t="s">
        <v>38</v>
      </c>
      <c r="F24" s="154" t="s">
        <v>46</v>
      </c>
      <c r="G24" s="140" t="s">
        <v>198</v>
      </c>
      <c r="H24" s="154" t="s">
        <v>40</v>
      </c>
      <c r="I24" s="154" t="s">
        <v>48</v>
      </c>
      <c r="J24" s="155">
        <v>6.0</v>
      </c>
      <c r="K24" s="142">
        <v>3.0</v>
      </c>
      <c r="L24" s="143">
        <f t="shared" ref="L24:M24" si="4">IF(J24+J25=12,2,IF(J24=6,1,IF(J25=6,1,0)))</f>
        <v>2</v>
      </c>
      <c r="M24" s="143">
        <f t="shared" si="4"/>
        <v>0</v>
      </c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</row>
    <row r="25" ht="12.75" customHeight="1">
      <c r="A25" s="120"/>
      <c r="B25" s="120"/>
      <c r="C25" s="145"/>
      <c r="D25" s="71"/>
      <c r="E25" s="71"/>
      <c r="F25" s="71"/>
      <c r="G25" s="71"/>
      <c r="H25" s="71"/>
      <c r="I25" s="71"/>
      <c r="J25" s="156">
        <v>6.0</v>
      </c>
      <c r="K25" s="147">
        <v>2.0</v>
      </c>
      <c r="L25" s="71"/>
      <c r="M25" s="71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</row>
    <row r="26" ht="4.5" customHeight="1">
      <c r="A26" s="120"/>
      <c r="B26" s="120"/>
      <c r="C26" s="148"/>
      <c r="D26" s="11"/>
      <c r="E26" s="11"/>
      <c r="F26" s="11"/>
      <c r="G26" s="11"/>
      <c r="H26" s="11"/>
      <c r="I26" s="11"/>
      <c r="J26" s="11"/>
      <c r="K26" s="11"/>
      <c r="L26" s="11"/>
      <c r="M26" s="12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</row>
    <row r="27" ht="12.75" customHeight="1">
      <c r="A27" s="124"/>
      <c r="B27" s="120"/>
      <c r="C27" s="137" t="s">
        <v>204</v>
      </c>
      <c r="D27" s="138" t="s">
        <v>210</v>
      </c>
      <c r="E27" s="154" t="s">
        <v>67</v>
      </c>
      <c r="F27" s="154" t="s">
        <v>74</v>
      </c>
      <c r="G27" s="140" t="s">
        <v>198</v>
      </c>
      <c r="H27" s="154" t="s">
        <v>62</v>
      </c>
      <c r="I27" s="154" t="s">
        <v>69</v>
      </c>
      <c r="J27" s="155">
        <v>3.0</v>
      </c>
      <c r="K27" s="142">
        <v>6.0</v>
      </c>
      <c r="L27" s="143">
        <f t="shared" ref="L27:M27" si="5">IF(J27+J28=12,2,IF(J27=6,1,IF(J28=6,1,0)))</f>
        <v>0</v>
      </c>
      <c r="M27" s="143">
        <f t="shared" si="5"/>
        <v>2</v>
      </c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</row>
    <row r="28" ht="12.75" customHeight="1">
      <c r="A28" s="124"/>
      <c r="B28" s="120"/>
      <c r="C28" s="145"/>
      <c r="D28" s="71"/>
      <c r="E28" s="71"/>
      <c r="F28" s="71"/>
      <c r="G28" s="71"/>
      <c r="H28" s="71"/>
      <c r="I28" s="71"/>
      <c r="J28" s="156">
        <v>4.0</v>
      </c>
      <c r="K28" s="147">
        <v>6.0</v>
      </c>
      <c r="L28" s="71"/>
      <c r="M28" s="71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</row>
    <row r="29" ht="4.5" customHeight="1">
      <c r="A29" s="120"/>
      <c r="B29" s="120"/>
      <c r="C29" s="148"/>
      <c r="D29" s="11"/>
      <c r="E29" s="11"/>
      <c r="F29" s="11"/>
      <c r="G29" s="11"/>
      <c r="H29" s="11"/>
      <c r="I29" s="11"/>
      <c r="J29" s="11"/>
      <c r="K29" s="11"/>
      <c r="L29" s="11"/>
      <c r="M29" s="12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</row>
    <row r="30" ht="12.75" customHeight="1">
      <c r="A30" s="120"/>
      <c r="B30" s="120"/>
      <c r="C30" s="137" t="s">
        <v>211</v>
      </c>
      <c r="D30" s="138" t="s">
        <v>212</v>
      </c>
      <c r="E30" s="154" t="s">
        <v>17</v>
      </c>
      <c r="F30" s="154" t="s">
        <v>24</v>
      </c>
      <c r="G30" s="140" t="s">
        <v>198</v>
      </c>
      <c r="H30" s="154" t="s">
        <v>26</v>
      </c>
      <c r="I30" s="154" t="s">
        <v>33</v>
      </c>
      <c r="J30" s="155">
        <v>6.0</v>
      </c>
      <c r="K30" s="142">
        <v>2.0</v>
      </c>
      <c r="L30" s="139">
        <v>2.0</v>
      </c>
      <c r="M30" s="143">
        <f>IF(K30+K31=12,2,IF(K30=6,1,IF(K31=6,1,0)))</f>
        <v>0</v>
      </c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</row>
    <row r="31" ht="12.75" customHeight="1">
      <c r="A31" s="120"/>
      <c r="B31" s="120"/>
      <c r="C31" s="145"/>
      <c r="D31" s="71"/>
      <c r="E31" s="71"/>
      <c r="F31" s="71"/>
      <c r="G31" s="71"/>
      <c r="H31" s="71"/>
      <c r="I31" s="71"/>
      <c r="J31" s="156">
        <v>7.0</v>
      </c>
      <c r="K31" s="147">
        <v>5.0</v>
      </c>
      <c r="L31" s="71"/>
      <c r="M31" s="71"/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</row>
    <row r="32" ht="4.5" customHeight="1">
      <c r="A32" s="120"/>
      <c r="B32" s="120"/>
      <c r="C32" s="148"/>
      <c r="D32" s="11"/>
      <c r="E32" s="11"/>
      <c r="F32" s="11"/>
      <c r="G32" s="11"/>
      <c r="H32" s="11"/>
      <c r="I32" s="11"/>
      <c r="J32" s="11"/>
      <c r="K32" s="11"/>
      <c r="L32" s="11"/>
      <c r="M32" s="12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</row>
    <row r="33" ht="12.75" customHeight="1">
      <c r="A33" s="120"/>
      <c r="B33" s="120"/>
      <c r="C33" s="150" t="s">
        <v>204</v>
      </c>
      <c r="D33" s="157" t="s">
        <v>213</v>
      </c>
      <c r="E33" s="139" t="s">
        <v>126</v>
      </c>
      <c r="F33" s="139" t="s">
        <v>120</v>
      </c>
      <c r="G33" s="140" t="s">
        <v>198</v>
      </c>
      <c r="H33" s="139" t="s">
        <v>122</v>
      </c>
      <c r="I33" s="139" t="s">
        <v>128</v>
      </c>
      <c r="J33" s="141">
        <v>1.0</v>
      </c>
      <c r="K33" s="142">
        <v>6.0</v>
      </c>
      <c r="L33" s="143">
        <f t="shared" ref="L33:M33" si="6">IF(J33+J34=12,2,IF(J33=6,1,IF(J34=6,1,0)))</f>
        <v>1</v>
      </c>
      <c r="M33" s="143">
        <f t="shared" si="6"/>
        <v>1</v>
      </c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</row>
    <row r="34" ht="12.75" customHeight="1">
      <c r="A34" s="120"/>
      <c r="B34" s="120"/>
      <c r="C34" s="145"/>
      <c r="D34" s="71"/>
      <c r="E34" s="71"/>
      <c r="F34" s="71"/>
      <c r="G34" s="71"/>
      <c r="H34" s="71"/>
      <c r="I34" s="71"/>
      <c r="J34" s="146">
        <v>6.0</v>
      </c>
      <c r="K34" s="147">
        <v>3.0</v>
      </c>
      <c r="L34" s="71"/>
      <c r="M34" s="71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</row>
    <row r="35" ht="4.5" customHeight="1">
      <c r="A35" s="120"/>
      <c r="B35" s="120"/>
      <c r="C35" s="148"/>
      <c r="D35" s="11"/>
      <c r="E35" s="11"/>
      <c r="F35" s="11"/>
      <c r="G35" s="11"/>
      <c r="H35" s="11"/>
      <c r="I35" s="11"/>
      <c r="J35" s="11"/>
      <c r="K35" s="11"/>
      <c r="L35" s="11"/>
      <c r="M35" s="12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</row>
    <row r="36" ht="12.75" customHeight="1">
      <c r="A36" s="120"/>
      <c r="B36" s="120"/>
      <c r="C36" s="151" t="s">
        <v>214</v>
      </c>
      <c r="D36" s="11"/>
      <c r="E36" s="11"/>
      <c r="F36" s="11"/>
      <c r="G36" s="11"/>
      <c r="H36" s="11"/>
      <c r="I36" s="47"/>
      <c r="J36" s="152">
        <f t="shared" ref="J36:M36" si="7">SUM(J24:J34)</f>
        <v>39</v>
      </c>
      <c r="K36" s="152">
        <f t="shared" si="7"/>
        <v>33</v>
      </c>
      <c r="L36" s="152">
        <f t="shared" si="7"/>
        <v>5</v>
      </c>
      <c r="M36" s="153">
        <f t="shared" si="7"/>
        <v>3</v>
      </c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</row>
    <row r="37" ht="4.5" customHeight="1">
      <c r="A37" s="120"/>
      <c r="B37" s="120"/>
      <c r="C37" s="148"/>
      <c r="D37" s="11"/>
      <c r="E37" s="11"/>
      <c r="F37" s="11"/>
      <c r="G37" s="11"/>
      <c r="H37" s="11"/>
      <c r="I37" s="11"/>
      <c r="J37" s="11"/>
      <c r="K37" s="11"/>
      <c r="L37" s="11"/>
      <c r="M37" s="12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 ht="12.75" customHeight="1">
      <c r="A38" s="120"/>
      <c r="B38" s="120"/>
      <c r="C38" s="158" t="s">
        <v>215</v>
      </c>
      <c r="D38" s="11"/>
      <c r="E38" s="11"/>
      <c r="F38" s="11"/>
      <c r="G38" s="11"/>
      <c r="H38" s="11"/>
      <c r="I38" s="47"/>
      <c r="J38" s="159">
        <f t="shared" ref="J38:M38" si="8">J36+J22</f>
        <v>76</v>
      </c>
      <c r="K38" s="160">
        <f t="shared" si="8"/>
        <v>51</v>
      </c>
      <c r="L38" s="161">
        <f t="shared" si="8"/>
        <v>10</v>
      </c>
      <c r="M38" s="162">
        <f t="shared" si="8"/>
        <v>4</v>
      </c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 ht="6.75" customHeight="1">
      <c r="A39" s="120"/>
      <c r="B39" s="120"/>
      <c r="C39" s="148"/>
      <c r="D39" s="11"/>
      <c r="E39" s="11"/>
      <c r="F39" s="11"/>
      <c r="G39" s="11"/>
      <c r="H39" s="11"/>
      <c r="I39" s="11"/>
      <c r="J39" s="11"/>
      <c r="K39" s="11"/>
      <c r="L39" s="11"/>
      <c r="M39" s="12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 ht="7.5" customHeight="1">
      <c r="A40" s="120"/>
      <c r="B40" s="120"/>
      <c r="C40" s="132" t="s">
        <v>216</v>
      </c>
      <c r="D40" s="127"/>
      <c r="E40" s="127"/>
      <c r="F40" s="127"/>
      <c r="G40" s="127"/>
      <c r="H40" s="127"/>
      <c r="I40" s="127"/>
      <c r="J40" s="127"/>
      <c r="K40" s="127"/>
      <c r="L40" s="127"/>
      <c r="M40" s="128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 ht="12.75" customHeight="1">
      <c r="A41" s="120"/>
      <c r="B41" s="120"/>
      <c r="C41" s="129"/>
      <c r="D41" s="130"/>
      <c r="E41" s="130"/>
      <c r="F41" s="130"/>
      <c r="G41" s="130"/>
      <c r="H41" s="130"/>
      <c r="I41" s="130"/>
      <c r="J41" s="130"/>
      <c r="K41" s="130"/>
      <c r="L41" s="130"/>
      <c r="M41" s="131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 ht="26.25" customHeight="1">
      <c r="A42" s="120"/>
      <c r="B42" s="120"/>
      <c r="C42" s="133" t="s">
        <v>195</v>
      </c>
      <c r="D42" s="134" t="s">
        <v>196</v>
      </c>
      <c r="E42" s="135" t="s">
        <v>217</v>
      </c>
      <c r="F42" s="47"/>
      <c r="G42" s="134" t="s">
        <v>198</v>
      </c>
      <c r="H42" s="135" t="s">
        <v>218</v>
      </c>
      <c r="I42" s="47"/>
      <c r="J42" s="136" t="s">
        <v>200</v>
      </c>
      <c r="K42" s="47"/>
      <c r="L42" s="136" t="s">
        <v>201</v>
      </c>
      <c r="M42" s="12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 ht="12.75" customHeight="1">
      <c r="A43" s="120"/>
      <c r="B43" s="120"/>
      <c r="C43" s="137" t="s">
        <v>202</v>
      </c>
      <c r="D43" s="138" t="s">
        <v>213</v>
      </c>
      <c r="E43" s="154" t="s">
        <v>121</v>
      </c>
      <c r="F43" s="154" t="s">
        <v>187</v>
      </c>
      <c r="G43" s="140" t="s">
        <v>198</v>
      </c>
      <c r="H43" s="163" t="s">
        <v>124</v>
      </c>
      <c r="I43" s="154" t="s">
        <v>130</v>
      </c>
      <c r="J43" s="155">
        <v>6.0</v>
      </c>
      <c r="K43" s="142">
        <v>3.0</v>
      </c>
      <c r="L43" s="143">
        <f t="shared" ref="L43:M43" si="9">IF(J43+J44=12,2,IF(J43=6,1,IF(J44=6,1,0)))</f>
        <v>2</v>
      </c>
      <c r="M43" s="144">
        <f t="shared" si="9"/>
        <v>0</v>
      </c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 ht="12.75" customHeight="1">
      <c r="A44" s="120"/>
      <c r="B44" s="120"/>
      <c r="C44" s="145"/>
      <c r="D44" s="71"/>
      <c r="E44" s="71"/>
      <c r="F44" s="71"/>
      <c r="G44" s="71"/>
      <c r="H44" s="164"/>
      <c r="I44" s="71"/>
      <c r="J44" s="156">
        <v>6.0</v>
      </c>
      <c r="K44" s="147">
        <v>3.0</v>
      </c>
      <c r="L44" s="71"/>
      <c r="M44" s="72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 ht="4.5" customHeight="1">
      <c r="A45" s="120"/>
      <c r="B45" s="120"/>
      <c r="C45" s="148"/>
      <c r="D45" s="11"/>
      <c r="E45" s="11"/>
      <c r="F45" s="11"/>
      <c r="G45" s="11"/>
      <c r="H45" s="11"/>
      <c r="I45" s="11"/>
      <c r="J45" s="11"/>
      <c r="K45" s="11"/>
      <c r="L45" s="11"/>
      <c r="M45" s="12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 ht="12.75" customHeight="1">
      <c r="A46" s="120"/>
      <c r="B46" s="120"/>
      <c r="C46" s="137" t="s">
        <v>219</v>
      </c>
      <c r="D46" s="138" t="s">
        <v>205</v>
      </c>
      <c r="E46" s="163" t="s">
        <v>103</v>
      </c>
      <c r="F46" s="165" t="s">
        <v>109</v>
      </c>
      <c r="G46" s="140" t="s">
        <v>198</v>
      </c>
      <c r="H46" s="163" t="s">
        <v>106</v>
      </c>
      <c r="I46" s="154" t="s">
        <v>112</v>
      </c>
      <c r="J46" s="155">
        <v>3.0</v>
      </c>
      <c r="K46" s="142">
        <v>6.0</v>
      </c>
      <c r="L46" s="143">
        <f t="shared" ref="L46:M46" si="10">IF(J46+J47=12,2,IF(J46=6,1,IF(J47=6,1,0)))</f>
        <v>0</v>
      </c>
      <c r="M46" s="144">
        <f t="shared" si="10"/>
        <v>2</v>
      </c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 ht="12.75" customHeight="1">
      <c r="A47" s="120"/>
      <c r="B47" s="120"/>
      <c r="C47" s="145"/>
      <c r="D47" s="71"/>
      <c r="E47" s="164"/>
      <c r="F47" s="166"/>
      <c r="G47" s="71"/>
      <c r="H47" s="164"/>
      <c r="I47" s="71"/>
      <c r="J47" s="156">
        <v>3.0</v>
      </c>
      <c r="K47" s="147">
        <v>6.0</v>
      </c>
      <c r="L47" s="71"/>
      <c r="M47" s="72"/>
      <c r="N47" s="167" t="s">
        <v>220</v>
      </c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 ht="4.5" customHeight="1">
      <c r="A48" s="120"/>
      <c r="B48" s="120"/>
      <c r="C48" s="148"/>
      <c r="D48" s="11"/>
      <c r="E48" s="11"/>
      <c r="F48" s="11"/>
      <c r="G48" s="11"/>
      <c r="H48" s="11"/>
      <c r="I48" s="11"/>
      <c r="J48" s="11"/>
      <c r="K48" s="11"/>
      <c r="L48" s="11"/>
      <c r="M48" s="12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 ht="12.75" customHeight="1">
      <c r="A49" s="120"/>
      <c r="B49" s="120"/>
      <c r="C49" s="137" t="s">
        <v>211</v>
      </c>
      <c r="D49" s="138" t="s">
        <v>210</v>
      </c>
      <c r="E49" s="163" t="s">
        <v>68</v>
      </c>
      <c r="F49" s="165" t="s">
        <v>75</v>
      </c>
      <c r="G49" s="140" t="s">
        <v>198</v>
      </c>
      <c r="H49" s="163" t="s">
        <v>64</v>
      </c>
      <c r="I49" s="154" t="s">
        <v>71</v>
      </c>
      <c r="J49" s="155">
        <v>3.0</v>
      </c>
      <c r="K49" s="142">
        <v>6.0</v>
      </c>
      <c r="L49" s="143">
        <f t="shared" ref="L49:M49" si="11">IF(J49+J50=12,2,IF(J49=6,1,IF(J50=6,1,0)))</f>
        <v>0</v>
      </c>
      <c r="M49" s="144">
        <f t="shared" si="11"/>
        <v>2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 ht="12.75" customHeight="1">
      <c r="A50" s="120"/>
      <c r="B50" s="120"/>
      <c r="C50" s="145"/>
      <c r="D50" s="71"/>
      <c r="E50" s="164"/>
      <c r="F50" s="166"/>
      <c r="G50" s="71"/>
      <c r="H50" s="164"/>
      <c r="I50" s="71"/>
      <c r="J50" s="156">
        <v>3.0</v>
      </c>
      <c r="K50" s="147">
        <v>6.0</v>
      </c>
      <c r="L50" s="71"/>
      <c r="M50" s="72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 ht="4.5" customHeight="1">
      <c r="A51" s="120"/>
      <c r="B51" s="120"/>
      <c r="C51" s="148"/>
      <c r="D51" s="11"/>
      <c r="E51" s="11"/>
      <c r="F51" s="11"/>
      <c r="G51" s="11"/>
      <c r="H51" s="11"/>
      <c r="I51" s="11"/>
      <c r="J51" s="11"/>
      <c r="K51" s="11"/>
      <c r="L51" s="11"/>
      <c r="M51" s="12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 ht="12.75" customHeight="1">
      <c r="A52" s="120"/>
      <c r="B52" s="120"/>
      <c r="C52" s="137" t="s">
        <v>204</v>
      </c>
      <c r="D52" s="157" t="s">
        <v>203</v>
      </c>
      <c r="E52" s="154" t="s">
        <v>139</v>
      </c>
      <c r="F52" s="154" t="s">
        <v>145</v>
      </c>
      <c r="G52" s="140" t="s">
        <v>198</v>
      </c>
      <c r="H52" s="154" t="s">
        <v>142</v>
      </c>
      <c r="I52" s="154" t="s">
        <v>221</v>
      </c>
      <c r="J52" s="168">
        <v>3.0</v>
      </c>
      <c r="K52" s="169">
        <v>6.0</v>
      </c>
      <c r="L52" s="143">
        <f t="shared" ref="L52:M52" si="12">IF(J52+J53=12,2,IF(J52=6,1,IF(J53=6,1,0)))</f>
        <v>1</v>
      </c>
      <c r="M52" s="144">
        <f t="shared" si="12"/>
        <v>1</v>
      </c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 ht="12.75" customHeight="1">
      <c r="A53" s="120"/>
      <c r="B53" s="120"/>
      <c r="C53" s="145"/>
      <c r="D53" s="71"/>
      <c r="E53" s="71"/>
      <c r="F53" s="71"/>
      <c r="G53" s="71"/>
      <c r="H53" s="71"/>
      <c r="I53" s="71"/>
      <c r="J53" s="170">
        <v>6.0</v>
      </c>
      <c r="K53" s="171">
        <v>3.0</v>
      </c>
      <c r="L53" s="71"/>
      <c r="M53" s="72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 ht="4.5" customHeight="1">
      <c r="A54" s="120"/>
      <c r="B54" s="120"/>
      <c r="C54" s="172"/>
      <c r="D54" s="173"/>
      <c r="E54" s="173"/>
      <c r="F54" s="173"/>
      <c r="G54" s="173"/>
      <c r="H54" s="173"/>
      <c r="I54" s="173"/>
      <c r="J54" s="173"/>
      <c r="K54" s="173"/>
      <c r="L54" s="173"/>
      <c r="M54" s="174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 ht="12.75" customHeight="1">
      <c r="A55" s="120"/>
      <c r="B55" s="120"/>
      <c r="C55" s="158" t="s">
        <v>208</v>
      </c>
      <c r="D55" s="11"/>
      <c r="E55" s="11"/>
      <c r="F55" s="11"/>
      <c r="G55" s="11"/>
      <c r="H55" s="11"/>
      <c r="I55" s="47"/>
      <c r="J55" s="152">
        <f t="shared" ref="J55:M55" si="13">SUM(J43:J53)</f>
        <v>33</v>
      </c>
      <c r="K55" s="152">
        <f t="shared" si="13"/>
        <v>39</v>
      </c>
      <c r="L55" s="152">
        <f t="shared" si="13"/>
        <v>3</v>
      </c>
      <c r="M55" s="153">
        <f t="shared" si="13"/>
        <v>5</v>
      </c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 ht="4.5" customHeight="1">
      <c r="A56" s="120"/>
      <c r="B56" s="120"/>
      <c r="C56" s="148"/>
      <c r="D56" s="11"/>
      <c r="E56" s="11"/>
      <c r="F56" s="11"/>
      <c r="G56" s="11"/>
      <c r="H56" s="11"/>
      <c r="I56" s="11"/>
      <c r="J56" s="11"/>
      <c r="K56" s="11"/>
      <c r="L56" s="11"/>
      <c r="M56" s="12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 ht="12.75" customHeight="1">
      <c r="A57" s="120"/>
      <c r="B57" s="120"/>
      <c r="C57" s="137">
        <v>6.3</v>
      </c>
      <c r="D57" s="138" t="s">
        <v>207</v>
      </c>
      <c r="E57" s="154" t="s">
        <v>82</v>
      </c>
      <c r="F57" s="154" t="s">
        <v>96</v>
      </c>
      <c r="G57" s="140" t="s">
        <v>198</v>
      </c>
      <c r="H57" s="154" t="s">
        <v>222</v>
      </c>
      <c r="I57" s="154" t="s">
        <v>223</v>
      </c>
      <c r="J57" s="141">
        <v>6.0</v>
      </c>
      <c r="K57" s="142">
        <v>1.0</v>
      </c>
      <c r="L57" s="143">
        <f>IF(J57+J58=12,2,IF(J57=6,1,IF(J58=6,1,0)))</f>
        <v>1</v>
      </c>
      <c r="M57" s="149">
        <v>1.0</v>
      </c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 ht="12.75" customHeight="1">
      <c r="A58" s="120"/>
      <c r="B58" s="120"/>
      <c r="C58" s="145"/>
      <c r="D58" s="71"/>
      <c r="E58" s="71"/>
      <c r="F58" s="71"/>
      <c r="G58" s="71"/>
      <c r="H58" s="71"/>
      <c r="I58" s="71"/>
      <c r="J58" s="146">
        <v>5.0</v>
      </c>
      <c r="K58" s="147">
        <v>7.0</v>
      </c>
      <c r="L58" s="71"/>
      <c r="M58" s="72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 ht="4.5" customHeight="1">
      <c r="A59" s="120"/>
      <c r="B59" s="120"/>
      <c r="C59" s="148"/>
      <c r="D59" s="11"/>
      <c r="E59" s="11"/>
      <c r="F59" s="11"/>
      <c r="G59" s="11"/>
      <c r="H59" s="11"/>
      <c r="I59" s="11"/>
      <c r="J59" s="11"/>
      <c r="K59" s="11"/>
      <c r="L59" s="11"/>
      <c r="M59" s="12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 ht="12.75" customHeight="1">
      <c r="A60" s="120"/>
      <c r="B60" s="120"/>
      <c r="C60" s="137">
        <v>7.45</v>
      </c>
      <c r="D60" s="138" t="s">
        <v>212</v>
      </c>
      <c r="E60" s="154" t="s">
        <v>18</v>
      </c>
      <c r="F60" s="154" t="s">
        <v>25</v>
      </c>
      <c r="G60" s="140" t="s">
        <v>198</v>
      </c>
      <c r="H60" s="154" t="s">
        <v>21</v>
      </c>
      <c r="I60" s="154" t="s">
        <v>35</v>
      </c>
      <c r="J60" s="141">
        <v>6.0</v>
      </c>
      <c r="K60" s="142">
        <v>2.0</v>
      </c>
      <c r="L60" s="143">
        <f t="shared" ref="L60:M60" si="14">IF(J60+J61=12,2,IF(J60=6,1,IF(J61=6,1,0)))</f>
        <v>2</v>
      </c>
      <c r="M60" s="144">
        <f t="shared" si="14"/>
        <v>0</v>
      </c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 ht="12.75" customHeight="1">
      <c r="A61" s="120"/>
      <c r="B61" s="120"/>
      <c r="C61" s="145"/>
      <c r="D61" s="71"/>
      <c r="E61" s="71"/>
      <c r="F61" s="71"/>
      <c r="G61" s="71"/>
      <c r="H61" s="71"/>
      <c r="I61" s="71"/>
      <c r="J61" s="146">
        <v>6.0</v>
      </c>
      <c r="K61" s="147">
        <v>3.0</v>
      </c>
      <c r="L61" s="71"/>
      <c r="M61" s="72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 ht="4.5" customHeight="1">
      <c r="A62" s="120"/>
      <c r="B62" s="120"/>
      <c r="C62" s="148"/>
      <c r="D62" s="11"/>
      <c r="E62" s="11"/>
      <c r="F62" s="11"/>
      <c r="G62" s="11"/>
      <c r="H62" s="11"/>
      <c r="I62" s="11"/>
      <c r="J62" s="11"/>
      <c r="K62" s="11"/>
      <c r="L62" s="11"/>
      <c r="M62" s="12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 ht="12.75" customHeight="1">
      <c r="A63" s="120"/>
      <c r="B63" s="120"/>
      <c r="C63" s="137">
        <v>9.0</v>
      </c>
      <c r="D63" s="138" t="s">
        <v>209</v>
      </c>
      <c r="E63" s="154" t="s">
        <v>39</v>
      </c>
      <c r="F63" s="154" t="s">
        <v>54</v>
      </c>
      <c r="G63" s="140" t="s">
        <v>198</v>
      </c>
      <c r="H63" s="154" t="s">
        <v>42</v>
      </c>
      <c r="I63" s="154" t="s">
        <v>57</v>
      </c>
      <c r="J63" s="155">
        <v>6.0</v>
      </c>
      <c r="K63" s="142">
        <v>7.0</v>
      </c>
      <c r="L63" s="139">
        <v>1.0</v>
      </c>
      <c r="M63" s="149">
        <v>1.0</v>
      </c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 ht="12.75" customHeight="1">
      <c r="A64" s="120"/>
      <c r="B64" s="120"/>
      <c r="C64" s="145"/>
      <c r="D64" s="71"/>
      <c r="E64" s="71"/>
      <c r="F64" s="71"/>
      <c r="G64" s="71"/>
      <c r="H64" s="71"/>
      <c r="I64" s="71"/>
      <c r="J64" s="156">
        <v>6.0</v>
      </c>
      <c r="K64" s="147">
        <v>4.0</v>
      </c>
      <c r="L64" s="71"/>
      <c r="M64" s="72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 ht="4.5" customHeight="1">
      <c r="A65" s="120"/>
      <c r="B65" s="120"/>
      <c r="C65" s="148"/>
      <c r="D65" s="11"/>
      <c r="E65" s="11"/>
      <c r="F65" s="11"/>
      <c r="G65" s="11"/>
      <c r="H65" s="11"/>
      <c r="I65" s="11"/>
      <c r="J65" s="11"/>
      <c r="K65" s="11"/>
      <c r="L65" s="11"/>
      <c r="M65" s="12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 ht="12.75" customHeight="1">
      <c r="A66" s="120"/>
      <c r="B66" s="120"/>
      <c r="C66" s="137" t="s">
        <v>204</v>
      </c>
      <c r="D66" s="175"/>
      <c r="E66" s="176"/>
      <c r="F66" s="176"/>
      <c r="G66" s="140" t="s">
        <v>198</v>
      </c>
      <c r="H66" s="176"/>
      <c r="I66" s="176"/>
      <c r="J66" s="177"/>
      <c r="K66" s="178"/>
      <c r="L66" s="143">
        <f t="shared" ref="L66:M66" si="15">IF(J66+J67=12,2,IF(J66=6,1,IF(J67=6,1,0)))</f>
        <v>0</v>
      </c>
      <c r="M66" s="144">
        <f t="shared" si="15"/>
        <v>0</v>
      </c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 ht="12.75" customHeight="1">
      <c r="A67" s="120"/>
      <c r="B67" s="120"/>
      <c r="C67" s="145"/>
      <c r="D67" s="71"/>
      <c r="E67" s="71"/>
      <c r="F67" s="71"/>
      <c r="G67" s="71"/>
      <c r="H67" s="71"/>
      <c r="I67" s="71"/>
      <c r="J67" s="179"/>
      <c r="K67" s="180"/>
      <c r="L67" s="71"/>
      <c r="M67" s="72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 ht="4.5" customHeight="1">
      <c r="A68" s="120"/>
      <c r="B68" s="120"/>
      <c r="C68" s="148"/>
      <c r="D68" s="11"/>
      <c r="E68" s="11"/>
      <c r="F68" s="11"/>
      <c r="G68" s="11"/>
      <c r="H68" s="11"/>
      <c r="I68" s="11"/>
      <c r="J68" s="11"/>
      <c r="K68" s="11"/>
      <c r="L68" s="11"/>
      <c r="M68" s="12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 ht="12.75" customHeight="1">
      <c r="A69" s="120"/>
      <c r="B69" s="120"/>
      <c r="C69" s="151" t="s">
        <v>214</v>
      </c>
      <c r="D69" s="11"/>
      <c r="E69" s="11"/>
      <c r="F69" s="11"/>
      <c r="G69" s="11"/>
      <c r="H69" s="11"/>
      <c r="I69" s="47"/>
      <c r="J69" s="152">
        <f t="shared" ref="J69:M69" si="16">SUM(J57:J67)</f>
        <v>35</v>
      </c>
      <c r="K69" s="181">
        <f t="shared" si="16"/>
        <v>24</v>
      </c>
      <c r="L69" s="152">
        <f t="shared" si="16"/>
        <v>4</v>
      </c>
      <c r="M69" s="153">
        <f t="shared" si="16"/>
        <v>2</v>
      </c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 ht="4.5" customHeight="1">
      <c r="A70" s="120"/>
      <c r="B70" s="120"/>
      <c r="C70" s="148"/>
      <c r="D70" s="11"/>
      <c r="E70" s="11"/>
      <c r="F70" s="11"/>
      <c r="G70" s="11"/>
      <c r="H70" s="11"/>
      <c r="I70" s="11"/>
      <c r="J70" s="11"/>
      <c r="K70" s="11"/>
      <c r="L70" s="11"/>
      <c r="M70" s="12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 ht="12.75" customHeight="1">
      <c r="A71" s="120"/>
      <c r="B71" s="120"/>
      <c r="C71" s="158" t="s">
        <v>215</v>
      </c>
      <c r="D71" s="11"/>
      <c r="E71" s="11"/>
      <c r="F71" s="11"/>
      <c r="G71" s="11"/>
      <c r="H71" s="11"/>
      <c r="I71" s="47"/>
      <c r="J71" s="159">
        <f>SUM(J55+J69)</f>
        <v>68</v>
      </c>
      <c r="K71" s="160">
        <f t="shared" ref="K71:M71" si="17">K69+K55</f>
        <v>63</v>
      </c>
      <c r="L71" s="161">
        <f t="shared" si="17"/>
        <v>7</v>
      </c>
      <c r="M71" s="162">
        <f t="shared" si="17"/>
        <v>7</v>
      </c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 ht="6.75" customHeight="1">
      <c r="A72" s="120"/>
      <c r="B72" s="120"/>
      <c r="C72" s="148"/>
      <c r="D72" s="11"/>
      <c r="E72" s="11"/>
      <c r="F72" s="11"/>
      <c r="G72" s="11"/>
      <c r="H72" s="11"/>
      <c r="I72" s="11"/>
      <c r="J72" s="11"/>
      <c r="K72" s="11"/>
      <c r="L72" s="11"/>
      <c r="M72" s="12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 ht="12.75" customHeight="1">
      <c r="A73" s="120"/>
      <c r="B73" s="120"/>
      <c r="C73" s="132" t="s">
        <v>224</v>
      </c>
      <c r="D73" s="127"/>
      <c r="E73" s="127"/>
      <c r="F73" s="127"/>
      <c r="G73" s="127"/>
      <c r="H73" s="127"/>
      <c r="I73" s="127"/>
      <c r="J73" s="127"/>
      <c r="K73" s="127"/>
      <c r="L73" s="127"/>
      <c r="M73" s="128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 ht="12.75" customHeight="1">
      <c r="A74" s="120"/>
      <c r="B74" s="120"/>
      <c r="C74" s="129"/>
      <c r="D74" s="130"/>
      <c r="E74" s="130"/>
      <c r="F74" s="130"/>
      <c r="G74" s="130"/>
      <c r="H74" s="130"/>
      <c r="I74" s="130"/>
      <c r="J74" s="130"/>
      <c r="K74" s="130"/>
      <c r="L74" s="130"/>
      <c r="M74" s="131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 ht="25.5" customHeight="1">
      <c r="A75" s="120"/>
      <c r="B75" s="120"/>
      <c r="C75" s="182" t="s">
        <v>195</v>
      </c>
      <c r="D75" s="136" t="s">
        <v>196</v>
      </c>
      <c r="E75" s="135" t="s">
        <v>117</v>
      </c>
      <c r="F75" s="47"/>
      <c r="G75" s="134" t="s">
        <v>198</v>
      </c>
      <c r="H75" s="135" t="s">
        <v>225</v>
      </c>
      <c r="I75" s="47"/>
      <c r="J75" s="136" t="s">
        <v>200</v>
      </c>
      <c r="K75" s="47"/>
      <c r="L75" s="136" t="s">
        <v>201</v>
      </c>
      <c r="M75" s="12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 ht="12.75" customHeight="1">
      <c r="A76" s="120"/>
      <c r="B76" s="120"/>
      <c r="C76" s="137" t="s">
        <v>202</v>
      </c>
      <c r="D76" s="138" t="s">
        <v>207</v>
      </c>
      <c r="E76" s="154" t="s">
        <v>84</v>
      </c>
      <c r="F76" s="154" t="s">
        <v>91</v>
      </c>
      <c r="G76" s="140" t="s">
        <v>198</v>
      </c>
      <c r="H76" s="154" t="s">
        <v>86</v>
      </c>
      <c r="I76" s="154" t="s">
        <v>100</v>
      </c>
      <c r="J76" s="141">
        <v>4.0</v>
      </c>
      <c r="K76" s="142">
        <v>6.0</v>
      </c>
      <c r="L76" s="139">
        <v>1.0</v>
      </c>
      <c r="M76" s="144">
        <f>IF(K76+K77=12,2,IF(K76=6,1,IF(K77=6,1,0)))</f>
        <v>1</v>
      </c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 ht="12.75" customHeight="1">
      <c r="A77" s="120"/>
      <c r="B77" s="120"/>
      <c r="C77" s="145"/>
      <c r="D77" s="71"/>
      <c r="E77" s="71"/>
      <c r="F77" s="71"/>
      <c r="G77" s="71"/>
      <c r="H77" s="71"/>
      <c r="I77" s="71"/>
      <c r="J77" s="146">
        <v>7.0</v>
      </c>
      <c r="K77" s="147">
        <v>5.0</v>
      </c>
      <c r="L77" s="71"/>
      <c r="M77" s="72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 ht="4.5" customHeight="1">
      <c r="A78" s="120"/>
      <c r="B78" s="120"/>
      <c r="C78" s="148"/>
      <c r="D78" s="11"/>
      <c r="E78" s="11"/>
      <c r="F78" s="11"/>
      <c r="G78" s="11"/>
      <c r="H78" s="11"/>
      <c r="I78" s="11"/>
      <c r="J78" s="11"/>
      <c r="K78" s="11"/>
      <c r="L78" s="11"/>
      <c r="M78" s="12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 ht="12.75" customHeight="1">
      <c r="A79" s="120"/>
      <c r="B79" s="120"/>
      <c r="C79" s="137" t="s">
        <v>204</v>
      </c>
      <c r="D79" s="138" t="s">
        <v>209</v>
      </c>
      <c r="E79" s="154" t="s">
        <v>41</v>
      </c>
      <c r="F79" s="154" t="s">
        <v>49</v>
      </c>
      <c r="G79" s="140" t="s">
        <v>198</v>
      </c>
      <c r="H79" s="154" t="s">
        <v>43</v>
      </c>
      <c r="I79" s="154" t="s">
        <v>58</v>
      </c>
      <c r="J79" s="141">
        <v>7.0</v>
      </c>
      <c r="K79" s="142">
        <v>5.0</v>
      </c>
      <c r="L79" s="139">
        <v>2.0</v>
      </c>
      <c r="M79" s="144">
        <f>IF(K79+K80=12,2,IF(K79=6,1,IF(K80=6,1,0)))</f>
        <v>0</v>
      </c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 ht="12.75" customHeight="1">
      <c r="A80" s="120"/>
      <c r="B80" s="120"/>
      <c r="C80" s="145"/>
      <c r="D80" s="71"/>
      <c r="E80" s="71"/>
      <c r="F80" s="71"/>
      <c r="G80" s="71"/>
      <c r="H80" s="71"/>
      <c r="I80" s="71"/>
      <c r="J80" s="146">
        <v>6.0</v>
      </c>
      <c r="K80" s="147">
        <v>3.0</v>
      </c>
      <c r="L80" s="71"/>
      <c r="M80" s="72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 ht="4.5" customHeight="1">
      <c r="A81" s="120"/>
      <c r="B81" s="120"/>
      <c r="C81" s="148"/>
      <c r="D81" s="11"/>
      <c r="E81" s="11"/>
      <c r="F81" s="11"/>
      <c r="G81" s="11"/>
      <c r="H81" s="11"/>
      <c r="I81" s="11"/>
      <c r="J81" s="11"/>
      <c r="K81" s="11"/>
      <c r="L81" s="11"/>
      <c r="M81" s="12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 ht="12.75" customHeight="1">
      <c r="A82" s="120"/>
      <c r="B82" s="120"/>
      <c r="C82" s="137" t="s">
        <v>211</v>
      </c>
      <c r="D82" s="138" t="s">
        <v>210</v>
      </c>
      <c r="E82" s="154" t="s">
        <v>63</v>
      </c>
      <c r="F82" s="154" t="s">
        <v>77</v>
      </c>
      <c r="G82" s="140" t="s">
        <v>198</v>
      </c>
      <c r="H82" s="154" t="s">
        <v>72</v>
      </c>
      <c r="I82" s="154" t="s">
        <v>79</v>
      </c>
      <c r="J82" s="155">
        <v>2.0</v>
      </c>
      <c r="K82" s="142">
        <v>6.0</v>
      </c>
      <c r="L82" s="143">
        <f t="shared" ref="L82:M82" si="18">IF(J82+J83=12,2,IF(J82=6,1,IF(J83=6,1,0)))</f>
        <v>1</v>
      </c>
      <c r="M82" s="144">
        <f t="shared" si="18"/>
        <v>1</v>
      </c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 ht="12.75" customHeight="1">
      <c r="A83" s="120"/>
      <c r="B83" s="120"/>
      <c r="C83" s="145"/>
      <c r="D83" s="71"/>
      <c r="E83" s="71"/>
      <c r="F83" s="71"/>
      <c r="G83" s="71"/>
      <c r="H83" s="71"/>
      <c r="I83" s="71"/>
      <c r="J83" s="156">
        <v>6.0</v>
      </c>
      <c r="K83" s="147">
        <v>3.0</v>
      </c>
      <c r="L83" s="71"/>
      <c r="M83" s="72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 ht="4.5" customHeight="1">
      <c r="A84" s="120"/>
      <c r="B84" s="120"/>
      <c r="C84" s="148"/>
      <c r="D84" s="11"/>
      <c r="E84" s="11"/>
      <c r="F84" s="11"/>
      <c r="G84" s="11"/>
      <c r="H84" s="11"/>
      <c r="I84" s="11"/>
      <c r="J84" s="11"/>
      <c r="K84" s="11"/>
      <c r="L84" s="11"/>
      <c r="M84" s="12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 ht="4.5" customHeight="1">
      <c r="A85" s="120"/>
      <c r="B85" s="120"/>
      <c r="C85" s="172"/>
      <c r="D85" s="173"/>
      <c r="E85" s="173"/>
      <c r="F85" s="173"/>
      <c r="G85" s="173"/>
      <c r="H85" s="173"/>
      <c r="I85" s="173"/>
      <c r="J85" s="173"/>
      <c r="K85" s="173"/>
      <c r="L85" s="173"/>
      <c r="M85" s="174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 ht="12.75" customHeight="1">
      <c r="A86" s="120"/>
      <c r="B86" s="120"/>
      <c r="C86" s="151" t="s">
        <v>208</v>
      </c>
      <c r="D86" s="11"/>
      <c r="E86" s="11"/>
      <c r="F86" s="11"/>
      <c r="G86" s="11"/>
      <c r="H86" s="11"/>
      <c r="I86" s="47"/>
      <c r="J86" s="152">
        <f t="shared" ref="J86:M86" si="19">SUM(J76:J83)</f>
        <v>32</v>
      </c>
      <c r="K86" s="181">
        <f t="shared" si="19"/>
        <v>28</v>
      </c>
      <c r="L86" s="152">
        <f t="shared" si="19"/>
        <v>4</v>
      </c>
      <c r="M86" s="153">
        <f t="shared" si="19"/>
        <v>2</v>
      </c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 ht="4.5" customHeight="1">
      <c r="A87" s="120"/>
      <c r="B87" s="120"/>
      <c r="C87" s="148"/>
      <c r="D87" s="11"/>
      <c r="E87" s="11"/>
      <c r="F87" s="11"/>
      <c r="G87" s="11"/>
      <c r="H87" s="11"/>
      <c r="I87" s="11"/>
      <c r="J87" s="11"/>
      <c r="K87" s="11"/>
      <c r="L87" s="11"/>
      <c r="M87" s="12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 ht="12.75" customHeight="1">
      <c r="A88" s="120"/>
      <c r="B88" s="120"/>
      <c r="C88" s="137" t="s">
        <v>202</v>
      </c>
      <c r="D88" s="138" t="s">
        <v>213</v>
      </c>
      <c r="E88" s="163" t="s">
        <v>123</v>
      </c>
      <c r="F88" s="154" t="s">
        <v>135</v>
      </c>
      <c r="G88" s="140" t="s">
        <v>198</v>
      </c>
      <c r="H88" s="163" t="s">
        <v>131</v>
      </c>
      <c r="I88" s="154" t="s">
        <v>125</v>
      </c>
      <c r="J88" s="155">
        <v>6.0</v>
      </c>
      <c r="K88" s="142">
        <v>7.0</v>
      </c>
      <c r="L88" s="139">
        <v>0.0</v>
      </c>
      <c r="M88" s="149">
        <v>2.0</v>
      </c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 ht="12.75" customHeight="1">
      <c r="A89" s="120"/>
      <c r="B89" s="120"/>
      <c r="C89" s="145"/>
      <c r="D89" s="71"/>
      <c r="E89" s="164"/>
      <c r="F89" s="71"/>
      <c r="G89" s="71"/>
      <c r="H89" s="164"/>
      <c r="I89" s="71"/>
      <c r="J89" s="156">
        <v>4.0</v>
      </c>
      <c r="K89" s="147">
        <v>6.0</v>
      </c>
      <c r="L89" s="71"/>
      <c r="M89" s="72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 ht="4.5" customHeight="1">
      <c r="A90" s="120"/>
      <c r="B90" s="120"/>
      <c r="C90" s="148"/>
      <c r="D90" s="11"/>
      <c r="E90" s="11"/>
      <c r="F90" s="11"/>
      <c r="G90" s="11"/>
      <c r="H90" s="11"/>
      <c r="I90" s="11"/>
      <c r="J90" s="11"/>
      <c r="K90" s="11"/>
      <c r="L90" s="11"/>
      <c r="M90" s="12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 ht="12.75" customHeight="1">
      <c r="A91" s="120"/>
      <c r="B91" s="120"/>
      <c r="C91" s="137" t="s">
        <v>204</v>
      </c>
      <c r="D91" s="138" t="s">
        <v>203</v>
      </c>
      <c r="E91" s="163" t="s">
        <v>141</v>
      </c>
      <c r="F91" s="154" t="s">
        <v>153</v>
      </c>
      <c r="G91" s="140" t="s">
        <v>198</v>
      </c>
      <c r="H91" s="163" t="s">
        <v>226</v>
      </c>
      <c r="I91" s="154" t="s">
        <v>149</v>
      </c>
      <c r="J91" s="155">
        <v>6.0</v>
      </c>
      <c r="K91" s="142">
        <v>1.0</v>
      </c>
      <c r="L91" s="139">
        <v>2.0</v>
      </c>
      <c r="M91" s="144">
        <f>IF(K91+K92=12,2,IF(K91=6,1,IF(K92=6,1,0)))</f>
        <v>0</v>
      </c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 ht="12.75" customHeight="1">
      <c r="A92" s="120"/>
      <c r="B92" s="120"/>
      <c r="C92" s="145"/>
      <c r="D92" s="71"/>
      <c r="E92" s="164"/>
      <c r="F92" s="71"/>
      <c r="G92" s="71"/>
      <c r="H92" s="164"/>
      <c r="I92" s="71"/>
      <c r="J92" s="156">
        <v>7.0</v>
      </c>
      <c r="K92" s="147">
        <v>5.0</v>
      </c>
      <c r="L92" s="71"/>
      <c r="M92" s="72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 ht="4.5" customHeight="1">
      <c r="A93" s="120"/>
      <c r="B93" s="120"/>
      <c r="C93" s="148"/>
      <c r="D93" s="11"/>
      <c r="E93" s="11"/>
      <c r="F93" s="11"/>
      <c r="G93" s="11"/>
      <c r="H93" s="11"/>
      <c r="I93" s="11"/>
      <c r="J93" s="11"/>
      <c r="K93" s="11"/>
      <c r="L93" s="11"/>
      <c r="M93" s="12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 ht="12.75" customHeight="1">
      <c r="A94" s="120"/>
      <c r="B94" s="120"/>
      <c r="C94" s="137" t="s">
        <v>211</v>
      </c>
      <c r="D94" s="138" t="s">
        <v>212</v>
      </c>
      <c r="E94" s="163" t="s">
        <v>20</v>
      </c>
      <c r="F94" s="154" t="s">
        <v>34</v>
      </c>
      <c r="G94" s="140" t="s">
        <v>198</v>
      </c>
      <c r="H94" s="163" t="s">
        <v>36</v>
      </c>
      <c r="I94" s="154" t="s">
        <v>29</v>
      </c>
      <c r="J94" s="155">
        <v>6.0</v>
      </c>
      <c r="K94" s="142">
        <v>4.0</v>
      </c>
      <c r="L94" s="143">
        <f t="shared" ref="L94:M94" si="20">IF(J94+J95=12,2,IF(J94=6,1,IF(J95=6,1,0)))</f>
        <v>1</v>
      </c>
      <c r="M94" s="144">
        <f t="shared" si="20"/>
        <v>1</v>
      </c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 ht="12.75" customHeight="1">
      <c r="A95" s="120"/>
      <c r="B95" s="120"/>
      <c r="C95" s="145"/>
      <c r="D95" s="71"/>
      <c r="E95" s="164"/>
      <c r="F95" s="71"/>
      <c r="G95" s="71"/>
      <c r="H95" s="164"/>
      <c r="I95" s="71"/>
      <c r="J95" s="156">
        <v>2.0</v>
      </c>
      <c r="K95" s="147">
        <v>6.0</v>
      </c>
      <c r="L95" s="71"/>
      <c r="M95" s="72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 ht="4.5" customHeight="1">
      <c r="A96" s="120"/>
      <c r="B96" s="120"/>
      <c r="C96" s="148"/>
      <c r="D96" s="11"/>
      <c r="E96" s="11"/>
      <c r="F96" s="11"/>
      <c r="G96" s="11"/>
      <c r="H96" s="11"/>
      <c r="I96" s="11"/>
      <c r="J96" s="11"/>
      <c r="K96" s="11"/>
      <c r="L96" s="11"/>
      <c r="M96" s="12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 ht="12.75" customHeight="1">
      <c r="A97" s="120"/>
      <c r="B97" s="120"/>
      <c r="C97" s="150" t="s">
        <v>202</v>
      </c>
      <c r="D97" s="157" t="s">
        <v>205</v>
      </c>
      <c r="E97" s="163" t="s">
        <v>105</v>
      </c>
      <c r="F97" s="154" t="s">
        <v>111</v>
      </c>
      <c r="G97" s="140" t="s">
        <v>198</v>
      </c>
      <c r="H97" s="154" t="s">
        <v>113</v>
      </c>
      <c r="I97" s="154" t="s">
        <v>119</v>
      </c>
      <c r="J97" s="155">
        <v>6.0</v>
      </c>
      <c r="K97" s="142">
        <v>1.0</v>
      </c>
      <c r="L97" s="143">
        <f t="shared" ref="L97:M97" si="21">IF(J97+J98=12,2,IF(J97=6,1,IF(J98=6,1,0)))</f>
        <v>2</v>
      </c>
      <c r="M97" s="144">
        <f t="shared" si="21"/>
        <v>0</v>
      </c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 ht="12.75" customHeight="1">
      <c r="A98" s="120"/>
      <c r="B98" s="120"/>
      <c r="C98" s="145"/>
      <c r="D98" s="71"/>
      <c r="E98" s="164"/>
      <c r="F98" s="71"/>
      <c r="G98" s="71"/>
      <c r="H98" s="71"/>
      <c r="I98" s="71"/>
      <c r="J98" s="156">
        <v>6.0</v>
      </c>
      <c r="K98" s="147">
        <v>3.0</v>
      </c>
      <c r="L98" s="71"/>
      <c r="M98" s="72"/>
      <c r="N98" s="120"/>
      <c r="O98" s="120" t="s">
        <v>227</v>
      </c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 ht="4.5" customHeight="1">
      <c r="A99" s="120"/>
      <c r="B99" s="120"/>
      <c r="C99" s="148"/>
      <c r="D99" s="11"/>
      <c r="E99" s="11"/>
      <c r="F99" s="11"/>
      <c r="G99" s="11"/>
      <c r="H99" s="11"/>
      <c r="I99" s="11"/>
      <c r="J99" s="11"/>
      <c r="K99" s="11"/>
      <c r="L99" s="11"/>
      <c r="M99" s="12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 ht="12.75" customHeight="1">
      <c r="A100" s="120"/>
      <c r="B100" s="120"/>
      <c r="C100" s="151" t="s">
        <v>214</v>
      </c>
      <c r="D100" s="11"/>
      <c r="E100" s="11"/>
      <c r="F100" s="11"/>
      <c r="G100" s="11"/>
      <c r="H100" s="11"/>
      <c r="I100" s="47"/>
      <c r="J100" s="152">
        <f t="shared" ref="J100:M100" si="22">SUM(J88:J98)</f>
        <v>43</v>
      </c>
      <c r="K100" s="181">
        <f t="shared" si="22"/>
        <v>33</v>
      </c>
      <c r="L100" s="152">
        <f t="shared" si="22"/>
        <v>5</v>
      </c>
      <c r="M100" s="153">
        <f t="shared" si="22"/>
        <v>3</v>
      </c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 ht="4.5" customHeight="1">
      <c r="A101" s="120"/>
      <c r="B101" s="120"/>
      <c r="C101" s="148"/>
      <c r="D101" s="11"/>
      <c r="E101" s="11"/>
      <c r="F101" s="11"/>
      <c r="G101" s="11"/>
      <c r="H101" s="11"/>
      <c r="I101" s="11"/>
      <c r="J101" s="11"/>
      <c r="K101" s="11"/>
      <c r="L101" s="11"/>
      <c r="M101" s="12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 ht="12.75" customHeight="1">
      <c r="A102" s="120"/>
      <c r="B102" s="120"/>
      <c r="C102" s="158" t="s">
        <v>215</v>
      </c>
      <c r="D102" s="11"/>
      <c r="E102" s="11"/>
      <c r="F102" s="11"/>
      <c r="G102" s="11"/>
      <c r="H102" s="11"/>
      <c r="I102" s="47"/>
      <c r="J102" s="159">
        <f t="shared" ref="J102:M102" si="23">J100+J86</f>
        <v>75</v>
      </c>
      <c r="K102" s="160">
        <f t="shared" si="23"/>
        <v>61</v>
      </c>
      <c r="L102" s="161">
        <f t="shared" si="23"/>
        <v>9</v>
      </c>
      <c r="M102" s="162">
        <f t="shared" si="23"/>
        <v>5</v>
      </c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 ht="6.75" customHeight="1">
      <c r="A103" s="120"/>
      <c r="B103" s="120"/>
      <c r="C103" s="183"/>
      <c r="D103" s="184"/>
      <c r="E103" s="184"/>
      <c r="F103" s="184"/>
      <c r="G103" s="184"/>
      <c r="H103" s="184"/>
      <c r="I103" s="184"/>
      <c r="J103" s="184"/>
      <c r="K103" s="184"/>
      <c r="L103" s="184"/>
      <c r="M103" s="185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 ht="12.75" customHeight="1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 ht="12.75" customHeight="1">
      <c r="A105" s="120"/>
      <c r="B105" s="120"/>
      <c r="C105" s="120" t="s">
        <v>227</v>
      </c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 ht="12.75" customHeight="1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 ht="12.75" customHeight="1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 ht="12.75" customHeight="1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 ht="12.75" customHeight="1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 ht="12.75" customHeight="1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 ht="12.75" customHeight="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 ht="12.75" customHeight="1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 ht="12.75" customHeight="1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 ht="12.75" customHeight="1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ht="12.75" customHeight="1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t="12.75" customHeight="1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t="12.75" customHeight="1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t="12.75" customHeight="1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 ht="12.75" customHeight="1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 ht="12.75" customHeight="1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t="12.75" customHeight="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 ht="12.75" customHeight="1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 ht="12.75" customHeight="1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 ht="12.75" customHeight="1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 ht="12.75" customHeight="1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ht="12.75" customHeight="1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t="12.75" customHeight="1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t="12.75" customHeight="1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t="12.75" customHeight="1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 ht="12.75" customHeight="1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 ht="12.75" customHeight="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 ht="12.75" customHeight="1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 ht="12.75" customHeight="1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 ht="12.75" customHeight="1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 ht="12.75" customHeight="1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 ht="12.75" customHeight="1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t="12.75" customHeight="1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t="12.75" customHeight="1">
      <c r="A138" s="120"/>
      <c r="B138" s="120"/>
      <c r="C138" s="120"/>
      <c r="D138" s="120"/>
      <c r="E138" s="120"/>
      <c r="F138" s="120" t="s">
        <v>227</v>
      </c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t="12.75" customHeight="1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t="12.75" customHeight="1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 ht="12.75" customHeight="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 ht="12.75" customHeight="1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t="12.75" customHeight="1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t="12.75" customHeight="1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t="12.75" customHeight="1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t="12.75" customHeight="1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t="12.75" customHeight="1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 ht="12.75" customHeight="1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 ht="12.75" customHeight="1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 ht="12.75" customHeight="1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 ht="12.75" customHeight="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 ht="12.75" customHeight="1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 ht="12.75" customHeight="1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 ht="12.75" customHeight="1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 ht="12.75" customHeight="1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 ht="12.75" customHeight="1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 ht="12.75" customHeight="1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 ht="12.75" customHeight="1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 ht="12.75" customHeight="1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 ht="12.75" customHeight="1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 ht="12.75" customHeight="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 ht="12.75" customHeight="1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 ht="12.75" customHeight="1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 ht="12.75" customHeight="1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 ht="12.75" customHeight="1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 ht="12.75" customHeight="1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 ht="12.75" customHeight="1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 ht="12.75" customHeight="1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 ht="12.75" customHeight="1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 ht="12.75" customHeight="1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 ht="12.75" customHeight="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 ht="12.75" customHeight="1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 ht="12.75" customHeight="1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 ht="12.75" customHeight="1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 ht="12.75" customHeight="1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 ht="12.75" customHeight="1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 ht="12.75" customHeight="1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 ht="12.75" customHeight="1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 ht="12.75" customHeight="1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 ht="12.75" customHeight="1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 ht="12.75" customHeight="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 ht="12.75" customHeight="1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 ht="12.75" customHeight="1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 ht="12.75" customHeight="1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 ht="12.75" customHeight="1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 ht="12.75" customHeight="1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 ht="12.75" customHeight="1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 ht="12.75" customHeight="1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 ht="12.75" customHeight="1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 ht="12.75" customHeight="1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 ht="12.75" customHeight="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 ht="12.75" customHeight="1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 ht="12.75" customHeight="1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 ht="12.75" customHeight="1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 ht="12.75" customHeight="1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 ht="12.75" customHeight="1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 ht="12.75" customHeight="1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 ht="12.75" customHeight="1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 ht="12.75" customHeight="1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 ht="12.75" customHeight="1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 ht="12.75" customHeight="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 ht="12.75" customHeight="1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 ht="12.75" customHeight="1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 ht="12.75" customHeight="1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 ht="12.75" customHeight="1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 ht="12.75" customHeight="1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 ht="12.75" customHeight="1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 ht="12.75" customHeight="1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 ht="12.75" customHeight="1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 ht="12.75" customHeight="1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 ht="12.75" customHeight="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 ht="12.75" customHeight="1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 ht="12.75" customHeight="1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 ht="12.75" customHeight="1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 ht="12.75" customHeight="1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 ht="12.75" customHeight="1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 ht="12.75" customHeight="1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 ht="12.75" customHeight="1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 ht="12.75" customHeight="1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 ht="12.75" customHeight="1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 ht="12.75" customHeight="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 ht="12.75" customHeight="1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 ht="12.75" customHeight="1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 ht="12.75" customHeight="1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 ht="12.75" customHeight="1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 ht="12.75" customHeight="1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 ht="12.75" customHeight="1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 ht="12.75" customHeight="1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 ht="12.75" customHeight="1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 ht="12.75" customHeight="1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 ht="12.75" customHeight="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 ht="12.75" customHeight="1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 ht="12.75" customHeight="1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 ht="12.75" customHeight="1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 ht="12.75" customHeight="1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 ht="12.75" customHeight="1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 ht="12.75" customHeight="1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 ht="12.75" customHeight="1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 ht="12.75" customHeight="1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 ht="12.75" customHeight="1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 ht="12.75" customHeight="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 ht="12.75" customHeight="1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 ht="12.75" customHeight="1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 ht="12.75" customHeight="1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 ht="12.75" customHeight="1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 ht="12.75" customHeight="1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 ht="12.75" customHeight="1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 ht="12.75" customHeight="1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 ht="12.75" customHeight="1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 ht="12.75" customHeight="1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 ht="12.75" customHeight="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 ht="12.75" customHeight="1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 ht="12.75" customHeight="1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 ht="12.75" customHeight="1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 ht="12.75" customHeight="1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 ht="12.75" customHeight="1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 ht="12.75" customHeight="1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 ht="12.75" customHeight="1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 ht="12.75" customHeight="1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 ht="12.75" customHeight="1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 ht="12.75" customHeight="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 ht="12.75" customHeight="1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 ht="12.75" customHeight="1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 ht="12.75" customHeight="1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 ht="12.75" customHeight="1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 ht="12.75" customHeight="1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 ht="12.75" customHeight="1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 ht="12.75" customHeight="1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 ht="12.75" customHeight="1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 ht="12.75" customHeight="1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 ht="12.75" customHeight="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 ht="12.75" customHeight="1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 ht="12.75" customHeight="1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 ht="12.75" customHeight="1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 ht="12.75" customHeight="1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 ht="12.75" customHeight="1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 ht="12.75" customHeight="1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 ht="12.75" customHeight="1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 ht="12.75" customHeight="1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 ht="12.75" customHeight="1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 ht="12.75" customHeight="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 ht="12.75" customHeight="1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 ht="12.75" customHeight="1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 ht="12.75" customHeight="1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 ht="12.75" customHeight="1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 ht="12.75" customHeight="1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 ht="12.75" customHeight="1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 ht="12.75" customHeight="1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 ht="12.75" customHeight="1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 ht="12.75" customHeight="1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 ht="12.75" customHeight="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 ht="12.75" customHeight="1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 ht="12.75" customHeight="1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 ht="12.75" customHeight="1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 ht="12.75" customHeight="1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 ht="12.75" customHeight="1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 ht="12.75" customHeight="1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 ht="12.75" customHeight="1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 ht="12.75" customHeight="1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 ht="12.75" customHeight="1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 ht="12.75" customHeight="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 ht="12.75" customHeight="1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 ht="12.75" customHeight="1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 ht="12.75" customHeight="1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 ht="12.75" customHeight="1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 ht="12.75" customHeight="1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 ht="12.75" customHeight="1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 ht="12.75" customHeight="1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 ht="12.75" customHeight="1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 ht="12.75" customHeight="1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 ht="12.75" customHeight="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 ht="12.75" customHeight="1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 ht="12.75" customHeight="1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 ht="12.75" customHeight="1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 ht="12.75" customHeight="1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 ht="12.75" customHeight="1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 ht="12.75" customHeight="1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 ht="12.75" customHeight="1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 ht="12.75" customHeight="1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 ht="12.75" customHeight="1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 ht="12.75" customHeight="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 ht="12.75" customHeight="1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 ht="12.75" customHeight="1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 ht="12.75" customHeight="1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 ht="12.75" customHeight="1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 ht="12.75" customHeight="1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 ht="12.75" customHeight="1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 ht="12.75" customHeight="1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 ht="12.75" customHeight="1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 ht="12.75" customHeight="1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 ht="12.75" customHeight="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 ht="12.75" customHeight="1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 ht="12.75" customHeight="1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 ht="12.75" customHeight="1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 ht="12.75" customHeight="1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 ht="12.75" customHeight="1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 ht="12.75" customHeight="1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 ht="12.75" customHeight="1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 ht="12.75" customHeight="1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 ht="12.75" customHeight="1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 ht="12.75" customHeight="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 ht="12.75" customHeight="1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 ht="12.75" customHeight="1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 ht="12.75" customHeight="1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 ht="12.75" customHeight="1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 ht="12.75" customHeight="1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 ht="12.75" customHeight="1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 ht="12.75" customHeight="1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 ht="12.75" customHeight="1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 ht="12.75" customHeight="1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 ht="12.75" customHeight="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 ht="12.75" customHeight="1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 ht="12.75" customHeight="1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 ht="12.75" customHeight="1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 ht="12.75" customHeight="1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 ht="12.75" customHeight="1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 ht="12.75" customHeight="1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 ht="12.75" customHeight="1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 ht="12.75" customHeight="1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 ht="12.75" customHeight="1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 ht="12.75" customHeight="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 ht="12.75" customHeight="1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 ht="12.75" customHeight="1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 ht="12.75" customHeight="1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 ht="12.75" customHeight="1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 ht="12.75" customHeight="1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 ht="12.75" customHeight="1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 ht="12.75" customHeight="1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 ht="12.75" customHeight="1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 ht="12.75" customHeight="1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 ht="12.75" customHeight="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 ht="12.75" customHeight="1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 ht="12.75" customHeight="1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 ht="12.75" customHeight="1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 ht="12.75" customHeight="1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 ht="12.75" customHeight="1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 ht="12.75" customHeight="1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 ht="12.75" customHeight="1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 ht="12.75" customHeight="1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 ht="12.75" customHeight="1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 ht="12.75" customHeight="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 ht="12.75" customHeight="1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 ht="12.75" customHeight="1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 ht="12.75" customHeight="1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 ht="12.75" customHeight="1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 ht="12.75" customHeight="1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 ht="12.75" customHeight="1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 ht="12.75" customHeight="1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 ht="12.75" customHeight="1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 ht="12.75" customHeight="1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 ht="12.75" customHeight="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 ht="12.75" customHeight="1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 ht="12.75" customHeight="1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 ht="12.75" customHeight="1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 ht="12.75" customHeight="1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 ht="12.75" customHeight="1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 ht="12.75" customHeight="1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 ht="12.75" customHeight="1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 ht="12.75" customHeight="1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 ht="12.75" customHeight="1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 ht="12.75" customHeight="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 ht="12.75" customHeight="1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 ht="12.75" customHeight="1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 ht="12.75" customHeight="1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 ht="12.75" customHeight="1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 ht="12.75" customHeight="1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 ht="12.75" customHeight="1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 ht="12.75" customHeight="1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 ht="12.75" customHeight="1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 ht="12.75" customHeight="1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 ht="12.75" customHeight="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 ht="12.75" customHeight="1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 ht="12.75" customHeight="1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 ht="12.75" customHeight="1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 ht="12.75" customHeight="1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 ht="12.75" customHeight="1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 ht="12.75" customHeight="1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 ht="12.75" customHeight="1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 ht="12.75" customHeight="1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 ht="12.75" customHeight="1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 ht="12.75" customHeight="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 ht="12.75" customHeight="1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 ht="12.75" customHeight="1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 ht="12.75" customHeight="1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 ht="12.75" customHeight="1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 ht="12.75" customHeight="1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 ht="12.75" customHeight="1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 ht="12.75" customHeight="1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 ht="12.75" customHeight="1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 ht="12.75" customHeight="1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 ht="12.75" customHeight="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 ht="12.75" customHeight="1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 ht="12.75" customHeight="1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 ht="12.75" customHeight="1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 ht="12.75" customHeight="1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 ht="12.75" customHeight="1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 ht="12.75" customHeight="1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 ht="12.75" customHeight="1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 ht="12.75" customHeight="1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 ht="12.75" customHeight="1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 ht="12.75" customHeight="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 ht="12.75" customHeight="1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 ht="12.75" customHeight="1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 ht="12.75" customHeight="1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 ht="12.75" customHeight="1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 ht="12.75" customHeight="1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 ht="12.75" customHeight="1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 ht="12.75" customHeight="1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 ht="12.75" customHeight="1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 ht="12.75" customHeight="1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 ht="12.75" customHeight="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 ht="12.75" customHeight="1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 ht="12.75" customHeight="1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 ht="12.75" customHeight="1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 ht="12.75" customHeight="1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 ht="12.75" customHeight="1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 ht="12.75" customHeight="1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 ht="12.75" customHeight="1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 ht="12.75" customHeight="1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 ht="12.75" customHeight="1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 ht="12.75" customHeight="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 ht="12.75" customHeight="1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 ht="12.75" customHeight="1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 ht="12.75" customHeight="1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 ht="12.75" customHeight="1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 ht="12.75" customHeight="1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 ht="12.75" customHeight="1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 ht="12.75" customHeight="1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 ht="12.75" customHeight="1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 ht="12.75" customHeight="1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 ht="12.75" customHeight="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 ht="12.75" customHeight="1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 ht="12.75" customHeight="1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 ht="12.75" customHeight="1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 ht="12.75" customHeight="1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 ht="12.75" customHeight="1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 ht="12.75" customHeight="1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 ht="12.75" customHeight="1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 ht="12.75" customHeight="1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 ht="12.75" customHeight="1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 ht="12.75" customHeight="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 ht="12.75" customHeight="1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 ht="12.75" customHeight="1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 ht="12.75" customHeight="1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 ht="12.75" customHeight="1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 ht="12.75" customHeight="1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 ht="12.75" customHeight="1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 ht="12.75" customHeight="1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 ht="12.75" customHeight="1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 ht="12.75" customHeight="1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 ht="12.75" customHeight="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 ht="12.75" customHeight="1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 ht="12.75" customHeight="1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 ht="12.75" customHeight="1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 ht="12.75" customHeight="1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 ht="12.75" customHeight="1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 ht="12.75" customHeight="1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 ht="12.75" customHeight="1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 ht="12.75" customHeight="1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 ht="12.75" customHeight="1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 ht="12.75" customHeight="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 ht="12.75" customHeight="1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 ht="12.75" customHeight="1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 ht="12.75" customHeight="1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 ht="12.75" customHeight="1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 ht="12.75" customHeight="1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 ht="12.75" customHeight="1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 ht="12.75" customHeight="1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 ht="12.75" customHeight="1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 ht="12.75" customHeight="1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 ht="12.75" customHeight="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 ht="12.75" customHeight="1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 ht="12.75" customHeight="1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 ht="12.75" customHeight="1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 ht="12.75" customHeight="1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 ht="12.75" customHeight="1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 ht="12.75" customHeight="1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 ht="12.75" customHeight="1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 ht="12.75" customHeight="1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 ht="12.75" customHeight="1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 ht="12.75" customHeight="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 ht="12.75" customHeight="1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 ht="12.75" customHeight="1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 ht="12.75" customHeight="1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 ht="12.75" customHeight="1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 ht="12.75" customHeight="1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 ht="12.75" customHeight="1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 ht="12.75" customHeight="1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 ht="12.75" customHeight="1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 ht="12.75" customHeight="1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 ht="12.75" customHeight="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 ht="12.75" customHeight="1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 ht="12.75" customHeight="1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 ht="12.75" customHeight="1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 ht="12.75" customHeight="1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 ht="12.75" customHeight="1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 ht="12.75" customHeight="1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 ht="12.75" customHeight="1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 ht="12.75" customHeight="1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 ht="12.75" customHeight="1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 ht="12.75" customHeight="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 ht="12.75" customHeight="1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 ht="12.75" customHeight="1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 ht="12.75" customHeight="1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 ht="12.75" customHeight="1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 ht="12.75" customHeight="1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 ht="12.75" customHeight="1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 ht="12.75" customHeight="1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 ht="12.75" customHeight="1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 ht="12.75" customHeight="1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 ht="12.75" customHeight="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 ht="12.75" customHeight="1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 ht="12.75" customHeight="1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 ht="12.75" customHeight="1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 ht="12.75" customHeight="1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 ht="12.75" customHeight="1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 ht="12.75" customHeight="1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 ht="12.75" customHeight="1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 ht="12.75" customHeight="1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 ht="12.75" customHeight="1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 ht="12.75" customHeight="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 ht="12.75" customHeight="1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 ht="12.75" customHeight="1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 ht="12.75" customHeight="1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 ht="12.75" customHeight="1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 ht="12.75" customHeight="1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 ht="12.75" customHeight="1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 ht="12.75" customHeight="1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 ht="12.75" customHeight="1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 ht="12.75" customHeight="1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 ht="12.75" customHeight="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 ht="12.75" customHeight="1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 ht="12.75" customHeight="1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 ht="12.75" customHeight="1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 ht="12.75" customHeight="1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 ht="12.75" customHeight="1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 ht="12.75" customHeight="1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 ht="12.75" customHeight="1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 ht="12.75" customHeight="1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 ht="12.75" customHeight="1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 ht="12.75" customHeight="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 ht="12.75" customHeight="1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 ht="12.75" customHeight="1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 ht="12.75" customHeight="1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 ht="12.75" customHeight="1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 ht="12.75" customHeight="1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 ht="12.75" customHeight="1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 ht="12.75" customHeight="1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 ht="12.75" customHeight="1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 ht="12.75" customHeight="1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 ht="12.75" customHeight="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 ht="12.75" customHeight="1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 ht="12.75" customHeight="1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 ht="12.75" customHeight="1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 ht="12.75" customHeight="1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 ht="12.75" customHeight="1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 ht="12.75" customHeight="1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 ht="12.75" customHeight="1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 ht="12.75" customHeight="1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 ht="12.75" customHeight="1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 ht="12.75" customHeight="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 ht="12.75" customHeight="1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 ht="12.75" customHeight="1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 ht="12.75" customHeight="1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 ht="12.75" customHeight="1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 ht="12.75" customHeight="1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 ht="12.75" customHeight="1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 ht="12.75" customHeight="1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 ht="12.75" customHeight="1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 ht="12.75" customHeight="1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 ht="12.75" customHeight="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 ht="12.75" customHeight="1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 ht="12.75" customHeight="1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 ht="12.75" customHeight="1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 ht="12.75" customHeight="1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 ht="12.75" customHeight="1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 ht="12.75" customHeight="1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 ht="12.75" customHeight="1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 ht="12.75" customHeight="1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 ht="12.75" customHeight="1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 ht="12.75" customHeight="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 ht="12.75" customHeight="1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 ht="12.75" customHeight="1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 ht="12.75" customHeight="1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 ht="12.75" customHeight="1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 ht="12.75" customHeight="1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 ht="12.75" customHeight="1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 ht="12.75" customHeight="1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 ht="12.75" customHeight="1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 ht="12.75" customHeight="1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 ht="12.75" customHeight="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 ht="12.75" customHeight="1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 ht="12.75" customHeight="1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 ht="12.75" customHeight="1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 ht="12.75" customHeight="1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 ht="12.75" customHeight="1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 ht="12.75" customHeight="1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 ht="12.75" customHeight="1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 ht="12.75" customHeight="1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 ht="12.75" customHeight="1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 ht="12.75" customHeight="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 ht="12.75" customHeight="1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 ht="12.75" customHeight="1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 ht="12.75" customHeight="1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 ht="12.75" customHeight="1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 ht="12.75" customHeight="1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 ht="12.75" customHeight="1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 ht="12.75" customHeight="1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 ht="12.75" customHeight="1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 ht="12.75" customHeight="1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 ht="12.75" customHeight="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 ht="12.75" customHeight="1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 ht="12.75" customHeight="1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 ht="12.75" customHeight="1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 ht="12.75" customHeight="1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 ht="12.75" customHeight="1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 ht="12.75" customHeight="1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 ht="12.75" customHeight="1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 ht="12.75" customHeight="1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 ht="12.75" customHeight="1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 ht="12.75" customHeight="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 ht="12.75" customHeight="1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 ht="12.75" customHeight="1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 ht="12.75" customHeight="1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 ht="12.75" customHeight="1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 ht="12.75" customHeight="1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 ht="12.75" customHeight="1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 ht="12.75" customHeight="1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 ht="12.75" customHeight="1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 ht="12.75" customHeight="1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 ht="12.75" customHeight="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 ht="12.75" customHeight="1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 ht="12.75" customHeight="1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 ht="12.75" customHeight="1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 ht="12.75" customHeight="1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 ht="12.75" customHeight="1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 ht="12.75" customHeight="1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 ht="12.75" customHeight="1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 ht="12.75" customHeight="1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 ht="12.75" customHeight="1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 ht="12.75" customHeight="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 ht="12.75" customHeight="1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 ht="12.75" customHeight="1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 ht="12.75" customHeight="1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 ht="12.75" customHeight="1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 ht="12.75" customHeight="1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 ht="12.75" customHeight="1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 ht="12.75" customHeight="1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 ht="12.75" customHeight="1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 ht="12.75" customHeight="1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 ht="12.75" customHeight="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 ht="12.75" customHeight="1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 ht="12.75" customHeight="1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 ht="12.75" customHeight="1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 ht="12.75" customHeight="1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 ht="12.75" customHeight="1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 ht="12.75" customHeight="1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 ht="12.75" customHeight="1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 ht="12.75" customHeight="1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 ht="12.75" customHeight="1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 ht="12.75" customHeight="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 ht="12.75" customHeight="1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 ht="12.75" customHeight="1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 ht="12.75" customHeight="1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 ht="12.75" customHeight="1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 ht="12.75" customHeight="1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 ht="12.75" customHeight="1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 ht="12.75" customHeight="1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 ht="12.75" customHeight="1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 ht="12.75" customHeight="1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 ht="12.75" customHeight="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 ht="12.75" customHeight="1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 ht="12.75" customHeight="1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 ht="12.75" customHeight="1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 ht="12.75" customHeight="1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 ht="12.75" customHeight="1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 ht="12.75" customHeight="1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 ht="12.75" customHeight="1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 ht="12.75" customHeight="1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 ht="12.75" customHeight="1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 ht="12.75" customHeight="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 ht="12.75" customHeight="1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 ht="12.75" customHeight="1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 ht="12.75" customHeight="1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 ht="12.75" customHeight="1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 ht="12.75" customHeight="1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 ht="12.75" customHeight="1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 ht="12.75" customHeight="1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 ht="12.75" customHeight="1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 ht="12.75" customHeight="1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 ht="12.75" customHeight="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 ht="12.75" customHeight="1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 ht="12.75" customHeight="1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 ht="12.75" customHeight="1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 ht="12.75" customHeight="1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 ht="12.75" customHeight="1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 ht="12.75" customHeight="1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 ht="12.75" customHeight="1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 ht="12.75" customHeight="1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 ht="12.75" customHeight="1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 ht="12.75" customHeight="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 ht="12.75" customHeight="1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 ht="12.75" customHeight="1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 ht="12.75" customHeight="1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 ht="12.75" customHeight="1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 ht="12.75" customHeight="1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 ht="12.75" customHeight="1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 ht="12.75" customHeight="1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 ht="12.75" customHeight="1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 ht="12.75" customHeight="1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 ht="12.75" customHeight="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 ht="12.75" customHeight="1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 ht="12.75" customHeight="1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 ht="12.75" customHeight="1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 ht="12.75" customHeight="1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 ht="12.75" customHeight="1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 ht="12.75" customHeight="1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 ht="12.75" customHeight="1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 ht="12.75" customHeight="1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 ht="12.75" customHeight="1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 ht="12.75" customHeight="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 ht="12.75" customHeight="1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 ht="12.75" customHeight="1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 ht="12.75" customHeight="1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 ht="12.75" customHeight="1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 ht="12.75" customHeight="1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 ht="12.75" customHeight="1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 ht="12.75" customHeight="1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 ht="12.75" customHeight="1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 ht="12.75" customHeight="1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 ht="12.75" customHeight="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 ht="12.75" customHeight="1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 ht="12.75" customHeight="1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 ht="12.75" customHeight="1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 ht="12.75" customHeight="1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 ht="12.75" customHeight="1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 ht="12.75" customHeight="1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 ht="12.75" customHeight="1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 ht="12.75" customHeight="1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 ht="12.75" customHeight="1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 ht="12.75" customHeight="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 ht="12.75" customHeight="1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 ht="12.75" customHeight="1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 ht="12.75" customHeight="1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 ht="12.75" customHeight="1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 ht="12.75" customHeight="1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 ht="12.75" customHeight="1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 ht="12.75" customHeight="1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 ht="12.75" customHeight="1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 ht="12.75" customHeight="1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 ht="12.75" customHeight="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 ht="12.75" customHeight="1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 ht="12.75" customHeight="1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 ht="12.75" customHeight="1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 ht="12.75" customHeight="1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 ht="12.75" customHeight="1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 ht="12.75" customHeight="1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 ht="12.75" customHeight="1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 ht="12.75" customHeight="1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 ht="12.75" customHeight="1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 ht="12.75" customHeight="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 ht="12.75" customHeight="1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 ht="12.75" customHeight="1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 ht="12.75" customHeight="1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 ht="12.75" customHeight="1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 ht="12.75" customHeight="1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 ht="12.75" customHeight="1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 ht="12.75" customHeight="1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 ht="12.75" customHeight="1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 ht="12.75" customHeight="1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 ht="12.75" customHeight="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 ht="12.75" customHeight="1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 ht="12.75" customHeight="1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 ht="12.75" customHeight="1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 ht="12.75" customHeight="1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 ht="12.75" customHeight="1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 ht="12.75" customHeight="1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 ht="12.75" customHeight="1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 ht="12.75" customHeight="1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 ht="12.75" customHeight="1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 ht="12.75" customHeight="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 ht="12.75" customHeight="1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 ht="12.75" customHeight="1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 ht="12.75" customHeight="1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 ht="12.75" customHeight="1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 ht="12.75" customHeight="1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 ht="12.75" customHeight="1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 ht="12.75" customHeight="1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 ht="12.75" customHeight="1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 ht="12.75" customHeight="1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 ht="12.75" customHeight="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 ht="12.75" customHeight="1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 ht="12.75" customHeight="1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 ht="12.75" customHeight="1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 ht="12.75" customHeight="1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 ht="12.75" customHeight="1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 ht="12.75" customHeight="1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 ht="12.75" customHeight="1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 ht="12.75" customHeight="1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 ht="12.75" customHeight="1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 ht="12.75" customHeight="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 ht="12.75" customHeight="1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 ht="12.75" customHeight="1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 ht="12.75" customHeight="1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 ht="12.75" customHeight="1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 ht="12.75" customHeight="1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 ht="12.75" customHeight="1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 ht="12.75" customHeight="1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 ht="12.75" customHeight="1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 ht="12.75" customHeight="1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 ht="12.75" customHeight="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 ht="12.75" customHeight="1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 ht="12.75" customHeight="1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 ht="12.75" customHeight="1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 ht="12.75" customHeight="1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 ht="12.75" customHeight="1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 ht="12.75" customHeight="1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 ht="12.75" customHeight="1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 ht="12.75" customHeight="1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 ht="12.75" customHeight="1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 ht="12.75" customHeight="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 ht="12.75" customHeight="1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 ht="12.75" customHeight="1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 ht="12.75" customHeight="1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 ht="12.75" customHeight="1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 ht="12.75" customHeight="1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 ht="12.75" customHeight="1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 ht="12.75" customHeight="1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 ht="12.75" customHeight="1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 ht="12.75" customHeight="1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 ht="12.75" customHeight="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 ht="12.75" customHeight="1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 ht="12.75" customHeight="1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 ht="12.75" customHeight="1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 ht="12.75" customHeight="1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 ht="12.75" customHeight="1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 ht="12.75" customHeight="1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 ht="12.75" customHeight="1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 ht="12.75" customHeight="1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 ht="12.75" customHeight="1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 ht="12.75" customHeight="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 ht="12.75" customHeight="1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 ht="12.75" customHeight="1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 ht="12.75" customHeight="1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 ht="12.75" customHeight="1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 ht="12.75" customHeight="1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 ht="12.75" customHeight="1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 ht="12.75" customHeight="1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 ht="12.75" customHeight="1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 ht="12.75" customHeight="1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 ht="12.75" customHeight="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 ht="12.75" customHeight="1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 ht="12.75" customHeight="1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 ht="12.75" customHeight="1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 ht="12.75" customHeight="1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 ht="12.75" customHeight="1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 ht="12.75" customHeight="1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 ht="12.75" customHeight="1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 ht="12.75" customHeight="1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 ht="12.75" customHeight="1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 ht="12.75" customHeight="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 ht="12.75" customHeight="1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 ht="12.75" customHeight="1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 ht="12.75" customHeight="1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 ht="12.75" customHeight="1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 ht="12.75" customHeight="1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 ht="12.75" customHeight="1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 ht="12.75" customHeight="1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 ht="12.75" customHeight="1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 ht="12.75" customHeight="1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 ht="12.75" customHeight="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 ht="12.75" customHeight="1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 ht="12.75" customHeight="1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 ht="12.75" customHeight="1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 ht="12.75" customHeight="1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 ht="12.75" customHeight="1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 ht="12.75" customHeight="1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 ht="12.75" customHeight="1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 ht="12.75" customHeight="1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 ht="12.75" customHeight="1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 ht="12.75" customHeight="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 ht="12.75" customHeight="1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 ht="12.75" customHeight="1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 ht="12.75" customHeight="1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 ht="12.75" customHeight="1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 ht="12.75" customHeight="1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 ht="12.75" customHeight="1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 ht="12.75" customHeight="1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 ht="12.75" customHeight="1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 ht="12.75" customHeight="1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 ht="12.75" customHeight="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 ht="12.75" customHeight="1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 ht="12.75" customHeight="1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 ht="12.75" customHeight="1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 ht="12.75" customHeight="1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 ht="12.75" customHeight="1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 ht="12.75" customHeight="1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 ht="12.75" customHeight="1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 ht="12.75" customHeight="1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 ht="12.75" customHeight="1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 ht="12.75" customHeight="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 ht="12.75" customHeight="1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 ht="12.75" customHeight="1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 ht="12.75" customHeight="1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 ht="12.75" customHeight="1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 ht="12.75" customHeight="1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 ht="12.75" customHeight="1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 ht="12.75" customHeight="1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 ht="12.75" customHeight="1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 ht="12.75" customHeight="1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 ht="12.75" customHeight="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 ht="12.75" customHeight="1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 ht="12.75" customHeight="1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 ht="12.75" customHeight="1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 ht="12.75" customHeight="1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 ht="12.75" customHeight="1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 ht="12.75" customHeight="1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 ht="12.75" customHeight="1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 ht="12.75" customHeight="1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 ht="12.75" customHeight="1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 ht="12.75" customHeight="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 ht="12.75" customHeight="1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 ht="12.75" customHeight="1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 ht="12.75" customHeight="1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 ht="12.75" customHeight="1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 ht="12.75" customHeight="1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 ht="12.75" customHeight="1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 ht="12.75" customHeight="1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 ht="12.75" customHeight="1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 ht="12.75" customHeight="1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 ht="12.75" customHeight="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 ht="12.75" customHeight="1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 ht="12.75" customHeight="1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 ht="12.75" customHeight="1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 ht="12.75" customHeight="1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 ht="12.75" customHeight="1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 ht="12.75" customHeight="1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 ht="12.75" customHeight="1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 ht="12.75" customHeight="1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 ht="12.75" customHeight="1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 ht="12.75" customHeight="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 ht="12.75" customHeight="1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 ht="12.75" customHeight="1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 ht="12.75" customHeight="1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 ht="12.75" customHeight="1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 ht="12.75" customHeight="1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 ht="12.75" customHeight="1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 ht="12.75" customHeight="1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 ht="12.75" customHeight="1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 ht="12.75" customHeight="1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 ht="12.75" customHeight="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 ht="12.75" customHeight="1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 ht="12.75" customHeight="1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 ht="12.75" customHeight="1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 ht="12.75" customHeight="1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 ht="12.75" customHeight="1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 ht="12.75" customHeight="1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 ht="12.75" customHeight="1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 ht="12.75" customHeight="1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 ht="12.75" customHeight="1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</sheetData>
  <mergeCells count="258">
    <mergeCell ref="H57:H58"/>
    <mergeCell ref="I57:I58"/>
    <mergeCell ref="L57:L58"/>
    <mergeCell ref="M57:M58"/>
    <mergeCell ref="I52:I53"/>
    <mergeCell ref="C54:M54"/>
    <mergeCell ref="C55:I55"/>
    <mergeCell ref="C56:M56"/>
    <mergeCell ref="C57:C58"/>
    <mergeCell ref="D57:D58"/>
    <mergeCell ref="E57:E58"/>
    <mergeCell ref="G43:G44"/>
    <mergeCell ref="H43:H44"/>
    <mergeCell ref="L42:M42"/>
    <mergeCell ref="L43:L44"/>
    <mergeCell ref="M43:M44"/>
    <mergeCell ref="C40:M41"/>
    <mergeCell ref="E42:F42"/>
    <mergeCell ref="H42:I42"/>
    <mergeCell ref="J42:K42"/>
    <mergeCell ref="C43:C44"/>
    <mergeCell ref="D43:D44"/>
    <mergeCell ref="I43:I44"/>
    <mergeCell ref="C45:M45"/>
    <mergeCell ref="H46:H47"/>
    <mergeCell ref="I46:I47"/>
    <mergeCell ref="L46:L47"/>
    <mergeCell ref="M46:M47"/>
    <mergeCell ref="C48:M48"/>
    <mergeCell ref="E43:E44"/>
    <mergeCell ref="F43:F44"/>
    <mergeCell ref="C46:C47"/>
    <mergeCell ref="D46:D47"/>
    <mergeCell ref="E46:E47"/>
    <mergeCell ref="F46:F47"/>
    <mergeCell ref="G46:G47"/>
    <mergeCell ref="L49:L50"/>
    <mergeCell ref="M49:M50"/>
    <mergeCell ref="L52:L53"/>
    <mergeCell ref="M52:M53"/>
    <mergeCell ref="G60:G61"/>
    <mergeCell ref="H60:H61"/>
    <mergeCell ref="M60:M61"/>
    <mergeCell ref="H75:I75"/>
    <mergeCell ref="J75:K75"/>
    <mergeCell ref="C68:M68"/>
    <mergeCell ref="C69:I69"/>
    <mergeCell ref="C70:M70"/>
    <mergeCell ref="C71:I71"/>
    <mergeCell ref="C72:M72"/>
    <mergeCell ref="C73:M74"/>
    <mergeCell ref="L75:M75"/>
    <mergeCell ref="L79:L80"/>
    <mergeCell ref="M79:M80"/>
    <mergeCell ref="D79:D80"/>
    <mergeCell ref="E79:E80"/>
    <mergeCell ref="F79:F80"/>
    <mergeCell ref="G79:G80"/>
    <mergeCell ref="H79:H80"/>
    <mergeCell ref="I79:I80"/>
    <mergeCell ref="C81:M81"/>
    <mergeCell ref="C79:C80"/>
    <mergeCell ref="C82:C83"/>
    <mergeCell ref="D82:D83"/>
    <mergeCell ref="E82:E83"/>
    <mergeCell ref="F82:F83"/>
    <mergeCell ref="G82:G83"/>
    <mergeCell ref="H82:H83"/>
    <mergeCell ref="I82:I83"/>
    <mergeCell ref="L82:L83"/>
    <mergeCell ref="M82:M83"/>
    <mergeCell ref="C84:M84"/>
    <mergeCell ref="C85:M85"/>
    <mergeCell ref="C86:I86"/>
    <mergeCell ref="C87:M87"/>
    <mergeCell ref="L88:L89"/>
    <mergeCell ref="M88:M89"/>
    <mergeCell ref="D88:D89"/>
    <mergeCell ref="E88:E89"/>
    <mergeCell ref="F88:F89"/>
    <mergeCell ref="G88:G89"/>
    <mergeCell ref="H88:H89"/>
    <mergeCell ref="I88:I89"/>
    <mergeCell ref="C90:M90"/>
    <mergeCell ref="I91:I92"/>
    <mergeCell ref="L91:L92"/>
    <mergeCell ref="M91:M92"/>
    <mergeCell ref="C93:M93"/>
    <mergeCell ref="C88:C89"/>
    <mergeCell ref="C91:C92"/>
    <mergeCell ref="D91:D92"/>
    <mergeCell ref="E91:E92"/>
    <mergeCell ref="F91:F92"/>
    <mergeCell ref="G91:G92"/>
    <mergeCell ref="H91:H92"/>
    <mergeCell ref="L94:L95"/>
    <mergeCell ref="M94:M95"/>
    <mergeCell ref="D94:D95"/>
    <mergeCell ref="E94:E95"/>
    <mergeCell ref="F94:F95"/>
    <mergeCell ref="G94:G95"/>
    <mergeCell ref="H94:H95"/>
    <mergeCell ref="I94:I95"/>
    <mergeCell ref="C96:M96"/>
    <mergeCell ref="I60:I61"/>
    <mergeCell ref="L60:L61"/>
    <mergeCell ref="L63:L64"/>
    <mergeCell ref="M63:M64"/>
    <mergeCell ref="F57:F58"/>
    <mergeCell ref="G57:G58"/>
    <mergeCell ref="C59:M59"/>
    <mergeCell ref="D60:D61"/>
    <mergeCell ref="E60:E61"/>
    <mergeCell ref="F60:F61"/>
    <mergeCell ref="C62:M62"/>
    <mergeCell ref="I63:I64"/>
    <mergeCell ref="C65:M65"/>
    <mergeCell ref="C60:C61"/>
    <mergeCell ref="C63:C64"/>
    <mergeCell ref="D63:D64"/>
    <mergeCell ref="E63:E64"/>
    <mergeCell ref="F63:F64"/>
    <mergeCell ref="G63:G64"/>
    <mergeCell ref="H63:H64"/>
    <mergeCell ref="L66:L67"/>
    <mergeCell ref="M66:M67"/>
    <mergeCell ref="C66:C67"/>
    <mergeCell ref="D66:D67"/>
    <mergeCell ref="E66:E67"/>
    <mergeCell ref="F66:F67"/>
    <mergeCell ref="G66:G67"/>
    <mergeCell ref="H66:H67"/>
    <mergeCell ref="I66:I67"/>
    <mergeCell ref="I97:I98"/>
    <mergeCell ref="L97:L98"/>
    <mergeCell ref="M97:M98"/>
    <mergeCell ref="C99:M99"/>
    <mergeCell ref="C100:I100"/>
    <mergeCell ref="C101:M101"/>
    <mergeCell ref="C102:I102"/>
    <mergeCell ref="C103:M103"/>
    <mergeCell ref="C94:C95"/>
    <mergeCell ref="C97:C98"/>
    <mergeCell ref="D97:D98"/>
    <mergeCell ref="E97:E98"/>
    <mergeCell ref="F97:F98"/>
    <mergeCell ref="G97:G98"/>
    <mergeCell ref="H97:H98"/>
    <mergeCell ref="G24:G25"/>
    <mergeCell ref="H24:H25"/>
    <mergeCell ref="I24:I25"/>
    <mergeCell ref="L24:L25"/>
    <mergeCell ref="I18:I19"/>
    <mergeCell ref="C20:M20"/>
    <mergeCell ref="C21:M21"/>
    <mergeCell ref="C22:I22"/>
    <mergeCell ref="C23:M23"/>
    <mergeCell ref="C24:C25"/>
    <mergeCell ref="D24:D25"/>
    <mergeCell ref="M24:M25"/>
    <mergeCell ref="I27:I28"/>
    <mergeCell ref="L27:L28"/>
    <mergeCell ref="E24:E25"/>
    <mergeCell ref="F24:F25"/>
    <mergeCell ref="C26:M26"/>
    <mergeCell ref="C27:C28"/>
    <mergeCell ref="D27:D28"/>
    <mergeCell ref="E27:E28"/>
    <mergeCell ref="F27:F28"/>
    <mergeCell ref="M27:M28"/>
    <mergeCell ref="I30:I31"/>
    <mergeCell ref="L30:L31"/>
    <mergeCell ref="G27:G28"/>
    <mergeCell ref="H27:H28"/>
    <mergeCell ref="C29:M29"/>
    <mergeCell ref="C30:C31"/>
    <mergeCell ref="D30:D31"/>
    <mergeCell ref="E30:E31"/>
    <mergeCell ref="F30:F31"/>
    <mergeCell ref="M30:M31"/>
    <mergeCell ref="I33:I34"/>
    <mergeCell ref="L33:L34"/>
    <mergeCell ref="G30:G31"/>
    <mergeCell ref="H30:H31"/>
    <mergeCell ref="C32:M32"/>
    <mergeCell ref="C33:C34"/>
    <mergeCell ref="D33:D34"/>
    <mergeCell ref="E33:E34"/>
    <mergeCell ref="F33:F34"/>
    <mergeCell ref="M33:M34"/>
    <mergeCell ref="C1:M3"/>
    <mergeCell ref="C6:M6"/>
    <mergeCell ref="C7:M8"/>
    <mergeCell ref="C9:M10"/>
    <mergeCell ref="H11:I11"/>
    <mergeCell ref="J11:K11"/>
    <mergeCell ref="L11:M11"/>
    <mergeCell ref="I12:I13"/>
    <mergeCell ref="L12:L13"/>
    <mergeCell ref="M12:M13"/>
    <mergeCell ref="C14:M14"/>
    <mergeCell ref="E11:F11"/>
    <mergeCell ref="C12:C13"/>
    <mergeCell ref="D12:D13"/>
    <mergeCell ref="E12:E13"/>
    <mergeCell ref="F12:F13"/>
    <mergeCell ref="G12:G13"/>
    <mergeCell ref="H12:H13"/>
    <mergeCell ref="L15:L16"/>
    <mergeCell ref="M15:M16"/>
    <mergeCell ref="L18:L19"/>
    <mergeCell ref="M18:M19"/>
    <mergeCell ref="D15:D16"/>
    <mergeCell ref="E15:E16"/>
    <mergeCell ref="F15:F16"/>
    <mergeCell ref="G15:G16"/>
    <mergeCell ref="H15:H16"/>
    <mergeCell ref="I15:I16"/>
    <mergeCell ref="C17:M17"/>
    <mergeCell ref="C15:C16"/>
    <mergeCell ref="C18:C19"/>
    <mergeCell ref="D18:D19"/>
    <mergeCell ref="E18:E19"/>
    <mergeCell ref="F18:F19"/>
    <mergeCell ref="G18:G19"/>
    <mergeCell ref="H18:H19"/>
    <mergeCell ref="G33:G34"/>
    <mergeCell ref="H33:H34"/>
    <mergeCell ref="C35:M35"/>
    <mergeCell ref="C36:I36"/>
    <mergeCell ref="C37:M37"/>
    <mergeCell ref="C38:I38"/>
    <mergeCell ref="C39:M39"/>
    <mergeCell ref="D49:D50"/>
    <mergeCell ref="E49:E50"/>
    <mergeCell ref="F49:F50"/>
    <mergeCell ref="G49:G50"/>
    <mergeCell ref="H49:H50"/>
    <mergeCell ref="I49:I50"/>
    <mergeCell ref="C51:M51"/>
    <mergeCell ref="C49:C50"/>
    <mergeCell ref="C52:C53"/>
    <mergeCell ref="D52:D53"/>
    <mergeCell ref="E52:E53"/>
    <mergeCell ref="F52:F53"/>
    <mergeCell ref="G52:G53"/>
    <mergeCell ref="H52:H53"/>
    <mergeCell ref="I76:I77"/>
    <mergeCell ref="L76:L77"/>
    <mergeCell ref="M76:M77"/>
    <mergeCell ref="C78:M78"/>
    <mergeCell ref="E75:F75"/>
    <mergeCell ref="C76:C77"/>
    <mergeCell ref="D76:D77"/>
    <mergeCell ref="E76:E77"/>
    <mergeCell ref="F76:F77"/>
    <mergeCell ref="G76:G77"/>
    <mergeCell ref="H76:H77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hidden="1" min="1" max="1" width="2.71"/>
    <col customWidth="1" min="2" max="2" width="2.71"/>
    <col customWidth="1" min="3" max="3" width="7.57"/>
    <col customWidth="1" min="4" max="4" width="7.43"/>
    <col customWidth="1" min="5" max="5" width="17.86"/>
    <col customWidth="1" min="6" max="6" width="16.29"/>
    <col customWidth="1" min="7" max="7" width="4.86"/>
    <col customWidth="1" min="8" max="8" width="18.71"/>
    <col customWidth="1" min="9" max="9" width="18.14"/>
    <col customWidth="1" min="10" max="13" width="5.71"/>
    <col customWidth="1" min="14" max="18" width="9.14"/>
    <col customWidth="1" min="19" max="26" width="8.0"/>
  </cols>
  <sheetData>
    <row r="1" ht="12.75" customHeight="1">
      <c r="A1" s="120"/>
      <c r="B1" s="120"/>
      <c r="C1" s="186" t="s">
        <v>192</v>
      </c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 ht="12.75" customHeight="1">
      <c r="A2" s="120"/>
      <c r="B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 ht="12.75" customHeight="1">
      <c r="A3" s="120"/>
      <c r="B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 ht="12.75" customHeight="1">
      <c r="A4" s="120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</row>
    <row r="5" ht="12.75" customHeight="1">
      <c r="A5" s="120"/>
      <c r="B5" s="120"/>
      <c r="C5" s="120"/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</row>
    <row r="6" ht="19.5" customHeight="1">
      <c r="A6" s="120"/>
      <c r="B6" s="120"/>
      <c r="C6" s="125" t="s">
        <v>160</v>
      </c>
      <c r="D6" s="11"/>
      <c r="E6" s="11"/>
      <c r="F6" s="11"/>
      <c r="G6" s="11"/>
      <c r="H6" s="11"/>
      <c r="I6" s="11"/>
      <c r="J6" s="11"/>
      <c r="K6" s="11"/>
      <c r="L6" s="11"/>
      <c r="M6" s="47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</row>
    <row r="7" ht="4.5" customHeight="1">
      <c r="A7" s="120"/>
      <c r="B7" s="120"/>
      <c r="C7" s="187"/>
      <c r="D7" s="127"/>
      <c r="E7" s="127"/>
      <c r="F7" s="127"/>
      <c r="G7" s="127"/>
      <c r="H7" s="127"/>
      <c r="I7" s="127"/>
      <c r="J7" s="127"/>
      <c r="K7" s="127"/>
      <c r="L7" s="127"/>
      <c r="M7" s="188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</row>
    <row r="8" ht="4.5" customHeight="1">
      <c r="A8" s="120"/>
      <c r="B8" s="120"/>
      <c r="C8" s="166"/>
      <c r="D8" s="130"/>
      <c r="E8" s="130"/>
      <c r="F8" s="130"/>
      <c r="G8" s="130"/>
      <c r="H8" s="130"/>
      <c r="I8" s="130"/>
      <c r="J8" s="130"/>
      <c r="K8" s="130"/>
      <c r="L8" s="130"/>
      <c r="M8" s="164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</row>
    <row r="9" ht="12.75" customHeight="1">
      <c r="A9" s="120"/>
      <c r="B9" s="120"/>
      <c r="C9" s="189" t="s">
        <v>194</v>
      </c>
      <c r="D9" s="127"/>
      <c r="E9" s="127"/>
      <c r="F9" s="127"/>
      <c r="G9" s="127"/>
      <c r="H9" s="127"/>
      <c r="I9" s="127"/>
      <c r="J9" s="127"/>
      <c r="K9" s="127"/>
      <c r="L9" s="127"/>
      <c r="M9" s="188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</row>
    <row r="10" ht="12.75" customHeight="1">
      <c r="A10" s="120"/>
      <c r="B10" s="120"/>
      <c r="C10" s="166"/>
      <c r="D10" s="130"/>
      <c r="E10" s="130"/>
      <c r="F10" s="130"/>
      <c r="G10" s="130"/>
      <c r="H10" s="130"/>
      <c r="I10" s="130"/>
      <c r="J10" s="130"/>
      <c r="K10" s="130"/>
      <c r="L10" s="130"/>
      <c r="M10" s="164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</row>
    <row r="11" ht="19.5" customHeight="1">
      <c r="A11" s="120"/>
      <c r="B11" s="120"/>
      <c r="C11" s="134" t="s">
        <v>195</v>
      </c>
      <c r="D11" s="134" t="s">
        <v>196</v>
      </c>
      <c r="E11" s="135" t="s">
        <v>217</v>
      </c>
      <c r="F11" s="47"/>
      <c r="G11" s="134"/>
      <c r="H11" s="135" t="s">
        <v>228</v>
      </c>
      <c r="I11" s="47"/>
      <c r="J11" s="136" t="s">
        <v>200</v>
      </c>
      <c r="K11" s="47"/>
      <c r="L11" s="136" t="s">
        <v>201</v>
      </c>
      <c r="M11" s="47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</row>
    <row r="12" ht="12.75" customHeight="1">
      <c r="A12" s="120"/>
      <c r="B12" s="120"/>
      <c r="C12" s="190"/>
      <c r="D12" s="11"/>
      <c r="E12" s="11"/>
      <c r="F12" s="11"/>
      <c r="G12" s="11"/>
      <c r="H12" s="11"/>
      <c r="I12" s="11"/>
      <c r="J12" s="11"/>
      <c r="K12" s="11"/>
      <c r="L12" s="11"/>
      <c r="M12" s="47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</row>
    <row r="13" ht="13.5" customHeight="1">
      <c r="A13" s="120"/>
      <c r="B13" s="120"/>
      <c r="C13" s="191" t="s">
        <v>202</v>
      </c>
      <c r="D13" s="138" t="s">
        <v>207</v>
      </c>
      <c r="E13" s="139" t="s">
        <v>82</v>
      </c>
      <c r="F13" s="139" t="s">
        <v>89</v>
      </c>
      <c r="G13" s="140" t="s">
        <v>198</v>
      </c>
      <c r="H13" s="139" t="s">
        <v>84</v>
      </c>
      <c r="I13" s="139" t="s">
        <v>98</v>
      </c>
      <c r="J13" s="192">
        <v>1.0</v>
      </c>
      <c r="K13" s="192">
        <v>6.0</v>
      </c>
      <c r="L13" s="139">
        <v>0.0</v>
      </c>
      <c r="M13" s="143">
        <f>IF(K13+K14=12,2,IF(K13=6,1,IF(K14=6,1,0)))</f>
        <v>2</v>
      </c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</row>
    <row r="14" ht="12.75" customHeight="1">
      <c r="A14" s="120"/>
      <c r="B14" s="120"/>
      <c r="C14" s="71"/>
      <c r="D14" s="71"/>
      <c r="E14" s="71"/>
      <c r="F14" s="71"/>
      <c r="G14" s="71"/>
      <c r="H14" s="71"/>
      <c r="I14" s="71"/>
      <c r="J14" s="192">
        <v>0.0</v>
      </c>
      <c r="K14" s="192">
        <v>6.0</v>
      </c>
      <c r="L14" s="71"/>
      <c r="M14" s="71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</row>
    <row r="15" ht="4.5" customHeight="1">
      <c r="A15" s="120"/>
      <c r="B15" s="120"/>
      <c r="C15" s="193"/>
      <c r="D15" s="11"/>
      <c r="E15" s="11"/>
      <c r="F15" s="11"/>
      <c r="G15" s="11"/>
      <c r="H15" s="11"/>
      <c r="I15" s="11"/>
      <c r="J15" s="11"/>
      <c r="K15" s="11"/>
      <c r="L15" s="11"/>
      <c r="M15" s="47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</row>
    <row r="16" ht="12.75" customHeight="1">
      <c r="A16" s="120"/>
      <c r="B16" s="120"/>
      <c r="C16" s="191" t="s">
        <v>204</v>
      </c>
      <c r="D16" s="138" t="s">
        <v>210</v>
      </c>
      <c r="E16" s="139" t="s">
        <v>61</v>
      </c>
      <c r="F16" s="139" t="s">
        <v>68</v>
      </c>
      <c r="G16" s="140" t="s">
        <v>198</v>
      </c>
      <c r="H16" s="139" t="s">
        <v>63</v>
      </c>
      <c r="I16" s="139" t="s">
        <v>70</v>
      </c>
      <c r="J16" s="192">
        <v>3.0</v>
      </c>
      <c r="K16" s="192">
        <v>6.0</v>
      </c>
      <c r="L16" s="143">
        <f t="shared" ref="L16:M16" si="1">IF(J16+J17=12,2,IF(J16=6,1,IF(J17=6,1,0)))</f>
        <v>0</v>
      </c>
      <c r="M16" s="143">
        <f t="shared" si="1"/>
        <v>2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</row>
    <row r="17" ht="12.75" customHeight="1">
      <c r="A17" s="120"/>
      <c r="B17" s="120"/>
      <c r="C17" s="71"/>
      <c r="D17" s="71"/>
      <c r="E17" s="71"/>
      <c r="F17" s="71"/>
      <c r="G17" s="71"/>
      <c r="H17" s="71"/>
      <c r="I17" s="71"/>
      <c r="J17" s="192">
        <v>1.0</v>
      </c>
      <c r="K17" s="192">
        <v>6.0</v>
      </c>
      <c r="L17" s="71"/>
      <c r="M17" s="71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</row>
    <row r="18" ht="4.5" customHeight="1">
      <c r="A18" s="120"/>
      <c r="B18" s="120"/>
      <c r="C18" s="193"/>
      <c r="D18" s="11"/>
      <c r="E18" s="11"/>
      <c r="F18" s="11"/>
      <c r="G18" s="11"/>
      <c r="H18" s="11"/>
      <c r="I18" s="11"/>
      <c r="J18" s="11"/>
      <c r="K18" s="11"/>
      <c r="L18" s="11"/>
      <c r="M18" s="47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</row>
    <row r="19" ht="12.75" customHeight="1">
      <c r="A19" s="120"/>
      <c r="B19" s="120"/>
      <c r="C19" s="191" t="s">
        <v>211</v>
      </c>
      <c r="D19" s="138" t="s">
        <v>205</v>
      </c>
      <c r="E19" s="139" t="s">
        <v>103</v>
      </c>
      <c r="F19" s="139" t="s">
        <v>115</v>
      </c>
      <c r="G19" s="140" t="s">
        <v>198</v>
      </c>
      <c r="H19" s="139" t="s">
        <v>105</v>
      </c>
      <c r="I19" s="139" t="s">
        <v>117</v>
      </c>
      <c r="J19" s="192">
        <v>1.0</v>
      </c>
      <c r="K19" s="192">
        <v>6.0</v>
      </c>
      <c r="L19" s="143">
        <f t="shared" ref="L19:M19" si="2">IF(J19+J20=12,2,IF(J19=6,1,IF(J20=6,1,0)))</f>
        <v>1</v>
      </c>
      <c r="M19" s="143">
        <f t="shared" si="2"/>
        <v>1</v>
      </c>
      <c r="N19" s="120"/>
      <c r="O19" s="120"/>
      <c r="P19" s="120"/>
      <c r="Q19" s="120"/>
      <c r="R19" s="120"/>
      <c r="S19" s="120"/>
      <c r="T19" s="120"/>
      <c r="U19" s="120"/>
      <c r="V19" s="120"/>
      <c r="W19" s="120"/>
      <c r="X19" s="120"/>
      <c r="Y19" s="120"/>
      <c r="Z19" s="120"/>
    </row>
    <row r="20" ht="12.75" customHeight="1">
      <c r="A20" s="120"/>
      <c r="B20" s="120"/>
      <c r="C20" s="71"/>
      <c r="D20" s="71"/>
      <c r="E20" s="71"/>
      <c r="F20" s="71"/>
      <c r="G20" s="71"/>
      <c r="H20" s="71"/>
      <c r="I20" s="71"/>
      <c r="J20" s="192">
        <v>6.0</v>
      </c>
      <c r="K20" s="192">
        <v>4.0</v>
      </c>
      <c r="L20" s="71"/>
      <c r="M20" s="71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</row>
    <row r="21" ht="4.5" customHeight="1">
      <c r="A21" s="120"/>
      <c r="B21" s="120"/>
      <c r="C21" s="193"/>
      <c r="D21" s="11"/>
      <c r="E21" s="11"/>
      <c r="F21" s="11"/>
      <c r="G21" s="11"/>
      <c r="H21" s="11"/>
      <c r="I21" s="11"/>
      <c r="J21" s="11"/>
      <c r="K21" s="11"/>
      <c r="L21" s="11"/>
      <c r="M21" s="47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</row>
    <row r="22" ht="12.75" customHeight="1">
      <c r="A22" s="120"/>
      <c r="B22" s="120"/>
      <c r="C22" s="194" t="s">
        <v>213</v>
      </c>
      <c r="D22" s="157" t="s">
        <v>203</v>
      </c>
      <c r="E22" s="139" t="s">
        <v>139</v>
      </c>
      <c r="F22" s="139" t="s">
        <v>151</v>
      </c>
      <c r="G22" s="140" t="s">
        <v>198</v>
      </c>
      <c r="H22" s="139" t="s">
        <v>141</v>
      </c>
      <c r="I22" s="139" t="s">
        <v>147</v>
      </c>
      <c r="J22" s="192">
        <v>6.0</v>
      </c>
      <c r="K22" s="192">
        <v>7.0</v>
      </c>
      <c r="L22" s="139">
        <v>0.0</v>
      </c>
      <c r="M22" s="139">
        <v>2.0</v>
      </c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</row>
    <row r="23" ht="12.75" customHeight="1">
      <c r="A23" s="120"/>
      <c r="B23" s="120"/>
      <c r="C23" s="71"/>
      <c r="D23" s="71"/>
      <c r="E23" s="71"/>
      <c r="F23" s="71"/>
      <c r="G23" s="71"/>
      <c r="H23" s="71"/>
      <c r="I23" s="71"/>
      <c r="J23" s="192">
        <v>4.0</v>
      </c>
      <c r="K23" s="192">
        <v>6.0</v>
      </c>
      <c r="L23" s="71"/>
      <c r="M23" s="71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</row>
    <row r="24" ht="4.5" customHeight="1">
      <c r="A24" s="120"/>
      <c r="B24" s="120"/>
      <c r="C24" s="193"/>
      <c r="D24" s="11"/>
      <c r="E24" s="11"/>
      <c r="F24" s="11"/>
      <c r="G24" s="11"/>
      <c r="H24" s="11"/>
      <c r="I24" s="11"/>
      <c r="J24" s="11"/>
      <c r="K24" s="11"/>
      <c r="L24" s="11"/>
      <c r="M24" s="47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</row>
    <row r="25" ht="12.75" customHeight="1">
      <c r="A25" s="120"/>
      <c r="B25" s="120"/>
      <c r="C25" s="195" t="s">
        <v>229</v>
      </c>
      <c r="D25" s="11"/>
      <c r="E25" s="11"/>
      <c r="F25" s="11"/>
      <c r="G25" s="11"/>
      <c r="H25" s="11"/>
      <c r="I25" s="47"/>
      <c r="J25" s="196">
        <f t="shared" ref="J25:M25" si="3">SUM(J13:J23)</f>
        <v>22</v>
      </c>
      <c r="K25" s="196">
        <f t="shared" si="3"/>
        <v>47</v>
      </c>
      <c r="L25" s="196">
        <f t="shared" si="3"/>
        <v>1</v>
      </c>
      <c r="M25" s="196">
        <f t="shared" si="3"/>
        <v>7</v>
      </c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</row>
    <row r="26" ht="4.5" customHeight="1">
      <c r="A26" s="120"/>
      <c r="B26" s="120"/>
      <c r="C26" s="193"/>
      <c r="D26" s="11"/>
      <c r="E26" s="11"/>
      <c r="F26" s="11"/>
      <c r="G26" s="11"/>
      <c r="H26" s="11"/>
      <c r="I26" s="11"/>
      <c r="J26" s="11"/>
      <c r="K26" s="11"/>
      <c r="L26" s="11"/>
      <c r="M26" s="47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</row>
    <row r="27" ht="12.75" customHeight="1">
      <c r="A27" s="120"/>
      <c r="B27" s="120"/>
      <c r="C27" s="197"/>
      <c r="D27" s="11"/>
      <c r="E27" s="11"/>
      <c r="F27" s="11"/>
      <c r="G27" s="11"/>
      <c r="H27" s="11"/>
      <c r="I27" s="11"/>
      <c r="J27" s="11"/>
      <c r="K27" s="11"/>
      <c r="L27" s="11"/>
      <c r="M27" s="47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</row>
    <row r="28" ht="12.75" customHeight="1">
      <c r="A28" s="120"/>
      <c r="B28" s="120"/>
      <c r="C28" s="191" t="s">
        <v>202</v>
      </c>
      <c r="D28" s="138" t="s">
        <v>213</v>
      </c>
      <c r="E28" s="139" t="s">
        <v>121</v>
      </c>
      <c r="F28" s="139" t="s">
        <v>133</v>
      </c>
      <c r="G28" s="140" t="s">
        <v>198</v>
      </c>
      <c r="H28" s="139" t="s">
        <v>230</v>
      </c>
      <c r="I28" s="139" t="s">
        <v>129</v>
      </c>
      <c r="J28" s="192">
        <v>2.0</v>
      </c>
      <c r="K28" s="192">
        <v>6.0</v>
      </c>
      <c r="L28" s="143">
        <f t="shared" ref="L28:M28" si="4">IF(J28+J29=12,2,IF(J28=6,1,IF(J29=6,1,0)))</f>
        <v>0</v>
      </c>
      <c r="M28" s="143">
        <f t="shared" si="4"/>
        <v>2</v>
      </c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</row>
    <row r="29" ht="12.75" customHeight="1">
      <c r="A29" s="120"/>
      <c r="B29" s="120"/>
      <c r="C29" s="71"/>
      <c r="D29" s="71"/>
      <c r="E29" s="71"/>
      <c r="F29" s="71"/>
      <c r="G29" s="71"/>
      <c r="H29" s="71"/>
      <c r="I29" s="71"/>
      <c r="J29" s="192">
        <v>3.0</v>
      </c>
      <c r="K29" s="192">
        <v>6.0</v>
      </c>
      <c r="L29" s="71"/>
      <c r="M29" s="71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</row>
    <row r="30" ht="4.5" customHeight="1">
      <c r="A30" s="120"/>
      <c r="B30" s="120"/>
      <c r="C30" s="193"/>
      <c r="D30" s="11"/>
      <c r="E30" s="11"/>
      <c r="F30" s="11"/>
      <c r="G30" s="11"/>
      <c r="H30" s="11"/>
      <c r="I30" s="11"/>
      <c r="J30" s="11"/>
      <c r="K30" s="11"/>
      <c r="L30" s="11"/>
      <c r="M30" s="47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</row>
    <row r="31" ht="12.75" customHeight="1">
      <c r="A31" s="124"/>
      <c r="B31" s="120"/>
      <c r="C31" s="191" t="s">
        <v>204</v>
      </c>
      <c r="D31" s="138" t="s">
        <v>212</v>
      </c>
      <c r="E31" s="139" t="s">
        <v>18</v>
      </c>
      <c r="F31" s="139" t="s">
        <v>25</v>
      </c>
      <c r="G31" s="140" t="s">
        <v>198</v>
      </c>
      <c r="H31" s="139" t="s">
        <v>20</v>
      </c>
      <c r="I31" s="139" t="s">
        <v>27</v>
      </c>
      <c r="J31" s="192">
        <v>7.0</v>
      </c>
      <c r="K31" s="192">
        <v>5.0</v>
      </c>
      <c r="L31" s="139">
        <v>2.0</v>
      </c>
      <c r="M31" s="143">
        <f>IF(K31+K32=12,2,IF(K31=6,1,IF(K32=6,1,0)))</f>
        <v>0</v>
      </c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</row>
    <row r="32" ht="12.75" customHeight="1">
      <c r="A32" s="124"/>
      <c r="B32" s="120"/>
      <c r="C32" s="71"/>
      <c r="D32" s="71"/>
      <c r="E32" s="71"/>
      <c r="F32" s="71"/>
      <c r="G32" s="71"/>
      <c r="H32" s="71"/>
      <c r="I32" s="71"/>
      <c r="J32" s="192">
        <v>6.0</v>
      </c>
      <c r="K32" s="192">
        <v>2.0</v>
      </c>
      <c r="L32" s="71"/>
      <c r="M32" s="71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</row>
    <row r="33" ht="4.5" customHeight="1">
      <c r="A33" s="120"/>
      <c r="B33" s="120"/>
      <c r="C33" s="193"/>
      <c r="D33" s="11"/>
      <c r="E33" s="11"/>
      <c r="F33" s="11"/>
      <c r="G33" s="11"/>
      <c r="H33" s="11"/>
      <c r="I33" s="11"/>
      <c r="J33" s="11"/>
      <c r="K33" s="11"/>
      <c r="L33" s="11"/>
      <c r="M33" s="47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</row>
    <row r="34" ht="12.75" customHeight="1">
      <c r="A34" s="120"/>
      <c r="B34" s="120"/>
      <c r="C34" s="191" t="s">
        <v>211</v>
      </c>
      <c r="D34" s="138" t="s">
        <v>209</v>
      </c>
      <c r="E34" s="139" t="s">
        <v>185</v>
      </c>
      <c r="F34" s="139" t="s">
        <v>39</v>
      </c>
      <c r="G34" s="140" t="s">
        <v>198</v>
      </c>
      <c r="H34" s="139" t="s">
        <v>231</v>
      </c>
      <c r="I34" s="139" t="s">
        <v>56</v>
      </c>
      <c r="J34" s="192">
        <v>3.0</v>
      </c>
      <c r="K34" s="192">
        <v>6.0</v>
      </c>
      <c r="L34" s="143">
        <f t="shared" ref="L34:M34" si="5">IF(J34+J35=12,2,IF(J34=6,1,IF(J35=6,1,0)))</f>
        <v>0</v>
      </c>
      <c r="M34" s="143">
        <f t="shared" si="5"/>
        <v>2</v>
      </c>
      <c r="N34" s="120"/>
      <c r="O34" s="120" t="s">
        <v>227</v>
      </c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</row>
    <row r="35" ht="12.75" customHeight="1">
      <c r="A35" s="120"/>
      <c r="B35" s="120"/>
      <c r="C35" s="71"/>
      <c r="D35" s="71"/>
      <c r="E35" s="71"/>
      <c r="F35" s="71"/>
      <c r="G35" s="71"/>
      <c r="H35" s="71"/>
      <c r="I35" s="71"/>
      <c r="J35" s="192">
        <v>1.0</v>
      </c>
      <c r="K35" s="192">
        <v>6.0</v>
      </c>
      <c r="L35" s="71"/>
      <c r="M35" s="71"/>
      <c r="N35" s="120"/>
      <c r="O35" s="120" t="s">
        <v>227</v>
      </c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</row>
    <row r="36" ht="4.5" customHeight="1">
      <c r="A36" s="120"/>
      <c r="B36" s="120"/>
      <c r="C36" s="193"/>
      <c r="D36" s="11"/>
      <c r="E36" s="11"/>
      <c r="F36" s="11"/>
      <c r="G36" s="11"/>
      <c r="H36" s="11"/>
      <c r="I36" s="11"/>
      <c r="J36" s="11"/>
      <c r="K36" s="11"/>
      <c r="L36" s="11"/>
      <c r="M36" s="47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</row>
    <row r="37" ht="12.75" customHeight="1">
      <c r="A37" s="120"/>
      <c r="B37" s="120"/>
      <c r="C37" s="191" t="s">
        <v>232</v>
      </c>
      <c r="D37" s="175"/>
      <c r="E37" s="143"/>
      <c r="F37" s="143"/>
      <c r="G37" s="140" t="s">
        <v>198</v>
      </c>
      <c r="H37" s="143"/>
      <c r="I37" s="143"/>
      <c r="J37" s="196"/>
      <c r="K37" s="196"/>
      <c r="L37" s="143">
        <f t="shared" ref="L37:M37" si="6">IF(J37+J38=12,2,IF(J37=6,1,IF(J38=6,1,0)))</f>
        <v>0</v>
      </c>
      <c r="M37" s="143">
        <f t="shared" si="6"/>
        <v>0</v>
      </c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 ht="12.75" customHeight="1">
      <c r="A38" s="120"/>
      <c r="B38" s="120"/>
      <c r="C38" s="71"/>
      <c r="D38" s="71"/>
      <c r="E38" s="71"/>
      <c r="F38" s="71"/>
      <c r="G38" s="71"/>
      <c r="H38" s="71"/>
      <c r="I38" s="71"/>
      <c r="J38" s="196"/>
      <c r="K38" s="196"/>
      <c r="L38" s="71"/>
      <c r="M38" s="71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 ht="4.5" customHeight="1">
      <c r="A39" s="120"/>
      <c r="B39" s="120"/>
      <c r="C39" s="193"/>
      <c r="D39" s="11"/>
      <c r="E39" s="11"/>
      <c r="F39" s="11"/>
      <c r="G39" s="11"/>
      <c r="H39" s="11"/>
      <c r="I39" s="11"/>
      <c r="J39" s="11"/>
      <c r="K39" s="11"/>
      <c r="L39" s="11"/>
      <c r="M39" s="47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 ht="12.75" customHeight="1">
      <c r="A40" s="120"/>
      <c r="B40" s="120"/>
      <c r="C40" s="195" t="s">
        <v>233</v>
      </c>
      <c r="D40" s="11"/>
      <c r="E40" s="11"/>
      <c r="F40" s="11"/>
      <c r="G40" s="11"/>
      <c r="H40" s="11"/>
      <c r="I40" s="47"/>
      <c r="J40" s="196">
        <f t="shared" ref="J40:M40" si="7">SUM(J28:J38)</f>
        <v>22</v>
      </c>
      <c r="K40" s="196">
        <f t="shared" si="7"/>
        <v>31</v>
      </c>
      <c r="L40" s="196">
        <f t="shared" si="7"/>
        <v>2</v>
      </c>
      <c r="M40" s="196">
        <f t="shared" si="7"/>
        <v>4</v>
      </c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 ht="4.5" customHeight="1">
      <c r="A41" s="120"/>
      <c r="B41" s="120"/>
      <c r="C41" s="193"/>
      <c r="D41" s="11"/>
      <c r="E41" s="11"/>
      <c r="F41" s="11"/>
      <c r="G41" s="11"/>
      <c r="H41" s="11"/>
      <c r="I41" s="11"/>
      <c r="J41" s="11"/>
      <c r="K41" s="11"/>
      <c r="L41" s="11"/>
      <c r="M41" s="47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 ht="12.75" customHeight="1">
      <c r="A42" s="120"/>
      <c r="B42" s="120"/>
      <c r="C42" s="197" t="s">
        <v>234</v>
      </c>
      <c r="D42" s="11"/>
      <c r="E42" s="11"/>
      <c r="F42" s="11"/>
      <c r="G42" s="11"/>
      <c r="H42" s="11"/>
      <c r="I42" s="47"/>
      <c r="J42" s="198">
        <f t="shared" ref="J42:M42" si="8">J40+J25</f>
        <v>44</v>
      </c>
      <c r="K42" s="198">
        <f t="shared" si="8"/>
        <v>78</v>
      </c>
      <c r="L42" s="198">
        <f t="shared" si="8"/>
        <v>3</v>
      </c>
      <c r="M42" s="198">
        <f t="shared" si="8"/>
        <v>11</v>
      </c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 ht="6.75" customHeight="1">
      <c r="A43" s="120"/>
      <c r="B43" s="120"/>
      <c r="C43" s="193"/>
      <c r="D43" s="11"/>
      <c r="E43" s="11"/>
      <c r="F43" s="11"/>
      <c r="G43" s="11"/>
      <c r="H43" s="11"/>
      <c r="I43" s="11"/>
      <c r="J43" s="11"/>
      <c r="K43" s="11"/>
      <c r="L43" s="11"/>
      <c r="M43" s="47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 ht="7.5" customHeight="1">
      <c r="A44" s="120"/>
      <c r="B44" s="120"/>
      <c r="C44" s="189" t="s">
        <v>216</v>
      </c>
      <c r="D44" s="127"/>
      <c r="E44" s="127"/>
      <c r="F44" s="127"/>
      <c r="G44" s="127"/>
      <c r="H44" s="127"/>
      <c r="I44" s="127"/>
      <c r="J44" s="127"/>
      <c r="K44" s="127"/>
      <c r="L44" s="127"/>
      <c r="M44" s="188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 ht="12.75" customHeight="1">
      <c r="A45" s="120"/>
      <c r="B45" s="120"/>
      <c r="C45" s="166"/>
      <c r="D45" s="130"/>
      <c r="E45" s="130"/>
      <c r="F45" s="130"/>
      <c r="G45" s="130"/>
      <c r="H45" s="130"/>
      <c r="I45" s="130"/>
      <c r="J45" s="130"/>
      <c r="K45" s="130"/>
      <c r="L45" s="130"/>
      <c r="M45" s="164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 ht="26.25" customHeight="1">
      <c r="A46" s="120"/>
      <c r="B46" s="120"/>
      <c r="C46" s="134" t="s">
        <v>195</v>
      </c>
      <c r="D46" s="134" t="s">
        <v>196</v>
      </c>
      <c r="E46" s="135" t="s">
        <v>197</v>
      </c>
      <c r="F46" s="47"/>
      <c r="G46" s="134" t="s">
        <v>198</v>
      </c>
      <c r="H46" s="135" t="s">
        <v>225</v>
      </c>
      <c r="I46" s="47"/>
      <c r="J46" s="136" t="s">
        <v>200</v>
      </c>
      <c r="K46" s="47"/>
      <c r="L46" s="136" t="s">
        <v>201</v>
      </c>
      <c r="M46" s="47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 ht="12.75" customHeight="1">
      <c r="A47" s="120"/>
      <c r="B47" s="120"/>
      <c r="C47" s="190"/>
      <c r="D47" s="11"/>
      <c r="E47" s="11"/>
      <c r="F47" s="11"/>
      <c r="G47" s="11"/>
      <c r="H47" s="11"/>
      <c r="I47" s="11"/>
      <c r="J47" s="11"/>
      <c r="K47" s="11"/>
      <c r="L47" s="11"/>
      <c r="M47" s="47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 ht="12.75" customHeight="1">
      <c r="A48" s="120"/>
      <c r="B48" s="120"/>
      <c r="C48" s="191" t="s">
        <v>202</v>
      </c>
      <c r="D48" s="138" t="s">
        <v>203</v>
      </c>
      <c r="E48" s="154" t="s">
        <v>138</v>
      </c>
      <c r="F48" s="154" t="s">
        <v>150</v>
      </c>
      <c r="G48" s="140" t="s">
        <v>198</v>
      </c>
      <c r="H48" s="154" t="s">
        <v>143</v>
      </c>
      <c r="I48" s="154" t="s">
        <v>226</v>
      </c>
      <c r="J48" s="192">
        <v>6.0</v>
      </c>
      <c r="K48" s="192">
        <v>1.0</v>
      </c>
      <c r="L48" s="143">
        <f t="shared" ref="L48:M48" si="9">IF(J48+J49=12,2,IF(J48=6,1,IF(J49=6,1,0)))</f>
        <v>2</v>
      </c>
      <c r="M48" s="143">
        <f t="shared" si="9"/>
        <v>0</v>
      </c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 ht="12.75" customHeight="1">
      <c r="A49" s="120"/>
      <c r="B49" s="120"/>
      <c r="C49" s="71"/>
      <c r="D49" s="71"/>
      <c r="E49" s="71"/>
      <c r="F49" s="71"/>
      <c r="G49" s="71"/>
      <c r="H49" s="71"/>
      <c r="I49" s="71"/>
      <c r="J49" s="192">
        <v>6.0</v>
      </c>
      <c r="K49" s="192">
        <v>4.0</v>
      </c>
      <c r="L49" s="71"/>
      <c r="M49" s="71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 ht="4.5" customHeight="1">
      <c r="A50" s="120"/>
      <c r="B50" s="120"/>
      <c r="C50" s="193"/>
      <c r="D50" s="11"/>
      <c r="E50" s="11"/>
      <c r="F50" s="11"/>
      <c r="G50" s="11"/>
      <c r="H50" s="11"/>
      <c r="I50" s="11"/>
      <c r="J50" s="11"/>
      <c r="K50" s="11"/>
      <c r="L50" s="11"/>
      <c r="M50" s="47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 ht="12.75" customHeight="1">
      <c r="A51" s="120"/>
      <c r="B51" s="120"/>
      <c r="C51" s="191" t="s">
        <v>204</v>
      </c>
      <c r="D51" s="138" t="s">
        <v>210</v>
      </c>
      <c r="E51" s="154" t="s">
        <v>60</v>
      </c>
      <c r="F51" s="154" t="s">
        <v>67</v>
      </c>
      <c r="G51" s="140" t="s">
        <v>198</v>
      </c>
      <c r="H51" s="154" t="s">
        <v>65</v>
      </c>
      <c r="I51" s="154" t="s">
        <v>79</v>
      </c>
      <c r="J51" s="192">
        <v>6.0</v>
      </c>
      <c r="K51" s="192">
        <v>3.0</v>
      </c>
      <c r="L51" s="143">
        <f t="shared" ref="L51:M51" si="10">IF(J51+J52=12,2,IF(J51=6,1,IF(J52=6,1,0)))</f>
        <v>2</v>
      </c>
      <c r="M51" s="143">
        <f t="shared" si="10"/>
        <v>0</v>
      </c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 ht="12.75" customHeight="1">
      <c r="A52" s="120"/>
      <c r="B52" s="120"/>
      <c r="C52" s="71"/>
      <c r="D52" s="71"/>
      <c r="E52" s="71"/>
      <c r="F52" s="71"/>
      <c r="G52" s="71"/>
      <c r="H52" s="71"/>
      <c r="I52" s="71"/>
      <c r="J52" s="192">
        <v>6.0</v>
      </c>
      <c r="K52" s="192">
        <v>1.0</v>
      </c>
      <c r="L52" s="71"/>
      <c r="M52" s="71"/>
      <c r="N52" s="199" t="s">
        <v>235</v>
      </c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 ht="4.5" customHeight="1">
      <c r="A53" s="120"/>
      <c r="B53" s="120"/>
      <c r="C53" s="193"/>
      <c r="D53" s="11"/>
      <c r="E53" s="11"/>
      <c r="F53" s="11"/>
      <c r="G53" s="11"/>
      <c r="H53" s="11"/>
      <c r="I53" s="11"/>
      <c r="J53" s="11"/>
      <c r="K53" s="11"/>
      <c r="L53" s="11"/>
      <c r="M53" s="47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 ht="12.75" customHeight="1">
      <c r="A54" s="120"/>
      <c r="B54" s="120"/>
      <c r="C54" s="191" t="s">
        <v>211</v>
      </c>
      <c r="D54" s="138" t="s">
        <v>205</v>
      </c>
      <c r="E54" s="154" t="s">
        <v>102</v>
      </c>
      <c r="F54" s="154" t="s">
        <v>114</v>
      </c>
      <c r="G54" s="140"/>
      <c r="H54" s="154" t="s">
        <v>119</v>
      </c>
      <c r="I54" s="154" t="s">
        <v>107</v>
      </c>
      <c r="J54" s="192">
        <v>6.0</v>
      </c>
      <c r="K54" s="192">
        <v>7.0</v>
      </c>
      <c r="L54" s="139">
        <v>1.0</v>
      </c>
      <c r="M54" s="139">
        <v>1.0</v>
      </c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 ht="12.75" customHeight="1">
      <c r="A55" s="120"/>
      <c r="B55" s="120"/>
      <c r="C55" s="71"/>
      <c r="D55" s="71"/>
      <c r="E55" s="71"/>
      <c r="F55" s="71"/>
      <c r="G55" s="71"/>
      <c r="H55" s="71"/>
      <c r="I55" s="71"/>
      <c r="J55" s="192">
        <v>6.0</v>
      </c>
      <c r="K55" s="192">
        <v>4.0</v>
      </c>
      <c r="L55" s="71"/>
      <c r="M55" s="71"/>
      <c r="N55" s="120"/>
      <c r="O55" s="120" t="s">
        <v>227</v>
      </c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 ht="4.5" customHeight="1">
      <c r="A56" s="120"/>
      <c r="B56" s="120"/>
      <c r="C56" s="193"/>
      <c r="D56" s="11"/>
      <c r="E56" s="11"/>
      <c r="F56" s="11"/>
      <c r="G56" s="11"/>
      <c r="H56" s="11"/>
      <c r="I56" s="11"/>
      <c r="J56" s="11"/>
      <c r="K56" s="11"/>
      <c r="L56" s="11"/>
      <c r="M56" s="47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 ht="12.75" customHeight="1">
      <c r="A57" s="120"/>
      <c r="B57" s="120"/>
      <c r="C57" s="191" t="s">
        <v>236</v>
      </c>
      <c r="D57" s="157" t="s">
        <v>209</v>
      </c>
      <c r="E57" s="154" t="s">
        <v>53</v>
      </c>
      <c r="F57" s="154" t="s">
        <v>46</v>
      </c>
      <c r="G57" s="140" t="s">
        <v>198</v>
      </c>
      <c r="H57" s="154" t="s">
        <v>58</v>
      </c>
      <c r="I57" s="154" t="s">
        <v>51</v>
      </c>
      <c r="J57" s="192">
        <v>3.0</v>
      </c>
      <c r="K57" s="192">
        <v>6.0</v>
      </c>
      <c r="L57" s="143">
        <f t="shared" ref="L57:M57" si="11">IF(J57+J58=12,2,IF(J57=6,1,IF(J58=6,1,0)))</f>
        <v>0</v>
      </c>
      <c r="M57" s="143">
        <f t="shared" si="11"/>
        <v>2</v>
      </c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 ht="12.75" customHeight="1">
      <c r="A58" s="120"/>
      <c r="B58" s="120"/>
      <c r="C58" s="71"/>
      <c r="D58" s="71"/>
      <c r="E58" s="71"/>
      <c r="F58" s="71"/>
      <c r="G58" s="71"/>
      <c r="H58" s="71"/>
      <c r="I58" s="71"/>
      <c r="J58" s="192">
        <v>3.0</v>
      </c>
      <c r="K58" s="192">
        <v>6.0</v>
      </c>
      <c r="L58" s="71"/>
      <c r="M58" s="71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 ht="4.5" customHeight="1">
      <c r="A59" s="120"/>
      <c r="B59" s="120"/>
      <c r="C59" s="193"/>
      <c r="D59" s="11"/>
      <c r="E59" s="11"/>
      <c r="F59" s="11"/>
      <c r="G59" s="11"/>
      <c r="H59" s="11"/>
      <c r="I59" s="11"/>
      <c r="J59" s="11"/>
      <c r="K59" s="11"/>
      <c r="L59" s="11"/>
      <c r="M59" s="47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 ht="12.75" customHeight="1">
      <c r="A60" s="120"/>
      <c r="B60" s="120"/>
      <c r="C60" s="195"/>
      <c r="D60" s="11"/>
      <c r="E60" s="11"/>
      <c r="F60" s="11"/>
      <c r="G60" s="11"/>
      <c r="H60" s="11"/>
      <c r="I60" s="47"/>
      <c r="J60" s="196">
        <f t="shared" ref="J60:M60" si="12">SUM(J48:J58)</f>
        <v>42</v>
      </c>
      <c r="K60" s="196">
        <f t="shared" si="12"/>
        <v>32</v>
      </c>
      <c r="L60" s="196">
        <f t="shared" si="12"/>
        <v>5</v>
      </c>
      <c r="M60" s="196">
        <f t="shared" si="12"/>
        <v>3</v>
      </c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 ht="4.5" customHeight="1">
      <c r="A61" s="120"/>
      <c r="B61" s="120"/>
      <c r="C61" s="193"/>
      <c r="D61" s="11"/>
      <c r="E61" s="11"/>
      <c r="F61" s="11"/>
      <c r="G61" s="11"/>
      <c r="H61" s="11"/>
      <c r="I61" s="11"/>
      <c r="J61" s="11"/>
      <c r="K61" s="11"/>
      <c r="L61" s="11"/>
      <c r="M61" s="47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 ht="12.75" customHeight="1">
      <c r="A62" s="120"/>
      <c r="B62" s="120"/>
      <c r="C62" s="197"/>
      <c r="D62" s="11"/>
      <c r="E62" s="11"/>
      <c r="F62" s="11"/>
      <c r="G62" s="11"/>
      <c r="H62" s="11"/>
      <c r="I62" s="11"/>
      <c r="J62" s="11"/>
      <c r="K62" s="11"/>
      <c r="L62" s="11"/>
      <c r="M62" s="47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 ht="12.75" customHeight="1">
      <c r="A63" s="120"/>
      <c r="B63" s="120"/>
      <c r="C63" s="191" t="s">
        <v>202</v>
      </c>
      <c r="D63" s="138" t="s">
        <v>212</v>
      </c>
      <c r="E63" s="154" t="s">
        <v>17</v>
      </c>
      <c r="F63" s="154" t="s">
        <v>183</v>
      </c>
      <c r="G63" s="140" t="s">
        <v>198</v>
      </c>
      <c r="H63" s="154" t="s">
        <v>22</v>
      </c>
      <c r="I63" s="154" t="s">
        <v>29</v>
      </c>
      <c r="J63" s="192">
        <v>6.0</v>
      </c>
      <c r="K63" s="192">
        <v>2.0</v>
      </c>
      <c r="L63" s="143">
        <f t="shared" ref="L63:M63" si="13">IF(J63+J64=12,2,IF(J63=6,1,IF(J64=6,1,0)))</f>
        <v>1</v>
      </c>
      <c r="M63" s="143">
        <f t="shared" si="13"/>
        <v>1</v>
      </c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 ht="12.75" customHeight="1">
      <c r="A64" s="120"/>
      <c r="B64" s="120"/>
      <c r="C64" s="71"/>
      <c r="D64" s="71"/>
      <c r="E64" s="71"/>
      <c r="F64" s="71"/>
      <c r="G64" s="71"/>
      <c r="H64" s="71"/>
      <c r="I64" s="71"/>
      <c r="J64" s="192">
        <v>3.0</v>
      </c>
      <c r="K64" s="192">
        <v>6.0</v>
      </c>
      <c r="L64" s="71"/>
      <c r="M64" s="71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 ht="4.5" customHeight="1">
      <c r="A65" s="120"/>
      <c r="B65" s="120"/>
      <c r="C65" s="193"/>
      <c r="D65" s="11"/>
      <c r="E65" s="11"/>
      <c r="F65" s="11"/>
      <c r="G65" s="11"/>
      <c r="H65" s="11"/>
      <c r="I65" s="11"/>
      <c r="J65" s="11"/>
      <c r="K65" s="11"/>
      <c r="L65" s="11"/>
      <c r="M65" s="47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 ht="12.75" customHeight="1">
      <c r="A66" s="120"/>
      <c r="B66" s="120"/>
      <c r="C66" s="191" t="s">
        <v>204</v>
      </c>
      <c r="D66" s="138" t="s">
        <v>207</v>
      </c>
      <c r="E66" s="154" t="s">
        <v>95</v>
      </c>
      <c r="F66" s="154" t="s">
        <v>88</v>
      </c>
      <c r="G66" s="140" t="s">
        <v>198</v>
      </c>
      <c r="H66" s="154" t="s">
        <v>93</v>
      </c>
      <c r="I66" s="154" t="s">
        <v>86</v>
      </c>
      <c r="J66" s="192">
        <v>3.0</v>
      </c>
      <c r="K66" s="192">
        <v>6.0</v>
      </c>
      <c r="L66" s="143">
        <f t="shared" ref="L66:M66" si="14">IF(J66+J67=12,2,IF(J66=6,1,IF(J67=6,1,0)))</f>
        <v>0</v>
      </c>
      <c r="M66" s="143">
        <f t="shared" si="14"/>
        <v>2</v>
      </c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 ht="12.75" customHeight="1">
      <c r="A67" s="120"/>
      <c r="B67" s="120"/>
      <c r="C67" s="71"/>
      <c r="D67" s="71"/>
      <c r="E67" s="71"/>
      <c r="F67" s="71"/>
      <c r="G67" s="71"/>
      <c r="H67" s="71"/>
      <c r="I67" s="71"/>
      <c r="J67" s="192">
        <v>0.0</v>
      </c>
      <c r="K67" s="192">
        <v>6.0</v>
      </c>
      <c r="L67" s="71"/>
      <c r="M67" s="71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 ht="4.5" customHeight="1">
      <c r="A68" s="120"/>
      <c r="B68" s="120"/>
      <c r="C68" s="193"/>
      <c r="D68" s="11"/>
      <c r="E68" s="11"/>
      <c r="F68" s="11"/>
      <c r="G68" s="11"/>
      <c r="H68" s="11"/>
      <c r="I68" s="11"/>
      <c r="J68" s="11"/>
      <c r="K68" s="11"/>
      <c r="L68" s="11"/>
      <c r="M68" s="47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 ht="12.75" customHeight="1">
      <c r="A69" s="120"/>
      <c r="B69" s="120"/>
      <c r="C69" s="191" t="s">
        <v>211</v>
      </c>
      <c r="D69" s="138" t="s">
        <v>213</v>
      </c>
      <c r="E69" s="154" t="s">
        <v>126</v>
      </c>
      <c r="F69" s="154" t="s">
        <v>132</v>
      </c>
      <c r="G69" s="140" t="s">
        <v>198</v>
      </c>
      <c r="H69" s="154" t="s">
        <v>125</v>
      </c>
      <c r="I69" s="154" t="s">
        <v>137</v>
      </c>
      <c r="J69" s="192">
        <v>1.0</v>
      </c>
      <c r="K69" s="192">
        <v>6.0</v>
      </c>
      <c r="L69" s="143">
        <f t="shared" ref="L69:M69" si="15">IF(J69+J70=12,2,IF(J69=6,1,IF(J70=6,1,0)))</f>
        <v>0</v>
      </c>
      <c r="M69" s="143">
        <f t="shared" si="15"/>
        <v>2</v>
      </c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 ht="12.75" customHeight="1">
      <c r="A70" s="120"/>
      <c r="B70" s="120"/>
      <c r="C70" s="71"/>
      <c r="D70" s="71"/>
      <c r="E70" s="71"/>
      <c r="F70" s="71"/>
      <c r="G70" s="71"/>
      <c r="H70" s="71"/>
      <c r="I70" s="71"/>
      <c r="J70" s="192">
        <v>0.0</v>
      </c>
      <c r="K70" s="192">
        <v>6.0</v>
      </c>
      <c r="L70" s="71"/>
      <c r="M70" s="71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 ht="4.5" customHeight="1">
      <c r="A71" s="120"/>
      <c r="B71" s="120"/>
      <c r="C71" s="193"/>
      <c r="D71" s="11"/>
      <c r="E71" s="11"/>
      <c r="F71" s="11"/>
      <c r="G71" s="11"/>
      <c r="H71" s="11"/>
      <c r="I71" s="11"/>
      <c r="J71" s="11"/>
      <c r="K71" s="11"/>
      <c r="L71" s="11"/>
      <c r="M71" s="47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 ht="12.75" customHeight="1">
      <c r="A72" s="120"/>
      <c r="B72" s="120"/>
      <c r="C72" s="191" t="s">
        <v>204</v>
      </c>
      <c r="D72" s="175"/>
      <c r="E72" s="176"/>
      <c r="F72" s="176"/>
      <c r="G72" s="140" t="s">
        <v>198</v>
      </c>
      <c r="H72" s="176"/>
      <c r="I72" s="176"/>
      <c r="J72" s="196"/>
      <c r="K72" s="196"/>
      <c r="L72" s="143">
        <f t="shared" ref="L72:M72" si="16">IF(J72+J73=12,2,IF(J72=6,1,IF(J73=6,1,0)))</f>
        <v>0</v>
      </c>
      <c r="M72" s="143">
        <f t="shared" si="16"/>
        <v>0</v>
      </c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 ht="12.75" customHeight="1">
      <c r="A73" s="120"/>
      <c r="B73" s="120"/>
      <c r="C73" s="71"/>
      <c r="D73" s="71"/>
      <c r="E73" s="71"/>
      <c r="F73" s="71"/>
      <c r="G73" s="71"/>
      <c r="H73" s="71"/>
      <c r="I73" s="71"/>
      <c r="J73" s="196"/>
      <c r="K73" s="196"/>
      <c r="L73" s="71"/>
      <c r="M73" s="71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 ht="4.5" customHeight="1">
      <c r="A74" s="120"/>
      <c r="B74" s="120"/>
      <c r="C74" s="193"/>
      <c r="D74" s="11"/>
      <c r="E74" s="11"/>
      <c r="F74" s="11"/>
      <c r="G74" s="11"/>
      <c r="H74" s="11"/>
      <c r="I74" s="11"/>
      <c r="J74" s="11"/>
      <c r="K74" s="11"/>
      <c r="L74" s="11"/>
      <c r="M74" s="47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 ht="12.75" customHeight="1">
      <c r="A75" s="120"/>
      <c r="B75" s="120"/>
      <c r="C75" s="195" t="s">
        <v>233</v>
      </c>
      <c r="D75" s="11"/>
      <c r="E75" s="11"/>
      <c r="F75" s="11"/>
      <c r="G75" s="11"/>
      <c r="H75" s="11"/>
      <c r="I75" s="47"/>
      <c r="J75" s="196">
        <f t="shared" ref="J75:M75" si="17">SUM(J63:J73)</f>
        <v>13</v>
      </c>
      <c r="K75" s="196">
        <f t="shared" si="17"/>
        <v>32</v>
      </c>
      <c r="L75" s="196">
        <f t="shared" si="17"/>
        <v>1</v>
      </c>
      <c r="M75" s="196">
        <f t="shared" si="17"/>
        <v>5</v>
      </c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 ht="4.5" customHeight="1">
      <c r="A76" s="120"/>
      <c r="B76" s="120"/>
      <c r="C76" s="193"/>
      <c r="D76" s="11"/>
      <c r="E76" s="11"/>
      <c r="F76" s="11"/>
      <c r="G76" s="11"/>
      <c r="H76" s="11"/>
      <c r="I76" s="11"/>
      <c r="J76" s="11"/>
      <c r="K76" s="11"/>
      <c r="L76" s="11"/>
      <c r="M76" s="47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 ht="12.75" customHeight="1">
      <c r="A77" s="120"/>
      <c r="B77" s="120"/>
      <c r="C77" s="197" t="s">
        <v>234</v>
      </c>
      <c r="D77" s="11"/>
      <c r="E77" s="11"/>
      <c r="F77" s="11"/>
      <c r="G77" s="11"/>
      <c r="H77" s="11"/>
      <c r="I77" s="47"/>
      <c r="J77" s="198">
        <f t="shared" ref="J77:M77" si="18">J75+J60</f>
        <v>55</v>
      </c>
      <c r="K77" s="198">
        <f t="shared" si="18"/>
        <v>64</v>
      </c>
      <c r="L77" s="198">
        <f t="shared" si="18"/>
        <v>6</v>
      </c>
      <c r="M77" s="198">
        <f t="shared" si="18"/>
        <v>8</v>
      </c>
      <c r="N77" s="120"/>
      <c r="O77" s="120"/>
      <c r="P77" s="120"/>
      <c r="Q77" s="120"/>
      <c r="R77" s="120" t="s">
        <v>227</v>
      </c>
      <c r="S77" s="120"/>
      <c r="T77" s="120"/>
      <c r="U77" s="120"/>
      <c r="V77" s="120"/>
      <c r="W77" s="120"/>
      <c r="X77" s="120"/>
      <c r="Y77" s="120"/>
      <c r="Z77" s="120"/>
    </row>
    <row r="78" ht="6.75" customHeight="1">
      <c r="A78" s="120"/>
      <c r="B78" s="120"/>
      <c r="C78" s="193"/>
      <c r="D78" s="11"/>
      <c r="E78" s="11"/>
      <c r="F78" s="11"/>
      <c r="G78" s="11"/>
      <c r="H78" s="11"/>
      <c r="I78" s="11"/>
      <c r="J78" s="11"/>
      <c r="K78" s="11"/>
      <c r="L78" s="11"/>
      <c r="M78" s="47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 ht="12.75" customHeight="1">
      <c r="A79" s="120"/>
      <c r="B79" s="120"/>
      <c r="C79" s="189" t="s">
        <v>224</v>
      </c>
      <c r="D79" s="127"/>
      <c r="E79" s="127"/>
      <c r="F79" s="127"/>
      <c r="G79" s="127"/>
      <c r="H79" s="127"/>
      <c r="I79" s="127"/>
      <c r="J79" s="127"/>
      <c r="K79" s="127"/>
      <c r="L79" s="127"/>
      <c r="M79" s="188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 ht="12.75" customHeight="1">
      <c r="A80" s="120"/>
      <c r="B80" s="120"/>
      <c r="C80" s="166"/>
      <c r="D80" s="130"/>
      <c r="E80" s="130"/>
      <c r="F80" s="130"/>
      <c r="G80" s="130"/>
      <c r="H80" s="130"/>
      <c r="I80" s="130"/>
      <c r="J80" s="130"/>
      <c r="K80" s="130"/>
      <c r="L80" s="130"/>
      <c r="M80" s="164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 ht="25.5" customHeight="1">
      <c r="A81" s="120"/>
      <c r="B81" s="120"/>
      <c r="C81" s="200" t="s">
        <v>195</v>
      </c>
      <c r="D81" s="134" t="s">
        <v>196</v>
      </c>
      <c r="E81" s="135" t="s">
        <v>199</v>
      </c>
      <c r="F81" s="47"/>
      <c r="G81" s="134"/>
      <c r="H81" s="135" t="s">
        <v>218</v>
      </c>
      <c r="I81" s="47"/>
      <c r="J81" s="136" t="s">
        <v>200</v>
      </c>
      <c r="K81" s="47"/>
      <c r="L81" s="136" t="s">
        <v>201</v>
      </c>
      <c r="M81" s="47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 ht="12.75" customHeight="1">
      <c r="A82" s="120"/>
      <c r="B82" s="120"/>
      <c r="C82" s="190"/>
      <c r="D82" s="11"/>
      <c r="E82" s="11"/>
      <c r="F82" s="11"/>
      <c r="G82" s="11"/>
      <c r="H82" s="11"/>
      <c r="I82" s="11"/>
      <c r="J82" s="11"/>
      <c r="K82" s="11"/>
      <c r="L82" s="11"/>
      <c r="M82" s="47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 ht="12.75" customHeight="1">
      <c r="A83" s="120"/>
      <c r="B83" s="120"/>
      <c r="C83" s="191" t="s">
        <v>202</v>
      </c>
      <c r="D83" s="138" t="s">
        <v>212</v>
      </c>
      <c r="E83" s="154" t="s">
        <v>19</v>
      </c>
      <c r="F83" s="154" t="s">
        <v>93</v>
      </c>
      <c r="G83" s="140" t="s">
        <v>198</v>
      </c>
      <c r="H83" s="154" t="s">
        <v>21</v>
      </c>
      <c r="I83" s="154" t="s">
        <v>28</v>
      </c>
      <c r="J83" s="192">
        <v>6.0</v>
      </c>
      <c r="K83" s="192">
        <v>4.0</v>
      </c>
      <c r="L83" s="143">
        <f t="shared" ref="L83:M83" si="19">IF(J83+J84=12,2,IF(J83=6,1,IF(J84=6,1,0)))</f>
        <v>1</v>
      </c>
      <c r="M83" s="143">
        <f t="shared" si="19"/>
        <v>1</v>
      </c>
      <c r="N83" s="120"/>
      <c r="O83" s="120"/>
      <c r="P83" s="120"/>
      <c r="Q83" s="120"/>
      <c r="R83" s="120" t="s">
        <v>227</v>
      </c>
      <c r="S83" s="120"/>
      <c r="T83" s="120"/>
      <c r="U83" s="120"/>
      <c r="V83" s="120"/>
      <c r="W83" s="120"/>
      <c r="X83" s="120"/>
      <c r="Y83" s="120"/>
      <c r="Z83" s="120"/>
    </row>
    <row r="84" ht="12.75" customHeight="1">
      <c r="A84" s="120"/>
      <c r="B84" s="120"/>
      <c r="C84" s="71"/>
      <c r="D84" s="71"/>
      <c r="E84" s="71"/>
      <c r="F84" s="71"/>
      <c r="G84" s="71"/>
      <c r="H84" s="71"/>
      <c r="I84" s="71"/>
      <c r="J84" s="192">
        <v>0.0</v>
      </c>
      <c r="K84" s="192">
        <v>6.0</v>
      </c>
      <c r="L84" s="71"/>
      <c r="M84" s="71"/>
      <c r="N84" s="120"/>
      <c r="O84" s="120"/>
      <c r="P84" s="201"/>
      <c r="Q84" s="201"/>
      <c r="R84" s="120"/>
      <c r="S84" s="120"/>
      <c r="T84" s="120"/>
      <c r="U84" s="120"/>
      <c r="V84" s="120"/>
      <c r="W84" s="120"/>
      <c r="X84" s="120"/>
      <c r="Y84" s="120"/>
      <c r="Z84" s="120"/>
    </row>
    <row r="85" ht="4.5" customHeight="1">
      <c r="A85" s="120"/>
      <c r="B85" s="120"/>
      <c r="C85" s="193"/>
      <c r="D85" s="11"/>
      <c r="E85" s="11"/>
      <c r="F85" s="11"/>
      <c r="G85" s="11"/>
      <c r="H85" s="11"/>
      <c r="I85" s="11"/>
      <c r="J85" s="11"/>
      <c r="K85" s="11"/>
      <c r="L85" s="11"/>
      <c r="M85" s="47"/>
      <c r="N85" s="120"/>
      <c r="O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 ht="12.75" customHeight="1">
      <c r="A86" s="120"/>
      <c r="B86" s="120"/>
      <c r="C86" s="191" t="s">
        <v>204</v>
      </c>
      <c r="D86" s="138" t="s">
        <v>213</v>
      </c>
      <c r="E86" s="154" t="s">
        <v>128</v>
      </c>
      <c r="F86" s="154" t="s">
        <v>134</v>
      </c>
      <c r="G86" s="140" t="s">
        <v>198</v>
      </c>
      <c r="H86" s="154" t="s">
        <v>124</v>
      </c>
      <c r="I86" s="154" t="s">
        <v>136</v>
      </c>
      <c r="J86" s="192">
        <v>6.0</v>
      </c>
      <c r="K86" s="192">
        <v>4.0</v>
      </c>
      <c r="L86" s="143">
        <f t="shared" ref="L86:M86" si="20">IF(J86+J87=12,2,IF(J86=6,1,IF(J87=6,1,0)))</f>
        <v>1</v>
      </c>
      <c r="M86" s="143">
        <f t="shared" si="20"/>
        <v>1</v>
      </c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 ht="12.75" customHeight="1">
      <c r="A87" s="120"/>
      <c r="B87" s="120"/>
      <c r="C87" s="71"/>
      <c r="D87" s="71"/>
      <c r="E87" s="71"/>
      <c r="F87" s="71"/>
      <c r="G87" s="71"/>
      <c r="H87" s="71"/>
      <c r="I87" s="71"/>
      <c r="J87" s="192">
        <v>3.0</v>
      </c>
      <c r="K87" s="192">
        <v>6.0</v>
      </c>
      <c r="L87" s="71"/>
      <c r="M87" s="71"/>
      <c r="N87" s="120"/>
      <c r="O87" s="120" t="s">
        <v>227</v>
      </c>
      <c r="P87" s="201"/>
      <c r="Q87" s="201"/>
      <c r="R87" s="120"/>
      <c r="S87" s="120"/>
      <c r="T87" s="120"/>
      <c r="U87" s="120"/>
      <c r="V87" s="120"/>
      <c r="W87" s="120"/>
      <c r="X87" s="120"/>
      <c r="Y87" s="120"/>
      <c r="Z87" s="120"/>
    </row>
    <row r="88" ht="4.5" customHeight="1">
      <c r="A88" s="120"/>
      <c r="B88" s="120"/>
      <c r="C88" s="193"/>
      <c r="D88" s="11"/>
      <c r="E88" s="11"/>
      <c r="F88" s="11"/>
      <c r="G88" s="11"/>
      <c r="H88" s="11"/>
      <c r="I88" s="11"/>
      <c r="J88" s="11"/>
      <c r="K88" s="11"/>
      <c r="L88" s="11"/>
      <c r="M88" s="47"/>
      <c r="N88" s="120"/>
      <c r="O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 ht="12.75" customHeight="1">
      <c r="A89" s="120"/>
      <c r="B89" s="120"/>
      <c r="C89" s="191" t="s">
        <v>211</v>
      </c>
      <c r="D89" s="138" t="s">
        <v>210</v>
      </c>
      <c r="E89" s="154" t="s">
        <v>62</v>
      </c>
      <c r="F89" s="154" t="s">
        <v>76</v>
      </c>
      <c r="G89" s="140" t="s">
        <v>198</v>
      </c>
      <c r="H89" s="154" t="s">
        <v>64</v>
      </c>
      <c r="I89" s="154" t="s">
        <v>237</v>
      </c>
      <c r="J89" s="192">
        <v>4.0</v>
      </c>
      <c r="K89" s="192">
        <v>6.0</v>
      </c>
      <c r="L89" s="143">
        <f t="shared" ref="L89:M89" si="21">IF(J89+J90=12,2,IF(J89=6,1,IF(J90=6,1,0)))</f>
        <v>0</v>
      </c>
      <c r="M89" s="143">
        <f t="shared" si="21"/>
        <v>2</v>
      </c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 ht="12.75" customHeight="1">
      <c r="A90" s="120"/>
      <c r="B90" s="120"/>
      <c r="C90" s="71"/>
      <c r="D90" s="71"/>
      <c r="E90" s="71"/>
      <c r="F90" s="71"/>
      <c r="G90" s="71"/>
      <c r="H90" s="71"/>
      <c r="I90" s="71"/>
      <c r="J90" s="192">
        <v>3.0</v>
      </c>
      <c r="K90" s="192">
        <v>6.0</v>
      </c>
      <c r="L90" s="71"/>
      <c r="M90" s="71"/>
      <c r="N90" s="120"/>
      <c r="O90" s="120"/>
      <c r="P90" s="201"/>
      <c r="Q90" s="201"/>
      <c r="R90" s="120"/>
      <c r="S90" s="120"/>
      <c r="T90" s="120"/>
      <c r="U90" s="120"/>
      <c r="V90" s="120"/>
      <c r="W90" s="120"/>
      <c r="X90" s="120"/>
      <c r="Y90" s="120"/>
      <c r="Z90" s="120"/>
    </row>
    <row r="91" ht="4.5" customHeight="1">
      <c r="A91" s="120"/>
      <c r="B91" s="120"/>
      <c r="C91" s="202" t="s">
        <v>191</v>
      </c>
      <c r="D91" s="11"/>
      <c r="E91" s="11"/>
      <c r="F91" s="11"/>
      <c r="G91" s="11"/>
      <c r="H91" s="11"/>
      <c r="I91" s="11"/>
      <c r="J91" s="11"/>
      <c r="K91" s="11"/>
      <c r="L91" s="11"/>
      <c r="M91" s="47"/>
      <c r="N91" s="120"/>
      <c r="O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 ht="12.75" customHeight="1">
      <c r="A92" s="120"/>
      <c r="B92" s="120"/>
      <c r="C92" s="191" t="s">
        <v>211</v>
      </c>
      <c r="D92" s="157" t="s">
        <v>207</v>
      </c>
      <c r="E92" s="139" t="s">
        <v>83</v>
      </c>
      <c r="F92" s="139" t="s">
        <v>97</v>
      </c>
      <c r="G92" s="140" t="s">
        <v>198</v>
      </c>
      <c r="H92" s="154" t="s">
        <v>85</v>
      </c>
      <c r="I92" s="154" t="s">
        <v>99</v>
      </c>
      <c r="J92" s="192">
        <v>0.0</v>
      </c>
      <c r="K92" s="192">
        <v>6.0</v>
      </c>
      <c r="L92" s="143">
        <f>IF(J92+J93=12,2,IF(J92=6,1,IF(J93=6,1,0)))</f>
        <v>0</v>
      </c>
      <c r="M92" s="139">
        <v>2.0</v>
      </c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 ht="12.75" customHeight="1">
      <c r="A93" s="120"/>
      <c r="B93" s="120"/>
      <c r="C93" s="71"/>
      <c r="D93" s="71"/>
      <c r="E93" s="71"/>
      <c r="F93" s="71"/>
      <c r="G93" s="71"/>
      <c r="H93" s="71"/>
      <c r="I93" s="71"/>
      <c r="J93" s="192">
        <v>3.0</v>
      </c>
      <c r="K93" s="192">
        <v>6.0</v>
      </c>
      <c r="L93" s="71"/>
      <c r="M93" s="71"/>
      <c r="N93" s="120"/>
      <c r="O93" s="120"/>
      <c r="P93" s="203"/>
      <c r="Q93" s="203"/>
      <c r="R93" s="120"/>
      <c r="S93" s="120"/>
      <c r="T93" s="120"/>
      <c r="U93" s="120"/>
      <c r="V93" s="120"/>
      <c r="W93" s="120"/>
      <c r="X93" s="120"/>
      <c r="Y93" s="120"/>
      <c r="Z93" s="120"/>
    </row>
    <row r="94" ht="4.5" customHeight="1">
      <c r="A94" s="120"/>
      <c r="B94" s="120"/>
      <c r="C94" s="193"/>
      <c r="D94" s="11"/>
      <c r="E94" s="11"/>
      <c r="F94" s="11"/>
      <c r="G94" s="11"/>
      <c r="H94" s="11"/>
      <c r="I94" s="11"/>
      <c r="J94" s="11"/>
      <c r="K94" s="11"/>
      <c r="L94" s="11"/>
      <c r="M94" s="47"/>
      <c r="N94" s="120"/>
      <c r="O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 ht="12.75" customHeight="1">
      <c r="A95" s="120"/>
      <c r="B95" s="120"/>
      <c r="C95" s="195" t="s">
        <v>229</v>
      </c>
      <c r="D95" s="11"/>
      <c r="E95" s="11"/>
      <c r="F95" s="11"/>
      <c r="G95" s="11"/>
      <c r="H95" s="11"/>
      <c r="I95" s="47"/>
      <c r="J95" s="196">
        <f t="shared" ref="J95:M95" si="22">SUM(J83:J93)</f>
        <v>25</v>
      </c>
      <c r="K95" s="196">
        <f t="shared" si="22"/>
        <v>44</v>
      </c>
      <c r="L95" s="196">
        <f t="shared" si="22"/>
        <v>2</v>
      </c>
      <c r="M95" s="196">
        <f t="shared" si="22"/>
        <v>6</v>
      </c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 ht="4.5" customHeight="1">
      <c r="A96" s="120"/>
      <c r="B96" s="120"/>
      <c r="C96" s="193"/>
      <c r="D96" s="11"/>
      <c r="E96" s="11"/>
      <c r="F96" s="11"/>
      <c r="G96" s="11"/>
      <c r="H96" s="11"/>
      <c r="I96" s="11"/>
      <c r="J96" s="11"/>
      <c r="K96" s="11"/>
      <c r="L96" s="11"/>
      <c r="M96" s="47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 ht="12.75" customHeight="1">
      <c r="A97" s="120"/>
      <c r="B97" s="120"/>
      <c r="C97" s="197"/>
      <c r="D97" s="11"/>
      <c r="E97" s="11"/>
      <c r="F97" s="11"/>
      <c r="G97" s="11"/>
      <c r="H97" s="11"/>
      <c r="I97" s="11"/>
      <c r="J97" s="11"/>
      <c r="K97" s="11"/>
      <c r="L97" s="11"/>
      <c r="M97" s="47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 ht="12.75" customHeight="1">
      <c r="A98" s="120"/>
      <c r="B98" s="120"/>
      <c r="C98" s="191" t="s">
        <v>202</v>
      </c>
      <c r="D98" s="138" t="s">
        <v>205</v>
      </c>
      <c r="E98" s="154" t="s">
        <v>104</v>
      </c>
      <c r="F98" s="154" t="s">
        <v>116</v>
      </c>
      <c r="G98" s="140" t="s">
        <v>198</v>
      </c>
      <c r="H98" s="154" t="s">
        <v>112</v>
      </c>
      <c r="I98" s="154" t="s">
        <v>118</v>
      </c>
      <c r="J98" s="192">
        <v>4.0</v>
      </c>
      <c r="K98" s="192">
        <v>6.0</v>
      </c>
      <c r="L98" s="143">
        <f t="shared" ref="L98:M98" si="23">IF(J98+J99=12,2,IF(J98=6,1,IF(J99=6,1,0)))</f>
        <v>1</v>
      </c>
      <c r="M98" s="143">
        <f t="shared" si="23"/>
        <v>1</v>
      </c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 ht="12.75" customHeight="1">
      <c r="A99" s="120"/>
      <c r="B99" s="120"/>
      <c r="C99" s="71"/>
      <c r="D99" s="71"/>
      <c r="E99" s="71"/>
      <c r="F99" s="71"/>
      <c r="G99" s="71"/>
      <c r="H99" s="71"/>
      <c r="I99" s="71"/>
      <c r="J99" s="192">
        <v>6.0</v>
      </c>
      <c r="K99" s="192">
        <v>4.0</v>
      </c>
      <c r="L99" s="71"/>
      <c r="M99" s="71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 ht="4.5" customHeight="1">
      <c r="A100" s="120"/>
      <c r="B100" s="120"/>
      <c r="C100" s="193"/>
      <c r="D100" s="11"/>
      <c r="E100" s="11"/>
      <c r="F100" s="11"/>
      <c r="G100" s="11"/>
      <c r="H100" s="11"/>
      <c r="I100" s="11"/>
      <c r="J100" s="11"/>
      <c r="K100" s="11"/>
      <c r="L100" s="11"/>
      <c r="M100" s="47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 ht="12.75" customHeight="1">
      <c r="A101" s="120"/>
      <c r="B101" s="120"/>
      <c r="C101" s="191" t="s">
        <v>204</v>
      </c>
      <c r="D101" s="138" t="s">
        <v>209</v>
      </c>
      <c r="E101" s="154" t="s">
        <v>48</v>
      </c>
      <c r="F101" s="154" t="s">
        <v>55</v>
      </c>
      <c r="G101" s="140" t="s">
        <v>198</v>
      </c>
      <c r="H101" s="154" t="s">
        <v>42</v>
      </c>
      <c r="I101" s="154" t="s">
        <v>50</v>
      </c>
      <c r="J101" s="192">
        <v>6.0</v>
      </c>
      <c r="K101" s="192">
        <v>7.0</v>
      </c>
      <c r="L101" s="139">
        <v>0.0</v>
      </c>
      <c r="M101" s="139">
        <v>2.0</v>
      </c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 ht="12.75" customHeight="1">
      <c r="A102" s="120"/>
      <c r="B102" s="120"/>
      <c r="C102" s="71"/>
      <c r="D102" s="71"/>
      <c r="E102" s="71"/>
      <c r="F102" s="71"/>
      <c r="G102" s="71"/>
      <c r="H102" s="71"/>
      <c r="I102" s="71"/>
      <c r="J102" s="192">
        <v>1.0</v>
      </c>
      <c r="K102" s="192">
        <v>6.0</v>
      </c>
      <c r="L102" s="71"/>
      <c r="M102" s="71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 ht="4.5" customHeight="1">
      <c r="A103" s="120"/>
      <c r="B103" s="120"/>
      <c r="C103" s="193"/>
      <c r="D103" s="11"/>
      <c r="E103" s="11"/>
      <c r="F103" s="11"/>
      <c r="G103" s="11"/>
      <c r="H103" s="11"/>
      <c r="I103" s="11"/>
      <c r="J103" s="11"/>
      <c r="K103" s="11"/>
      <c r="L103" s="11"/>
      <c r="M103" s="47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 ht="12.75" customHeight="1">
      <c r="A104" s="120"/>
      <c r="B104" s="120"/>
      <c r="C104" s="191" t="s">
        <v>211</v>
      </c>
      <c r="D104" s="138" t="s">
        <v>203</v>
      </c>
      <c r="E104" s="154" t="s">
        <v>140</v>
      </c>
      <c r="F104" s="154" t="s">
        <v>152</v>
      </c>
      <c r="G104" s="140" t="s">
        <v>198</v>
      </c>
      <c r="H104" s="154" t="s">
        <v>142</v>
      </c>
      <c r="I104" s="154" t="s">
        <v>148</v>
      </c>
      <c r="J104" s="192">
        <v>6.0</v>
      </c>
      <c r="K104" s="192">
        <v>3.0</v>
      </c>
      <c r="L104" s="143">
        <f t="shared" ref="L104:M104" si="24">IF(J104+J105=12,2,IF(J104=6,1,IF(J105=6,1,0)))</f>
        <v>1</v>
      </c>
      <c r="M104" s="143">
        <f t="shared" si="24"/>
        <v>1</v>
      </c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 ht="12.75" customHeight="1">
      <c r="A105" s="120"/>
      <c r="B105" s="120"/>
      <c r="C105" s="71"/>
      <c r="D105" s="71"/>
      <c r="E105" s="71"/>
      <c r="F105" s="71"/>
      <c r="G105" s="71"/>
      <c r="H105" s="71"/>
      <c r="I105" s="71"/>
      <c r="J105" s="192">
        <v>1.0</v>
      </c>
      <c r="K105" s="192">
        <v>6.0</v>
      </c>
      <c r="L105" s="71"/>
      <c r="M105" s="71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 ht="4.5" customHeight="1">
      <c r="A106" s="120"/>
      <c r="B106" s="120"/>
      <c r="C106" s="193"/>
      <c r="D106" s="11"/>
      <c r="E106" s="11"/>
      <c r="F106" s="11"/>
      <c r="G106" s="11"/>
      <c r="H106" s="11"/>
      <c r="I106" s="11"/>
      <c r="J106" s="11"/>
      <c r="K106" s="11"/>
      <c r="L106" s="11"/>
      <c r="M106" s="47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 ht="12.75" customHeight="1">
      <c r="A107" s="120"/>
      <c r="B107" s="120"/>
      <c r="C107" s="191" t="s">
        <v>211</v>
      </c>
      <c r="D107" s="175"/>
      <c r="E107" s="176"/>
      <c r="F107" s="176"/>
      <c r="G107" s="140" t="s">
        <v>198</v>
      </c>
      <c r="H107" s="176"/>
      <c r="I107" s="176"/>
      <c r="J107" s="196"/>
      <c r="K107" s="196"/>
      <c r="L107" s="143">
        <f t="shared" ref="L107:M107" si="25">IF(J107+J108=12,2,IF(J107=6,1,IF(J108=6,1,0)))</f>
        <v>0</v>
      </c>
      <c r="M107" s="143">
        <f t="shared" si="25"/>
        <v>0</v>
      </c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 ht="12.75" customHeight="1">
      <c r="A108" s="120"/>
      <c r="B108" s="120"/>
      <c r="C108" s="71"/>
      <c r="D108" s="71"/>
      <c r="E108" s="71"/>
      <c r="F108" s="71"/>
      <c r="G108" s="71"/>
      <c r="H108" s="71"/>
      <c r="I108" s="71"/>
      <c r="J108" s="196"/>
      <c r="K108" s="196"/>
      <c r="L108" s="71"/>
      <c r="M108" s="71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 ht="4.5" customHeight="1">
      <c r="A109" s="120"/>
      <c r="B109" s="120"/>
      <c r="C109" s="193"/>
      <c r="D109" s="11"/>
      <c r="E109" s="11"/>
      <c r="F109" s="11"/>
      <c r="G109" s="11"/>
      <c r="H109" s="11"/>
      <c r="I109" s="11"/>
      <c r="J109" s="11"/>
      <c r="K109" s="11"/>
      <c r="L109" s="11"/>
      <c r="M109" s="47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 ht="12.75" customHeight="1">
      <c r="A110" s="120"/>
      <c r="B110" s="120"/>
      <c r="C110" s="195" t="s">
        <v>233</v>
      </c>
      <c r="D110" s="11"/>
      <c r="E110" s="11"/>
      <c r="F110" s="11"/>
      <c r="G110" s="11"/>
      <c r="H110" s="11"/>
      <c r="I110" s="47"/>
      <c r="J110" s="196">
        <f t="shared" ref="J110:M110" si="26">SUM(J98:J108)</f>
        <v>24</v>
      </c>
      <c r="K110" s="196">
        <f t="shared" si="26"/>
        <v>32</v>
      </c>
      <c r="L110" s="196">
        <f t="shared" si="26"/>
        <v>2</v>
      </c>
      <c r="M110" s="196">
        <f t="shared" si="26"/>
        <v>4</v>
      </c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 ht="4.5" customHeight="1">
      <c r="A111" s="120"/>
      <c r="B111" s="120"/>
      <c r="C111" s="193"/>
      <c r="D111" s="11"/>
      <c r="E111" s="11"/>
      <c r="F111" s="11"/>
      <c r="G111" s="11"/>
      <c r="H111" s="11"/>
      <c r="I111" s="11"/>
      <c r="J111" s="11"/>
      <c r="K111" s="11"/>
      <c r="L111" s="11"/>
      <c r="M111" s="47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 ht="12.75" customHeight="1">
      <c r="A112" s="120"/>
      <c r="B112" s="120"/>
      <c r="C112" s="197" t="s">
        <v>234</v>
      </c>
      <c r="D112" s="11"/>
      <c r="E112" s="11"/>
      <c r="F112" s="11"/>
      <c r="G112" s="11"/>
      <c r="H112" s="11"/>
      <c r="I112" s="47"/>
      <c r="J112" s="198">
        <f t="shared" ref="J112:M112" si="27">J110+J95</f>
        <v>49</v>
      </c>
      <c r="K112" s="198">
        <f t="shared" si="27"/>
        <v>76</v>
      </c>
      <c r="L112" s="198">
        <f t="shared" si="27"/>
        <v>4</v>
      </c>
      <c r="M112" s="198">
        <f t="shared" si="27"/>
        <v>10</v>
      </c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 ht="6.75" customHeight="1">
      <c r="A113" s="120"/>
      <c r="B113" s="120"/>
      <c r="C113" s="193"/>
      <c r="D113" s="11"/>
      <c r="E113" s="11"/>
      <c r="F113" s="11"/>
      <c r="G113" s="11"/>
      <c r="H113" s="11"/>
      <c r="I113" s="11"/>
      <c r="J113" s="11"/>
      <c r="K113" s="11"/>
      <c r="L113" s="11"/>
      <c r="M113" s="47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 ht="12.75" customHeight="1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ht="12.75" customHeight="1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t="12.75" customHeight="1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t="12.75" customHeight="1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t="12.75" customHeight="1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 ht="12.75" customHeight="1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 ht="12.75" customHeight="1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t="12.75" customHeight="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 ht="12.75" customHeight="1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 ht="12.75" customHeight="1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 ht="12.75" customHeight="1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 ht="12.75" customHeight="1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ht="12.75" customHeight="1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t="12.75" customHeight="1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t="12.75" customHeight="1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t="12.75" customHeight="1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 ht="12.75" customHeight="1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 ht="12.75" customHeight="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 ht="12.75" customHeight="1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 ht="12.75" customHeight="1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 ht="12.75" customHeight="1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 ht="12.75" customHeight="1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 ht="12.75" customHeight="1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t="12.75" customHeight="1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t="12.75" customHeight="1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t="12.75" customHeight="1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t="12.75" customHeight="1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 ht="12.75" customHeight="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 ht="12.75" customHeight="1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t="12.75" customHeight="1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t="12.75" customHeight="1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t="12.75" customHeight="1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t="12.75" customHeight="1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t="12.75" customHeight="1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 ht="12.75" customHeight="1">
      <c r="A148" s="120"/>
      <c r="B148" s="120"/>
      <c r="C148" s="120"/>
      <c r="D148" s="120"/>
      <c r="E148" s="120"/>
      <c r="F148" s="120" t="s">
        <v>227</v>
      </c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 ht="12.75" customHeight="1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 ht="12.75" customHeight="1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 ht="12.75" customHeight="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 ht="12.75" customHeight="1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 ht="12.75" customHeight="1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 ht="12.75" customHeight="1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 ht="12.75" customHeight="1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 ht="12.75" customHeight="1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 ht="12.75" customHeight="1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 ht="12.75" customHeight="1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 ht="12.75" customHeight="1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 ht="12.75" customHeight="1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 ht="12.75" customHeight="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 ht="12.75" customHeight="1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 ht="12.75" customHeight="1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 ht="12.75" customHeight="1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 ht="12.75" customHeight="1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 ht="12.75" customHeight="1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 ht="12.75" customHeight="1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 ht="12.75" customHeight="1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 ht="12.75" customHeight="1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 ht="12.75" customHeight="1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 ht="12.75" customHeight="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 ht="12.75" customHeight="1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 ht="12.75" customHeight="1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 ht="12.75" customHeight="1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 ht="12.75" customHeight="1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 ht="12.75" customHeight="1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 ht="12.75" customHeight="1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 ht="12.75" customHeight="1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 ht="12.75" customHeight="1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 ht="12.75" customHeight="1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 ht="12.75" customHeight="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 ht="12.75" customHeight="1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 ht="12.75" customHeight="1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 ht="12.75" customHeight="1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 ht="12.75" customHeight="1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 ht="12.75" customHeight="1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 ht="12.75" customHeight="1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 ht="12.75" customHeight="1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 ht="12.75" customHeight="1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 ht="12.75" customHeight="1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 ht="12.75" customHeight="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 ht="12.75" customHeight="1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 ht="12.75" customHeight="1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 ht="12.75" customHeight="1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 ht="12.75" customHeight="1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 ht="12.75" customHeight="1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 ht="12.75" customHeight="1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 ht="12.75" customHeight="1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 ht="12.75" customHeight="1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 ht="12.75" customHeight="1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 ht="12.75" customHeight="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 ht="12.75" customHeight="1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 ht="12.75" customHeight="1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 ht="12.75" customHeight="1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 ht="12.75" customHeight="1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 ht="12.75" customHeight="1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 ht="12.75" customHeight="1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 ht="12.75" customHeight="1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 ht="12.75" customHeight="1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 ht="12.75" customHeight="1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 ht="12.75" customHeight="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 ht="12.75" customHeight="1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 ht="12.75" customHeight="1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 ht="12.75" customHeight="1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 ht="12.75" customHeight="1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 ht="12.75" customHeight="1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 ht="12.75" customHeight="1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 ht="12.75" customHeight="1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 ht="12.75" customHeight="1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 ht="12.75" customHeight="1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 ht="12.75" customHeight="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 ht="12.75" customHeight="1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 ht="12.75" customHeight="1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 ht="12.75" customHeight="1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 ht="12.75" customHeight="1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 ht="12.75" customHeight="1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 ht="12.75" customHeight="1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 ht="12.75" customHeight="1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 ht="12.75" customHeight="1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 ht="12.75" customHeight="1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 ht="12.75" customHeight="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 ht="12.75" customHeight="1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 ht="12.75" customHeight="1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 ht="12.75" customHeight="1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 ht="12.75" customHeight="1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 ht="12.75" customHeight="1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 ht="12.75" customHeight="1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 ht="12.75" customHeight="1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 ht="12.75" customHeight="1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 ht="12.75" customHeight="1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 ht="12.75" customHeight="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 ht="12.75" customHeight="1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 ht="12.75" customHeight="1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 ht="12.75" customHeight="1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 ht="12.75" customHeight="1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 ht="12.75" customHeight="1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 ht="12.75" customHeight="1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 ht="12.75" customHeight="1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 ht="12.75" customHeight="1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 ht="12.75" customHeight="1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 ht="12.75" customHeight="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 ht="12.75" customHeight="1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 ht="12.75" customHeight="1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 ht="12.75" customHeight="1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 ht="12.75" customHeight="1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 ht="12.75" customHeight="1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 ht="12.75" customHeight="1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 ht="12.75" customHeight="1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 ht="12.75" customHeight="1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 ht="12.75" customHeight="1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 ht="12.75" customHeight="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 ht="12.75" customHeight="1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 ht="12.75" customHeight="1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 ht="12.75" customHeight="1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 ht="12.75" customHeight="1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 ht="12.75" customHeight="1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 ht="12.75" customHeight="1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 ht="12.75" customHeight="1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 ht="12.75" customHeight="1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 ht="12.75" customHeight="1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 ht="12.75" customHeight="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 ht="12.75" customHeight="1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 ht="12.75" customHeight="1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 ht="12.75" customHeight="1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 ht="12.75" customHeight="1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 ht="12.75" customHeight="1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 ht="12.75" customHeight="1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 ht="12.75" customHeight="1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 ht="12.75" customHeight="1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 ht="12.75" customHeight="1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 ht="12.75" customHeight="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 ht="12.75" customHeight="1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 ht="12.75" customHeight="1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 ht="12.75" customHeight="1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 ht="12.75" customHeight="1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 ht="12.75" customHeight="1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 ht="12.75" customHeight="1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 ht="12.75" customHeight="1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 ht="12.75" customHeight="1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 ht="12.75" customHeight="1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 ht="12.75" customHeight="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 ht="12.75" customHeight="1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 ht="12.75" customHeight="1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 ht="12.75" customHeight="1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 ht="12.75" customHeight="1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 ht="12.75" customHeight="1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 ht="12.75" customHeight="1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 ht="12.75" customHeight="1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 ht="12.75" customHeight="1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 ht="12.75" customHeight="1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 ht="12.75" customHeight="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 ht="12.75" customHeight="1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 ht="12.75" customHeight="1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 ht="12.75" customHeight="1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 ht="12.75" customHeight="1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 ht="12.75" customHeight="1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 ht="12.75" customHeight="1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 ht="12.75" customHeight="1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 ht="12.75" customHeight="1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 ht="12.75" customHeight="1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 ht="12.75" customHeight="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 ht="12.75" customHeight="1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 ht="12.75" customHeight="1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 ht="12.75" customHeight="1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 ht="12.75" customHeight="1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 ht="12.75" customHeight="1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 ht="12.75" customHeight="1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 ht="12.75" customHeight="1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 ht="12.75" customHeight="1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 ht="12.75" customHeight="1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 ht="12.75" customHeight="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 ht="12.75" customHeight="1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 ht="12.75" customHeight="1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 ht="12.75" customHeight="1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 ht="12.75" customHeight="1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 ht="12.75" customHeight="1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 ht="12.75" customHeight="1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 ht="12.75" customHeight="1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 ht="12.75" customHeight="1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 ht="12.75" customHeight="1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 ht="12.75" customHeight="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 ht="12.75" customHeight="1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 ht="12.75" customHeight="1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 ht="12.75" customHeight="1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 ht="12.75" customHeight="1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 ht="12.75" customHeight="1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 ht="12.75" customHeight="1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 ht="12.75" customHeight="1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 ht="12.75" customHeight="1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 ht="12.75" customHeight="1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 ht="12.75" customHeight="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 ht="12.75" customHeight="1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 ht="12.75" customHeight="1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 ht="12.75" customHeight="1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 ht="12.75" customHeight="1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 ht="12.75" customHeight="1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 ht="12.75" customHeight="1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 ht="12.75" customHeight="1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 ht="12.75" customHeight="1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 ht="12.75" customHeight="1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 ht="12.75" customHeight="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 ht="12.75" customHeight="1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 ht="12.75" customHeight="1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 ht="12.75" customHeight="1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 ht="12.75" customHeight="1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 ht="12.75" customHeight="1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 ht="12.75" customHeight="1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 ht="12.75" customHeight="1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 ht="12.75" customHeight="1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 ht="12.75" customHeight="1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 ht="12.75" customHeight="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 ht="12.75" customHeight="1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 ht="12.75" customHeight="1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 ht="12.75" customHeight="1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 ht="12.75" customHeight="1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 ht="12.75" customHeight="1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 ht="12.75" customHeight="1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 ht="12.75" customHeight="1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 ht="12.75" customHeight="1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 ht="12.75" customHeight="1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 ht="12.75" customHeight="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 ht="12.75" customHeight="1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 ht="12.75" customHeight="1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 ht="12.75" customHeight="1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 ht="12.75" customHeight="1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 ht="12.75" customHeight="1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 ht="12.75" customHeight="1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 ht="12.75" customHeight="1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 ht="12.75" customHeight="1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 ht="12.75" customHeight="1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 ht="12.75" customHeight="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 ht="12.75" customHeight="1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 ht="12.75" customHeight="1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 ht="12.75" customHeight="1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 ht="12.75" customHeight="1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 ht="12.75" customHeight="1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 ht="12.75" customHeight="1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 ht="12.75" customHeight="1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 ht="12.75" customHeight="1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 ht="12.75" customHeight="1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 ht="12.75" customHeight="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 ht="12.75" customHeight="1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 ht="12.75" customHeight="1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 ht="12.75" customHeight="1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 ht="12.75" customHeight="1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 ht="12.75" customHeight="1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 ht="12.75" customHeight="1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 ht="12.75" customHeight="1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 ht="12.75" customHeight="1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 ht="12.75" customHeight="1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 ht="12.75" customHeight="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 ht="12.75" customHeight="1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 ht="12.75" customHeight="1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 ht="12.75" customHeight="1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 ht="12.75" customHeight="1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 ht="12.75" customHeight="1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 ht="12.75" customHeight="1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 ht="12.75" customHeight="1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 ht="12.75" customHeight="1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 ht="12.75" customHeight="1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 ht="12.75" customHeight="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 ht="12.75" customHeight="1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 ht="12.75" customHeight="1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 ht="12.75" customHeight="1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 ht="12.75" customHeight="1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 ht="12.75" customHeight="1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 ht="12.75" customHeight="1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 ht="12.75" customHeight="1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 ht="12.75" customHeight="1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 ht="12.75" customHeight="1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 ht="12.75" customHeight="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 ht="12.75" customHeight="1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 ht="12.75" customHeight="1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 ht="12.75" customHeight="1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 ht="12.75" customHeight="1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 ht="12.75" customHeight="1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 ht="12.75" customHeight="1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 ht="12.75" customHeight="1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 ht="12.75" customHeight="1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 ht="12.75" customHeight="1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 ht="12.75" customHeight="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 ht="12.75" customHeight="1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 ht="12.75" customHeight="1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 ht="12.75" customHeight="1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 ht="12.75" customHeight="1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 ht="12.75" customHeight="1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 ht="12.75" customHeight="1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 ht="12.75" customHeight="1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 ht="12.75" customHeight="1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 ht="12.75" customHeight="1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 ht="12.75" customHeight="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 ht="12.75" customHeight="1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 ht="12.75" customHeight="1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 ht="12.75" customHeight="1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 ht="12.75" customHeight="1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 ht="12.75" customHeight="1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 ht="12.75" customHeight="1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 ht="12.75" customHeight="1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 ht="12.75" customHeight="1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 ht="12.75" customHeight="1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 ht="12.75" customHeight="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 ht="12.75" customHeight="1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 ht="12.75" customHeight="1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 ht="12.75" customHeight="1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 ht="12.75" customHeight="1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 ht="12.75" customHeight="1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 ht="12.75" customHeight="1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 ht="12.75" customHeight="1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 ht="12.75" customHeight="1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 ht="12.75" customHeight="1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 ht="12.75" customHeight="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 ht="12.75" customHeight="1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 ht="12.75" customHeight="1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 ht="12.75" customHeight="1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 ht="12.75" customHeight="1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 ht="12.75" customHeight="1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 ht="12.75" customHeight="1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 ht="12.75" customHeight="1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 ht="12.75" customHeight="1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 ht="12.75" customHeight="1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 ht="12.75" customHeight="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 ht="12.75" customHeight="1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 ht="12.75" customHeight="1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 ht="12.75" customHeight="1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 ht="12.75" customHeight="1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 ht="12.75" customHeight="1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 ht="12.75" customHeight="1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 ht="12.75" customHeight="1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 ht="12.75" customHeight="1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 ht="12.75" customHeight="1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 ht="12.75" customHeight="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 ht="12.75" customHeight="1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 ht="12.75" customHeight="1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 ht="12.75" customHeight="1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 ht="12.75" customHeight="1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 ht="12.75" customHeight="1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 ht="12.75" customHeight="1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 ht="12.75" customHeight="1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 ht="12.75" customHeight="1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 ht="12.75" customHeight="1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 ht="12.75" customHeight="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 ht="12.75" customHeight="1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 ht="12.75" customHeight="1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 ht="12.75" customHeight="1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 ht="12.75" customHeight="1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 ht="12.75" customHeight="1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 ht="12.75" customHeight="1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 ht="12.75" customHeight="1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 ht="12.75" customHeight="1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 ht="12.75" customHeight="1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 ht="12.75" customHeight="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 ht="12.75" customHeight="1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 ht="12.75" customHeight="1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 ht="12.75" customHeight="1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 ht="12.75" customHeight="1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 ht="12.75" customHeight="1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 ht="12.75" customHeight="1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 ht="12.75" customHeight="1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 ht="12.75" customHeight="1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 ht="12.75" customHeight="1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 ht="12.75" customHeight="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 ht="12.75" customHeight="1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 ht="12.75" customHeight="1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 ht="12.75" customHeight="1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 ht="12.75" customHeight="1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 ht="12.75" customHeight="1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 ht="12.75" customHeight="1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 ht="12.75" customHeight="1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 ht="12.75" customHeight="1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 ht="12.75" customHeight="1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 ht="12.75" customHeight="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 ht="12.75" customHeight="1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 ht="12.75" customHeight="1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 ht="12.75" customHeight="1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 ht="12.75" customHeight="1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 ht="12.75" customHeight="1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 ht="12.75" customHeight="1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 ht="12.75" customHeight="1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 ht="12.75" customHeight="1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 ht="12.75" customHeight="1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 ht="12.75" customHeight="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 ht="12.75" customHeight="1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 ht="12.75" customHeight="1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 ht="12.75" customHeight="1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 ht="12.75" customHeight="1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 ht="12.75" customHeight="1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 ht="12.75" customHeight="1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 ht="12.75" customHeight="1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 ht="12.75" customHeight="1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 ht="12.75" customHeight="1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 ht="12.75" customHeight="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 ht="12.75" customHeight="1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 ht="12.75" customHeight="1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 ht="12.75" customHeight="1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 ht="12.75" customHeight="1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 ht="12.75" customHeight="1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 ht="12.75" customHeight="1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 ht="12.75" customHeight="1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 ht="12.75" customHeight="1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 ht="12.75" customHeight="1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 ht="12.75" customHeight="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 ht="12.75" customHeight="1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 ht="12.75" customHeight="1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 ht="12.75" customHeight="1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 ht="12.75" customHeight="1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 ht="12.75" customHeight="1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 ht="12.75" customHeight="1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 ht="12.75" customHeight="1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 ht="12.75" customHeight="1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 ht="12.75" customHeight="1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 ht="12.75" customHeight="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 ht="12.75" customHeight="1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 ht="12.75" customHeight="1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 ht="12.75" customHeight="1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 ht="12.75" customHeight="1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 ht="12.75" customHeight="1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 ht="12.75" customHeight="1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 ht="12.75" customHeight="1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 ht="12.75" customHeight="1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 ht="12.75" customHeight="1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 ht="12.75" customHeight="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 ht="12.75" customHeight="1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 ht="12.75" customHeight="1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 ht="12.75" customHeight="1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 ht="12.75" customHeight="1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 ht="12.75" customHeight="1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 ht="12.75" customHeight="1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 ht="12.75" customHeight="1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 ht="12.75" customHeight="1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 ht="12.75" customHeight="1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 ht="12.75" customHeight="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 ht="12.75" customHeight="1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 ht="12.75" customHeight="1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 ht="12.75" customHeight="1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 ht="12.75" customHeight="1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 ht="12.75" customHeight="1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 ht="12.75" customHeight="1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 ht="12.75" customHeight="1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 ht="12.75" customHeight="1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 ht="12.75" customHeight="1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 ht="12.75" customHeight="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 ht="12.75" customHeight="1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 ht="12.75" customHeight="1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 ht="12.75" customHeight="1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 ht="12.75" customHeight="1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 ht="12.75" customHeight="1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 ht="12.75" customHeight="1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 ht="12.75" customHeight="1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 ht="12.75" customHeight="1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 ht="12.75" customHeight="1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 ht="12.75" customHeight="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 ht="12.75" customHeight="1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 ht="12.75" customHeight="1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 ht="12.75" customHeight="1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 ht="12.75" customHeight="1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 ht="12.75" customHeight="1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 ht="12.75" customHeight="1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 ht="12.75" customHeight="1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 ht="12.75" customHeight="1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 ht="12.75" customHeight="1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 ht="12.75" customHeight="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 ht="12.75" customHeight="1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 ht="12.75" customHeight="1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 ht="12.75" customHeight="1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 ht="12.75" customHeight="1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 ht="12.75" customHeight="1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 ht="12.75" customHeight="1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 ht="12.75" customHeight="1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 ht="12.75" customHeight="1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 ht="12.75" customHeight="1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 ht="12.75" customHeight="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 ht="12.75" customHeight="1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 ht="12.75" customHeight="1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 ht="12.75" customHeight="1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 ht="12.75" customHeight="1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 ht="12.75" customHeight="1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 ht="12.75" customHeight="1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 ht="12.75" customHeight="1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 ht="12.75" customHeight="1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 ht="12.75" customHeight="1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 ht="12.75" customHeight="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 ht="12.75" customHeight="1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 ht="12.75" customHeight="1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 ht="12.75" customHeight="1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 ht="12.75" customHeight="1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 ht="12.75" customHeight="1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 ht="12.75" customHeight="1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 ht="12.75" customHeight="1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 ht="12.75" customHeight="1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 ht="12.75" customHeight="1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 ht="12.75" customHeight="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 ht="12.75" customHeight="1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 ht="12.75" customHeight="1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 ht="12.75" customHeight="1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 ht="12.75" customHeight="1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 ht="12.75" customHeight="1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 ht="12.75" customHeight="1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 ht="12.75" customHeight="1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 ht="12.75" customHeight="1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 ht="12.75" customHeight="1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 ht="12.75" customHeight="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 ht="12.75" customHeight="1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 ht="12.75" customHeight="1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 ht="12.75" customHeight="1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 ht="12.75" customHeight="1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 ht="12.75" customHeight="1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 ht="12.75" customHeight="1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 ht="12.75" customHeight="1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 ht="12.75" customHeight="1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 ht="12.75" customHeight="1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 ht="12.75" customHeight="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 ht="12.75" customHeight="1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 ht="12.75" customHeight="1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 ht="12.75" customHeight="1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 ht="12.75" customHeight="1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 ht="12.75" customHeight="1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 ht="12.75" customHeight="1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 ht="12.75" customHeight="1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 ht="12.75" customHeight="1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 ht="12.75" customHeight="1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 ht="12.75" customHeight="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 ht="12.75" customHeight="1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 ht="12.75" customHeight="1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 ht="12.75" customHeight="1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 ht="12.75" customHeight="1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 ht="12.75" customHeight="1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 ht="12.75" customHeight="1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 ht="12.75" customHeight="1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 ht="12.75" customHeight="1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 ht="12.75" customHeight="1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 ht="12.75" customHeight="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 ht="12.75" customHeight="1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 ht="12.75" customHeight="1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 ht="12.75" customHeight="1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 ht="12.75" customHeight="1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 ht="12.75" customHeight="1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 ht="12.75" customHeight="1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 ht="12.75" customHeight="1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 ht="12.75" customHeight="1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 ht="12.75" customHeight="1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 ht="12.75" customHeight="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 ht="12.75" customHeight="1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 ht="12.75" customHeight="1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 ht="12.75" customHeight="1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 ht="12.75" customHeight="1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 ht="12.75" customHeight="1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 ht="12.75" customHeight="1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 ht="12.75" customHeight="1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 ht="12.75" customHeight="1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 ht="12.75" customHeight="1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 ht="12.75" customHeight="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 ht="12.75" customHeight="1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 ht="12.75" customHeight="1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 ht="12.75" customHeight="1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 ht="12.75" customHeight="1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 ht="12.75" customHeight="1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 ht="12.75" customHeight="1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 ht="12.75" customHeight="1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 ht="12.75" customHeight="1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 ht="12.75" customHeight="1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 ht="12.75" customHeight="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 ht="12.75" customHeight="1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 ht="12.75" customHeight="1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 ht="12.75" customHeight="1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 ht="12.75" customHeight="1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 ht="12.75" customHeight="1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 ht="12.75" customHeight="1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 ht="12.75" customHeight="1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 ht="12.75" customHeight="1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 ht="12.75" customHeight="1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 ht="12.75" customHeight="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 ht="12.75" customHeight="1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 ht="12.75" customHeight="1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 ht="12.75" customHeight="1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 ht="12.75" customHeight="1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 ht="12.75" customHeight="1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 ht="12.75" customHeight="1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 ht="12.75" customHeight="1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 ht="12.75" customHeight="1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 ht="12.75" customHeight="1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 ht="12.75" customHeight="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 ht="12.75" customHeight="1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 ht="12.75" customHeight="1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 ht="12.75" customHeight="1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 ht="12.75" customHeight="1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 ht="12.75" customHeight="1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 ht="12.75" customHeight="1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 ht="12.75" customHeight="1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 ht="12.75" customHeight="1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 ht="12.75" customHeight="1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 ht="12.75" customHeight="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 ht="12.75" customHeight="1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 ht="12.75" customHeight="1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 ht="12.75" customHeight="1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 ht="12.75" customHeight="1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 ht="12.75" customHeight="1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 ht="12.75" customHeight="1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 ht="12.75" customHeight="1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 ht="12.75" customHeight="1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 ht="12.75" customHeight="1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 ht="12.75" customHeight="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 ht="12.75" customHeight="1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 ht="12.75" customHeight="1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 ht="12.75" customHeight="1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 ht="12.75" customHeight="1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 ht="12.75" customHeight="1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 ht="12.75" customHeight="1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 ht="12.75" customHeight="1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 ht="12.75" customHeight="1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 ht="12.75" customHeight="1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 ht="12.75" customHeight="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 ht="12.75" customHeight="1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 ht="12.75" customHeight="1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 ht="12.75" customHeight="1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 ht="12.75" customHeight="1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 ht="12.75" customHeight="1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 ht="12.75" customHeight="1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 ht="12.75" customHeight="1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 ht="12.75" customHeight="1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 ht="12.75" customHeight="1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 ht="12.75" customHeight="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 ht="12.75" customHeight="1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 ht="12.75" customHeight="1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 ht="12.75" customHeight="1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 ht="12.75" customHeight="1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 ht="12.75" customHeight="1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 ht="12.75" customHeight="1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 ht="12.75" customHeight="1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 ht="12.75" customHeight="1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 ht="12.75" customHeight="1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 ht="12.75" customHeight="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 ht="12.75" customHeight="1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 ht="12.75" customHeight="1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 ht="12.75" customHeight="1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 ht="12.75" customHeight="1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 ht="12.75" customHeight="1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 ht="12.75" customHeight="1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 ht="12.75" customHeight="1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 ht="12.75" customHeight="1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 ht="12.75" customHeight="1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 ht="12.75" customHeight="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 ht="12.75" customHeight="1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 ht="12.75" customHeight="1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 ht="12.75" customHeight="1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 ht="12.75" customHeight="1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 ht="12.75" customHeight="1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 ht="12.75" customHeight="1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 ht="12.75" customHeight="1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 ht="12.75" customHeight="1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 ht="12.75" customHeight="1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 ht="12.75" customHeight="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 ht="12.75" customHeight="1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 ht="12.75" customHeight="1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 ht="12.75" customHeight="1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 ht="12.75" customHeight="1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 ht="12.75" customHeight="1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 ht="12.75" customHeight="1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 ht="12.75" customHeight="1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 ht="12.75" customHeight="1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 ht="12.75" customHeight="1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 ht="12.75" customHeight="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 ht="12.75" customHeight="1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 ht="12.75" customHeight="1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 ht="12.75" customHeight="1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 ht="12.75" customHeight="1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 ht="12.75" customHeight="1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 ht="12.75" customHeight="1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 ht="12.75" customHeight="1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 ht="12.75" customHeight="1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 ht="12.75" customHeight="1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 ht="12.75" customHeight="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 ht="12.75" customHeight="1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 ht="12.75" customHeight="1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 ht="12.75" customHeight="1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 ht="12.75" customHeight="1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 ht="12.75" customHeight="1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 ht="12.75" customHeight="1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 ht="12.75" customHeight="1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 ht="12.75" customHeight="1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 ht="12.75" customHeight="1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 ht="12.75" customHeight="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 ht="12.75" customHeight="1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 ht="12.75" customHeight="1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 ht="12.75" customHeight="1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 ht="12.75" customHeight="1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 ht="12.75" customHeight="1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 ht="12.75" customHeight="1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 ht="12.75" customHeight="1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 ht="12.75" customHeight="1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 ht="12.75" customHeight="1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 ht="12.75" customHeight="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 ht="12.75" customHeight="1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 ht="12.75" customHeight="1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 ht="12.75" customHeight="1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 ht="12.75" customHeight="1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 ht="12.75" customHeight="1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 ht="12.75" customHeight="1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 ht="12.75" customHeight="1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 ht="12.75" customHeight="1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 ht="12.75" customHeight="1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 ht="12.75" customHeight="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 ht="12.75" customHeight="1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 ht="12.75" customHeight="1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 ht="12.75" customHeight="1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 ht="12.75" customHeight="1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 ht="12.75" customHeight="1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 ht="12.75" customHeight="1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 ht="12.75" customHeight="1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 ht="12.75" customHeight="1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 ht="12.75" customHeight="1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 ht="12.75" customHeight="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 ht="12.75" customHeight="1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 ht="12.75" customHeight="1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 ht="12.75" customHeight="1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 ht="12.75" customHeight="1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 ht="12.75" customHeight="1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 ht="12.75" customHeight="1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 ht="12.75" customHeight="1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 ht="12.75" customHeight="1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 ht="12.75" customHeight="1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 ht="12.75" customHeight="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 ht="12.75" customHeight="1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 ht="12.75" customHeight="1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 ht="12.75" customHeight="1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 ht="12.75" customHeight="1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 ht="12.75" customHeight="1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 ht="12.75" customHeight="1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 ht="12.75" customHeight="1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 ht="12.75" customHeight="1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 ht="12.75" customHeight="1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 ht="12.75" customHeight="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 ht="12.75" customHeight="1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 ht="12.75" customHeight="1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 ht="12.75" customHeight="1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 ht="12.75" customHeight="1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 ht="12.75" customHeight="1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 ht="12.75" customHeight="1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 ht="12.75" customHeight="1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 ht="12.75" customHeight="1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 ht="12.75" customHeight="1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 ht="12.75" customHeight="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 ht="12.75" customHeight="1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 ht="12.75" customHeight="1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 ht="12.75" customHeight="1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 ht="12.75" customHeight="1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 ht="12.75" customHeight="1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 ht="12.75" customHeight="1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 ht="12.75" customHeight="1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 ht="12.75" customHeight="1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 ht="12.75" customHeight="1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 ht="12.75" customHeight="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 ht="12.75" customHeight="1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 ht="12.75" customHeight="1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 ht="12.75" customHeight="1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 ht="12.75" customHeight="1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 ht="12.75" customHeight="1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 ht="12.75" customHeight="1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 ht="12.75" customHeight="1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 ht="12.75" customHeight="1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 ht="12.75" customHeight="1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 ht="12.75" customHeight="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 ht="12.75" customHeight="1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 ht="12.75" customHeight="1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 ht="12.75" customHeight="1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 ht="12.75" customHeight="1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 ht="12.75" customHeight="1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 ht="12.75" customHeight="1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 ht="12.75" customHeight="1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 ht="12.75" customHeight="1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 ht="12.75" customHeight="1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 ht="12.75" customHeight="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 ht="12.75" customHeight="1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 ht="12.75" customHeight="1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 ht="12.75" customHeight="1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 ht="12.75" customHeight="1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 ht="12.75" customHeight="1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 ht="12.75" customHeight="1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 ht="12.75" customHeight="1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 ht="12.75" customHeight="1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 ht="12.75" customHeight="1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 ht="12.75" customHeight="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 ht="12.75" customHeight="1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 ht="12.75" customHeight="1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 ht="12.75" customHeight="1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 ht="12.75" customHeight="1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 ht="12.75" customHeight="1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 ht="12.75" customHeight="1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 ht="12.75" customHeight="1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 ht="12.75" customHeight="1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 ht="12.75" customHeight="1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 ht="12.75" customHeight="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 ht="12.75" customHeight="1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 ht="12.75" customHeight="1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 ht="12.75" customHeight="1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 ht="12.75" customHeight="1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 ht="12.75" customHeight="1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 ht="12.75" customHeight="1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 ht="12.75" customHeight="1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 ht="12.75" customHeight="1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 ht="12.75" customHeight="1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 ht="12.75" customHeight="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 ht="12.75" customHeight="1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 ht="12.75" customHeight="1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 ht="12.75" customHeight="1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 ht="12.75" customHeight="1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 ht="12.75" customHeight="1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 ht="12.75" customHeight="1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 ht="12.75" customHeight="1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 ht="12.75" customHeight="1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 ht="12.75" customHeight="1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 ht="12.75" customHeight="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 ht="12.75" customHeight="1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 ht="12.75" customHeight="1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 ht="12.75" customHeight="1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 ht="12.75" customHeight="1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 ht="12.75" customHeight="1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 ht="12.75" customHeight="1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 ht="12.75" customHeight="1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 ht="12.75" customHeight="1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 ht="12.75" customHeight="1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 ht="12.75" customHeight="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 ht="12.75" customHeight="1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 ht="12.75" customHeight="1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 ht="12.75" customHeight="1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 ht="12.75" customHeight="1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 ht="12.75" customHeight="1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 ht="12.75" customHeight="1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 ht="12.75" customHeight="1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 ht="12.75" customHeight="1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 ht="12.75" customHeight="1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 ht="12.75" customHeight="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 ht="12.75" customHeight="1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 ht="12.75" customHeight="1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 ht="12.75" customHeight="1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 ht="12.75" customHeight="1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 ht="12.75" customHeight="1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 ht="12.75" customHeight="1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 ht="12.75" customHeight="1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 ht="12.75" customHeight="1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 ht="12.75" customHeight="1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 ht="12.75" customHeight="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 ht="12.75" customHeight="1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 ht="12.75" customHeight="1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 ht="12.75" customHeight="1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 ht="12.75" customHeight="1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 ht="12.75" customHeight="1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 ht="12.75" customHeight="1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 ht="12.75" customHeight="1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 ht="12.75" customHeight="1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 ht="12.75" customHeight="1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</sheetData>
  <mergeCells count="290">
    <mergeCell ref="G63:G64"/>
    <mergeCell ref="H63:H64"/>
    <mergeCell ref="I63:I64"/>
    <mergeCell ref="L63:L64"/>
    <mergeCell ref="M63:M64"/>
    <mergeCell ref="C65:M65"/>
    <mergeCell ref="I57:I58"/>
    <mergeCell ref="C59:M59"/>
    <mergeCell ref="C60:I60"/>
    <mergeCell ref="C61:M61"/>
    <mergeCell ref="C62:M62"/>
    <mergeCell ref="C63:C64"/>
    <mergeCell ref="D63:D64"/>
    <mergeCell ref="H66:H67"/>
    <mergeCell ref="I66:I67"/>
    <mergeCell ref="L66:L67"/>
    <mergeCell ref="M66:M67"/>
    <mergeCell ref="C68:M68"/>
    <mergeCell ref="E63:E64"/>
    <mergeCell ref="F63:F64"/>
    <mergeCell ref="C66:C67"/>
    <mergeCell ref="D66:D67"/>
    <mergeCell ref="E66:E67"/>
    <mergeCell ref="F66:F67"/>
    <mergeCell ref="G66:G67"/>
    <mergeCell ref="C69:C70"/>
    <mergeCell ref="C72:C73"/>
    <mergeCell ref="D72:D73"/>
    <mergeCell ref="E72:E73"/>
    <mergeCell ref="F72:F73"/>
    <mergeCell ref="G72:G73"/>
    <mergeCell ref="H72:H73"/>
    <mergeCell ref="D69:D70"/>
    <mergeCell ref="E69:E70"/>
    <mergeCell ref="F69:F70"/>
    <mergeCell ref="G69:G70"/>
    <mergeCell ref="H69:H70"/>
    <mergeCell ref="I69:I70"/>
    <mergeCell ref="C71:M71"/>
    <mergeCell ref="G86:G87"/>
    <mergeCell ref="H86:H87"/>
    <mergeCell ref="I86:I87"/>
    <mergeCell ref="L86:L87"/>
    <mergeCell ref="P84:P85"/>
    <mergeCell ref="P87:P88"/>
    <mergeCell ref="Q87:Q88"/>
    <mergeCell ref="P90:P91"/>
    <mergeCell ref="Q90:Q91"/>
    <mergeCell ref="L69:L70"/>
    <mergeCell ref="M69:M70"/>
    <mergeCell ref="Q84:Q85"/>
    <mergeCell ref="C85:M85"/>
    <mergeCell ref="C86:C87"/>
    <mergeCell ref="D86:D87"/>
    <mergeCell ref="M86:M87"/>
    <mergeCell ref="C88:M88"/>
    <mergeCell ref="H89:H90"/>
    <mergeCell ref="I89:I90"/>
    <mergeCell ref="L89:L90"/>
    <mergeCell ref="M89:M90"/>
    <mergeCell ref="C91:M91"/>
    <mergeCell ref="E86:E87"/>
    <mergeCell ref="F86:F87"/>
    <mergeCell ref="C89:C90"/>
    <mergeCell ref="D89:D90"/>
    <mergeCell ref="E89:E90"/>
    <mergeCell ref="F89:F90"/>
    <mergeCell ref="G89:G90"/>
    <mergeCell ref="L104:L105"/>
    <mergeCell ref="M104:M105"/>
    <mergeCell ref="L107:L108"/>
    <mergeCell ref="M107:M108"/>
    <mergeCell ref="D104:D105"/>
    <mergeCell ref="E104:E105"/>
    <mergeCell ref="F104:F105"/>
    <mergeCell ref="G104:G105"/>
    <mergeCell ref="H104:H105"/>
    <mergeCell ref="I104:I105"/>
    <mergeCell ref="C106:M106"/>
    <mergeCell ref="I107:I108"/>
    <mergeCell ref="C109:M109"/>
    <mergeCell ref="C110:I110"/>
    <mergeCell ref="C111:M111"/>
    <mergeCell ref="C112:I112"/>
    <mergeCell ref="C113:M113"/>
    <mergeCell ref="C104:C105"/>
    <mergeCell ref="C107:C108"/>
    <mergeCell ref="D107:D108"/>
    <mergeCell ref="E107:E108"/>
    <mergeCell ref="F107:F108"/>
    <mergeCell ref="G107:G108"/>
    <mergeCell ref="H107:H108"/>
    <mergeCell ref="L92:L93"/>
    <mergeCell ref="M92:M93"/>
    <mergeCell ref="P93:P94"/>
    <mergeCell ref="Q93:Q94"/>
    <mergeCell ref="C92:C93"/>
    <mergeCell ref="D92:D93"/>
    <mergeCell ref="E92:E93"/>
    <mergeCell ref="F92:F93"/>
    <mergeCell ref="G92:G93"/>
    <mergeCell ref="H92:H93"/>
    <mergeCell ref="I92:I93"/>
    <mergeCell ref="H98:H99"/>
    <mergeCell ref="I98:I99"/>
    <mergeCell ref="L98:L99"/>
    <mergeCell ref="M98:M99"/>
    <mergeCell ref="C94:M94"/>
    <mergeCell ref="C95:I95"/>
    <mergeCell ref="C96:M96"/>
    <mergeCell ref="C97:M97"/>
    <mergeCell ref="C98:C99"/>
    <mergeCell ref="D98:D99"/>
    <mergeCell ref="E98:E99"/>
    <mergeCell ref="C100:M100"/>
    <mergeCell ref="H101:H102"/>
    <mergeCell ref="I101:I102"/>
    <mergeCell ref="L101:L102"/>
    <mergeCell ref="M101:M102"/>
    <mergeCell ref="C103:M103"/>
    <mergeCell ref="F98:F99"/>
    <mergeCell ref="G98:G99"/>
    <mergeCell ref="C101:C102"/>
    <mergeCell ref="D101:D102"/>
    <mergeCell ref="E101:E102"/>
    <mergeCell ref="F101:F102"/>
    <mergeCell ref="G101:G102"/>
    <mergeCell ref="L19:L20"/>
    <mergeCell ref="M19:M20"/>
    <mergeCell ref="D19:D20"/>
    <mergeCell ref="E19:E20"/>
    <mergeCell ref="F19:F20"/>
    <mergeCell ref="G19:G20"/>
    <mergeCell ref="H19:H20"/>
    <mergeCell ref="I19:I20"/>
    <mergeCell ref="C21:M21"/>
    <mergeCell ref="C1:M3"/>
    <mergeCell ref="C6:M6"/>
    <mergeCell ref="C7:M8"/>
    <mergeCell ref="C9:M10"/>
    <mergeCell ref="E11:F11"/>
    <mergeCell ref="H11:I11"/>
    <mergeCell ref="J11:K11"/>
    <mergeCell ref="H13:H14"/>
    <mergeCell ref="I13:I14"/>
    <mergeCell ref="L13:L14"/>
    <mergeCell ref="M13:M14"/>
    <mergeCell ref="L16:L17"/>
    <mergeCell ref="M16:M17"/>
    <mergeCell ref="L22:L23"/>
    <mergeCell ref="M22:M23"/>
    <mergeCell ref="L11:M11"/>
    <mergeCell ref="C12:M12"/>
    <mergeCell ref="D13:D14"/>
    <mergeCell ref="E13:E14"/>
    <mergeCell ref="F13:F14"/>
    <mergeCell ref="G13:G14"/>
    <mergeCell ref="C15:M15"/>
    <mergeCell ref="I16:I17"/>
    <mergeCell ref="C18:M18"/>
    <mergeCell ref="C13:C14"/>
    <mergeCell ref="C16:C17"/>
    <mergeCell ref="D16:D17"/>
    <mergeCell ref="E16:E17"/>
    <mergeCell ref="F16:F17"/>
    <mergeCell ref="G16:G17"/>
    <mergeCell ref="H16:H17"/>
    <mergeCell ref="C19:C20"/>
    <mergeCell ref="C22:C23"/>
    <mergeCell ref="D22:D23"/>
    <mergeCell ref="E22:E23"/>
    <mergeCell ref="F22:F23"/>
    <mergeCell ref="G22:G23"/>
    <mergeCell ref="H22:H23"/>
    <mergeCell ref="L34:L35"/>
    <mergeCell ref="M34:M35"/>
    <mergeCell ref="D34:D35"/>
    <mergeCell ref="E34:E35"/>
    <mergeCell ref="F34:F35"/>
    <mergeCell ref="G34:G35"/>
    <mergeCell ref="H34:H35"/>
    <mergeCell ref="I34:I35"/>
    <mergeCell ref="C36:M36"/>
    <mergeCell ref="G28:G29"/>
    <mergeCell ref="H28:H29"/>
    <mergeCell ref="I28:I29"/>
    <mergeCell ref="L28:L29"/>
    <mergeCell ref="M28:M29"/>
    <mergeCell ref="C30:M30"/>
    <mergeCell ref="I22:I23"/>
    <mergeCell ref="C24:M24"/>
    <mergeCell ref="C25:I25"/>
    <mergeCell ref="C26:M26"/>
    <mergeCell ref="C27:M27"/>
    <mergeCell ref="C28:C29"/>
    <mergeCell ref="D28:D29"/>
    <mergeCell ref="H31:H32"/>
    <mergeCell ref="I31:I32"/>
    <mergeCell ref="L31:L32"/>
    <mergeCell ref="M31:M32"/>
    <mergeCell ref="C33:M33"/>
    <mergeCell ref="E28:E29"/>
    <mergeCell ref="F28:F29"/>
    <mergeCell ref="C31:C32"/>
    <mergeCell ref="D31:D32"/>
    <mergeCell ref="E31:E32"/>
    <mergeCell ref="F31:F32"/>
    <mergeCell ref="G31:G32"/>
    <mergeCell ref="C34:C35"/>
    <mergeCell ref="C37:C38"/>
    <mergeCell ref="D37:D38"/>
    <mergeCell ref="E37:E38"/>
    <mergeCell ref="F37:F38"/>
    <mergeCell ref="G37:G38"/>
    <mergeCell ref="H37:H38"/>
    <mergeCell ref="L54:L55"/>
    <mergeCell ref="M54:M55"/>
    <mergeCell ref="D54:D55"/>
    <mergeCell ref="E54:E55"/>
    <mergeCell ref="F54:F55"/>
    <mergeCell ref="G54:G55"/>
    <mergeCell ref="H54:H55"/>
    <mergeCell ref="I54:I55"/>
    <mergeCell ref="C56:M56"/>
    <mergeCell ref="I37:I38"/>
    <mergeCell ref="L37:L38"/>
    <mergeCell ref="M37:M38"/>
    <mergeCell ref="C39:M39"/>
    <mergeCell ref="C40:I40"/>
    <mergeCell ref="C41:M41"/>
    <mergeCell ref="C42:I42"/>
    <mergeCell ref="C43:M43"/>
    <mergeCell ref="C44:M45"/>
    <mergeCell ref="E46:F46"/>
    <mergeCell ref="H46:I46"/>
    <mergeCell ref="J46:K46"/>
    <mergeCell ref="L46:M46"/>
    <mergeCell ref="C47:M47"/>
    <mergeCell ref="L48:L49"/>
    <mergeCell ref="M48:M49"/>
    <mergeCell ref="L51:L52"/>
    <mergeCell ref="M51:M52"/>
    <mergeCell ref="L57:L58"/>
    <mergeCell ref="M57:M58"/>
    <mergeCell ref="D48:D49"/>
    <mergeCell ref="E48:E49"/>
    <mergeCell ref="F48:F49"/>
    <mergeCell ref="G48:G49"/>
    <mergeCell ref="H48:H49"/>
    <mergeCell ref="I48:I49"/>
    <mergeCell ref="C50:M50"/>
    <mergeCell ref="I51:I52"/>
    <mergeCell ref="C53:M53"/>
    <mergeCell ref="C48:C49"/>
    <mergeCell ref="C51:C52"/>
    <mergeCell ref="D51:D52"/>
    <mergeCell ref="E51:E52"/>
    <mergeCell ref="F51:F52"/>
    <mergeCell ref="G51:G52"/>
    <mergeCell ref="H51:H52"/>
    <mergeCell ref="C54:C55"/>
    <mergeCell ref="C57:C58"/>
    <mergeCell ref="D57:D58"/>
    <mergeCell ref="E57:E58"/>
    <mergeCell ref="F57:F58"/>
    <mergeCell ref="G57:G58"/>
    <mergeCell ref="H57:H58"/>
    <mergeCell ref="I72:I73"/>
    <mergeCell ref="L72:L73"/>
    <mergeCell ref="M72:M73"/>
    <mergeCell ref="C74:M74"/>
    <mergeCell ref="C75:I75"/>
    <mergeCell ref="C76:M76"/>
    <mergeCell ref="C77:I77"/>
    <mergeCell ref="C78:M78"/>
    <mergeCell ref="C79:M80"/>
    <mergeCell ref="E81:F81"/>
    <mergeCell ref="H81:I81"/>
    <mergeCell ref="J81:K81"/>
    <mergeCell ref="L81:M81"/>
    <mergeCell ref="C82:M82"/>
    <mergeCell ref="L83:L84"/>
    <mergeCell ref="M83:M84"/>
    <mergeCell ref="C83:C84"/>
    <mergeCell ref="D83:D84"/>
    <mergeCell ref="E83:E84"/>
    <mergeCell ref="F83:F84"/>
    <mergeCell ref="G83:G84"/>
    <mergeCell ref="H83:H84"/>
    <mergeCell ref="I83:I84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2.71"/>
    <col customWidth="1" min="2" max="2" width="2.71"/>
    <col customWidth="1" min="3" max="3" width="7.57"/>
    <col customWidth="1" min="4" max="4" width="7.43"/>
    <col customWidth="1" min="5" max="5" width="17.86"/>
    <col customWidth="1" min="6" max="6" width="20.71"/>
    <col customWidth="1" min="7" max="7" width="4.86"/>
    <col customWidth="1" min="8" max="8" width="18.71"/>
    <col customWidth="1" min="9" max="9" width="20.71"/>
    <col customWidth="1" min="10" max="13" width="5.71"/>
    <col customWidth="1" min="14" max="18" width="9.14"/>
    <col customWidth="1" min="19" max="26" width="8.0"/>
  </cols>
  <sheetData>
    <row r="1" ht="12.75" customHeight="1">
      <c r="A1" s="120"/>
      <c r="B1" s="120"/>
      <c r="C1" s="186" t="s">
        <v>192</v>
      </c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 ht="12.75" customHeight="1">
      <c r="A2" s="120"/>
      <c r="B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 ht="12.75" customHeight="1">
      <c r="A3" s="120"/>
      <c r="B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 ht="12.75" customHeight="1">
      <c r="A4" s="120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</row>
    <row r="5" ht="12.75" customHeight="1">
      <c r="A5" s="120"/>
      <c r="B5" s="120"/>
      <c r="C5" s="120"/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</row>
    <row r="6" ht="19.5" customHeight="1">
      <c r="A6" s="120"/>
      <c r="B6" s="120"/>
      <c r="C6" s="125" t="s">
        <v>162</v>
      </c>
      <c r="D6" s="11"/>
      <c r="E6" s="11"/>
      <c r="F6" s="11"/>
      <c r="G6" s="11"/>
      <c r="H6" s="11"/>
      <c r="I6" s="11"/>
      <c r="J6" s="11"/>
      <c r="K6" s="11"/>
      <c r="L6" s="11"/>
      <c r="M6" s="47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</row>
    <row r="7" ht="4.5" customHeight="1">
      <c r="A7" s="120"/>
      <c r="B7" s="120"/>
      <c r="C7" s="187"/>
      <c r="D7" s="127"/>
      <c r="E7" s="127"/>
      <c r="F7" s="127"/>
      <c r="G7" s="127"/>
      <c r="H7" s="127"/>
      <c r="I7" s="127"/>
      <c r="J7" s="127"/>
      <c r="K7" s="127"/>
      <c r="L7" s="127"/>
      <c r="M7" s="188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</row>
    <row r="8" ht="4.5" customHeight="1">
      <c r="A8" s="120"/>
      <c r="B8" s="120"/>
      <c r="C8" s="166"/>
      <c r="D8" s="130"/>
      <c r="E8" s="130"/>
      <c r="F8" s="130"/>
      <c r="G8" s="130"/>
      <c r="H8" s="130"/>
      <c r="I8" s="130"/>
      <c r="J8" s="130"/>
      <c r="K8" s="130"/>
      <c r="L8" s="130"/>
      <c r="M8" s="164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</row>
    <row r="9" ht="12.75" customHeight="1">
      <c r="A9" s="120"/>
      <c r="B9" s="120"/>
      <c r="C9" s="189" t="s">
        <v>194</v>
      </c>
      <c r="D9" s="127"/>
      <c r="E9" s="127"/>
      <c r="F9" s="127"/>
      <c r="G9" s="127"/>
      <c r="H9" s="127"/>
      <c r="I9" s="127"/>
      <c r="J9" s="127"/>
      <c r="K9" s="127"/>
      <c r="L9" s="127"/>
      <c r="M9" s="188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</row>
    <row r="10" ht="12.75" customHeight="1">
      <c r="A10" s="120"/>
      <c r="B10" s="120"/>
      <c r="C10" s="166"/>
      <c r="D10" s="130"/>
      <c r="E10" s="130"/>
      <c r="F10" s="130"/>
      <c r="G10" s="130"/>
      <c r="H10" s="130"/>
      <c r="I10" s="130"/>
      <c r="J10" s="130"/>
      <c r="K10" s="130"/>
      <c r="L10" s="130"/>
      <c r="M10" s="164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</row>
    <row r="11" ht="19.5" customHeight="1">
      <c r="A11" s="120"/>
      <c r="B11" s="120"/>
      <c r="C11" s="134" t="s">
        <v>195</v>
      </c>
      <c r="D11" s="134" t="s">
        <v>196</v>
      </c>
      <c r="E11" s="135" t="s">
        <v>238</v>
      </c>
      <c r="F11" s="47"/>
      <c r="G11" s="134" t="s">
        <v>198</v>
      </c>
      <c r="H11" s="135" t="s">
        <v>225</v>
      </c>
      <c r="I11" s="47"/>
      <c r="J11" s="136" t="s">
        <v>200</v>
      </c>
      <c r="K11" s="47"/>
      <c r="L11" s="136" t="s">
        <v>201</v>
      </c>
      <c r="M11" s="47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</row>
    <row r="12" ht="12.75" customHeight="1">
      <c r="A12" s="120"/>
      <c r="B12" s="120"/>
      <c r="C12" s="190"/>
      <c r="D12" s="11"/>
      <c r="E12" s="11"/>
      <c r="F12" s="11"/>
      <c r="G12" s="11"/>
      <c r="H12" s="11"/>
      <c r="I12" s="11"/>
      <c r="J12" s="11"/>
      <c r="K12" s="11"/>
      <c r="L12" s="11"/>
      <c r="M12" s="47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</row>
    <row r="13" ht="13.5" customHeight="1">
      <c r="A13" s="120"/>
      <c r="B13" s="120"/>
      <c r="C13" s="191" t="s">
        <v>202</v>
      </c>
      <c r="D13" s="138" t="s">
        <v>207</v>
      </c>
      <c r="E13" s="139" t="s">
        <v>85</v>
      </c>
      <c r="F13" s="139" t="s">
        <v>92</v>
      </c>
      <c r="G13" s="140" t="s">
        <v>198</v>
      </c>
      <c r="H13" s="139" t="s">
        <v>86</v>
      </c>
      <c r="I13" s="139" t="s">
        <v>100</v>
      </c>
      <c r="J13" s="192">
        <v>4.0</v>
      </c>
      <c r="K13" s="192">
        <v>6.0</v>
      </c>
      <c r="L13" s="143">
        <f t="shared" ref="L13:M13" si="1">IF(J13+J14=12,2,IF(J13=6,1,IF(J14=6,1,0)))</f>
        <v>0</v>
      </c>
      <c r="M13" s="143">
        <f t="shared" si="1"/>
        <v>2</v>
      </c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</row>
    <row r="14" ht="12.75" customHeight="1">
      <c r="A14" s="120"/>
      <c r="B14" s="120"/>
      <c r="C14" s="71"/>
      <c r="D14" s="71"/>
      <c r="E14" s="71"/>
      <c r="F14" s="71"/>
      <c r="G14" s="71"/>
      <c r="H14" s="71"/>
      <c r="I14" s="71"/>
      <c r="J14" s="192">
        <v>4.0</v>
      </c>
      <c r="K14" s="192">
        <v>6.0</v>
      </c>
      <c r="L14" s="71"/>
      <c r="M14" s="71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</row>
    <row r="15" ht="4.5" customHeight="1">
      <c r="A15" s="120"/>
      <c r="B15" s="120"/>
      <c r="C15" s="193"/>
      <c r="D15" s="11"/>
      <c r="E15" s="11"/>
      <c r="F15" s="11"/>
      <c r="G15" s="11"/>
      <c r="H15" s="11"/>
      <c r="I15" s="11"/>
      <c r="J15" s="11"/>
      <c r="K15" s="11"/>
      <c r="L15" s="11"/>
      <c r="M15" s="47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</row>
    <row r="16" ht="12.75" customHeight="1">
      <c r="A16" s="120"/>
      <c r="B16" s="120"/>
      <c r="C16" s="191" t="s">
        <v>204</v>
      </c>
      <c r="D16" s="138" t="s">
        <v>209</v>
      </c>
      <c r="E16" s="139" t="s">
        <v>50</v>
      </c>
      <c r="F16" s="139" t="s">
        <v>42</v>
      </c>
      <c r="G16" s="140" t="s">
        <v>198</v>
      </c>
      <c r="H16" s="139" t="s">
        <v>43</v>
      </c>
      <c r="I16" s="139" t="s">
        <v>51</v>
      </c>
      <c r="J16" s="192">
        <v>2.0</v>
      </c>
      <c r="K16" s="192">
        <v>6.0</v>
      </c>
      <c r="L16" s="143">
        <f t="shared" ref="L16:M16" si="2">IF(J16+J17=12,2,IF(J16=6,1,IF(J17=6,1,0)))</f>
        <v>0</v>
      </c>
      <c r="M16" s="143">
        <f t="shared" si="2"/>
        <v>2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</row>
    <row r="17" ht="12.75" customHeight="1">
      <c r="A17" s="120"/>
      <c r="B17" s="120"/>
      <c r="C17" s="71"/>
      <c r="D17" s="71"/>
      <c r="E17" s="71"/>
      <c r="F17" s="71"/>
      <c r="G17" s="71"/>
      <c r="H17" s="71"/>
      <c r="I17" s="71"/>
      <c r="J17" s="192">
        <v>3.0</v>
      </c>
      <c r="K17" s="192">
        <v>6.0</v>
      </c>
      <c r="L17" s="71"/>
      <c r="M17" s="71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</row>
    <row r="18" ht="4.5" customHeight="1">
      <c r="A18" s="120"/>
      <c r="B18" s="120"/>
      <c r="C18" s="193"/>
      <c r="D18" s="11"/>
      <c r="E18" s="11"/>
      <c r="F18" s="11"/>
      <c r="G18" s="11"/>
      <c r="H18" s="11"/>
      <c r="I18" s="11"/>
      <c r="J18" s="11"/>
      <c r="K18" s="11"/>
      <c r="L18" s="11"/>
      <c r="M18" s="47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</row>
    <row r="19" ht="12.75" customHeight="1">
      <c r="A19" s="120"/>
      <c r="B19" s="120"/>
      <c r="C19" s="191" t="s">
        <v>211</v>
      </c>
      <c r="D19" s="138" t="s">
        <v>203</v>
      </c>
      <c r="E19" s="139" t="s">
        <v>142</v>
      </c>
      <c r="F19" s="139" t="s">
        <v>148</v>
      </c>
      <c r="G19" s="140" t="s">
        <v>198</v>
      </c>
      <c r="H19" s="139" t="s">
        <v>143</v>
      </c>
      <c r="I19" s="139" t="s">
        <v>149</v>
      </c>
      <c r="J19" s="192">
        <v>6.0</v>
      </c>
      <c r="K19" s="192">
        <v>1.0</v>
      </c>
      <c r="L19" s="143">
        <f t="shared" ref="L19:M19" si="3">IF(J19+J20=12,2,IF(J19=6,1,IF(J20=6,1,0)))</f>
        <v>2</v>
      </c>
      <c r="M19" s="143">
        <f t="shared" si="3"/>
        <v>0</v>
      </c>
      <c r="N19" s="120"/>
      <c r="O19" s="120"/>
      <c r="P19" s="120"/>
      <c r="Q19" s="120"/>
      <c r="R19" s="120"/>
      <c r="S19" s="120"/>
      <c r="T19" s="120"/>
      <c r="U19" s="120"/>
      <c r="V19" s="120"/>
      <c r="W19" s="120"/>
      <c r="X19" s="120"/>
      <c r="Y19" s="120"/>
      <c r="Z19" s="120"/>
    </row>
    <row r="20" ht="12.75" customHeight="1">
      <c r="A20" s="120"/>
      <c r="B20" s="120"/>
      <c r="C20" s="71"/>
      <c r="D20" s="71"/>
      <c r="E20" s="71"/>
      <c r="F20" s="71"/>
      <c r="G20" s="71"/>
      <c r="H20" s="71"/>
      <c r="I20" s="71"/>
      <c r="J20" s="192">
        <v>6.0</v>
      </c>
      <c r="K20" s="192">
        <v>1.0</v>
      </c>
      <c r="L20" s="71"/>
      <c r="M20" s="71"/>
      <c r="N20" s="167" t="s">
        <v>239</v>
      </c>
      <c r="O20" s="120" t="s">
        <v>227</v>
      </c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</row>
    <row r="21" ht="4.5" customHeight="1">
      <c r="A21" s="120"/>
      <c r="B21" s="120"/>
      <c r="C21" s="193"/>
      <c r="D21" s="11"/>
      <c r="E21" s="11"/>
      <c r="F21" s="11"/>
      <c r="G21" s="11"/>
      <c r="H21" s="11"/>
      <c r="I21" s="11"/>
      <c r="J21" s="11"/>
      <c r="K21" s="11"/>
      <c r="L21" s="11"/>
      <c r="M21" s="47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</row>
    <row r="22" ht="12.75" customHeight="1">
      <c r="A22" s="120"/>
      <c r="B22" s="120"/>
      <c r="C22" s="191" t="s">
        <v>202</v>
      </c>
      <c r="D22" s="175"/>
      <c r="E22" s="143"/>
      <c r="F22" s="143"/>
      <c r="G22" s="140" t="s">
        <v>198</v>
      </c>
      <c r="H22" s="143"/>
      <c r="I22" s="143"/>
      <c r="J22" s="196"/>
      <c r="K22" s="196"/>
      <c r="L22" s="143">
        <f t="shared" ref="L22:M22" si="4">IF(J22+J23=12,2,IF(J22=6,1,IF(J23=6,1,0)))</f>
        <v>0</v>
      </c>
      <c r="M22" s="143">
        <f t="shared" si="4"/>
        <v>0</v>
      </c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</row>
    <row r="23" ht="12.75" customHeight="1">
      <c r="A23" s="120"/>
      <c r="B23" s="120"/>
      <c r="C23" s="71"/>
      <c r="D23" s="71"/>
      <c r="E23" s="71"/>
      <c r="F23" s="71"/>
      <c r="G23" s="71"/>
      <c r="H23" s="71"/>
      <c r="I23" s="71"/>
      <c r="J23" s="196"/>
      <c r="K23" s="196"/>
      <c r="L23" s="71"/>
      <c r="M23" s="71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</row>
    <row r="24" ht="4.5" customHeight="1">
      <c r="A24" s="120"/>
      <c r="B24" s="120"/>
      <c r="C24" s="193"/>
      <c r="D24" s="11"/>
      <c r="E24" s="11"/>
      <c r="F24" s="11"/>
      <c r="G24" s="11"/>
      <c r="H24" s="11"/>
      <c r="I24" s="11"/>
      <c r="J24" s="11"/>
      <c r="K24" s="11"/>
      <c r="L24" s="11"/>
      <c r="M24" s="47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</row>
    <row r="25" ht="12.75" customHeight="1">
      <c r="A25" s="120"/>
      <c r="B25" s="120"/>
      <c r="C25" s="195" t="s">
        <v>240</v>
      </c>
      <c r="D25" s="11"/>
      <c r="E25" s="11"/>
      <c r="F25" s="11"/>
      <c r="G25" s="11"/>
      <c r="H25" s="11"/>
      <c r="I25" s="47"/>
      <c r="J25" s="196">
        <f t="shared" ref="J25:M25" si="5">SUM(J13:J23)</f>
        <v>25</v>
      </c>
      <c r="K25" s="196">
        <f t="shared" si="5"/>
        <v>26</v>
      </c>
      <c r="L25" s="196">
        <f t="shared" si="5"/>
        <v>2</v>
      </c>
      <c r="M25" s="196">
        <f t="shared" si="5"/>
        <v>4</v>
      </c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</row>
    <row r="26" ht="4.5" customHeight="1">
      <c r="A26" s="120"/>
      <c r="B26" s="120"/>
      <c r="C26" s="193"/>
      <c r="D26" s="11"/>
      <c r="E26" s="11"/>
      <c r="F26" s="11"/>
      <c r="G26" s="11"/>
      <c r="H26" s="11"/>
      <c r="I26" s="11"/>
      <c r="J26" s="11"/>
      <c r="K26" s="11"/>
      <c r="L26" s="11"/>
      <c r="M26" s="47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</row>
    <row r="27" ht="12.75" customHeight="1">
      <c r="A27" s="120"/>
      <c r="B27" s="120"/>
      <c r="C27" s="197"/>
      <c r="D27" s="11"/>
      <c r="E27" s="11"/>
      <c r="F27" s="11"/>
      <c r="G27" s="11"/>
      <c r="H27" s="11"/>
      <c r="I27" s="11"/>
      <c r="J27" s="11"/>
      <c r="K27" s="11"/>
      <c r="L27" s="11"/>
      <c r="M27" s="47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</row>
    <row r="28" ht="12.75" customHeight="1">
      <c r="A28" s="120"/>
      <c r="B28" s="120"/>
      <c r="C28" s="191" t="s">
        <v>202</v>
      </c>
      <c r="D28" s="204" t="s">
        <v>213</v>
      </c>
      <c r="E28" s="154" t="s">
        <v>124</v>
      </c>
      <c r="F28" s="154" t="s">
        <v>130</v>
      </c>
      <c r="G28" s="140" t="s">
        <v>198</v>
      </c>
      <c r="H28" s="154" t="s">
        <v>125</v>
      </c>
      <c r="I28" s="154" t="s">
        <v>131</v>
      </c>
      <c r="J28" s="192">
        <v>4.0</v>
      </c>
      <c r="K28" s="192">
        <v>6.0</v>
      </c>
      <c r="L28" s="143">
        <f t="shared" ref="L28:M28" si="6">IF(J28+J29=12,2,IF(J28=6,1,IF(J29=6,1,0)))</f>
        <v>1</v>
      </c>
      <c r="M28" s="143">
        <f t="shared" si="6"/>
        <v>1</v>
      </c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</row>
    <row r="29" ht="12.75" customHeight="1">
      <c r="A29" s="120"/>
      <c r="B29" s="120"/>
      <c r="C29" s="71"/>
      <c r="D29" s="71"/>
      <c r="E29" s="71"/>
      <c r="F29" s="71"/>
      <c r="G29" s="71"/>
      <c r="H29" s="71"/>
      <c r="I29" s="71"/>
      <c r="J29" s="192">
        <v>6.0</v>
      </c>
      <c r="K29" s="192">
        <v>4.0</v>
      </c>
      <c r="L29" s="71"/>
      <c r="M29" s="71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</row>
    <row r="30" ht="4.5" customHeight="1">
      <c r="A30" s="120"/>
      <c r="B30" s="120"/>
      <c r="C30" s="193"/>
      <c r="D30" s="11"/>
      <c r="E30" s="11"/>
      <c r="F30" s="11"/>
      <c r="G30" s="11"/>
      <c r="H30" s="11"/>
      <c r="I30" s="11"/>
      <c r="J30" s="11"/>
      <c r="K30" s="11"/>
      <c r="L30" s="11"/>
      <c r="M30" s="47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</row>
    <row r="31" ht="12.75" customHeight="1">
      <c r="A31" s="124"/>
      <c r="B31" s="120"/>
      <c r="C31" s="191" t="s">
        <v>204</v>
      </c>
      <c r="D31" s="138" t="s">
        <v>210</v>
      </c>
      <c r="E31" s="154" t="s">
        <v>71</v>
      </c>
      <c r="F31" s="154" t="s">
        <v>237</v>
      </c>
      <c r="G31" s="140" t="s">
        <v>198</v>
      </c>
      <c r="H31" s="154" t="s">
        <v>65</v>
      </c>
      <c r="I31" s="154" t="s">
        <v>79</v>
      </c>
      <c r="J31" s="192">
        <v>6.0</v>
      </c>
      <c r="K31" s="192">
        <v>3.0</v>
      </c>
      <c r="L31" s="143">
        <f t="shared" ref="L31:M31" si="7">IF(J31+J32=12,2,IF(J31=6,1,IF(J32=6,1,0)))</f>
        <v>2</v>
      </c>
      <c r="M31" s="143">
        <f t="shared" si="7"/>
        <v>0</v>
      </c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</row>
    <row r="32" ht="12.75" customHeight="1">
      <c r="A32" s="124"/>
      <c r="B32" s="120"/>
      <c r="C32" s="71"/>
      <c r="D32" s="71"/>
      <c r="E32" s="71"/>
      <c r="F32" s="71"/>
      <c r="G32" s="71"/>
      <c r="H32" s="71"/>
      <c r="I32" s="71"/>
      <c r="J32" s="192">
        <v>6.0</v>
      </c>
      <c r="K32" s="192">
        <v>2.0</v>
      </c>
      <c r="L32" s="71"/>
      <c r="M32" s="71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</row>
    <row r="33" ht="4.5" customHeight="1">
      <c r="A33" s="120"/>
      <c r="B33" s="120"/>
      <c r="C33" s="193"/>
      <c r="D33" s="11"/>
      <c r="E33" s="11"/>
      <c r="F33" s="11"/>
      <c r="G33" s="11"/>
      <c r="H33" s="11"/>
      <c r="I33" s="11"/>
      <c r="J33" s="11"/>
      <c r="K33" s="11"/>
      <c r="L33" s="11"/>
      <c r="M33" s="47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</row>
    <row r="34" ht="12.75" customHeight="1">
      <c r="A34" s="120"/>
      <c r="B34" s="120"/>
      <c r="C34" s="191" t="s">
        <v>211</v>
      </c>
      <c r="D34" s="138" t="s">
        <v>205</v>
      </c>
      <c r="E34" s="154" t="s">
        <v>241</v>
      </c>
      <c r="F34" s="154" t="s">
        <v>242</v>
      </c>
      <c r="G34" s="140" t="s">
        <v>198</v>
      </c>
      <c r="H34" s="154" t="s">
        <v>107</v>
      </c>
      <c r="I34" s="154" t="s">
        <v>113</v>
      </c>
      <c r="J34" s="192">
        <v>6.0</v>
      </c>
      <c r="K34" s="192">
        <v>3.0</v>
      </c>
      <c r="L34" s="143">
        <f t="shared" ref="L34:M34" si="8">IF(J34+J35=12,2,IF(J34=6,1,IF(J35=6,1,0)))</f>
        <v>2</v>
      </c>
      <c r="M34" s="143">
        <f t="shared" si="8"/>
        <v>0</v>
      </c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</row>
    <row r="35" ht="12.75" customHeight="1">
      <c r="A35" s="120"/>
      <c r="B35" s="120"/>
      <c r="C35" s="71"/>
      <c r="D35" s="71"/>
      <c r="E35" s="71"/>
      <c r="F35" s="71"/>
      <c r="G35" s="71"/>
      <c r="H35" s="71"/>
      <c r="I35" s="71"/>
      <c r="J35" s="192">
        <v>6.0</v>
      </c>
      <c r="K35" s="192">
        <v>4.0</v>
      </c>
      <c r="L35" s="71"/>
      <c r="M35" s="71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</row>
    <row r="36" ht="4.5" customHeight="1">
      <c r="A36" s="120"/>
      <c r="B36" s="120"/>
      <c r="C36" s="193"/>
      <c r="D36" s="11"/>
      <c r="E36" s="11"/>
      <c r="F36" s="11"/>
      <c r="G36" s="11"/>
      <c r="H36" s="11"/>
      <c r="I36" s="11"/>
      <c r="J36" s="11"/>
      <c r="K36" s="11"/>
      <c r="L36" s="11"/>
      <c r="M36" s="47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</row>
    <row r="37" ht="12.75" customHeight="1">
      <c r="A37" s="120"/>
      <c r="B37" s="120"/>
      <c r="C37" s="194" t="s">
        <v>211</v>
      </c>
      <c r="D37" s="157" t="s">
        <v>212</v>
      </c>
      <c r="E37" s="139" t="s">
        <v>21</v>
      </c>
      <c r="F37" s="139" t="s">
        <v>243</v>
      </c>
      <c r="G37" s="140" t="s">
        <v>198</v>
      </c>
      <c r="H37" s="139" t="s">
        <v>22</v>
      </c>
      <c r="I37" s="139" t="s">
        <v>36</v>
      </c>
      <c r="J37" s="192">
        <v>3.0</v>
      </c>
      <c r="K37" s="192">
        <v>6.0</v>
      </c>
      <c r="L37" s="143">
        <f t="shared" ref="L37:M37" si="9">IF(J37+J38=12,2,IF(J37=6,1,IF(J38=6,1,0)))</f>
        <v>1</v>
      </c>
      <c r="M37" s="143">
        <f t="shared" si="9"/>
        <v>1</v>
      </c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 ht="12.75" customHeight="1">
      <c r="A38" s="120"/>
      <c r="B38" s="120"/>
      <c r="C38" s="71"/>
      <c r="D38" s="71"/>
      <c r="E38" s="71"/>
      <c r="F38" s="71"/>
      <c r="G38" s="71"/>
      <c r="H38" s="71"/>
      <c r="I38" s="71"/>
      <c r="J38" s="192">
        <v>6.0</v>
      </c>
      <c r="K38" s="192">
        <v>4.0</v>
      </c>
      <c r="L38" s="71"/>
      <c r="M38" s="71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 ht="4.5" customHeight="1">
      <c r="A39" s="120"/>
      <c r="B39" s="120"/>
      <c r="C39" s="193"/>
      <c r="D39" s="11"/>
      <c r="E39" s="11"/>
      <c r="F39" s="11"/>
      <c r="G39" s="11"/>
      <c r="H39" s="11"/>
      <c r="I39" s="11"/>
      <c r="J39" s="11"/>
      <c r="K39" s="11"/>
      <c r="L39" s="11"/>
      <c r="M39" s="47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 ht="12.75" customHeight="1">
      <c r="A40" s="120"/>
      <c r="B40" s="120"/>
      <c r="C40" s="195" t="s">
        <v>244</v>
      </c>
      <c r="D40" s="11"/>
      <c r="E40" s="11"/>
      <c r="F40" s="11"/>
      <c r="G40" s="11"/>
      <c r="H40" s="11"/>
      <c r="I40" s="47"/>
      <c r="J40" s="196">
        <f t="shared" ref="J40:M40" si="10">SUM(J28:J38)</f>
        <v>43</v>
      </c>
      <c r="K40" s="196">
        <f t="shared" si="10"/>
        <v>32</v>
      </c>
      <c r="L40" s="196">
        <f t="shared" si="10"/>
        <v>6</v>
      </c>
      <c r="M40" s="196">
        <f t="shared" si="10"/>
        <v>2</v>
      </c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 ht="4.5" customHeight="1">
      <c r="A41" s="120"/>
      <c r="B41" s="120"/>
      <c r="C41" s="193"/>
      <c r="D41" s="11"/>
      <c r="E41" s="11"/>
      <c r="F41" s="11"/>
      <c r="G41" s="11"/>
      <c r="H41" s="11"/>
      <c r="I41" s="11"/>
      <c r="J41" s="11"/>
      <c r="K41" s="11"/>
      <c r="L41" s="11"/>
      <c r="M41" s="47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 ht="12.75" customHeight="1">
      <c r="A42" s="120"/>
      <c r="B42" s="120"/>
      <c r="C42" s="197" t="s">
        <v>245</v>
      </c>
      <c r="D42" s="11"/>
      <c r="E42" s="11"/>
      <c r="F42" s="11"/>
      <c r="G42" s="11"/>
      <c r="H42" s="11"/>
      <c r="I42" s="47"/>
      <c r="J42" s="198">
        <f t="shared" ref="J42:M42" si="11">J40+J25</f>
        <v>68</v>
      </c>
      <c r="K42" s="198">
        <f t="shared" si="11"/>
        <v>58</v>
      </c>
      <c r="L42" s="198">
        <f t="shared" si="11"/>
        <v>8</v>
      </c>
      <c r="M42" s="198">
        <f t="shared" si="11"/>
        <v>6</v>
      </c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 ht="6.75" customHeight="1">
      <c r="A43" s="120"/>
      <c r="B43" s="120"/>
      <c r="C43" s="193"/>
      <c r="D43" s="11"/>
      <c r="E43" s="11"/>
      <c r="F43" s="11"/>
      <c r="G43" s="11"/>
      <c r="H43" s="11"/>
      <c r="I43" s="11"/>
      <c r="J43" s="11"/>
      <c r="K43" s="11"/>
      <c r="L43" s="11"/>
      <c r="M43" s="47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 ht="7.5" customHeight="1">
      <c r="A44" s="120"/>
      <c r="B44" s="120"/>
      <c r="C44" s="189" t="s">
        <v>216</v>
      </c>
      <c r="D44" s="127"/>
      <c r="E44" s="127"/>
      <c r="F44" s="127"/>
      <c r="G44" s="127"/>
      <c r="H44" s="127"/>
      <c r="I44" s="127"/>
      <c r="J44" s="127"/>
      <c r="K44" s="127"/>
      <c r="L44" s="127"/>
      <c r="M44" s="188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 ht="12.75" customHeight="1">
      <c r="A45" s="120"/>
      <c r="B45" s="120"/>
      <c r="C45" s="166"/>
      <c r="D45" s="130"/>
      <c r="E45" s="130"/>
      <c r="F45" s="130"/>
      <c r="G45" s="130"/>
      <c r="H45" s="130"/>
      <c r="I45" s="130"/>
      <c r="J45" s="130"/>
      <c r="K45" s="130"/>
      <c r="L45" s="130"/>
      <c r="M45" s="164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 ht="26.25" customHeight="1">
      <c r="A46" s="120"/>
      <c r="B46" s="120"/>
      <c r="C46" s="134" t="s">
        <v>195</v>
      </c>
      <c r="D46" s="134" t="s">
        <v>196</v>
      </c>
      <c r="E46" s="135" t="s">
        <v>217</v>
      </c>
      <c r="F46" s="47"/>
      <c r="G46" s="134" t="s">
        <v>198</v>
      </c>
      <c r="H46" s="135" t="s">
        <v>199</v>
      </c>
      <c r="I46" s="47"/>
      <c r="J46" s="136" t="s">
        <v>200</v>
      </c>
      <c r="K46" s="47"/>
      <c r="L46" s="136" t="s">
        <v>201</v>
      </c>
      <c r="M46" s="47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 ht="12.75" customHeight="1">
      <c r="A47" s="120"/>
      <c r="B47" s="120"/>
      <c r="C47" s="190"/>
      <c r="D47" s="11"/>
      <c r="E47" s="11"/>
      <c r="F47" s="11"/>
      <c r="G47" s="11"/>
      <c r="H47" s="11"/>
      <c r="I47" s="11"/>
      <c r="J47" s="11"/>
      <c r="K47" s="11"/>
      <c r="L47" s="11"/>
      <c r="M47" s="47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 ht="12.75" customHeight="1">
      <c r="A48" s="120"/>
      <c r="B48" s="120"/>
      <c r="C48" s="191" t="s">
        <v>202</v>
      </c>
      <c r="D48" s="138" t="s">
        <v>212</v>
      </c>
      <c r="E48" s="154" t="s">
        <v>18</v>
      </c>
      <c r="F48" s="154" t="s">
        <v>32</v>
      </c>
      <c r="G48" s="140" t="s">
        <v>198</v>
      </c>
      <c r="H48" s="154" t="s">
        <v>189</v>
      </c>
      <c r="I48" s="154" t="s">
        <v>33</v>
      </c>
      <c r="J48" s="192">
        <v>6.0</v>
      </c>
      <c r="K48" s="192">
        <v>2.0</v>
      </c>
      <c r="L48" s="143">
        <f t="shared" ref="L48:M48" si="12">IF(J48+J49=12,2,IF(J48=6,1,IF(J49=6,1,0)))</f>
        <v>2</v>
      </c>
      <c r="M48" s="143">
        <f t="shared" si="12"/>
        <v>0</v>
      </c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 ht="12.75" customHeight="1">
      <c r="A49" s="120"/>
      <c r="B49" s="120"/>
      <c r="C49" s="71"/>
      <c r="D49" s="71"/>
      <c r="E49" s="71"/>
      <c r="F49" s="71"/>
      <c r="G49" s="71"/>
      <c r="H49" s="71"/>
      <c r="I49" s="71"/>
      <c r="J49" s="192">
        <v>6.0</v>
      </c>
      <c r="K49" s="192">
        <v>3.0</v>
      </c>
      <c r="L49" s="71"/>
      <c r="M49" s="71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 ht="4.5" customHeight="1">
      <c r="A50" s="120"/>
      <c r="B50" s="120"/>
      <c r="C50" s="193"/>
      <c r="D50" s="11"/>
      <c r="E50" s="11"/>
      <c r="F50" s="11"/>
      <c r="G50" s="11"/>
      <c r="H50" s="11"/>
      <c r="I50" s="11"/>
      <c r="J50" s="11"/>
      <c r="K50" s="11"/>
      <c r="L50" s="11"/>
      <c r="M50" s="47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 ht="12.75" customHeight="1">
      <c r="A51" s="120"/>
      <c r="B51" s="120"/>
      <c r="C51" s="191" t="s">
        <v>204</v>
      </c>
      <c r="D51" s="138" t="s">
        <v>205</v>
      </c>
      <c r="E51" s="154" t="s">
        <v>103</v>
      </c>
      <c r="F51" s="154" t="s">
        <v>115</v>
      </c>
      <c r="G51" s="140" t="s">
        <v>198</v>
      </c>
      <c r="H51" s="154" t="s">
        <v>104</v>
      </c>
      <c r="I51" s="154" t="s">
        <v>110</v>
      </c>
      <c r="J51" s="192">
        <v>6.0</v>
      </c>
      <c r="K51" s="192">
        <v>2.0</v>
      </c>
      <c r="L51" s="143">
        <f t="shared" ref="L51:M51" si="13">IF(J51+J52=12,2,IF(J51=6,1,IF(J52=6,1,0)))</f>
        <v>1</v>
      </c>
      <c r="M51" s="143">
        <f t="shared" si="13"/>
        <v>1</v>
      </c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 ht="12.75" customHeight="1">
      <c r="A52" s="120"/>
      <c r="B52" s="120"/>
      <c r="C52" s="71"/>
      <c r="D52" s="71"/>
      <c r="E52" s="71"/>
      <c r="F52" s="71"/>
      <c r="G52" s="71"/>
      <c r="H52" s="71"/>
      <c r="I52" s="71"/>
      <c r="J52" s="192">
        <v>0.0</v>
      </c>
      <c r="K52" s="192">
        <v>6.0</v>
      </c>
      <c r="L52" s="71"/>
      <c r="M52" s="71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 ht="4.5" customHeight="1">
      <c r="A53" s="120"/>
      <c r="B53" s="120"/>
      <c r="C53" s="193"/>
      <c r="D53" s="11"/>
      <c r="E53" s="11"/>
      <c r="F53" s="11"/>
      <c r="G53" s="11"/>
      <c r="H53" s="11"/>
      <c r="I53" s="11"/>
      <c r="J53" s="11"/>
      <c r="K53" s="11"/>
      <c r="L53" s="11"/>
      <c r="M53" s="47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 ht="12.75" customHeight="1">
      <c r="A54" s="120"/>
      <c r="B54" s="120"/>
      <c r="C54" s="191" t="s">
        <v>211</v>
      </c>
      <c r="D54" s="138" t="s">
        <v>209</v>
      </c>
      <c r="E54" s="154" t="s">
        <v>39</v>
      </c>
      <c r="F54" s="154" t="s">
        <v>47</v>
      </c>
      <c r="G54" s="140" t="s">
        <v>198</v>
      </c>
      <c r="H54" s="154" t="s">
        <v>40</v>
      </c>
      <c r="I54" s="154" t="s">
        <v>55</v>
      </c>
      <c r="J54" s="192">
        <v>6.0</v>
      </c>
      <c r="K54" s="192">
        <v>7.0</v>
      </c>
      <c r="L54" s="139">
        <v>0.0</v>
      </c>
      <c r="M54" s="139">
        <v>2.0</v>
      </c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 ht="12.75" customHeight="1">
      <c r="A55" s="120"/>
      <c r="B55" s="120"/>
      <c r="C55" s="71"/>
      <c r="D55" s="71"/>
      <c r="E55" s="71"/>
      <c r="F55" s="71"/>
      <c r="G55" s="71"/>
      <c r="H55" s="71"/>
      <c r="I55" s="71"/>
      <c r="J55" s="192">
        <v>0.0</v>
      </c>
      <c r="K55" s="192">
        <v>6.0</v>
      </c>
      <c r="L55" s="71"/>
      <c r="M55" s="71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 ht="4.5" customHeight="1">
      <c r="A56" s="120"/>
      <c r="B56" s="120"/>
      <c r="C56" s="193"/>
      <c r="D56" s="11"/>
      <c r="E56" s="11"/>
      <c r="F56" s="11"/>
      <c r="G56" s="11"/>
      <c r="H56" s="11"/>
      <c r="I56" s="11"/>
      <c r="J56" s="11"/>
      <c r="K56" s="11"/>
      <c r="L56" s="11"/>
      <c r="M56" s="47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 ht="12.75" customHeight="1">
      <c r="A57" s="120"/>
      <c r="B57" s="120"/>
      <c r="C57" s="191" t="s">
        <v>211</v>
      </c>
      <c r="D57" s="157" t="s">
        <v>210</v>
      </c>
      <c r="E57" s="154" t="s">
        <v>61</v>
      </c>
      <c r="F57" s="154" t="s">
        <v>75</v>
      </c>
      <c r="G57" s="140" t="s">
        <v>198</v>
      </c>
      <c r="H57" s="154" t="s">
        <v>69</v>
      </c>
      <c r="I57" s="154" t="s">
        <v>76</v>
      </c>
      <c r="J57" s="192">
        <v>6.0</v>
      </c>
      <c r="K57" s="192">
        <v>2.0</v>
      </c>
      <c r="L57" s="143">
        <f t="shared" ref="L57:M57" si="14">IF(J57+J58=12,2,IF(J57=6,1,IF(J58=6,1,0)))</f>
        <v>1</v>
      </c>
      <c r="M57" s="143">
        <f t="shared" si="14"/>
        <v>1</v>
      </c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 ht="12.75" customHeight="1">
      <c r="A58" s="120"/>
      <c r="B58" s="120"/>
      <c r="C58" s="71"/>
      <c r="D58" s="71"/>
      <c r="E58" s="71"/>
      <c r="F58" s="71"/>
      <c r="G58" s="71"/>
      <c r="H58" s="71"/>
      <c r="I58" s="71"/>
      <c r="J58" s="192">
        <v>2.0</v>
      </c>
      <c r="K58" s="192">
        <v>6.0</v>
      </c>
      <c r="L58" s="71"/>
      <c r="M58" s="71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 ht="4.5" customHeight="1">
      <c r="A59" s="120"/>
      <c r="B59" s="120"/>
      <c r="C59" s="193"/>
      <c r="D59" s="11"/>
      <c r="E59" s="11"/>
      <c r="F59" s="11"/>
      <c r="G59" s="11"/>
      <c r="H59" s="11"/>
      <c r="I59" s="11"/>
      <c r="J59" s="11"/>
      <c r="K59" s="11"/>
      <c r="L59" s="11"/>
      <c r="M59" s="47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 ht="12.75" customHeight="1">
      <c r="A60" s="120"/>
      <c r="B60" s="120"/>
      <c r="C60" s="195" t="s">
        <v>240</v>
      </c>
      <c r="D60" s="11"/>
      <c r="E60" s="11"/>
      <c r="F60" s="11"/>
      <c r="G60" s="11"/>
      <c r="H60" s="11"/>
      <c r="I60" s="47"/>
      <c r="J60" s="196">
        <f t="shared" ref="J60:M60" si="15">SUM(J48:J58)</f>
        <v>32</v>
      </c>
      <c r="K60" s="196">
        <f t="shared" si="15"/>
        <v>34</v>
      </c>
      <c r="L60" s="196">
        <f t="shared" si="15"/>
        <v>4</v>
      </c>
      <c r="M60" s="196">
        <f t="shared" si="15"/>
        <v>4</v>
      </c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 ht="4.5" customHeight="1">
      <c r="A61" s="120"/>
      <c r="B61" s="120"/>
      <c r="C61" s="193"/>
      <c r="D61" s="11"/>
      <c r="E61" s="11"/>
      <c r="F61" s="11"/>
      <c r="G61" s="11"/>
      <c r="H61" s="11"/>
      <c r="I61" s="11"/>
      <c r="J61" s="11"/>
      <c r="K61" s="11"/>
      <c r="L61" s="11"/>
      <c r="M61" s="47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 ht="12.75" customHeight="1">
      <c r="A62" s="120"/>
      <c r="B62" s="120"/>
      <c r="C62" s="197"/>
      <c r="D62" s="11"/>
      <c r="E62" s="11"/>
      <c r="F62" s="11"/>
      <c r="G62" s="11"/>
      <c r="H62" s="11"/>
      <c r="I62" s="11"/>
      <c r="J62" s="11"/>
      <c r="K62" s="11"/>
      <c r="L62" s="11"/>
      <c r="M62" s="47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 ht="12.75" customHeight="1">
      <c r="A63" s="120"/>
      <c r="B63" s="120"/>
      <c r="C63" s="191" t="s">
        <v>202</v>
      </c>
      <c r="D63" s="138" t="s">
        <v>203</v>
      </c>
      <c r="E63" s="154" t="s">
        <v>145</v>
      </c>
      <c r="F63" s="154" t="s">
        <v>151</v>
      </c>
      <c r="G63" s="140" t="s">
        <v>198</v>
      </c>
      <c r="H63" s="154" t="s">
        <v>146</v>
      </c>
      <c r="I63" s="154" t="s">
        <v>190</v>
      </c>
      <c r="J63" s="192">
        <v>6.0</v>
      </c>
      <c r="K63" s="192">
        <v>4.0</v>
      </c>
      <c r="L63" s="143">
        <f>IF(J63+J64=12,2,IF(J63=6,1,IF(J64=6,1,0)))</f>
        <v>2</v>
      </c>
      <c r="M63" s="143">
        <v>0.0</v>
      </c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 ht="12.75" customHeight="1">
      <c r="A64" s="120"/>
      <c r="B64" s="120"/>
      <c r="C64" s="71"/>
      <c r="D64" s="71"/>
      <c r="E64" s="71"/>
      <c r="F64" s="71"/>
      <c r="G64" s="71"/>
      <c r="H64" s="71"/>
      <c r="I64" s="71"/>
      <c r="J64" s="192">
        <v>6.0</v>
      </c>
      <c r="K64" s="192">
        <v>4.0</v>
      </c>
      <c r="L64" s="71"/>
      <c r="M64" s="71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 ht="4.5" customHeight="1">
      <c r="A65" s="120"/>
      <c r="B65" s="120"/>
      <c r="C65" s="193"/>
      <c r="D65" s="11"/>
      <c r="E65" s="11"/>
      <c r="F65" s="11"/>
      <c r="G65" s="11"/>
      <c r="H65" s="11"/>
      <c r="I65" s="11"/>
      <c r="J65" s="11"/>
      <c r="K65" s="11"/>
      <c r="L65" s="11"/>
      <c r="M65" s="47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 ht="12.75" customHeight="1">
      <c r="A66" s="120"/>
      <c r="B66" s="120"/>
      <c r="C66" s="191" t="s">
        <v>204</v>
      </c>
      <c r="D66" s="138" t="s">
        <v>213</v>
      </c>
      <c r="E66" s="154" t="s">
        <v>246</v>
      </c>
      <c r="F66" s="154" t="s">
        <v>133</v>
      </c>
      <c r="G66" s="140" t="s">
        <v>198</v>
      </c>
      <c r="H66" s="154" t="s">
        <v>122</v>
      </c>
      <c r="I66" s="154" t="s">
        <v>128</v>
      </c>
      <c r="J66" s="192">
        <v>1.0</v>
      </c>
      <c r="K66" s="192">
        <v>6.0</v>
      </c>
      <c r="L66" s="143">
        <f>IF(J66+J67=12,2,IF(J66=6,1,IF(J67=6,1,0)))</f>
        <v>0</v>
      </c>
      <c r="M66" s="139">
        <v>2.0</v>
      </c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 ht="12.75" customHeight="1">
      <c r="A67" s="120"/>
      <c r="B67" s="120"/>
      <c r="C67" s="71"/>
      <c r="D67" s="71"/>
      <c r="E67" s="71"/>
      <c r="F67" s="71"/>
      <c r="G67" s="71"/>
      <c r="H67" s="71"/>
      <c r="I67" s="71"/>
      <c r="J67" s="192">
        <v>2.0</v>
      </c>
      <c r="K67" s="192">
        <v>6.0</v>
      </c>
      <c r="L67" s="71"/>
      <c r="M67" s="71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 ht="4.5" customHeight="1">
      <c r="A68" s="120"/>
      <c r="B68" s="120"/>
      <c r="C68" s="193"/>
      <c r="D68" s="11"/>
      <c r="E68" s="11"/>
      <c r="F68" s="11"/>
      <c r="G68" s="11"/>
      <c r="H68" s="11"/>
      <c r="I68" s="11"/>
      <c r="J68" s="11"/>
      <c r="K68" s="11"/>
      <c r="L68" s="11"/>
      <c r="M68" s="47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 ht="12.75" customHeight="1">
      <c r="A69" s="120"/>
      <c r="B69" s="120"/>
      <c r="C69" s="191" t="s">
        <v>211</v>
      </c>
      <c r="D69" s="138" t="s">
        <v>207</v>
      </c>
      <c r="E69" s="138" t="s">
        <v>96</v>
      </c>
      <c r="F69" s="154" t="s">
        <v>89</v>
      </c>
      <c r="G69" s="140" t="s">
        <v>198</v>
      </c>
      <c r="H69" s="154" t="s">
        <v>90</v>
      </c>
      <c r="I69" s="154" t="s">
        <v>97</v>
      </c>
      <c r="J69" s="192">
        <v>6.0</v>
      </c>
      <c r="K69" s="192">
        <v>0.0</v>
      </c>
      <c r="L69" s="143">
        <f t="shared" ref="L69:M69" si="16">IF(J69+J70=12,2,IF(J69=6,1,IF(J70=6,1,0)))</f>
        <v>2</v>
      </c>
      <c r="M69" s="143">
        <f t="shared" si="16"/>
        <v>0</v>
      </c>
      <c r="N69" s="120"/>
      <c r="O69" s="120"/>
      <c r="P69" s="120" t="s">
        <v>227</v>
      </c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 ht="12.75" customHeight="1">
      <c r="A70" s="120"/>
      <c r="B70" s="120"/>
      <c r="C70" s="71"/>
      <c r="D70" s="71"/>
      <c r="E70" s="71"/>
      <c r="F70" s="71"/>
      <c r="G70" s="71"/>
      <c r="H70" s="71"/>
      <c r="I70" s="71"/>
      <c r="J70" s="192">
        <v>6.0</v>
      </c>
      <c r="K70" s="192">
        <v>2.0</v>
      </c>
      <c r="L70" s="71"/>
      <c r="M70" s="71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 ht="4.5" customHeight="1">
      <c r="A71" s="120"/>
      <c r="B71" s="120"/>
      <c r="C71" s="193"/>
      <c r="D71" s="11"/>
      <c r="E71" s="11"/>
      <c r="F71" s="11"/>
      <c r="G71" s="11"/>
      <c r="H71" s="11"/>
      <c r="I71" s="11"/>
      <c r="J71" s="11"/>
      <c r="K71" s="11"/>
      <c r="L71" s="11"/>
      <c r="M71" s="47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 ht="12.75" customHeight="1">
      <c r="A72" s="120"/>
      <c r="B72" s="120"/>
      <c r="C72" s="191" t="s">
        <v>236</v>
      </c>
      <c r="D72" s="175"/>
      <c r="E72" s="176"/>
      <c r="F72" s="176"/>
      <c r="G72" s="140" t="s">
        <v>198</v>
      </c>
      <c r="H72" s="176"/>
      <c r="I72" s="176"/>
      <c r="J72" s="196"/>
      <c r="K72" s="196"/>
      <c r="L72" s="143">
        <f t="shared" ref="L72:M72" si="17">IF(J72+J73=12,2,IF(J72=6,1,IF(J73=6,1,0)))</f>
        <v>0</v>
      </c>
      <c r="M72" s="143">
        <f t="shared" si="17"/>
        <v>0</v>
      </c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 ht="12.75" customHeight="1">
      <c r="A73" s="120"/>
      <c r="B73" s="120"/>
      <c r="C73" s="71"/>
      <c r="D73" s="71"/>
      <c r="E73" s="71"/>
      <c r="F73" s="71"/>
      <c r="G73" s="71"/>
      <c r="H73" s="71"/>
      <c r="I73" s="71"/>
      <c r="J73" s="196"/>
      <c r="K73" s="196"/>
      <c r="L73" s="71"/>
      <c r="M73" s="71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 ht="4.5" customHeight="1">
      <c r="A74" s="120"/>
      <c r="B74" s="120"/>
      <c r="C74" s="193"/>
      <c r="D74" s="11"/>
      <c r="E74" s="11"/>
      <c r="F74" s="11"/>
      <c r="G74" s="11"/>
      <c r="H74" s="11"/>
      <c r="I74" s="11"/>
      <c r="J74" s="11"/>
      <c r="K74" s="11"/>
      <c r="L74" s="11"/>
      <c r="M74" s="47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 ht="12.75" customHeight="1">
      <c r="A75" s="120"/>
      <c r="B75" s="120"/>
      <c r="C75" s="195" t="s">
        <v>244</v>
      </c>
      <c r="D75" s="11"/>
      <c r="E75" s="11"/>
      <c r="F75" s="11"/>
      <c r="G75" s="11"/>
      <c r="H75" s="11"/>
      <c r="I75" s="47"/>
      <c r="J75" s="196">
        <f t="shared" ref="J75:M75" si="18">SUM(J63:J73)</f>
        <v>27</v>
      </c>
      <c r="K75" s="196">
        <f t="shared" si="18"/>
        <v>22</v>
      </c>
      <c r="L75" s="196">
        <f t="shared" si="18"/>
        <v>4</v>
      </c>
      <c r="M75" s="196">
        <f t="shared" si="18"/>
        <v>2</v>
      </c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 ht="4.5" customHeight="1">
      <c r="A76" s="120"/>
      <c r="B76" s="120"/>
      <c r="C76" s="193"/>
      <c r="D76" s="11"/>
      <c r="E76" s="11"/>
      <c r="F76" s="11"/>
      <c r="G76" s="11"/>
      <c r="H76" s="11"/>
      <c r="I76" s="11"/>
      <c r="J76" s="11"/>
      <c r="K76" s="11"/>
      <c r="L76" s="11"/>
      <c r="M76" s="47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 ht="12.75" customHeight="1">
      <c r="A77" s="120"/>
      <c r="B77" s="120"/>
      <c r="C77" s="197" t="s">
        <v>245</v>
      </c>
      <c r="D77" s="11"/>
      <c r="E77" s="11"/>
      <c r="F77" s="11"/>
      <c r="G77" s="11"/>
      <c r="H77" s="11"/>
      <c r="I77" s="47"/>
      <c r="J77" s="198">
        <f t="shared" ref="J77:M77" si="19">J75+J60</f>
        <v>59</v>
      </c>
      <c r="K77" s="198">
        <f t="shared" si="19"/>
        <v>56</v>
      </c>
      <c r="L77" s="198">
        <f t="shared" si="19"/>
        <v>8</v>
      </c>
      <c r="M77" s="198">
        <f t="shared" si="19"/>
        <v>6</v>
      </c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 ht="6.75" customHeight="1">
      <c r="A78" s="120"/>
      <c r="B78" s="120"/>
      <c r="C78" s="193"/>
      <c r="D78" s="11"/>
      <c r="E78" s="11"/>
      <c r="F78" s="11"/>
      <c r="G78" s="11"/>
      <c r="H78" s="11"/>
      <c r="I78" s="11"/>
      <c r="J78" s="11"/>
      <c r="K78" s="11"/>
      <c r="L78" s="11"/>
      <c r="M78" s="47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 ht="12.75" customHeight="1">
      <c r="A79" s="120"/>
      <c r="B79" s="120"/>
      <c r="C79" s="189" t="s">
        <v>224</v>
      </c>
      <c r="D79" s="127"/>
      <c r="E79" s="127"/>
      <c r="F79" s="127"/>
      <c r="G79" s="127"/>
      <c r="H79" s="127"/>
      <c r="I79" s="127"/>
      <c r="J79" s="127"/>
      <c r="K79" s="127"/>
      <c r="L79" s="127"/>
      <c r="M79" s="188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 ht="12.75" customHeight="1">
      <c r="A80" s="120"/>
      <c r="B80" s="120"/>
      <c r="C80" s="166"/>
      <c r="D80" s="130"/>
      <c r="E80" s="130"/>
      <c r="F80" s="130"/>
      <c r="G80" s="130"/>
      <c r="H80" s="130"/>
      <c r="I80" s="130"/>
      <c r="J80" s="130"/>
      <c r="K80" s="130"/>
      <c r="L80" s="130"/>
      <c r="M80" s="164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 ht="25.5" customHeight="1">
      <c r="A81" s="120"/>
      <c r="B81" s="120"/>
      <c r="C81" s="200" t="s">
        <v>195</v>
      </c>
      <c r="D81" s="134" t="s">
        <v>196</v>
      </c>
      <c r="E81" s="135" t="s">
        <v>197</v>
      </c>
      <c r="F81" s="47"/>
      <c r="G81" s="134" t="s">
        <v>198</v>
      </c>
      <c r="H81" s="135" t="s">
        <v>228</v>
      </c>
      <c r="I81" s="47"/>
      <c r="J81" s="136" t="s">
        <v>200</v>
      </c>
      <c r="K81" s="47"/>
      <c r="L81" s="136" t="s">
        <v>201</v>
      </c>
      <c r="M81" s="47"/>
      <c r="N81" s="120"/>
      <c r="O81" s="120"/>
      <c r="P81" s="120"/>
      <c r="Q81" s="120"/>
      <c r="R81" s="120" t="s">
        <v>227</v>
      </c>
      <c r="S81" s="120"/>
      <c r="T81" s="120"/>
      <c r="U81" s="120"/>
      <c r="V81" s="120"/>
      <c r="W81" s="120"/>
      <c r="X81" s="120"/>
      <c r="Y81" s="120"/>
      <c r="Z81" s="120"/>
    </row>
    <row r="82" ht="12.75" customHeight="1">
      <c r="A82" s="120"/>
      <c r="B82" s="120"/>
      <c r="C82" s="190"/>
      <c r="D82" s="11"/>
      <c r="E82" s="11"/>
      <c r="F82" s="11"/>
      <c r="G82" s="11"/>
      <c r="H82" s="11"/>
      <c r="I82" s="11"/>
      <c r="J82" s="11"/>
      <c r="K82" s="11"/>
      <c r="L82" s="11"/>
      <c r="M82" s="47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 ht="12.75" customHeight="1">
      <c r="A83" s="120"/>
      <c r="B83" s="120"/>
      <c r="C83" s="191" t="s">
        <v>202</v>
      </c>
      <c r="D83" s="138" t="s">
        <v>213</v>
      </c>
      <c r="E83" s="154" t="s">
        <v>120</v>
      </c>
      <c r="F83" s="154" t="s">
        <v>132</v>
      </c>
      <c r="G83" s="140" t="s">
        <v>198</v>
      </c>
      <c r="H83" s="154" t="s">
        <v>123</v>
      </c>
      <c r="I83" s="154" t="s">
        <v>135</v>
      </c>
      <c r="J83" s="192">
        <v>2.0</v>
      </c>
      <c r="K83" s="192">
        <v>6.0</v>
      </c>
      <c r="L83" s="143">
        <f t="shared" ref="L83:M83" si="20">IF(J83+J84=12,2,IF(J83=6,1,IF(J84=6,1,0)))</f>
        <v>0</v>
      </c>
      <c r="M83" s="143">
        <f t="shared" si="20"/>
        <v>2</v>
      </c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 ht="12.75" customHeight="1">
      <c r="A84" s="120"/>
      <c r="B84" s="120"/>
      <c r="C84" s="71"/>
      <c r="D84" s="71"/>
      <c r="E84" s="71"/>
      <c r="F84" s="71"/>
      <c r="G84" s="71"/>
      <c r="H84" s="71"/>
      <c r="I84" s="71"/>
      <c r="J84" s="192">
        <v>1.0</v>
      </c>
      <c r="K84" s="192">
        <v>6.0</v>
      </c>
      <c r="L84" s="71"/>
      <c r="M84" s="71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 ht="4.5" customHeight="1">
      <c r="A85" s="120"/>
      <c r="B85" s="120"/>
      <c r="C85" s="193"/>
      <c r="D85" s="11"/>
      <c r="E85" s="11"/>
      <c r="F85" s="11"/>
      <c r="G85" s="11"/>
      <c r="H85" s="11"/>
      <c r="I85" s="11"/>
      <c r="J85" s="11"/>
      <c r="K85" s="11"/>
      <c r="L85" s="11"/>
      <c r="M85" s="47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 ht="12.75" customHeight="1">
      <c r="A86" s="120"/>
      <c r="B86" s="120"/>
      <c r="C86" s="191" t="s">
        <v>204</v>
      </c>
      <c r="D86" s="138" t="s">
        <v>210</v>
      </c>
      <c r="E86" s="154" t="s">
        <v>60</v>
      </c>
      <c r="F86" s="154" t="s">
        <v>74</v>
      </c>
      <c r="G86" s="140" t="s">
        <v>198</v>
      </c>
      <c r="H86" s="154" t="s">
        <v>70</v>
      </c>
      <c r="I86" s="154" t="s">
        <v>77</v>
      </c>
      <c r="J86" s="192">
        <v>3.0</v>
      </c>
      <c r="K86" s="192">
        <v>6.0</v>
      </c>
      <c r="L86" s="143">
        <f t="shared" ref="L86:M86" si="21">IF(J86+J87=12,2,IF(J86=6,1,IF(J87=6,1,0)))</f>
        <v>1</v>
      </c>
      <c r="M86" s="143">
        <f t="shared" si="21"/>
        <v>1</v>
      </c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 ht="12.75" customHeight="1">
      <c r="A87" s="120"/>
      <c r="B87" s="120"/>
      <c r="C87" s="71"/>
      <c r="D87" s="71"/>
      <c r="E87" s="71"/>
      <c r="F87" s="71"/>
      <c r="G87" s="71"/>
      <c r="H87" s="71"/>
      <c r="I87" s="71"/>
      <c r="J87" s="192">
        <v>6.0</v>
      </c>
      <c r="K87" s="192">
        <v>4.0</v>
      </c>
      <c r="L87" s="71"/>
      <c r="M87" s="71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 ht="4.5" customHeight="1">
      <c r="A88" s="120"/>
      <c r="B88" s="120"/>
      <c r="C88" s="193"/>
      <c r="D88" s="11"/>
      <c r="E88" s="11"/>
      <c r="F88" s="11"/>
      <c r="G88" s="11"/>
      <c r="H88" s="11"/>
      <c r="I88" s="11"/>
      <c r="J88" s="11"/>
      <c r="K88" s="11"/>
      <c r="L88" s="11"/>
      <c r="M88" s="47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 ht="12.75" customHeight="1">
      <c r="A89" s="120"/>
      <c r="B89" s="120"/>
      <c r="C89" s="191" t="s">
        <v>211</v>
      </c>
      <c r="D89" s="138" t="s">
        <v>247</v>
      </c>
      <c r="E89" s="154" t="s">
        <v>144</v>
      </c>
      <c r="F89" s="154" t="s">
        <v>150</v>
      </c>
      <c r="G89" s="140" t="s">
        <v>198</v>
      </c>
      <c r="H89" s="154" t="s">
        <v>141</v>
      </c>
      <c r="I89" s="154" t="s">
        <v>147</v>
      </c>
      <c r="J89" s="192">
        <v>4.0</v>
      </c>
      <c r="K89" s="192">
        <v>6.0</v>
      </c>
      <c r="L89" s="143">
        <f>IF(J89+J90=12,2,IF(J89=6,1,IF(J90=6,1,0)))</f>
        <v>0</v>
      </c>
      <c r="M89" s="139">
        <v>2.0</v>
      </c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 ht="12.75" customHeight="1">
      <c r="A90" s="120"/>
      <c r="B90" s="120"/>
      <c r="C90" s="71"/>
      <c r="D90" s="71"/>
      <c r="E90" s="71"/>
      <c r="F90" s="71"/>
      <c r="G90" s="71"/>
      <c r="H90" s="71"/>
      <c r="I90" s="71"/>
      <c r="J90" s="192">
        <v>0.0</v>
      </c>
      <c r="K90" s="192">
        <v>6.0</v>
      </c>
      <c r="L90" s="71"/>
      <c r="M90" s="71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 ht="4.5" customHeight="1">
      <c r="A91" s="120"/>
      <c r="B91" s="120"/>
      <c r="C91" s="193"/>
      <c r="D91" s="11"/>
      <c r="E91" s="11"/>
      <c r="F91" s="11"/>
      <c r="G91" s="11"/>
      <c r="H91" s="11"/>
      <c r="I91" s="11"/>
      <c r="J91" s="11"/>
      <c r="K91" s="11"/>
      <c r="L91" s="11"/>
      <c r="M91" s="47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 ht="12.75" customHeight="1">
      <c r="A92" s="120"/>
      <c r="B92" s="120"/>
      <c r="C92" s="175" t="s">
        <v>204</v>
      </c>
      <c r="D92" s="157" t="s">
        <v>205</v>
      </c>
      <c r="E92" s="139" t="s">
        <v>102</v>
      </c>
      <c r="F92" s="139" t="s">
        <v>108</v>
      </c>
      <c r="G92" s="140" t="s">
        <v>198</v>
      </c>
      <c r="H92" s="139" t="s">
        <v>105</v>
      </c>
      <c r="I92" s="139" t="s">
        <v>111</v>
      </c>
      <c r="J92" s="192">
        <v>3.0</v>
      </c>
      <c r="K92" s="192">
        <v>6.0</v>
      </c>
      <c r="L92" s="139">
        <v>1.0</v>
      </c>
      <c r="M92" s="139">
        <v>1.0</v>
      </c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 ht="12.75" customHeight="1">
      <c r="A93" s="120"/>
      <c r="B93" s="120"/>
      <c r="C93" s="71"/>
      <c r="D93" s="71"/>
      <c r="E93" s="71"/>
      <c r="F93" s="71"/>
      <c r="G93" s="71"/>
      <c r="H93" s="71"/>
      <c r="I93" s="71"/>
      <c r="J93" s="192">
        <v>7.0</v>
      </c>
      <c r="K93" s="192">
        <v>6.0</v>
      </c>
      <c r="L93" s="71"/>
      <c r="M93" s="71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 ht="4.5" customHeight="1">
      <c r="A94" s="120"/>
      <c r="B94" s="120"/>
      <c r="C94" s="193"/>
      <c r="D94" s="11"/>
      <c r="E94" s="11"/>
      <c r="F94" s="11"/>
      <c r="G94" s="11"/>
      <c r="H94" s="11"/>
      <c r="I94" s="11"/>
      <c r="J94" s="11"/>
      <c r="K94" s="11"/>
      <c r="L94" s="11"/>
      <c r="M94" s="47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 ht="12.75" customHeight="1">
      <c r="A95" s="120"/>
      <c r="B95" s="120"/>
      <c r="C95" s="195" t="s">
        <v>240</v>
      </c>
      <c r="D95" s="11"/>
      <c r="E95" s="11"/>
      <c r="F95" s="11"/>
      <c r="G95" s="11"/>
      <c r="H95" s="11"/>
      <c r="I95" s="47"/>
      <c r="J95" s="196">
        <f t="shared" ref="J95:M95" si="22">SUM(J83:J93)</f>
        <v>26</v>
      </c>
      <c r="K95" s="196">
        <f t="shared" si="22"/>
        <v>46</v>
      </c>
      <c r="L95" s="196">
        <f t="shared" si="22"/>
        <v>2</v>
      </c>
      <c r="M95" s="196">
        <f t="shared" si="22"/>
        <v>6</v>
      </c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 ht="4.5" customHeight="1">
      <c r="A96" s="120"/>
      <c r="B96" s="120"/>
      <c r="C96" s="193"/>
      <c r="D96" s="11"/>
      <c r="E96" s="11"/>
      <c r="F96" s="11"/>
      <c r="G96" s="11"/>
      <c r="H96" s="11"/>
      <c r="I96" s="11"/>
      <c r="J96" s="11"/>
      <c r="K96" s="11"/>
      <c r="L96" s="11"/>
      <c r="M96" s="47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 ht="12.75" customHeight="1">
      <c r="A97" s="120"/>
      <c r="B97" s="120"/>
      <c r="C97" s="197"/>
      <c r="D97" s="11"/>
      <c r="E97" s="11"/>
      <c r="F97" s="11"/>
      <c r="G97" s="11"/>
      <c r="H97" s="11"/>
      <c r="I97" s="11"/>
      <c r="J97" s="11"/>
      <c r="K97" s="11"/>
      <c r="L97" s="11"/>
      <c r="M97" s="47"/>
      <c r="N97" s="120"/>
      <c r="O97" s="120"/>
      <c r="P97" s="120"/>
      <c r="Q97" s="120" t="s">
        <v>227</v>
      </c>
      <c r="R97" s="120"/>
      <c r="S97" s="120"/>
      <c r="T97" s="120"/>
      <c r="U97" s="120"/>
      <c r="V97" s="120"/>
      <c r="W97" s="120"/>
      <c r="X97" s="120"/>
      <c r="Y97" s="120"/>
      <c r="Z97" s="120"/>
    </row>
    <row r="98" ht="12.75" customHeight="1">
      <c r="A98" s="120"/>
      <c r="B98" s="120"/>
      <c r="C98" s="191" t="s">
        <v>202</v>
      </c>
      <c r="D98" s="138" t="s">
        <v>209</v>
      </c>
      <c r="E98" s="154" t="s">
        <v>53</v>
      </c>
      <c r="F98" s="154" t="s">
        <v>38</v>
      </c>
      <c r="G98" s="140" t="s">
        <v>198</v>
      </c>
      <c r="H98" s="154" t="s">
        <v>41</v>
      </c>
      <c r="I98" s="154" t="s">
        <v>49</v>
      </c>
      <c r="J98" s="192">
        <v>2.0</v>
      </c>
      <c r="K98" s="192">
        <v>6.0</v>
      </c>
      <c r="L98" s="143">
        <f t="shared" ref="L98:M98" si="23">IF(J98+J99=12,2,IF(J98=6,1,IF(J99=6,1,0)))</f>
        <v>0</v>
      </c>
      <c r="M98" s="143">
        <f t="shared" si="23"/>
        <v>2</v>
      </c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 ht="12.75" customHeight="1">
      <c r="A99" s="120"/>
      <c r="B99" s="120"/>
      <c r="C99" s="71"/>
      <c r="D99" s="71"/>
      <c r="E99" s="71"/>
      <c r="F99" s="71"/>
      <c r="G99" s="71"/>
      <c r="H99" s="71"/>
      <c r="I99" s="71"/>
      <c r="J99" s="192">
        <v>3.0</v>
      </c>
      <c r="K99" s="192">
        <v>6.0</v>
      </c>
      <c r="L99" s="71"/>
      <c r="M99" s="71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 ht="4.5" customHeight="1">
      <c r="A100" s="120"/>
      <c r="B100" s="120"/>
      <c r="C100" s="193"/>
      <c r="D100" s="11"/>
      <c r="E100" s="11"/>
      <c r="F100" s="11"/>
      <c r="G100" s="11"/>
      <c r="H100" s="11"/>
      <c r="I100" s="11"/>
      <c r="J100" s="11"/>
      <c r="K100" s="11"/>
      <c r="L100" s="11"/>
      <c r="M100" s="47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 ht="12.75" customHeight="1">
      <c r="A101" s="120"/>
      <c r="B101" s="120"/>
      <c r="C101" s="191" t="s">
        <v>204</v>
      </c>
      <c r="D101" s="138" t="s">
        <v>212</v>
      </c>
      <c r="E101" s="154" t="s">
        <v>17</v>
      </c>
      <c r="F101" s="154" t="s">
        <v>183</v>
      </c>
      <c r="G101" s="140" t="s">
        <v>198</v>
      </c>
      <c r="H101" s="154" t="s">
        <v>20</v>
      </c>
      <c r="I101" s="154" t="s">
        <v>34</v>
      </c>
      <c r="J101" s="192">
        <v>7.0</v>
      </c>
      <c r="K101" s="192">
        <v>6.0</v>
      </c>
      <c r="L101" s="143">
        <f t="shared" ref="L101:M101" si="24">IF(J101+J102=12,2,IF(J101=6,1,IF(J102=6,1,0)))</f>
        <v>1</v>
      </c>
      <c r="M101" s="143">
        <f t="shared" si="24"/>
        <v>1</v>
      </c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 ht="12.75" customHeight="1">
      <c r="A102" s="120"/>
      <c r="B102" s="120"/>
      <c r="C102" s="71"/>
      <c r="D102" s="71"/>
      <c r="E102" s="71"/>
      <c r="F102" s="71"/>
      <c r="G102" s="71"/>
      <c r="H102" s="71"/>
      <c r="I102" s="71"/>
      <c r="J102" s="192">
        <v>6.0</v>
      </c>
      <c r="K102" s="192">
        <v>7.0</v>
      </c>
      <c r="L102" s="71"/>
      <c r="M102" s="71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 ht="4.5" customHeight="1">
      <c r="A103" s="120"/>
      <c r="B103" s="120"/>
      <c r="C103" s="193"/>
      <c r="D103" s="11"/>
      <c r="E103" s="11"/>
      <c r="F103" s="11"/>
      <c r="G103" s="11"/>
      <c r="H103" s="11"/>
      <c r="I103" s="11"/>
      <c r="J103" s="11"/>
      <c r="K103" s="11"/>
      <c r="L103" s="11"/>
      <c r="M103" s="47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 ht="12.75" customHeight="1">
      <c r="A104" s="120"/>
      <c r="B104" s="120"/>
      <c r="C104" s="191" t="s">
        <v>211</v>
      </c>
      <c r="D104" s="138" t="s">
        <v>207</v>
      </c>
      <c r="E104" s="154" t="s">
        <v>81</v>
      </c>
      <c r="F104" s="154" t="s">
        <v>95</v>
      </c>
      <c r="G104" s="140" t="s">
        <v>198</v>
      </c>
      <c r="H104" s="154" t="s">
        <v>91</v>
      </c>
      <c r="I104" s="154" t="s">
        <v>98</v>
      </c>
      <c r="J104" s="192">
        <v>3.0</v>
      </c>
      <c r="K104" s="192">
        <v>6.0</v>
      </c>
      <c r="L104" s="143">
        <f t="shared" ref="L104:M104" si="25">IF(J104+J105=12,2,IF(J104=6,1,IF(J105=6,1,0)))</f>
        <v>0</v>
      </c>
      <c r="M104" s="143">
        <f t="shared" si="25"/>
        <v>2</v>
      </c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 ht="12.75" customHeight="1">
      <c r="A105" s="120"/>
      <c r="B105" s="120"/>
      <c r="C105" s="71"/>
      <c r="D105" s="71"/>
      <c r="E105" s="71"/>
      <c r="F105" s="71"/>
      <c r="G105" s="71"/>
      <c r="H105" s="71"/>
      <c r="I105" s="71"/>
      <c r="J105" s="192">
        <v>3.0</v>
      </c>
      <c r="K105" s="192">
        <v>6.0</v>
      </c>
      <c r="L105" s="71"/>
      <c r="M105" s="71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 ht="4.5" customHeight="1">
      <c r="A106" s="120"/>
      <c r="B106" s="120"/>
      <c r="C106" s="193"/>
      <c r="D106" s="11"/>
      <c r="E106" s="11"/>
      <c r="F106" s="11"/>
      <c r="G106" s="11"/>
      <c r="H106" s="11"/>
      <c r="I106" s="11"/>
      <c r="J106" s="11"/>
      <c r="K106" s="11"/>
      <c r="L106" s="11"/>
      <c r="M106" s="47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 ht="12.75" customHeight="1">
      <c r="A107" s="120"/>
      <c r="B107" s="120"/>
      <c r="C107" s="191" t="s">
        <v>248</v>
      </c>
      <c r="D107" s="175"/>
      <c r="E107" s="176"/>
      <c r="F107" s="176"/>
      <c r="G107" s="140" t="s">
        <v>198</v>
      </c>
      <c r="H107" s="176"/>
      <c r="I107" s="176"/>
      <c r="J107" s="196"/>
      <c r="K107" s="196"/>
      <c r="L107" s="143">
        <f t="shared" ref="L107:M107" si="26">IF(J107+J108=12,2,IF(J107=6,1,IF(J108=6,1,0)))</f>
        <v>0</v>
      </c>
      <c r="M107" s="143">
        <f t="shared" si="26"/>
        <v>0</v>
      </c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 ht="12.75" customHeight="1">
      <c r="A108" s="120"/>
      <c r="B108" s="120"/>
      <c r="C108" s="71"/>
      <c r="D108" s="71"/>
      <c r="E108" s="71"/>
      <c r="F108" s="71"/>
      <c r="G108" s="71"/>
      <c r="H108" s="71"/>
      <c r="I108" s="71"/>
      <c r="J108" s="196"/>
      <c r="K108" s="196"/>
      <c r="L108" s="71"/>
      <c r="M108" s="71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 ht="4.5" customHeight="1">
      <c r="A109" s="120"/>
      <c r="B109" s="120"/>
      <c r="C109" s="193"/>
      <c r="D109" s="11"/>
      <c r="E109" s="11"/>
      <c r="F109" s="11"/>
      <c r="G109" s="11"/>
      <c r="H109" s="11"/>
      <c r="I109" s="11"/>
      <c r="J109" s="11"/>
      <c r="K109" s="11"/>
      <c r="L109" s="11"/>
      <c r="M109" s="47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 ht="12.75" customHeight="1">
      <c r="A110" s="120"/>
      <c r="B110" s="120"/>
      <c r="C110" s="195" t="s">
        <v>244</v>
      </c>
      <c r="D110" s="11"/>
      <c r="E110" s="11"/>
      <c r="F110" s="11"/>
      <c r="G110" s="11"/>
      <c r="H110" s="11"/>
      <c r="I110" s="47"/>
      <c r="J110" s="196">
        <f t="shared" ref="J110:M110" si="27">SUM(J98:J108)</f>
        <v>24</v>
      </c>
      <c r="K110" s="196">
        <f t="shared" si="27"/>
        <v>37</v>
      </c>
      <c r="L110" s="196">
        <f t="shared" si="27"/>
        <v>1</v>
      </c>
      <c r="M110" s="196">
        <f t="shared" si="27"/>
        <v>5</v>
      </c>
      <c r="N110" s="120"/>
      <c r="O110" s="120"/>
      <c r="P110" s="120"/>
      <c r="Q110" s="120" t="s">
        <v>227</v>
      </c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 ht="4.5" customHeight="1">
      <c r="A111" s="120"/>
      <c r="B111" s="120"/>
      <c r="C111" s="193"/>
      <c r="D111" s="11"/>
      <c r="E111" s="11"/>
      <c r="F111" s="11"/>
      <c r="G111" s="11"/>
      <c r="H111" s="11"/>
      <c r="I111" s="11"/>
      <c r="J111" s="11"/>
      <c r="K111" s="11"/>
      <c r="L111" s="11"/>
      <c r="M111" s="47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 ht="12.75" customHeight="1">
      <c r="A112" s="120"/>
      <c r="B112" s="120"/>
      <c r="C112" s="197" t="s">
        <v>245</v>
      </c>
      <c r="D112" s="11"/>
      <c r="E112" s="11"/>
      <c r="F112" s="11"/>
      <c r="G112" s="11"/>
      <c r="H112" s="11"/>
      <c r="I112" s="47"/>
      <c r="J112" s="198">
        <f t="shared" ref="J112:M112" si="28">J110+J95</f>
        <v>50</v>
      </c>
      <c r="K112" s="198">
        <f t="shared" si="28"/>
        <v>83</v>
      </c>
      <c r="L112" s="198">
        <f t="shared" si="28"/>
        <v>3</v>
      </c>
      <c r="M112" s="198">
        <f t="shared" si="28"/>
        <v>11</v>
      </c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 ht="6.75" customHeight="1">
      <c r="A113" s="120"/>
      <c r="B113" s="120"/>
      <c r="C113" s="193"/>
      <c r="D113" s="11"/>
      <c r="E113" s="11"/>
      <c r="F113" s="11"/>
      <c r="G113" s="11"/>
      <c r="H113" s="11"/>
      <c r="I113" s="11"/>
      <c r="J113" s="11"/>
      <c r="K113" s="11"/>
      <c r="L113" s="11"/>
      <c r="M113" s="47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 ht="12.75" customHeight="1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ht="12.75" customHeight="1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t="12.75" customHeight="1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t="12.75" customHeight="1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t="12.75" customHeight="1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 ht="12.75" customHeight="1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 ht="12.75" customHeight="1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t="12.75" customHeight="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 ht="12.75" customHeight="1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 ht="12.75" customHeight="1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 ht="12.75" customHeight="1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 ht="12.75" customHeight="1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ht="12.75" customHeight="1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t="12.75" customHeight="1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t="12.75" customHeight="1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t="12.75" customHeight="1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 ht="12.75" customHeight="1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 ht="12.75" customHeight="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 ht="12.75" customHeight="1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 ht="12.75" customHeight="1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 ht="12.75" customHeight="1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 ht="12.75" customHeight="1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 ht="12.75" customHeight="1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t="12.75" customHeight="1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t="12.75" customHeight="1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t="12.75" customHeight="1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t="12.75" customHeight="1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 ht="12.75" customHeight="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 ht="12.75" customHeight="1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t="12.75" customHeight="1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t="12.75" customHeight="1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t="12.75" customHeight="1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t="12.75" customHeight="1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t="12.75" customHeight="1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 ht="12.75" customHeight="1">
      <c r="A148" s="120"/>
      <c r="B148" s="120"/>
      <c r="C148" s="120"/>
      <c r="D148" s="120"/>
      <c r="E148" s="120"/>
      <c r="F148" s="120" t="s">
        <v>227</v>
      </c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 ht="12.75" customHeight="1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 ht="12.75" customHeight="1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 ht="12.75" customHeight="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 ht="12.75" customHeight="1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 ht="12.75" customHeight="1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 ht="12.75" customHeight="1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 ht="12.75" customHeight="1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 ht="12.75" customHeight="1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 ht="12.75" customHeight="1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 ht="12.75" customHeight="1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 ht="12.75" customHeight="1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 ht="12.75" customHeight="1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 ht="12.75" customHeight="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 ht="12.75" customHeight="1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 ht="12.75" customHeight="1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 ht="12.75" customHeight="1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 ht="12.75" customHeight="1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 ht="12.75" customHeight="1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 ht="12.75" customHeight="1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 ht="12.75" customHeight="1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 ht="12.75" customHeight="1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 ht="12.75" customHeight="1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 ht="12.75" customHeight="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 ht="12.75" customHeight="1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 ht="12.75" customHeight="1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 ht="12.75" customHeight="1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 ht="12.75" customHeight="1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 ht="12.75" customHeight="1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 ht="12.75" customHeight="1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 ht="12.75" customHeight="1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 ht="12.75" customHeight="1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 ht="12.75" customHeight="1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 ht="12.75" customHeight="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 ht="12.75" customHeight="1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 ht="12.75" customHeight="1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 ht="12.75" customHeight="1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 ht="12.75" customHeight="1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 ht="12.75" customHeight="1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 ht="12.75" customHeight="1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 ht="12.75" customHeight="1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 ht="12.75" customHeight="1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 ht="12.75" customHeight="1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 ht="12.75" customHeight="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 ht="12.75" customHeight="1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 ht="12.75" customHeight="1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 ht="12.75" customHeight="1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 ht="12.75" customHeight="1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 ht="12.75" customHeight="1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 ht="12.75" customHeight="1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 ht="12.75" customHeight="1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 ht="12.75" customHeight="1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 ht="12.75" customHeight="1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 ht="12.75" customHeight="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 ht="12.75" customHeight="1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 ht="12.75" customHeight="1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 ht="12.75" customHeight="1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 ht="12.75" customHeight="1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 ht="12.75" customHeight="1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 ht="12.75" customHeight="1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 ht="12.75" customHeight="1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 ht="12.75" customHeight="1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 ht="12.75" customHeight="1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 ht="12.75" customHeight="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 ht="12.75" customHeight="1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 ht="12.75" customHeight="1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 ht="12.75" customHeight="1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 ht="12.75" customHeight="1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 ht="12.75" customHeight="1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 ht="12.75" customHeight="1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 ht="12.75" customHeight="1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 ht="12.75" customHeight="1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 ht="12.75" customHeight="1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 ht="12.75" customHeight="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 ht="12.75" customHeight="1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 ht="12.75" customHeight="1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 ht="12.75" customHeight="1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 ht="12.75" customHeight="1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 ht="12.75" customHeight="1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 ht="12.75" customHeight="1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 ht="12.75" customHeight="1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 ht="12.75" customHeight="1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 ht="12.75" customHeight="1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 ht="12.75" customHeight="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 ht="12.75" customHeight="1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 ht="12.75" customHeight="1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 ht="12.75" customHeight="1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 ht="12.75" customHeight="1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 ht="12.75" customHeight="1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 ht="12.75" customHeight="1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 ht="12.75" customHeight="1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 ht="12.75" customHeight="1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 ht="12.75" customHeight="1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 ht="12.75" customHeight="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 ht="12.75" customHeight="1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 ht="12.75" customHeight="1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 ht="12.75" customHeight="1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 ht="12.75" customHeight="1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 ht="12.75" customHeight="1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 ht="12.75" customHeight="1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 ht="12.75" customHeight="1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 ht="12.75" customHeight="1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 ht="12.75" customHeight="1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 ht="12.75" customHeight="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 ht="12.75" customHeight="1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 ht="12.75" customHeight="1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 ht="12.75" customHeight="1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 ht="12.75" customHeight="1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 ht="12.75" customHeight="1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 ht="12.75" customHeight="1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 ht="12.75" customHeight="1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 ht="12.75" customHeight="1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 ht="12.75" customHeight="1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 ht="12.75" customHeight="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 ht="12.75" customHeight="1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 ht="12.75" customHeight="1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 ht="12.75" customHeight="1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 ht="12.75" customHeight="1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 ht="12.75" customHeight="1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 ht="12.75" customHeight="1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 ht="12.75" customHeight="1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 ht="12.75" customHeight="1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 ht="12.75" customHeight="1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 ht="12.75" customHeight="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 ht="12.75" customHeight="1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 ht="12.75" customHeight="1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 ht="12.75" customHeight="1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 ht="12.75" customHeight="1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 ht="12.75" customHeight="1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 ht="12.75" customHeight="1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 ht="12.75" customHeight="1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 ht="12.75" customHeight="1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 ht="12.75" customHeight="1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 ht="12.75" customHeight="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 ht="12.75" customHeight="1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 ht="12.75" customHeight="1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 ht="12.75" customHeight="1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 ht="12.75" customHeight="1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 ht="12.75" customHeight="1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 ht="12.75" customHeight="1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 ht="12.75" customHeight="1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 ht="12.75" customHeight="1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 ht="12.75" customHeight="1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 ht="12.75" customHeight="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 ht="12.75" customHeight="1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 ht="12.75" customHeight="1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 ht="12.75" customHeight="1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 ht="12.75" customHeight="1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 ht="12.75" customHeight="1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 ht="12.75" customHeight="1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 ht="12.75" customHeight="1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 ht="12.75" customHeight="1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 ht="12.75" customHeight="1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 ht="12.75" customHeight="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 ht="12.75" customHeight="1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 ht="12.75" customHeight="1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 ht="12.75" customHeight="1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 ht="12.75" customHeight="1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 ht="12.75" customHeight="1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 ht="12.75" customHeight="1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 ht="12.75" customHeight="1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 ht="12.75" customHeight="1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 ht="12.75" customHeight="1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 ht="12.75" customHeight="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 ht="12.75" customHeight="1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 ht="12.75" customHeight="1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 ht="12.75" customHeight="1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 ht="12.75" customHeight="1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 ht="12.75" customHeight="1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 ht="12.75" customHeight="1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 ht="12.75" customHeight="1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 ht="12.75" customHeight="1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 ht="12.75" customHeight="1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 ht="12.75" customHeight="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 ht="12.75" customHeight="1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 ht="12.75" customHeight="1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 ht="12.75" customHeight="1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 ht="12.75" customHeight="1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 ht="12.75" customHeight="1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 ht="12.75" customHeight="1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 ht="12.75" customHeight="1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 ht="12.75" customHeight="1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 ht="12.75" customHeight="1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 ht="12.75" customHeight="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 ht="12.75" customHeight="1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 ht="12.75" customHeight="1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 ht="12.75" customHeight="1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 ht="12.75" customHeight="1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 ht="12.75" customHeight="1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 ht="12.75" customHeight="1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 ht="12.75" customHeight="1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 ht="12.75" customHeight="1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 ht="12.75" customHeight="1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 ht="12.75" customHeight="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 ht="12.75" customHeight="1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 ht="12.75" customHeight="1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 ht="12.75" customHeight="1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 ht="12.75" customHeight="1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 ht="12.75" customHeight="1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 ht="12.75" customHeight="1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 ht="12.75" customHeight="1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 ht="12.75" customHeight="1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 ht="12.75" customHeight="1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 ht="12.75" customHeight="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 ht="12.75" customHeight="1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 ht="12.75" customHeight="1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 ht="12.75" customHeight="1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 ht="12.75" customHeight="1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 ht="12.75" customHeight="1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 ht="12.75" customHeight="1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 ht="12.75" customHeight="1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 ht="12.75" customHeight="1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 ht="12.75" customHeight="1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 ht="12.75" customHeight="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 ht="12.75" customHeight="1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 ht="12.75" customHeight="1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 ht="12.75" customHeight="1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 ht="12.75" customHeight="1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 ht="12.75" customHeight="1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 ht="12.75" customHeight="1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 ht="12.75" customHeight="1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 ht="12.75" customHeight="1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 ht="12.75" customHeight="1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 ht="12.75" customHeight="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 ht="12.75" customHeight="1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 ht="12.75" customHeight="1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 ht="12.75" customHeight="1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 ht="12.75" customHeight="1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 ht="12.75" customHeight="1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 ht="12.75" customHeight="1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 ht="12.75" customHeight="1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 ht="12.75" customHeight="1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 ht="12.75" customHeight="1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 ht="12.75" customHeight="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 ht="12.75" customHeight="1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 ht="12.75" customHeight="1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 ht="12.75" customHeight="1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 ht="12.75" customHeight="1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 ht="12.75" customHeight="1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 ht="12.75" customHeight="1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 ht="12.75" customHeight="1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 ht="12.75" customHeight="1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 ht="12.75" customHeight="1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 ht="12.75" customHeight="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 ht="12.75" customHeight="1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 ht="12.75" customHeight="1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 ht="12.75" customHeight="1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 ht="12.75" customHeight="1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 ht="12.75" customHeight="1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 ht="12.75" customHeight="1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 ht="12.75" customHeight="1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 ht="12.75" customHeight="1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 ht="12.75" customHeight="1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 ht="12.75" customHeight="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 ht="12.75" customHeight="1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 ht="12.75" customHeight="1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 ht="12.75" customHeight="1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 ht="12.75" customHeight="1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 ht="12.75" customHeight="1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 ht="12.75" customHeight="1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 ht="12.75" customHeight="1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 ht="12.75" customHeight="1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 ht="12.75" customHeight="1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 ht="12.75" customHeight="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 ht="12.75" customHeight="1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 ht="12.75" customHeight="1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 ht="12.75" customHeight="1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 ht="12.75" customHeight="1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 ht="12.75" customHeight="1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 ht="12.75" customHeight="1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 ht="12.75" customHeight="1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 ht="12.75" customHeight="1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 ht="12.75" customHeight="1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 ht="12.75" customHeight="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 ht="12.75" customHeight="1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 ht="12.75" customHeight="1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 ht="12.75" customHeight="1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 ht="12.75" customHeight="1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 ht="12.75" customHeight="1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 ht="12.75" customHeight="1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 ht="12.75" customHeight="1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 ht="12.75" customHeight="1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 ht="12.75" customHeight="1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 ht="12.75" customHeight="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 ht="12.75" customHeight="1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 ht="12.75" customHeight="1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 ht="12.75" customHeight="1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 ht="12.75" customHeight="1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 ht="12.75" customHeight="1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 ht="12.75" customHeight="1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 ht="12.75" customHeight="1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 ht="12.75" customHeight="1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 ht="12.75" customHeight="1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 ht="12.75" customHeight="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 ht="12.75" customHeight="1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 ht="12.75" customHeight="1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 ht="12.75" customHeight="1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 ht="12.75" customHeight="1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 ht="12.75" customHeight="1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 ht="12.75" customHeight="1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 ht="12.75" customHeight="1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 ht="12.75" customHeight="1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 ht="12.75" customHeight="1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 ht="12.75" customHeight="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 ht="12.75" customHeight="1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 ht="12.75" customHeight="1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 ht="12.75" customHeight="1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 ht="12.75" customHeight="1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 ht="12.75" customHeight="1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 ht="12.75" customHeight="1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 ht="12.75" customHeight="1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 ht="12.75" customHeight="1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 ht="12.75" customHeight="1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 ht="12.75" customHeight="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 ht="12.75" customHeight="1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 ht="12.75" customHeight="1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 ht="12.75" customHeight="1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 ht="12.75" customHeight="1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 ht="12.75" customHeight="1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 ht="12.75" customHeight="1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 ht="12.75" customHeight="1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 ht="12.75" customHeight="1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 ht="12.75" customHeight="1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 ht="12.75" customHeight="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 ht="12.75" customHeight="1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 ht="12.75" customHeight="1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 ht="12.75" customHeight="1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 ht="12.75" customHeight="1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 ht="12.75" customHeight="1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 ht="12.75" customHeight="1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 ht="12.75" customHeight="1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 ht="12.75" customHeight="1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 ht="12.75" customHeight="1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 ht="12.75" customHeight="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 ht="12.75" customHeight="1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 ht="12.75" customHeight="1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 ht="12.75" customHeight="1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 ht="12.75" customHeight="1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 ht="12.75" customHeight="1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 ht="12.75" customHeight="1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 ht="12.75" customHeight="1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 ht="12.75" customHeight="1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 ht="12.75" customHeight="1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 ht="12.75" customHeight="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 ht="12.75" customHeight="1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 ht="12.75" customHeight="1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 ht="12.75" customHeight="1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 ht="12.75" customHeight="1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 ht="12.75" customHeight="1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 ht="12.75" customHeight="1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 ht="12.75" customHeight="1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 ht="12.75" customHeight="1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 ht="12.75" customHeight="1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 ht="12.75" customHeight="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 ht="12.75" customHeight="1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 ht="12.75" customHeight="1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 ht="12.75" customHeight="1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 ht="12.75" customHeight="1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 ht="12.75" customHeight="1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 ht="12.75" customHeight="1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 ht="12.75" customHeight="1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 ht="12.75" customHeight="1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 ht="12.75" customHeight="1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 ht="12.75" customHeight="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 ht="12.75" customHeight="1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 ht="12.75" customHeight="1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 ht="12.75" customHeight="1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 ht="12.75" customHeight="1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 ht="12.75" customHeight="1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 ht="12.75" customHeight="1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 ht="12.75" customHeight="1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 ht="12.75" customHeight="1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 ht="12.75" customHeight="1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 ht="12.75" customHeight="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 ht="12.75" customHeight="1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 ht="12.75" customHeight="1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 ht="12.75" customHeight="1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 ht="12.75" customHeight="1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 ht="12.75" customHeight="1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 ht="12.75" customHeight="1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 ht="12.75" customHeight="1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 ht="12.75" customHeight="1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 ht="12.75" customHeight="1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 ht="12.75" customHeight="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 ht="12.75" customHeight="1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 ht="12.75" customHeight="1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 ht="12.75" customHeight="1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 ht="12.75" customHeight="1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 ht="12.75" customHeight="1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 ht="12.75" customHeight="1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 ht="12.75" customHeight="1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 ht="12.75" customHeight="1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 ht="12.75" customHeight="1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 ht="12.75" customHeight="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 ht="12.75" customHeight="1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 ht="12.75" customHeight="1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 ht="12.75" customHeight="1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 ht="12.75" customHeight="1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 ht="12.75" customHeight="1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 ht="12.75" customHeight="1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 ht="12.75" customHeight="1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 ht="12.75" customHeight="1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 ht="12.75" customHeight="1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 ht="12.75" customHeight="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 ht="12.75" customHeight="1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 ht="12.75" customHeight="1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 ht="12.75" customHeight="1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 ht="12.75" customHeight="1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 ht="12.75" customHeight="1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 ht="12.75" customHeight="1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 ht="12.75" customHeight="1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 ht="12.75" customHeight="1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 ht="12.75" customHeight="1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 ht="12.75" customHeight="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 ht="12.75" customHeight="1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 ht="12.75" customHeight="1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 ht="12.75" customHeight="1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 ht="12.75" customHeight="1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 ht="12.75" customHeight="1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 ht="12.75" customHeight="1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 ht="12.75" customHeight="1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 ht="12.75" customHeight="1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 ht="12.75" customHeight="1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 ht="12.75" customHeight="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 ht="12.75" customHeight="1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 ht="12.75" customHeight="1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 ht="12.75" customHeight="1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 ht="12.75" customHeight="1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 ht="12.75" customHeight="1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 ht="12.75" customHeight="1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 ht="12.75" customHeight="1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 ht="12.75" customHeight="1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 ht="12.75" customHeight="1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 ht="12.75" customHeight="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 ht="12.75" customHeight="1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 ht="12.75" customHeight="1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 ht="12.75" customHeight="1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 ht="12.75" customHeight="1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 ht="12.75" customHeight="1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 ht="12.75" customHeight="1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 ht="12.75" customHeight="1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 ht="12.75" customHeight="1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 ht="12.75" customHeight="1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 ht="12.75" customHeight="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 ht="12.75" customHeight="1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 ht="12.75" customHeight="1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 ht="12.75" customHeight="1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 ht="12.75" customHeight="1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 ht="12.75" customHeight="1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 ht="12.75" customHeight="1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 ht="12.75" customHeight="1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 ht="12.75" customHeight="1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 ht="12.75" customHeight="1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 ht="12.75" customHeight="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 ht="12.75" customHeight="1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 ht="12.75" customHeight="1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 ht="12.75" customHeight="1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 ht="12.75" customHeight="1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 ht="12.75" customHeight="1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 ht="12.75" customHeight="1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 ht="12.75" customHeight="1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 ht="12.75" customHeight="1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 ht="12.75" customHeight="1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 ht="12.75" customHeight="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 ht="12.75" customHeight="1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 ht="12.75" customHeight="1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 ht="12.75" customHeight="1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 ht="12.75" customHeight="1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 ht="12.75" customHeight="1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 ht="12.75" customHeight="1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 ht="12.75" customHeight="1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 ht="12.75" customHeight="1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 ht="12.75" customHeight="1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 ht="12.75" customHeight="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 ht="12.75" customHeight="1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 ht="12.75" customHeight="1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 ht="12.75" customHeight="1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 ht="12.75" customHeight="1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 ht="12.75" customHeight="1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 ht="12.75" customHeight="1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 ht="12.75" customHeight="1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 ht="12.75" customHeight="1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 ht="12.75" customHeight="1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 ht="12.75" customHeight="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 ht="12.75" customHeight="1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 ht="12.75" customHeight="1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 ht="12.75" customHeight="1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 ht="12.75" customHeight="1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 ht="12.75" customHeight="1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 ht="12.75" customHeight="1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 ht="12.75" customHeight="1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 ht="12.75" customHeight="1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 ht="12.75" customHeight="1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 ht="12.75" customHeight="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 ht="12.75" customHeight="1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 ht="12.75" customHeight="1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 ht="12.75" customHeight="1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 ht="12.75" customHeight="1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 ht="12.75" customHeight="1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 ht="12.75" customHeight="1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 ht="12.75" customHeight="1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 ht="12.75" customHeight="1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 ht="12.75" customHeight="1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 ht="12.75" customHeight="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 ht="12.75" customHeight="1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 ht="12.75" customHeight="1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 ht="12.75" customHeight="1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 ht="12.75" customHeight="1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 ht="12.75" customHeight="1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 ht="12.75" customHeight="1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 ht="12.75" customHeight="1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 ht="12.75" customHeight="1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 ht="12.75" customHeight="1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 ht="12.75" customHeight="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 ht="12.75" customHeight="1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 ht="12.75" customHeight="1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 ht="12.75" customHeight="1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 ht="12.75" customHeight="1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 ht="12.75" customHeight="1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 ht="12.75" customHeight="1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 ht="12.75" customHeight="1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 ht="12.75" customHeight="1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 ht="12.75" customHeight="1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 ht="12.75" customHeight="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 ht="12.75" customHeight="1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 ht="12.75" customHeight="1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 ht="12.75" customHeight="1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 ht="12.75" customHeight="1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 ht="12.75" customHeight="1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 ht="12.75" customHeight="1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 ht="12.75" customHeight="1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 ht="12.75" customHeight="1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 ht="12.75" customHeight="1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 ht="12.75" customHeight="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 ht="12.75" customHeight="1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 ht="12.75" customHeight="1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 ht="12.75" customHeight="1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 ht="12.75" customHeight="1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 ht="12.75" customHeight="1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 ht="12.75" customHeight="1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 ht="12.75" customHeight="1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 ht="12.75" customHeight="1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 ht="12.75" customHeight="1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 ht="12.75" customHeight="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 ht="12.75" customHeight="1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 ht="12.75" customHeight="1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 ht="12.75" customHeight="1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 ht="12.75" customHeight="1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 ht="12.75" customHeight="1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 ht="12.75" customHeight="1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 ht="12.75" customHeight="1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 ht="12.75" customHeight="1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 ht="12.75" customHeight="1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 ht="12.75" customHeight="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 ht="12.75" customHeight="1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 ht="12.75" customHeight="1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 ht="12.75" customHeight="1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 ht="12.75" customHeight="1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 ht="12.75" customHeight="1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 ht="12.75" customHeight="1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 ht="12.75" customHeight="1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 ht="12.75" customHeight="1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 ht="12.75" customHeight="1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 ht="12.75" customHeight="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 ht="12.75" customHeight="1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 ht="12.75" customHeight="1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 ht="12.75" customHeight="1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 ht="12.75" customHeight="1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 ht="12.75" customHeight="1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 ht="12.75" customHeight="1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 ht="12.75" customHeight="1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 ht="12.75" customHeight="1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 ht="12.75" customHeight="1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 ht="12.75" customHeight="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 ht="12.75" customHeight="1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 ht="12.75" customHeight="1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 ht="12.75" customHeight="1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 ht="12.75" customHeight="1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 ht="12.75" customHeight="1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 ht="12.75" customHeight="1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 ht="12.75" customHeight="1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 ht="12.75" customHeight="1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 ht="12.75" customHeight="1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 ht="12.75" customHeight="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 ht="12.75" customHeight="1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 ht="12.75" customHeight="1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 ht="12.75" customHeight="1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 ht="12.75" customHeight="1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 ht="12.75" customHeight="1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 ht="12.75" customHeight="1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 ht="12.75" customHeight="1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 ht="12.75" customHeight="1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 ht="12.75" customHeight="1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 ht="12.75" customHeight="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 ht="12.75" customHeight="1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 ht="12.75" customHeight="1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 ht="12.75" customHeight="1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 ht="12.75" customHeight="1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 ht="12.75" customHeight="1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 ht="12.75" customHeight="1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 ht="12.75" customHeight="1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 ht="12.75" customHeight="1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 ht="12.75" customHeight="1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 ht="12.75" customHeight="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 ht="12.75" customHeight="1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 ht="12.75" customHeight="1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 ht="12.75" customHeight="1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 ht="12.75" customHeight="1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 ht="12.75" customHeight="1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 ht="12.75" customHeight="1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 ht="12.75" customHeight="1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 ht="12.75" customHeight="1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 ht="12.75" customHeight="1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 ht="12.75" customHeight="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 ht="12.75" customHeight="1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 ht="12.75" customHeight="1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 ht="12.75" customHeight="1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 ht="12.75" customHeight="1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 ht="12.75" customHeight="1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 ht="12.75" customHeight="1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 ht="12.75" customHeight="1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 ht="12.75" customHeight="1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 ht="12.75" customHeight="1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 ht="12.75" customHeight="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 ht="12.75" customHeight="1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 ht="12.75" customHeight="1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 ht="12.75" customHeight="1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 ht="12.75" customHeight="1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 ht="12.75" customHeight="1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 ht="12.75" customHeight="1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 ht="12.75" customHeight="1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 ht="12.75" customHeight="1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 ht="12.75" customHeight="1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 ht="12.75" customHeight="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 ht="12.75" customHeight="1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 ht="12.75" customHeight="1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 ht="12.75" customHeight="1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 ht="12.75" customHeight="1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 ht="12.75" customHeight="1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 ht="12.75" customHeight="1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 ht="12.75" customHeight="1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 ht="12.75" customHeight="1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 ht="12.75" customHeight="1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 ht="12.75" customHeight="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 ht="12.75" customHeight="1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 ht="12.75" customHeight="1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 ht="12.75" customHeight="1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 ht="12.75" customHeight="1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 ht="12.75" customHeight="1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 ht="12.75" customHeight="1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 ht="12.75" customHeight="1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 ht="12.75" customHeight="1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 ht="12.75" customHeight="1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 ht="12.75" customHeight="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 ht="12.75" customHeight="1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 ht="12.75" customHeight="1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 ht="12.75" customHeight="1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 ht="12.75" customHeight="1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 ht="12.75" customHeight="1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 ht="12.75" customHeight="1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 ht="12.75" customHeight="1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 ht="12.75" customHeight="1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 ht="12.75" customHeight="1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 ht="12.75" customHeight="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 ht="12.75" customHeight="1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 ht="12.75" customHeight="1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 ht="12.75" customHeight="1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 ht="12.75" customHeight="1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 ht="12.75" customHeight="1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 ht="12.75" customHeight="1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 ht="12.75" customHeight="1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 ht="12.75" customHeight="1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 ht="12.75" customHeight="1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 ht="12.75" customHeight="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 ht="12.75" customHeight="1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 ht="12.75" customHeight="1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 ht="12.75" customHeight="1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 ht="12.75" customHeight="1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 ht="12.75" customHeight="1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 ht="12.75" customHeight="1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 ht="12.75" customHeight="1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 ht="12.75" customHeight="1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 ht="12.75" customHeight="1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 ht="12.75" customHeight="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 ht="12.75" customHeight="1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 ht="12.75" customHeight="1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 ht="12.75" customHeight="1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 ht="12.75" customHeight="1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 ht="12.75" customHeight="1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 ht="12.75" customHeight="1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 ht="12.75" customHeight="1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 ht="12.75" customHeight="1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 ht="12.75" customHeight="1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 ht="12.75" customHeight="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 ht="12.75" customHeight="1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 ht="12.75" customHeight="1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 ht="12.75" customHeight="1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 ht="12.75" customHeight="1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 ht="12.75" customHeight="1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 ht="12.75" customHeight="1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 ht="12.75" customHeight="1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 ht="12.75" customHeight="1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 ht="12.75" customHeight="1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 ht="12.75" customHeight="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 ht="12.75" customHeight="1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 ht="12.75" customHeight="1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 ht="12.75" customHeight="1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 ht="12.75" customHeight="1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 ht="12.75" customHeight="1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 ht="12.75" customHeight="1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 ht="12.75" customHeight="1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 ht="12.75" customHeight="1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 ht="12.75" customHeight="1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 ht="12.75" customHeight="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 ht="12.75" customHeight="1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 ht="12.75" customHeight="1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 ht="12.75" customHeight="1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 ht="12.75" customHeight="1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 ht="12.75" customHeight="1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 ht="12.75" customHeight="1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 ht="12.75" customHeight="1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 ht="12.75" customHeight="1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 ht="12.75" customHeight="1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 ht="12.75" customHeight="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 ht="12.75" customHeight="1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 ht="12.75" customHeight="1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 ht="12.75" customHeight="1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 ht="12.75" customHeight="1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 ht="12.75" customHeight="1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 ht="12.75" customHeight="1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 ht="12.75" customHeight="1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 ht="12.75" customHeight="1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 ht="12.75" customHeight="1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 ht="12.75" customHeight="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 ht="12.75" customHeight="1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 ht="12.75" customHeight="1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 ht="12.75" customHeight="1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 ht="12.75" customHeight="1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 ht="12.75" customHeight="1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 ht="12.75" customHeight="1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 ht="12.75" customHeight="1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 ht="12.75" customHeight="1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 ht="12.75" customHeight="1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 ht="12.75" customHeight="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 ht="12.75" customHeight="1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 ht="12.75" customHeight="1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 ht="12.75" customHeight="1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 ht="12.75" customHeight="1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 ht="12.75" customHeight="1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 ht="12.75" customHeight="1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 ht="12.75" customHeight="1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 ht="12.75" customHeight="1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 ht="12.75" customHeight="1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 ht="12.75" customHeight="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 ht="12.75" customHeight="1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 ht="12.75" customHeight="1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 ht="12.75" customHeight="1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 ht="12.75" customHeight="1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 ht="12.75" customHeight="1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 ht="12.75" customHeight="1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 ht="12.75" customHeight="1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 ht="12.75" customHeight="1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 ht="12.75" customHeight="1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 ht="12.75" customHeight="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 ht="12.75" customHeight="1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 ht="12.75" customHeight="1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 ht="12.75" customHeight="1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 ht="12.75" customHeight="1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 ht="12.75" customHeight="1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 ht="12.75" customHeight="1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 ht="12.75" customHeight="1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 ht="12.75" customHeight="1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 ht="12.75" customHeight="1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 ht="12.75" customHeight="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 ht="12.75" customHeight="1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 ht="12.75" customHeight="1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 ht="12.75" customHeight="1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 ht="12.75" customHeight="1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 ht="12.75" customHeight="1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 ht="12.75" customHeight="1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 ht="12.75" customHeight="1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 ht="12.75" customHeight="1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 ht="12.75" customHeight="1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 ht="12.75" customHeight="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 ht="12.75" customHeight="1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 ht="12.75" customHeight="1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 ht="12.75" customHeight="1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 ht="12.75" customHeight="1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 ht="12.75" customHeight="1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 ht="12.75" customHeight="1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 ht="12.75" customHeight="1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 ht="12.75" customHeight="1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 ht="12.75" customHeight="1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 ht="12.75" customHeight="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 ht="12.75" customHeight="1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 ht="12.75" customHeight="1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 ht="12.75" customHeight="1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 ht="12.75" customHeight="1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 ht="12.75" customHeight="1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 ht="12.75" customHeight="1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 ht="12.75" customHeight="1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 ht="12.75" customHeight="1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 ht="12.75" customHeight="1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 ht="12.75" customHeight="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 ht="12.75" customHeight="1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 ht="12.75" customHeight="1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 ht="12.75" customHeight="1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 ht="12.75" customHeight="1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 ht="12.75" customHeight="1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 ht="12.75" customHeight="1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 ht="12.75" customHeight="1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 ht="12.75" customHeight="1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 ht="12.75" customHeight="1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 ht="12.75" customHeight="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 ht="12.75" customHeight="1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 ht="12.75" customHeight="1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 ht="12.75" customHeight="1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 ht="12.75" customHeight="1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 ht="12.75" customHeight="1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 ht="12.75" customHeight="1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 ht="12.75" customHeight="1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 ht="12.75" customHeight="1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 ht="12.75" customHeight="1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 ht="12.75" customHeight="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 ht="12.75" customHeight="1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 ht="12.75" customHeight="1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 ht="12.75" customHeight="1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 ht="12.75" customHeight="1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 ht="12.75" customHeight="1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 ht="12.75" customHeight="1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 ht="12.75" customHeight="1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 ht="12.75" customHeight="1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 ht="12.75" customHeight="1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 ht="12.75" customHeight="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 ht="12.75" customHeight="1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 ht="12.75" customHeight="1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 ht="12.75" customHeight="1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 ht="12.75" customHeight="1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 ht="12.75" customHeight="1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 ht="12.75" customHeight="1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 ht="12.75" customHeight="1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 ht="12.75" customHeight="1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 ht="12.75" customHeight="1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 ht="12.75" customHeight="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 ht="12.75" customHeight="1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 ht="12.75" customHeight="1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 ht="12.75" customHeight="1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 ht="12.75" customHeight="1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 ht="12.75" customHeight="1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 ht="12.75" customHeight="1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 ht="12.75" customHeight="1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 ht="12.75" customHeight="1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 ht="12.75" customHeight="1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</sheetData>
  <mergeCells count="282">
    <mergeCell ref="L69:L70"/>
    <mergeCell ref="M69:M70"/>
    <mergeCell ref="D69:D70"/>
    <mergeCell ref="E69:E70"/>
    <mergeCell ref="F69:F70"/>
    <mergeCell ref="G69:G70"/>
    <mergeCell ref="H69:H70"/>
    <mergeCell ref="I69:I70"/>
    <mergeCell ref="C71:M71"/>
    <mergeCell ref="G63:G64"/>
    <mergeCell ref="H63:H64"/>
    <mergeCell ref="I63:I64"/>
    <mergeCell ref="L63:L64"/>
    <mergeCell ref="M63:M64"/>
    <mergeCell ref="C65:M65"/>
    <mergeCell ref="I57:I58"/>
    <mergeCell ref="C59:M59"/>
    <mergeCell ref="C60:I60"/>
    <mergeCell ref="C61:M61"/>
    <mergeCell ref="C62:M62"/>
    <mergeCell ref="C63:C64"/>
    <mergeCell ref="D63:D64"/>
    <mergeCell ref="H66:H67"/>
    <mergeCell ref="I66:I67"/>
    <mergeCell ref="L66:L67"/>
    <mergeCell ref="M66:M67"/>
    <mergeCell ref="C68:M68"/>
    <mergeCell ref="E63:E64"/>
    <mergeCell ref="F63:F64"/>
    <mergeCell ref="C66:C67"/>
    <mergeCell ref="D66:D67"/>
    <mergeCell ref="E66:E67"/>
    <mergeCell ref="F66:F67"/>
    <mergeCell ref="G66:G67"/>
    <mergeCell ref="C69:C70"/>
    <mergeCell ref="C72:C73"/>
    <mergeCell ref="D72:D73"/>
    <mergeCell ref="E72:E73"/>
    <mergeCell ref="F72:F73"/>
    <mergeCell ref="G72:G73"/>
    <mergeCell ref="H72:H73"/>
    <mergeCell ref="L89:L90"/>
    <mergeCell ref="M89:M90"/>
    <mergeCell ref="D89:D90"/>
    <mergeCell ref="E89:E90"/>
    <mergeCell ref="F89:F90"/>
    <mergeCell ref="G89:G90"/>
    <mergeCell ref="H89:H90"/>
    <mergeCell ref="I89:I90"/>
    <mergeCell ref="C91:M91"/>
    <mergeCell ref="I72:I73"/>
    <mergeCell ref="L72:L73"/>
    <mergeCell ref="M72:M73"/>
    <mergeCell ref="C74:M74"/>
    <mergeCell ref="C75:I75"/>
    <mergeCell ref="C76:M76"/>
    <mergeCell ref="C77:I77"/>
    <mergeCell ref="C78:M78"/>
    <mergeCell ref="C79:M80"/>
    <mergeCell ref="E81:F81"/>
    <mergeCell ref="H81:I81"/>
    <mergeCell ref="J81:K81"/>
    <mergeCell ref="L81:M81"/>
    <mergeCell ref="C82:M82"/>
    <mergeCell ref="L83:L84"/>
    <mergeCell ref="M83:M84"/>
    <mergeCell ref="L86:L87"/>
    <mergeCell ref="M86:M87"/>
    <mergeCell ref="L92:L93"/>
    <mergeCell ref="M92:M93"/>
    <mergeCell ref="D83:D84"/>
    <mergeCell ref="E83:E84"/>
    <mergeCell ref="F83:F84"/>
    <mergeCell ref="G83:G84"/>
    <mergeCell ref="H83:H84"/>
    <mergeCell ref="I83:I84"/>
    <mergeCell ref="C85:M85"/>
    <mergeCell ref="I86:I87"/>
    <mergeCell ref="C88:M88"/>
    <mergeCell ref="C83:C84"/>
    <mergeCell ref="C86:C87"/>
    <mergeCell ref="D86:D87"/>
    <mergeCell ref="E86:E87"/>
    <mergeCell ref="F86:F87"/>
    <mergeCell ref="G86:G87"/>
    <mergeCell ref="H86:H87"/>
    <mergeCell ref="C89:C90"/>
    <mergeCell ref="C92:C93"/>
    <mergeCell ref="D92:D93"/>
    <mergeCell ref="E92:E93"/>
    <mergeCell ref="F92:F93"/>
    <mergeCell ref="G92:G93"/>
    <mergeCell ref="H92:H93"/>
    <mergeCell ref="L19:L20"/>
    <mergeCell ref="M19:M20"/>
    <mergeCell ref="D19:D20"/>
    <mergeCell ref="E19:E20"/>
    <mergeCell ref="F19:F20"/>
    <mergeCell ref="G19:G20"/>
    <mergeCell ref="H19:H20"/>
    <mergeCell ref="I19:I20"/>
    <mergeCell ref="C21:M21"/>
    <mergeCell ref="C1:M3"/>
    <mergeCell ref="C6:M6"/>
    <mergeCell ref="C7:M8"/>
    <mergeCell ref="C9:M10"/>
    <mergeCell ref="E11:F11"/>
    <mergeCell ref="H11:I11"/>
    <mergeCell ref="J11:K11"/>
    <mergeCell ref="H13:H14"/>
    <mergeCell ref="I13:I14"/>
    <mergeCell ref="L13:L14"/>
    <mergeCell ref="M13:M14"/>
    <mergeCell ref="L16:L17"/>
    <mergeCell ref="M16:M17"/>
    <mergeCell ref="L22:L23"/>
    <mergeCell ref="M22:M23"/>
    <mergeCell ref="L11:M11"/>
    <mergeCell ref="C12:M12"/>
    <mergeCell ref="D13:D14"/>
    <mergeCell ref="E13:E14"/>
    <mergeCell ref="F13:F14"/>
    <mergeCell ref="G13:G14"/>
    <mergeCell ref="C15:M15"/>
    <mergeCell ref="I16:I17"/>
    <mergeCell ref="C18:M18"/>
    <mergeCell ref="C13:C14"/>
    <mergeCell ref="C16:C17"/>
    <mergeCell ref="D16:D17"/>
    <mergeCell ref="E16:E17"/>
    <mergeCell ref="F16:F17"/>
    <mergeCell ref="G16:G17"/>
    <mergeCell ref="H16:H17"/>
    <mergeCell ref="C19:C20"/>
    <mergeCell ref="C22:C23"/>
    <mergeCell ref="D22:D23"/>
    <mergeCell ref="E22:E23"/>
    <mergeCell ref="F22:F23"/>
    <mergeCell ref="G22:G23"/>
    <mergeCell ref="H22:H23"/>
    <mergeCell ref="L34:L35"/>
    <mergeCell ref="M34:M35"/>
    <mergeCell ref="D34:D35"/>
    <mergeCell ref="E34:E35"/>
    <mergeCell ref="F34:F35"/>
    <mergeCell ref="G34:G35"/>
    <mergeCell ref="H34:H35"/>
    <mergeCell ref="I34:I35"/>
    <mergeCell ref="C36:M36"/>
    <mergeCell ref="G28:G29"/>
    <mergeCell ref="H28:H29"/>
    <mergeCell ref="I28:I29"/>
    <mergeCell ref="L28:L29"/>
    <mergeCell ref="M28:M29"/>
    <mergeCell ref="C30:M30"/>
    <mergeCell ref="I22:I23"/>
    <mergeCell ref="C24:M24"/>
    <mergeCell ref="C25:I25"/>
    <mergeCell ref="C26:M26"/>
    <mergeCell ref="C27:M27"/>
    <mergeCell ref="C28:C29"/>
    <mergeCell ref="D28:D29"/>
    <mergeCell ref="H31:H32"/>
    <mergeCell ref="I31:I32"/>
    <mergeCell ref="L31:L32"/>
    <mergeCell ref="M31:M32"/>
    <mergeCell ref="C33:M33"/>
    <mergeCell ref="E28:E29"/>
    <mergeCell ref="F28:F29"/>
    <mergeCell ref="C31:C32"/>
    <mergeCell ref="D31:D32"/>
    <mergeCell ref="E31:E32"/>
    <mergeCell ref="F31:F32"/>
    <mergeCell ref="G31:G32"/>
    <mergeCell ref="C34:C35"/>
    <mergeCell ref="C37:C38"/>
    <mergeCell ref="D37:D38"/>
    <mergeCell ref="E37:E38"/>
    <mergeCell ref="F37:F38"/>
    <mergeCell ref="G37:G38"/>
    <mergeCell ref="H37:H38"/>
    <mergeCell ref="L54:L55"/>
    <mergeCell ref="M54:M55"/>
    <mergeCell ref="D54:D55"/>
    <mergeCell ref="E54:E55"/>
    <mergeCell ref="F54:F55"/>
    <mergeCell ref="G54:G55"/>
    <mergeCell ref="H54:H55"/>
    <mergeCell ref="I54:I55"/>
    <mergeCell ref="C56:M56"/>
    <mergeCell ref="I37:I38"/>
    <mergeCell ref="L37:L38"/>
    <mergeCell ref="M37:M38"/>
    <mergeCell ref="C39:M39"/>
    <mergeCell ref="C40:I40"/>
    <mergeCell ref="C41:M41"/>
    <mergeCell ref="C42:I42"/>
    <mergeCell ref="C43:M43"/>
    <mergeCell ref="C44:M45"/>
    <mergeCell ref="E46:F46"/>
    <mergeCell ref="H46:I46"/>
    <mergeCell ref="J46:K46"/>
    <mergeCell ref="L46:M46"/>
    <mergeCell ref="C47:M47"/>
    <mergeCell ref="L48:L49"/>
    <mergeCell ref="M48:M49"/>
    <mergeCell ref="L51:L52"/>
    <mergeCell ref="M51:M52"/>
    <mergeCell ref="L57:L58"/>
    <mergeCell ref="M57:M58"/>
    <mergeCell ref="D48:D49"/>
    <mergeCell ref="E48:E49"/>
    <mergeCell ref="F48:F49"/>
    <mergeCell ref="G48:G49"/>
    <mergeCell ref="H48:H49"/>
    <mergeCell ref="I48:I49"/>
    <mergeCell ref="C50:M50"/>
    <mergeCell ref="I51:I52"/>
    <mergeCell ref="C53:M53"/>
    <mergeCell ref="C48:C49"/>
    <mergeCell ref="C51:C52"/>
    <mergeCell ref="D51:D52"/>
    <mergeCell ref="E51:E52"/>
    <mergeCell ref="F51:F52"/>
    <mergeCell ref="G51:G52"/>
    <mergeCell ref="H51:H52"/>
    <mergeCell ref="C54:C55"/>
    <mergeCell ref="C57:C58"/>
    <mergeCell ref="D57:D58"/>
    <mergeCell ref="E57:E58"/>
    <mergeCell ref="F57:F58"/>
    <mergeCell ref="G57:G58"/>
    <mergeCell ref="H57:H58"/>
    <mergeCell ref="L104:L105"/>
    <mergeCell ref="M104:M105"/>
    <mergeCell ref="D104:D105"/>
    <mergeCell ref="E104:E105"/>
    <mergeCell ref="F104:F105"/>
    <mergeCell ref="G104:G105"/>
    <mergeCell ref="H104:H105"/>
    <mergeCell ref="I104:I105"/>
    <mergeCell ref="C106:M106"/>
    <mergeCell ref="G98:G99"/>
    <mergeCell ref="H98:H99"/>
    <mergeCell ref="I98:I99"/>
    <mergeCell ref="L98:L99"/>
    <mergeCell ref="M98:M99"/>
    <mergeCell ref="C100:M100"/>
    <mergeCell ref="I92:I93"/>
    <mergeCell ref="C94:M94"/>
    <mergeCell ref="C95:I95"/>
    <mergeCell ref="C96:M96"/>
    <mergeCell ref="C97:M97"/>
    <mergeCell ref="C98:C99"/>
    <mergeCell ref="D98:D99"/>
    <mergeCell ref="H101:H102"/>
    <mergeCell ref="I101:I102"/>
    <mergeCell ref="L101:L102"/>
    <mergeCell ref="M101:M102"/>
    <mergeCell ref="C103:M103"/>
    <mergeCell ref="E98:E99"/>
    <mergeCell ref="F98:F99"/>
    <mergeCell ref="C101:C102"/>
    <mergeCell ref="D101:D102"/>
    <mergeCell ref="E101:E102"/>
    <mergeCell ref="F101:F102"/>
    <mergeCell ref="G101:G102"/>
    <mergeCell ref="I107:I108"/>
    <mergeCell ref="L107:L108"/>
    <mergeCell ref="M107:M108"/>
    <mergeCell ref="C109:M109"/>
    <mergeCell ref="C110:I110"/>
    <mergeCell ref="C111:M111"/>
    <mergeCell ref="C112:I112"/>
    <mergeCell ref="C113:M113"/>
    <mergeCell ref="C104:C105"/>
    <mergeCell ref="C107:C108"/>
    <mergeCell ref="D107:D108"/>
    <mergeCell ref="E107:E108"/>
    <mergeCell ref="F107:F108"/>
    <mergeCell ref="G107:G108"/>
    <mergeCell ref="H107:H10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hidden="1" min="1" max="1" width="2.71"/>
    <col customWidth="1" min="2" max="2" width="2.71"/>
    <col customWidth="1" min="3" max="3" width="7.57"/>
    <col customWidth="1" min="4" max="4" width="7.43"/>
    <col customWidth="1" min="5" max="5" width="17.86"/>
    <col customWidth="1" min="6" max="6" width="20.71"/>
    <col customWidth="1" min="7" max="7" width="4.86"/>
    <col customWidth="1" min="8" max="8" width="18.71"/>
    <col customWidth="1" min="9" max="9" width="18.14"/>
    <col customWidth="1" min="10" max="13" width="5.71"/>
    <col customWidth="1" min="14" max="17" width="9.14"/>
    <col customWidth="1" min="18" max="26" width="8.0"/>
  </cols>
  <sheetData>
    <row r="1" ht="12.75" customHeight="1">
      <c r="A1" s="120"/>
      <c r="B1" s="120"/>
      <c r="C1" s="186" t="s">
        <v>192</v>
      </c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 ht="12.75" customHeight="1">
      <c r="A2" s="120"/>
      <c r="B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 ht="12.75" customHeight="1">
      <c r="A3" s="120"/>
      <c r="B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 ht="12.75" customHeight="1">
      <c r="A4" s="120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</row>
    <row r="5" ht="12.75" customHeight="1">
      <c r="A5" s="120"/>
      <c r="B5" s="120"/>
      <c r="C5" s="120"/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</row>
    <row r="6" ht="19.5" customHeight="1">
      <c r="A6" s="120"/>
      <c r="B6" s="120"/>
      <c r="C6" s="125" t="s">
        <v>164</v>
      </c>
      <c r="D6" s="11"/>
      <c r="E6" s="11"/>
      <c r="F6" s="11"/>
      <c r="G6" s="11"/>
      <c r="H6" s="11"/>
      <c r="I6" s="11"/>
      <c r="J6" s="11"/>
      <c r="K6" s="11"/>
      <c r="L6" s="11"/>
      <c r="M6" s="47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</row>
    <row r="7" ht="4.5" customHeight="1">
      <c r="A7" s="120"/>
      <c r="B7" s="120"/>
      <c r="C7" s="187"/>
      <c r="D7" s="127"/>
      <c r="E7" s="127"/>
      <c r="F7" s="127"/>
      <c r="G7" s="127"/>
      <c r="H7" s="127"/>
      <c r="I7" s="127"/>
      <c r="J7" s="127"/>
      <c r="K7" s="127"/>
      <c r="L7" s="127"/>
      <c r="M7" s="188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</row>
    <row r="8" ht="4.5" customHeight="1">
      <c r="A8" s="120"/>
      <c r="B8" s="120"/>
      <c r="C8" s="166"/>
      <c r="D8" s="130"/>
      <c r="E8" s="130"/>
      <c r="F8" s="130"/>
      <c r="G8" s="130"/>
      <c r="H8" s="130"/>
      <c r="I8" s="130"/>
      <c r="J8" s="130"/>
      <c r="K8" s="130"/>
      <c r="L8" s="130"/>
      <c r="M8" s="164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</row>
    <row r="9" ht="12.75" customHeight="1">
      <c r="A9" s="120"/>
      <c r="B9" s="120"/>
      <c r="C9" s="189" t="s">
        <v>194</v>
      </c>
      <c r="D9" s="127"/>
      <c r="E9" s="127"/>
      <c r="F9" s="127"/>
      <c r="G9" s="127"/>
      <c r="H9" s="127"/>
      <c r="I9" s="127"/>
      <c r="J9" s="127"/>
      <c r="K9" s="127"/>
      <c r="L9" s="127"/>
      <c r="M9" s="188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</row>
    <row r="10" ht="12.75" customHeight="1">
      <c r="A10" s="120"/>
      <c r="B10" s="120"/>
      <c r="C10" s="166"/>
      <c r="D10" s="130"/>
      <c r="E10" s="130"/>
      <c r="F10" s="130"/>
      <c r="G10" s="130"/>
      <c r="H10" s="130"/>
      <c r="I10" s="130"/>
      <c r="J10" s="130"/>
      <c r="K10" s="130"/>
      <c r="L10" s="130"/>
      <c r="M10" s="164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</row>
    <row r="11" ht="19.5" customHeight="1">
      <c r="A11" s="120"/>
      <c r="B11" s="120"/>
      <c r="C11" s="134" t="s">
        <v>195</v>
      </c>
      <c r="D11" s="134" t="s">
        <v>196</v>
      </c>
      <c r="E11" s="135" t="s">
        <v>199</v>
      </c>
      <c r="F11" s="47"/>
      <c r="G11" s="134" t="s">
        <v>198</v>
      </c>
      <c r="H11" s="135" t="s">
        <v>228</v>
      </c>
      <c r="I11" s="47"/>
      <c r="J11" s="136" t="s">
        <v>200</v>
      </c>
      <c r="K11" s="47"/>
      <c r="L11" s="136" t="s">
        <v>201</v>
      </c>
      <c r="M11" s="47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</row>
    <row r="12" ht="12.75" customHeight="1">
      <c r="A12" s="120"/>
      <c r="B12" s="120"/>
      <c r="C12" s="190" t="s">
        <v>194</v>
      </c>
      <c r="D12" s="11"/>
      <c r="E12" s="11"/>
      <c r="F12" s="11"/>
      <c r="G12" s="11"/>
      <c r="H12" s="11"/>
      <c r="I12" s="11"/>
      <c r="J12" s="11"/>
      <c r="K12" s="11"/>
      <c r="L12" s="11"/>
      <c r="M12" s="47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</row>
    <row r="13" ht="13.5" customHeight="1">
      <c r="A13" s="120"/>
      <c r="B13" s="120"/>
      <c r="C13" s="191" t="s">
        <v>202</v>
      </c>
      <c r="D13" s="138" t="s">
        <v>209</v>
      </c>
      <c r="E13" s="139" t="s">
        <v>40</v>
      </c>
      <c r="F13" s="139" t="s">
        <v>48</v>
      </c>
      <c r="G13" s="140" t="s">
        <v>198</v>
      </c>
      <c r="H13" s="139" t="s">
        <v>41</v>
      </c>
      <c r="I13" s="139" t="s">
        <v>56</v>
      </c>
      <c r="J13" s="192">
        <v>7.0</v>
      </c>
      <c r="K13" s="192">
        <v>6.0</v>
      </c>
      <c r="L13" s="139">
        <v>1.0</v>
      </c>
      <c r="M13" s="139">
        <v>1.0</v>
      </c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</row>
    <row r="14" ht="12.75" customHeight="1">
      <c r="A14" s="120"/>
      <c r="B14" s="120"/>
      <c r="C14" s="71"/>
      <c r="D14" s="71"/>
      <c r="E14" s="71"/>
      <c r="F14" s="71"/>
      <c r="G14" s="71"/>
      <c r="H14" s="71"/>
      <c r="I14" s="71"/>
      <c r="J14" s="192">
        <v>4.0</v>
      </c>
      <c r="K14" s="192">
        <v>6.0</v>
      </c>
      <c r="L14" s="71"/>
      <c r="M14" s="71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</row>
    <row r="15" ht="4.5" customHeight="1">
      <c r="A15" s="120"/>
      <c r="B15" s="120"/>
      <c r="C15" s="193"/>
      <c r="D15" s="11"/>
      <c r="E15" s="11"/>
      <c r="F15" s="11"/>
      <c r="G15" s="11"/>
      <c r="H15" s="11"/>
      <c r="I15" s="11"/>
      <c r="J15" s="11"/>
      <c r="K15" s="11"/>
      <c r="L15" s="11"/>
      <c r="M15" s="47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</row>
    <row r="16" ht="12.75" customHeight="1">
      <c r="A16" s="120"/>
      <c r="B16" s="120"/>
      <c r="C16" s="191" t="s">
        <v>204</v>
      </c>
      <c r="D16" s="138" t="s">
        <v>205</v>
      </c>
      <c r="E16" s="139" t="s">
        <v>110</v>
      </c>
      <c r="F16" s="139" t="s">
        <v>249</v>
      </c>
      <c r="G16" s="140" t="s">
        <v>198</v>
      </c>
      <c r="H16" s="139" t="s">
        <v>105</v>
      </c>
      <c r="I16" s="139" t="s">
        <v>117</v>
      </c>
      <c r="J16" s="192">
        <v>5.0</v>
      </c>
      <c r="K16" s="192">
        <v>7.0</v>
      </c>
      <c r="L16" s="143">
        <f>IF(J16+J17=12,2,IF(J16=6,1,IF(J17=6,1,0)))</f>
        <v>0</v>
      </c>
      <c r="M16" s="139">
        <v>2.0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</row>
    <row r="17" ht="12.75" customHeight="1">
      <c r="A17" s="120"/>
      <c r="B17" s="120"/>
      <c r="C17" s="71"/>
      <c r="D17" s="71"/>
      <c r="E17" s="71"/>
      <c r="F17" s="71"/>
      <c r="G17" s="71"/>
      <c r="H17" s="71"/>
      <c r="I17" s="71"/>
      <c r="J17" s="192">
        <v>4.0</v>
      </c>
      <c r="K17" s="192">
        <v>6.0</v>
      </c>
      <c r="L17" s="71"/>
      <c r="M17" s="71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</row>
    <row r="18" ht="4.5" customHeight="1">
      <c r="A18" s="120"/>
      <c r="B18" s="120"/>
      <c r="C18" s="193"/>
      <c r="D18" s="11"/>
      <c r="E18" s="11"/>
      <c r="F18" s="11"/>
      <c r="G18" s="11"/>
      <c r="H18" s="11"/>
      <c r="I18" s="11"/>
      <c r="J18" s="11"/>
      <c r="K18" s="11"/>
      <c r="L18" s="11"/>
      <c r="M18" s="47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</row>
    <row r="19" ht="12.75" customHeight="1">
      <c r="A19" s="120"/>
      <c r="B19" s="120"/>
      <c r="C19" s="191" t="s">
        <v>211</v>
      </c>
      <c r="D19" s="138" t="s">
        <v>212</v>
      </c>
      <c r="E19" s="205" t="s">
        <v>189</v>
      </c>
      <c r="F19" s="139" t="s">
        <v>93</v>
      </c>
      <c r="G19" s="140" t="s">
        <v>198</v>
      </c>
      <c r="H19" s="139" t="s">
        <v>20</v>
      </c>
      <c r="I19" s="139" t="s">
        <v>27</v>
      </c>
      <c r="J19" s="192">
        <v>6.0</v>
      </c>
      <c r="K19" s="192">
        <v>4.0</v>
      </c>
      <c r="L19" s="139">
        <v>2.0</v>
      </c>
      <c r="M19" s="143">
        <f>IF(K19+K20=12,2,IF(K19=6,1,IF(K20=6,1,0)))</f>
        <v>0</v>
      </c>
      <c r="N19" s="120"/>
      <c r="O19" s="120"/>
      <c r="P19" s="120"/>
      <c r="Q19" s="120"/>
      <c r="R19" s="120"/>
      <c r="S19" s="120"/>
      <c r="T19" s="120"/>
      <c r="U19" s="120"/>
      <c r="V19" s="120"/>
      <c r="W19" s="120"/>
      <c r="X19" s="120"/>
      <c r="Y19" s="120"/>
      <c r="Z19" s="120"/>
    </row>
    <row r="20" ht="12.75" customHeight="1">
      <c r="A20" s="120"/>
      <c r="B20" s="120"/>
      <c r="C20" s="71"/>
      <c r="D20" s="71"/>
      <c r="E20" s="71"/>
      <c r="F20" s="71"/>
      <c r="G20" s="71"/>
      <c r="H20" s="71"/>
      <c r="I20" s="71"/>
      <c r="J20" s="192">
        <v>7.0</v>
      </c>
      <c r="K20" s="192">
        <v>5.0</v>
      </c>
      <c r="L20" s="71"/>
      <c r="M20" s="71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</row>
    <row r="21" ht="4.5" customHeight="1">
      <c r="A21" s="120"/>
      <c r="B21" s="120"/>
      <c r="C21" s="193"/>
      <c r="D21" s="11"/>
      <c r="E21" s="11"/>
      <c r="F21" s="11"/>
      <c r="G21" s="11"/>
      <c r="H21" s="11"/>
      <c r="I21" s="11"/>
      <c r="J21" s="11"/>
      <c r="K21" s="11"/>
      <c r="L21" s="11"/>
      <c r="M21" s="47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</row>
    <row r="22" ht="12.75" customHeight="1">
      <c r="A22" s="120"/>
      <c r="B22" s="120"/>
      <c r="C22" s="191" t="s">
        <v>202</v>
      </c>
      <c r="D22" s="157" t="s">
        <v>210</v>
      </c>
      <c r="E22" s="139" t="s">
        <v>62</v>
      </c>
      <c r="F22" s="139" t="s">
        <v>250</v>
      </c>
      <c r="G22" s="140" t="s">
        <v>198</v>
      </c>
      <c r="H22" s="139" t="s">
        <v>63</v>
      </c>
      <c r="I22" s="139" t="s">
        <v>77</v>
      </c>
      <c r="J22" s="192">
        <v>6.0</v>
      </c>
      <c r="K22" s="192">
        <v>7.0</v>
      </c>
      <c r="L22" s="139">
        <v>0.0</v>
      </c>
      <c r="M22" s="139">
        <v>2.0</v>
      </c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</row>
    <row r="23" ht="12.75" customHeight="1">
      <c r="A23" s="120"/>
      <c r="B23" s="120"/>
      <c r="C23" s="71"/>
      <c r="D23" s="71"/>
      <c r="E23" s="71"/>
      <c r="F23" s="71"/>
      <c r="G23" s="71"/>
      <c r="H23" s="71"/>
      <c r="I23" s="71"/>
      <c r="J23" s="192">
        <v>3.0</v>
      </c>
      <c r="K23" s="192">
        <v>6.0</v>
      </c>
      <c r="L23" s="71"/>
      <c r="M23" s="71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</row>
    <row r="24" ht="4.5" customHeight="1">
      <c r="A24" s="120"/>
      <c r="B24" s="120"/>
      <c r="C24" s="193"/>
      <c r="D24" s="11"/>
      <c r="E24" s="11"/>
      <c r="F24" s="11"/>
      <c r="G24" s="11"/>
      <c r="H24" s="11"/>
      <c r="I24" s="11"/>
      <c r="J24" s="11"/>
      <c r="K24" s="11"/>
      <c r="L24" s="11"/>
      <c r="M24" s="47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</row>
    <row r="25" ht="12.75" customHeight="1">
      <c r="A25" s="120"/>
      <c r="B25" s="120"/>
      <c r="C25" s="195" t="s">
        <v>251</v>
      </c>
      <c r="D25" s="11"/>
      <c r="E25" s="11"/>
      <c r="F25" s="11"/>
      <c r="G25" s="11"/>
      <c r="H25" s="11"/>
      <c r="I25" s="47"/>
      <c r="J25" s="196">
        <f t="shared" ref="J25:K25" si="1">SUM(J13:J23)</f>
        <v>42</v>
      </c>
      <c r="K25" s="196">
        <f t="shared" si="1"/>
        <v>47</v>
      </c>
      <c r="L25" s="192">
        <v>3.0</v>
      </c>
      <c r="M25" s="196">
        <f>SUM(M13:M23)</f>
        <v>5</v>
      </c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</row>
    <row r="26" ht="4.5" customHeight="1">
      <c r="A26" s="120"/>
      <c r="B26" s="120"/>
      <c r="C26" s="193"/>
      <c r="D26" s="11"/>
      <c r="E26" s="11"/>
      <c r="F26" s="11"/>
      <c r="G26" s="11"/>
      <c r="H26" s="11"/>
      <c r="I26" s="11"/>
      <c r="J26" s="11"/>
      <c r="K26" s="11"/>
      <c r="L26" s="11"/>
      <c r="M26" s="47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</row>
    <row r="27" ht="12.75" customHeight="1">
      <c r="A27" s="120"/>
      <c r="B27" s="120"/>
      <c r="C27" s="197"/>
      <c r="D27" s="11"/>
      <c r="E27" s="11"/>
      <c r="F27" s="11"/>
      <c r="G27" s="11"/>
      <c r="H27" s="11"/>
      <c r="I27" s="11"/>
      <c r="J27" s="11"/>
      <c r="K27" s="11"/>
      <c r="L27" s="11"/>
      <c r="M27" s="47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</row>
    <row r="28" ht="12.75" customHeight="1">
      <c r="A28" s="120"/>
      <c r="B28" s="120"/>
      <c r="C28" s="191" t="s">
        <v>202</v>
      </c>
      <c r="D28" s="204" t="s">
        <v>213</v>
      </c>
      <c r="E28" s="154" t="s">
        <v>252</v>
      </c>
      <c r="F28" s="154" t="s">
        <v>134</v>
      </c>
      <c r="G28" s="140" t="s">
        <v>198</v>
      </c>
      <c r="H28" s="154" t="s">
        <v>123</v>
      </c>
      <c r="I28" s="154" t="s">
        <v>129</v>
      </c>
      <c r="J28" s="192">
        <v>6.0</v>
      </c>
      <c r="K28" s="192">
        <v>7.0</v>
      </c>
      <c r="L28" s="139">
        <v>0.0</v>
      </c>
      <c r="M28" s="139">
        <v>2.0</v>
      </c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</row>
    <row r="29" ht="12.75" customHeight="1">
      <c r="A29" s="120"/>
      <c r="B29" s="120"/>
      <c r="C29" s="71"/>
      <c r="D29" s="71"/>
      <c r="E29" s="71"/>
      <c r="F29" s="71"/>
      <c r="G29" s="71"/>
      <c r="H29" s="71"/>
      <c r="I29" s="71"/>
      <c r="J29" s="192">
        <v>6.0</v>
      </c>
      <c r="K29" s="192">
        <v>7.0</v>
      </c>
      <c r="L29" s="71"/>
      <c r="M29" s="71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</row>
    <row r="30" ht="4.5" customHeight="1">
      <c r="A30" s="120"/>
      <c r="B30" s="120"/>
      <c r="C30" s="193"/>
      <c r="D30" s="11"/>
      <c r="E30" s="11"/>
      <c r="F30" s="11"/>
      <c r="G30" s="11"/>
      <c r="H30" s="11"/>
      <c r="I30" s="11"/>
      <c r="J30" s="11"/>
      <c r="K30" s="11"/>
      <c r="L30" s="11"/>
      <c r="M30" s="47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</row>
    <row r="31" ht="12.75" customHeight="1">
      <c r="A31" s="124"/>
      <c r="B31" s="120"/>
      <c r="C31" s="191" t="s">
        <v>204</v>
      </c>
      <c r="D31" s="138" t="s">
        <v>203</v>
      </c>
      <c r="E31" s="154" t="s">
        <v>146</v>
      </c>
      <c r="F31" s="154" t="s">
        <v>140</v>
      </c>
      <c r="G31" s="140" t="s">
        <v>198</v>
      </c>
      <c r="H31" s="154" t="s">
        <v>147</v>
      </c>
      <c r="I31" s="154" t="s">
        <v>153</v>
      </c>
      <c r="J31" s="192">
        <v>5.0</v>
      </c>
      <c r="K31" s="192">
        <v>7.0</v>
      </c>
      <c r="L31" s="139">
        <v>1.0</v>
      </c>
      <c r="M31" s="139">
        <v>1.0</v>
      </c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</row>
    <row r="32" ht="12.75" customHeight="1">
      <c r="A32" s="124"/>
      <c r="B32" s="120"/>
      <c r="C32" s="71"/>
      <c r="D32" s="71"/>
      <c r="E32" s="71"/>
      <c r="F32" s="71"/>
      <c r="G32" s="71"/>
      <c r="H32" s="71"/>
      <c r="I32" s="71"/>
      <c r="J32" s="192">
        <v>7.0</v>
      </c>
      <c r="K32" s="192">
        <v>5.0</v>
      </c>
      <c r="L32" s="71"/>
      <c r="M32" s="71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</row>
    <row r="33" ht="4.5" customHeight="1">
      <c r="A33" s="120"/>
      <c r="B33" s="120"/>
      <c r="C33" s="193"/>
      <c r="D33" s="11"/>
      <c r="E33" s="11"/>
      <c r="F33" s="11"/>
      <c r="G33" s="11"/>
      <c r="H33" s="11"/>
      <c r="I33" s="11"/>
      <c r="J33" s="11"/>
      <c r="K33" s="11"/>
      <c r="L33" s="11"/>
      <c r="M33" s="47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</row>
    <row r="34" ht="12.75" customHeight="1">
      <c r="A34" s="120"/>
      <c r="B34" s="120"/>
      <c r="C34" s="191" t="s">
        <v>211</v>
      </c>
      <c r="D34" s="138" t="s">
        <v>207</v>
      </c>
      <c r="E34" s="154" t="s">
        <v>91</v>
      </c>
      <c r="F34" s="154" t="s">
        <v>98</v>
      </c>
      <c r="G34" s="140" t="s">
        <v>198</v>
      </c>
      <c r="H34" s="154" t="s">
        <v>83</v>
      </c>
      <c r="I34" s="154" t="s">
        <v>90</v>
      </c>
      <c r="J34" s="192">
        <v>6.0</v>
      </c>
      <c r="K34" s="192">
        <v>3.0</v>
      </c>
      <c r="L34" s="143">
        <f>IF(J34+J35=12,2,IF(J34=6,1,IF(J35=6,1,0)))</f>
        <v>1</v>
      </c>
      <c r="M34" s="139">
        <v>1.0</v>
      </c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</row>
    <row r="35" ht="12.75" customHeight="1">
      <c r="A35" s="120"/>
      <c r="B35" s="120"/>
      <c r="C35" s="71"/>
      <c r="D35" s="71"/>
      <c r="E35" s="71"/>
      <c r="F35" s="71"/>
      <c r="G35" s="71"/>
      <c r="H35" s="71"/>
      <c r="I35" s="71"/>
      <c r="J35" s="192">
        <v>5.0</v>
      </c>
      <c r="K35" s="192">
        <v>7.0</v>
      </c>
      <c r="L35" s="71"/>
      <c r="M35" s="71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</row>
    <row r="36" ht="4.5" customHeight="1">
      <c r="A36" s="120"/>
      <c r="B36" s="120"/>
      <c r="C36" s="193"/>
      <c r="D36" s="11"/>
      <c r="E36" s="11"/>
      <c r="F36" s="11"/>
      <c r="G36" s="11"/>
      <c r="H36" s="11"/>
      <c r="I36" s="11"/>
      <c r="J36" s="11"/>
      <c r="K36" s="11"/>
      <c r="L36" s="11"/>
      <c r="M36" s="47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</row>
    <row r="37" ht="12.75" customHeight="1">
      <c r="A37" s="120"/>
      <c r="B37" s="120"/>
      <c r="C37" s="191" t="s">
        <v>204</v>
      </c>
      <c r="D37" s="175"/>
      <c r="E37" s="143"/>
      <c r="F37" s="143"/>
      <c r="G37" s="140" t="s">
        <v>198</v>
      </c>
      <c r="H37" s="143"/>
      <c r="I37" s="143"/>
      <c r="J37" s="196"/>
      <c r="K37" s="196"/>
      <c r="L37" s="143">
        <f t="shared" ref="L37:M37" si="2">IF(J37+J38=12,2,IF(J37=6,1,IF(J38=6,1,0)))</f>
        <v>0</v>
      </c>
      <c r="M37" s="143">
        <f t="shared" si="2"/>
        <v>0</v>
      </c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 ht="12.75" customHeight="1">
      <c r="A38" s="120"/>
      <c r="B38" s="120"/>
      <c r="C38" s="71"/>
      <c r="D38" s="71"/>
      <c r="E38" s="71"/>
      <c r="F38" s="71"/>
      <c r="G38" s="71"/>
      <c r="H38" s="71"/>
      <c r="I38" s="71"/>
      <c r="J38" s="196"/>
      <c r="K38" s="196"/>
      <c r="L38" s="71"/>
      <c r="M38" s="71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 ht="4.5" customHeight="1">
      <c r="A39" s="120"/>
      <c r="B39" s="120"/>
      <c r="C39" s="193"/>
      <c r="D39" s="11"/>
      <c r="E39" s="11"/>
      <c r="F39" s="11"/>
      <c r="G39" s="11"/>
      <c r="H39" s="11"/>
      <c r="I39" s="11"/>
      <c r="J39" s="11"/>
      <c r="K39" s="11"/>
      <c r="L39" s="11"/>
      <c r="M39" s="47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 ht="12.75" customHeight="1">
      <c r="A40" s="120"/>
      <c r="B40" s="120"/>
      <c r="C40" s="195" t="s">
        <v>253</v>
      </c>
      <c r="D40" s="11"/>
      <c r="E40" s="11"/>
      <c r="F40" s="11"/>
      <c r="G40" s="11"/>
      <c r="H40" s="11"/>
      <c r="I40" s="47"/>
      <c r="J40" s="196">
        <f t="shared" ref="J40:M40" si="3">SUM(J28:J38)</f>
        <v>35</v>
      </c>
      <c r="K40" s="196">
        <f t="shared" si="3"/>
        <v>36</v>
      </c>
      <c r="L40" s="196">
        <f t="shared" si="3"/>
        <v>2</v>
      </c>
      <c r="M40" s="196">
        <f t="shared" si="3"/>
        <v>4</v>
      </c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 ht="4.5" customHeight="1">
      <c r="A41" s="120"/>
      <c r="B41" s="120"/>
      <c r="C41" s="193"/>
      <c r="D41" s="11"/>
      <c r="E41" s="11"/>
      <c r="F41" s="11"/>
      <c r="G41" s="11"/>
      <c r="H41" s="11"/>
      <c r="I41" s="11"/>
      <c r="J41" s="11"/>
      <c r="K41" s="11"/>
      <c r="L41" s="11"/>
      <c r="M41" s="47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 ht="12.75" customHeight="1">
      <c r="A42" s="120"/>
      <c r="B42" s="120"/>
      <c r="C42" s="197" t="s">
        <v>254</v>
      </c>
      <c r="D42" s="11"/>
      <c r="E42" s="11"/>
      <c r="F42" s="11"/>
      <c r="G42" s="11"/>
      <c r="H42" s="11"/>
      <c r="I42" s="47"/>
      <c r="J42" s="198">
        <f t="shared" ref="J42:M42" si="4">J40+J25</f>
        <v>77</v>
      </c>
      <c r="K42" s="198">
        <f t="shared" si="4"/>
        <v>83</v>
      </c>
      <c r="L42" s="198">
        <f t="shared" si="4"/>
        <v>5</v>
      </c>
      <c r="M42" s="198">
        <f t="shared" si="4"/>
        <v>9</v>
      </c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 ht="6.75" customHeight="1">
      <c r="A43" s="120"/>
      <c r="B43" s="120"/>
      <c r="C43" s="193"/>
      <c r="D43" s="11"/>
      <c r="E43" s="11"/>
      <c r="F43" s="11"/>
      <c r="G43" s="11"/>
      <c r="H43" s="11"/>
      <c r="I43" s="11"/>
      <c r="J43" s="11"/>
      <c r="K43" s="11"/>
      <c r="L43" s="11"/>
      <c r="M43" s="47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 ht="7.5" customHeight="1">
      <c r="A44" s="120"/>
      <c r="B44" s="120"/>
      <c r="C44" s="189" t="s">
        <v>216</v>
      </c>
      <c r="D44" s="127"/>
      <c r="E44" s="127"/>
      <c r="F44" s="127"/>
      <c r="G44" s="127"/>
      <c r="H44" s="127"/>
      <c r="I44" s="127"/>
      <c r="J44" s="127"/>
      <c r="K44" s="127"/>
      <c r="L44" s="127"/>
      <c r="M44" s="188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 ht="12.75" customHeight="1">
      <c r="A45" s="120"/>
      <c r="B45" s="120"/>
      <c r="C45" s="166"/>
      <c r="D45" s="130"/>
      <c r="E45" s="130"/>
      <c r="F45" s="130"/>
      <c r="G45" s="130"/>
      <c r="H45" s="130"/>
      <c r="I45" s="130"/>
      <c r="J45" s="130"/>
      <c r="K45" s="130"/>
      <c r="L45" s="130"/>
      <c r="M45" s="164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 ht="26.25" customHeight="1">
      <c r="A46" s="120"/>
      <c r="B46" s="120"/>
      <c r="C46" s="134" t="s">
        <v>195</v>
      </c>
      <c r="D46" s="134" t="s">
        <v>196</v>
      </c>
      <c r="E46" s="135" t="s">
        <v>197</v>
      </c>
      <c r="F46" s="47"/>
      <c r="G46" s="134" t="s">
        <v>198</v>
      </c>
      <c r="H46" s="135" t="s">
        <v>238</v>
      </c>
      <c r="I46" s="47"/>
      <c r="J46" s="136" t="s">
        <v>200</v>
      </c>
      <c r="K46" s="47"/>
      <c r="L46" s="136" t="s">
        <v>201</v>
      </c>
      <c r="M46" s="47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 ht="12.75" customHeight="1">
      <c r="A47" s="120"/>
      <c r="B47" s="120"/>
      <c r="C47" s="190"/>
      <c r="D47" s="11"/>
      <c r="E47" s="11"/>
      <c r="F47" s="11"/>
      <c r="G47" s="11"/>
      <c r="H47" s="11"/>
      <c r="I47" s="11"/>
      <c r="J47" s="11"/>
      <c r="K47" s="11"/>
      <c r="L47" s="11"/>
      <c r="M47" s="47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 ht="12.75" customHeight="1">
      <c r="A48" s="120"/>
      <c r="B48" s="120"/>
      <c r="C48" s="191" t="s">
        <v>202</v>
      </c>
      <c r="D48" s="138" t="s">
        <v>207</v>
      </c>
      <c r="E48" s="154" t="s">
        <v>81</v>
      </c>
      <c r="F48" s="154" t="s">
        <v>95</v>
      </c>
      <c r="G48" s="140" t="s">
        <v>198</v>
      </c>
      <c r="H48" s="154" t="s">
        <v>85</v>
      </c>
      <c r="I48" s="154" t="s">
        <v>99</v>
      </c>
      <c r="J48" s="192">
        <v>6.0</v>
      </c>
      <c r="K48" s="192">
        <v>3.0</v>
      </c>
      <c r="L48" s="143">
        <f>IF(J48+J49=12,2,IF(J48=6,1,IF(J49=6,1,0)))</f>
        <v>1</v>
      </c>
      <c r="M48" s="139">
        <v>1.0</v>
      </c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 ht="12.75" customHeight="1">
      <c r="A49" s="120"/>
      <c r="B49" s="120"/>
      <c r="C49" s="71"/>
      <c r="D49" s="71"/>
      <c r="E49" s="71"/>
      <c r="F49" s="71"/>
      <c r="G49" s="71"/>
      <c r="H49" s="71"/>
      <c r="I49" s="71"/>
      <c r="J49" s="192">
        <v>5.0</v>
      </c>
      <c r="K49" s="192">
        <v>7.0</v>
      </c>
      <c r="L49" s="71"/>
      <c r="M49" s="71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 ht="4.5" customHeight="1">
      <c r="A50" s="120"/>
      <c r="B50" s="120"/>
      <c r="C50" s="193"/>
      <c r="D50" s="11"/>
      <c r="E50" s="11"/>
      <c r="F50" s="11"/>
      <c r="G50" s="11"/>
      <c r="H50" s="11"/>
      <c r="I50" s="11"/>
      <c r="J50" s="11"/>
      <c r="K50" s="11"/>
      <c r="L50" s="11"/>
      <c r="M50" s="47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 ht="12.75" customHeight="1">
      <c r="A51" s="120"/>
      <c r="B51" s="120"/>
      <c r="C51" s="191" t="s">
        <v>204</v>
      </c>
      <c r="D51" s="138" t="s">
        <v>205</v>
      </c>
      <c r="E51" s="154" t="s">
        <v>108</v>
      </c>
      <c r="F51" s="154" t="s">
        <v>114</v>
      </c>
      <c r="G51" s="140" t="s">
        <v>198</v>
      </c>
      <c r="H51" s="154" t="s">
        <v>106</v>
      </c>
      <c r="I51" s="154" t="s">
        <v>112</v>
      </c>
      <c r="J51" s="192">
        <v>2.0</v>
      </c>
      <c r="K51" s="192">
        <v>6.0</v>
      </c>
      <c r="L51" s="143">
        <f t="shared" ref="L51:M51" si="5">IF(J51+J52=12,2,IF(J51=6,1,IF(J52=6,1,0)))</f>
        <v>0</v>
      </c>
      <c r="M51" s="143">
        <f t="shared" si="5"/>
        <v>2</v>
      </c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 ht="12.75" customHeight="1">
      <c r="A52" s="120"/>
      <c r="B52" s="120"/>
      <c r="C52" s="71"/>
      <c r="D52" s="71"/>
      <c r="E52" s="71"/>
      <c r="F52" s="71"/>
      <c r="G52" s="71"/>
      <c r="H52" s="71"/>
      <c r="I52" s="71"/>
      <c r="J52" s="192">
        <v>2.0</v>
      </c>
      <c r="K52" s="192">
        <v>6.0</v>
      </c>
      <c r="L52" s="71"/>
      <c r="M52" s="71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 ht="4.5" customHeight="1">
      <c r="A53" s="120"/>
      <c r="B53" s="120"/>
      <c r="C53" s="193"/>
      <c r="D53" s="11"/>
      <c r="E53" s="11"/>
      <c r="F53" s="11"/>
      <c r="G53" s="11"/>
      <c r="H53" s="11"/>
      <c r="I53" s="11"/>
      <c r="J53" s="11"/>
      <c r="K53" s="11"/>
      <c r="L53" s="11"/>
      <c r="M53" s="47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 ht="12.75" customHeight="1">
      <c r="A54" s="120"/>
      <c r="B54" s="120"/>
      <c r="C54" s="191" t="s">
        <v>211</v>
      </c>
      <c r="D54" s="138" t="s">
        <v>209</v>
      </c>
      <c r="E54" s="154" t="s">
        <v>46</v>
      </c>
      <c r="F54" s="154" t="s">
        <v>53</v>
      </c>
      <c r="G54" s="140" t="s">
        <v>198</v>
      </c>
      <c r="H54" s="154" t="s">
        <v>42</v>
      </c>
      <c r="I54" s="154" t="s">
        <v>57</v>
      </c>
      <c r="J54" s="192">
        <v>6.0</v>
      </c>
      <c r="K54" s="192">
        <v>3.0</v>
      </c>
      <c r="L54" s="143">
        <f t="shared" ref="L54:M54" si="6">IF(J54+J55=12,2,IF(J54=6,1,IF(J55=6,1,0)))</f>
        <v>1</v>
      </c>
      <c r="M54" s="143">
        <f t="shared" si="6"/>
        <v>1</v>
      </c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 ht="12.75" customHeight="1">
      <c r="A55" s="120"/>
      <c r="B55" s="120"/>
      <c r="C55" s="71"/>
      <c r="D55" s="71"/>
      <c r="E55" s="71"/>
      <c r="F55" s="71"/>
      <c r="G55" s="71"/>
      <c r="H55" s="71"/>
      <c r="I55" s="71"/>
      <c r="J55" s="192">
        <v>3.0</v>
      </c>
      <c r="K55" s="192">
        <v>6.0</v>
      </c>
      <c r="L55" s="71"/>
      <c r="M55" s="71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 ht="4.5" customHeight="1">
      <c r="A56" s="120"/>
      <c r="B56" s="120"/>
      <c r="C56" s="193"/>
      <c r="D56" s="11"/>
      <c r="E56" s="11"/>
      <c r="F56" s="11"/>
      <c r="G56" s="11"/>
      <c r="H56" s="11"/>
      <c r="I56" s="11"/>
      <c r="J56" s="11"/>
      <c r="K56" s="11"/>
      <c r="L56" s="11"/>
      <c r="M56" s="47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 ht="12.75" customHeight="1">
      <c r="A57" s="120"/>
      <c r="B57" s="120"/>
      <c r="C57" s="191" t="s">
        <v>204</v>
      </c>
      <c r="D57" s="157" t="s">
        <v>210</v>
      </c>
      <c r="E57" s="154" t="s">
        <v>67</v>
      </c>
      <c r="F57" s="154" t="s">
        <v>74</v>
      </c>
      <c r="G57" s="140" t="s">
        <v>198</v>
      </c>
      <c r="H57" s="154" t="s">
        <v>71</v>
      </c>
      <c r="I57" s="154" t="s">
        <v>64</v>
      </c>
      <c r="J57" s="192">
        <v>3.0</v>
      </c>
      <c r="K57" s="192">
        <v>6.0</v>
      </c>
      <c r="L57" s="143">
        <f t="shared" ref="L57:M57" si="7">IF(J57+J58=12,2,IF(J57=6,1,IF(J58=6,1,0)))</f>
        <v>0</v>
      </c>
      <c r="M57" s="143">
        <f t="shared" si="7"/>
        <v>2</v>
      </c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 ht="12.75" customHeight="1">
      <c r="A58" s="120"/>
      <c r="B58" s="120"/>
      <c r="C58" s="71"/>
      <c r="D58" s="71"/>
      <c r="E58" s="71"/>
      <c r="F58" s="71"/>
      <c r="G58" s="71"/>
      <c r="H58" s="71"/>
      <c r="I58" s="71"/>
      <c r="J58" s="192">
        <v>3.0</v>
      </c>
      <c r="K58" s="192">
        <v>6.0</v>
      </c>
      <c r="L58" s="71"/>
      <c r="M58" s="71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 ht="4.5" customHeight="1">
      <c r="A59" s="120"/>
      <c r="B59" s="120"/>
      <c r="C59" s="193"/>
      <c r="D59" s="11"/>
      <c r="E59" s="11"/>
      <c r="F59" s="11"/>
      <c r="G59" s="11"/>
      <c r="H59" s="11"/>
      <c r="I59" s="11"/>
      <c r="J59" s="11"/>
      <c r="K59" s="11"/>
      <c r="L59" s="11"/>
      <c r="M59" s="47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 ht="12.75" customHeight="1">
      <c r="A60" s="120"/>
      <c r="B60" s="120"/>
      <c r="C60" s="195" t="s">
        <v>251</v>
      </c>
      <c r="D60" s="11"/>
      <c r="E60" s="11"/>
      <c r="F60" s="11"/>
      <c r="G60" s="11"/>
      <c r="H60" s="11"/>
      <c r="I60" s="47"/>
      <c r="J60" s="196">
        <f t="shared" ref="J60:M60" si="8">SUM(J48:J58)</f>
        <v>30</v>
      </c>
      <c r="K60" s="196">
        <f t="shared" si="8"/>
        <v>43</v>
      </c>
      <c r="L60" s="196">
        <f t="shared" si="8"/>
        <v>2</v>
      </c>
      <c r="M60" s="196">
        <f t="shared" si="8"/>
        <v>6</v>
      </c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 ht="4.5" customHeight="1">
      <c r="A61" s="120"/>
      <c r="B61" s="120"/>
      <c r="C61" s="193"/>
      <c r="D61" s="11"/>
      <c r="E61" s="11"/>
      <c r="F61" s="11"/>
      <c r="G61" s="11"/>
      <c r="H61" s="11"/>
      <c r="I61" s="11"/>
      <c r="J61" s="11"/>
      <c r="K61" s="11"/>
      <c r="L61" s="11"/>
      <c r="M61" s="47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 ht="12.75" customHeight="1">
      <c r="A62" s="120"/>
      <c r="B62" s="120"/>
      <c r="C62" s="197"/>
      <c r="D62" s="11"/>
      <c r="E62" s="11"/>
      <c r="F62" s="11"/>
      <c r="G62" s="11"/>
      <c r="H62" s="11"/>
      <c r="I62" s="11"/>
      <c r="J62" s="11"/>
      <c r="K62" s="11"/>
      <c r="L62" s="11"/>
      <c r="M62" s="47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 ht="12.75" customHeight="1">
      <c r="A63" s="120"/>
      <c r="B63" s="120"/>
      <c r="C63" s="191" t="s">
        <v>202</v>
      </c>
      <c r="D63" s="138" t="s">
        <v>203</v>
      </c>
      <c r="E63" s="154" t="s">
        <v>150</v>
      </c>
      <c r="F63" s="154" t="s">
        <v>138</v>
      </c>
      <c r="G63" s="140" t="s">
        <v>198</v>
      </c>
      <c r="H63" s="154" t="s">
        <v>142</v>
      </c>
      <c r="I63" s="154" t="s">
        <v>154</v>
      </c>
      <c r="J63" s="192">
        <v>5.0</v>
      </c>
      <c r="K63" s="192">
        <v>7.0</v>
      </c>
      <c r="L63" s="143">
        <f>IF(J63+J64=12,2,IF(J63=6,1,IF(J64=6,1,0)))</f>
        <v>1</v>
      </c>
      <c r="M63" s="139">
        <v>1.0</v>
      </c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 ht="12.75" customHeight="1">
      <c r="A64" s="120"/>
      <c r="B64" s="120"/>
      <c r="C64" s="71"/>
      <c r="D64" s="71"/>
      <c r="E64" s="71"/>
      <c r="F64" s="71"/>
      <c r="G64" s="71"/>
      <c r="H64" s="71"/>
      <c r="I64" s="71"/>
      <c r="J64" s="192">
        <v>6.0</v>
      </c>
      <c r="K64" s="192">
        <v>4.0</v>
      </c>
      <c r="L64" s="71"/>
      <c r="M64" s="71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 ht="4.5" customHeight="1">
      <c r="A65" s="120"/>
      <c r="B65" s="120"/>
      <c r="C65" s="193"/>
      <c r="D65" s="11"/>
      <c r="E65" s="11"/>
      <c r="F65" s="11"/>
      <c r="G65" s="11"/>
      <c r="H65" s="11"/>
      <c r="I65" s="11"/>
      <c r="J65" s="11"/>
      <c r="K65" s="11"/>
      <c r="L65" s="11"/>
      <c r="M65" s="47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 ht="12.75" customHeight="1">
      <c r="A66" s="120"/>
      <c r="B66" s="120"/>
      <c r="C66" s="191" t="s">
        <v>204</v>
      </c>
      <c r="D66" s="138" t="s">
        <v>213</v>
      </c>
      <c r="E66" s="154" t="s">
        <v>126</v>
      </c>
      <c r="F66" s="154" t="s">
        <v>132</v>
      </c>
      <c r="G66" s="140" t="s">
        <v>198</v>
      </c>
      <c r="H66" s="154" t="s">
        <v>130</v>
      </c>
      <c r="I66" s="154" t="s">
        <v>136</v>
      </c>
      <c r="J66" s="192">
        <v>6.0</v>
      </c>
      <c r="K66" s="192">
        <v>7.0</v>
      </c>
      <c r="L66" s="139">
        <v>0.0</v>
      </c>
      <c r="M66" s="139">
        <v>2.0</v>
      </c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 ht="12.75" customHeight="1">
      <c r="A67" s="120"/>
      <c r="B67" s="120"/>
      <c r="C67" s="71"/>
      <c r="D67" s="71"/>
      <c r="E67" s="71"/>
      <c r="F67" s="71"/>
      <c r="G67" s="71"/>
      <c r="H67" s="71"/>
      <c r="I67" s="71"/>
      <c r="J67" s="192">
        <v>3.0</v>
      </c>
      <c r="K67" s="192">
        <v>6.0</v>
      </c>
      <c r="L67" s="71"/>
      <c r="M67" s="71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 ht="4.5" customHeight="1">
      <c r="A68" s="120"/>
      <c r="B68" s="120"/>
      <c r="C68" s="193"/>
      <c r="D68" s="11"/>
      <c r="E68" s="11"/>
      <c r="F68" s="11"/>
      <c r="G68" s="11"/>
      <c r="H68" s="11"/>
      <c r="I68" s="11"/>
      <c r="J68" s="11"/>
      <c r="K68" s="11"/>
      <c r="L68" s="11"/>
      <c r="M68" s="47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 ht="12.75" customHeight="1">
      <c r="A69" s="120"/>
      <c r="B69" s="120"/>
      <c r="C69" s="191" t="s">
        <v>204</v>
      </c>
      <c r="D69" s="138" t="s">
        <v>212</v>
      </c>
      <c r="E69" s="154" t="s">
        <v>17</v>
      </c>
      <c r="F69" s="154" t="s">
        <v>24</v>
      </c>
      <c r="G69" s="140" t="s">
        <v>198</v>
      </c>
      <c r="H69" s="154" t="s">
        <v>21</v>
      </c>
      <c r="I69" s="154" t="s">
        <v>28</v>
      </c>
      <c r="J69" s="192">
        <v>6.0</v>
      </c>
      <c r="K69" s="192">
        <v>3.0</v>
      </c>
      <c r="L69" s="143">
        <f t="shared" ref="L69:M69" si="9">IF(J69+J70=12,2,IF(J69=6,1,IF(J70=6,1,0)))</f>
        <v>2</v>
      </c>
      <c r="M69" s="143">
        <f t="shared" si="9"/>
        <v>0</v>
      </c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 ht="12.75" customHeight="1">
      <c r="A70" s="120"/>
      <c r="B70" s="120"/>
      <c r="C70" s="71"/>
      <c r="D70" s="71"/>
      <c r="E70" s="71"/>
      <c r="F70" s="71"/>
      <c r="G70" s="71"/>
      <c r="H70" s="71"/>
      <c r="I70" s="71"/>
      <c r="J70" s="192">
        <v>6.0</v>
      </c>
      <c r="K70" s="192">
        <v>3.0</v>
      </c>
      <c r="L70" s="71"/>
      <c r="M70" s="71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 ht="4.5" customHeight="1">
      <c r="A71" s="120"/>
      <c r="B71" s="120"/>
      <c r="C71" s="193"/>
      <c r="D71" s="11"/>
      <c r="E71" s="11"/>
      <c r="F71" s="11"/>
      <c r="G71" s="11"/>
      <c r="H71" s="11"/>
      <c r="I71" s="11"/>
      <c r="J71" s="11"/>
      <c r="K71" s="11"/>
      <c r="L71" s="11"/>
      <c r="M71" s="47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 ht="12.75" customHeight="1">
      <c r="A72" s="120"/>
      <c r="B72" s="120"/>
      <c r="C72" s="191"/>
      <c r="D72" s="175"/>
      <c r="E72" s="176"/>
      <c r="F72" s="176"/>
      <c r="G72" s="140" t="s">
        <v>198</v>
      </c>
      <c r="H72" s="176"/>
      <c r="I72" s="176"/>
      <c r="J72" s="196"/>
      <c r="K72" s="196"/>
      <c r="L72" s="143">
        <f t="shared" ref="L72:M72" si="10">IF(J72+J73=12,2,IF(J72=6,1,IF(J73=6,1,0)))</f>
        <v>0</v>
      </c>
      <c r="M72" s="143">
        <f t="shared" si="10"/>
        <v>0</v>
      </c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 ht="12.75" customHeight="1">
      <c r="A73" s="120"/>
      <c r="B73" s="120"/>
      <c r="C73" s="71"/>
      <c r="D73" s="71"/>
      <c r="E73" s="71"/>
      <c r="F73" s="71"/>
      <c r="G73" s="71"/>
      <c r="H73" s="71"/>
      <c r="I73" s="71"/>
      <c r="J73" s="196"/>
      <c r="K73" s="196"/>
      <c r="L73" s="71"/>
      <c r="M73" s="71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 ht="4.5" customHeight="1">
      <c r="A74" s="120"/>
      <c r="B74" s="120"/>
      <c r="C74" s="193"/>
      <c r="D74" s="11"/>
      <c r="E74" s="11"/>
      <c r="F74" s="11"/>
      <c r="G74" s="11"/>
      <c r="H74" s="11"/>
      <c r="I74" s="11"/>
      <c r="J74" s="11"/>
      <c r="K74" s="11"/>
      <c r="L74" s="11"/>
      <c r="M74" s="47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 ht="12.75" customHeight="1">
      <c r="A75" s="120"/>
      <c r="B75" s="120"/>
      <c r="C75" s="195" t="s">
        <v>253</v>
      </c>
      <c r="D75" s="11"/>
      <c r="E75" s="11"/>
      <c r="F75" s="11"/>
      <c r="G75" s="11"/>
      <c r="H75" s="11"/>
      <c r="I75" s="47"/>
      <c r="J75" s="196">
        <f t="shared" ref="J75:M75" si="11">SUM(J63:J73)</f>
        <v>32</v>
      </c>
      <c r="K75" s="196">
        <f t="shared" si="11"/>
        <v>30</v>
      </c>
      <c r="L75" s="196">
        <f t="shared" si="11"/>
        <v>3</v>
      </c>
      <c r="M75" s="196">
        <f t="shared" si="11"/>
        <v>3</v>
      </c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 ht="4.5" customHeight="1">
      <c r="A76" s="120"/>
      <c r="B76" s="120"/>
      <c r="C76" s="193"/>
      <c r="D76" s="11"/>
      <c r="E76" s="11"/>
      <c r="F76" s="11"/>
      <c r="G76" s="11"/>
      <c r="H76" s="11"/>
      <c r="I76" s="11"/>
      <c r="J76" s="11"/>
      <c r="K76" s="11"/>
      <c r="L76" s="11"/>
      <c r="M76" s="47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 ht="12.75" customHeight="1">
      <c r="A77" s="120"/>
      <c r="B77" s="120"/>
      <c r="C77" s="197" t="s">
        <v>254</v>
      </c>
      <c r="D77" s="11"/>
      <c r="E77" s="11"/>
      <c r="F77" s="11"/>
      <c r="G77" s="11"/>
      <c r="H77" s="11"/>
      <c r="I77" s="47"/>
      <c r="J77" s="198">
        <f t="shared" ref="J77:M77" si="12">J75+J60</f>
        <v>62</v>
      </c>
      <c r="K77" s="198">
        <f t="shared" si="12"/>
        <v>73</v>
      </c>
      <c r="L77" s="198">
        <f t="shared" si="12"/>
        <v>5</v>
      </c>
      <c r="M77" s="198">
        <f t="shared" si="12"/>
        <v>9</v>
      </c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 ht="6.75" customHeight="1">
      <c r="A78" s="120"/>
      <c r="B78" s="120"/>
      <c r="C78" s="193"/>
      <c r="D78" s="11"/>
      <c r="E78" s="11"/>
      <c r="F78" s="11"/>
      <c r="G78" s="11"/>
      <c r="H78" s="11"/>
      <c r="I78" s="11"/>
      <c r="J78" s="11"/>
      <c r="K78" s="11"/>
      <c r="L78" s="11"/>
      <c r="M78" s="47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 ht="12.75" customHeight="1">
      <c r="A79" s="120"/>
      <c r="B79" s="120"/>
      <c r="C79" s="189" t="s">
        <v>224</v>
      </c>
      <c r="D79" s="127"/>
      <c r="E79" s="127"/>
      <c r="F79" s="127"/>
      <c r="G79" s="127"/>
      <c r="H79" s="127"/>
      <c r="I79" s="127"/>
      <c r="J79" s="127"/>
      <c r="K79" s="127"/>
      <c r="L79" s="127"/>
      <c r="M79" s="188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 ht="12.75" customHeight="1">
      <c r="A80" s="120"/>
      <c r="B80" s="120"/>
      <c r="C80" s="166"/>
      <c r="D80" s="130"/>
      <c r="E80" s="130"/>
      <c r="F80" s="130"/>
      <c r="G80" s="130"/>
      <c r="H80" s="130"/>
      <c r="I80" s="130"/>
      <c r="J80" s="130"/>
      <c r="K80" s="130"/>
      <c r="L80" s="130"/>
      <c r="M80" s="164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 ht="25.5" customHeight="1">
      <c r="A81" s="120"/>
      <c r="B81" s="120"/>
      <c r="C81" s="200" t="s">
        <v>195</v>
      </c>
      <c r="D81" s="134" t="s">
        <v>196</v>
      </c>
      <c r="E81" s="135" t="s">
        <v>217</v>
      </c>
      <c r="F81" s="47"/>
      <c r="G81" s="134" t="s">
        <v>198</v>
      </c>
      <c r="H81" s="135" t="s">
        <v>225</v>
      </c>
      <c r="I81" s="47"/>
      <c r="J81" s="136" t="s">
        <v>200</v>
      </c>
      <c r="K81" s="47"/>
      <c r="L81" s="136" t="s">
        <v>201</v>
      </c>
      <c r="M81" s="47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 ht="12.75" customHeight="1">
      <c r="A82" s="120"/>
      <c r="B82" s="120"/>
      <c r="C82" s="190"/>
      <c r="D82" s="11"/>
      <c r="E82" s="11"/>
      <c r="F82" s="11"/>
      <c r="G82" s="11"/>
      <c r="H82" s="11"/>
      <c r="I82" s="11"/>
      <c r="J82" s="11"/>
      <c r="K82" s="11"/>
      <c r="L82" s="11"/>
      <c r="M82" s="47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 ht="12.75" customHeight="1">
      <c r="A83" s="120"/>
      <c r="B83" s="120"/>
      <c r="C83" s="191" t="s">
        <v>202</v>
      </c>
      <c r="D83" s="138" t="s">
        <v>212</v>
      </c>
      <c r="E83" s="154" t="s">
        <v>18</v>
      </c>
      <c r="F83" s="154" t="s">
        <v>32</v>
      </c>
      <c r="G83" s="140" t="s">
        <v>198</v>
      </c>
      <c r="H83" s="154" t="s">
        <v>22</v>
      </c>
      <c r="I83" s="154" t="s">
        <v>29</v>
      </c>
      <c r="J83" s="192">
        <v>2.0</v>
      </c>
      <c r="K83" s="192">
        <v>6.0</v>
      </c>
      <c r="L83" s="143">
        <f t="shared" ref="L83:M83" si="13">IF(J83+J84=12,2,IF(J83=6,1,IF(J84=6,1,0)))</f>
        <v>1</v>
      </c>
      <c r="M83" s="143">
        <f t="shared" si="13"/>
        <v>1</v>
      </c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 ht="12.75" customHeight="1">
      <c r="A84" s="120"/>
      <c r="B84" s="120"/>
      <c r="C84" s="71"/>
      <c r="D84" s="71"/>
      <c r="E84" s="71"/>
      <c r="F84" s="71"/>
      <c r="G84" s="71"/>
      <c r="H84" s="71"/>
      <c r="I84" s="71"/>
      <c r="J84" s="192">
        <v>6.0</v>
      </c>
      <c r="K84" s="192">
        <v>2.0</v>
      </c>
      <c r="L84" s="71"/>
      <c r="M84" s="71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 ht="4.5" customHeight="1">
      <c r="A85" s="120"/>
      <c r="B85" s="120"/>
      <c r="C85" s="193"/>
      <c r="D85" s="11"/>
      <c r="E85" s="11"/>
      <c r="F85" s="11"/>
      <c r="G85" s="11"/>
      <c r="H85" s="11"/>
      <c r="I85" s="11"/>
      <c r="J85" s="11"/>
      <c r="K85" s="11"/>
      <c r="L85" s="11"/>
      <c r="M85" s="47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 ht="12.75" customHeight="1">
      <c r="A86" s="120"/>
      <c r="B86" s="120"/>
      <c r="C86" s="191" t="s">
        <v>204</v>
      </c>
      <c r="D86" s="138" t="s">
        <v>205</v>
      </c>
      <c r="E86" s="154" t="s">
        <v>103</v>
      </c>
      <c r="F86" s="154" t="s">
        <v>109</v>
      </c>
      <c r="G86" s="140" t="s">
        <v>198</v>
      </c>
      <c r="H86" s="154" t="s">
        <v>107</v>
      </c>
      <c r="I86" s="154" t="s">
        <v>113</v>
      </c>
      <c r="J86" s="192">
        <v>6.0</v>
      </c>
      <c r="K86" s="192">
        <v>0.0</v>
      </c>
      <c r="L86" s="143">
        <f>IF(J86+J87=12,2,IF(J86=6,1,IF(J87=6,1,0)))</f>
        <v>1</v>
      </c>
      <c r="M86" s="139">
        <v>1.0</v>
      </c>
      <c r="N86" s="167" t="s">
        <v>239</v>
      </c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 ht="12.75" customHeight="1">
      <c r="A87" s="120"/>
      <c r="B87" s="120"/>
      <c r="C87" s="71"/>
      <c r="D87" s="71"/>
      <c r="E87" s="71"/>
      <c r="F87" s="71"/>
      <c r="G87" s="71"/>
      <c r="H87" s="71"/>
      <c r="I87" s="71"/>
      <c r="J87" s="192">
        <v>5.0</v>
      </c>
      <c r="K87" s="192">
        <v>7.0</v>
      </c>
      <c r="L87" s="71"/>
      <c r="M87" s="71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 ht="4.5" customHeight="1">
      <c r="A88" s="120"/>
      <c r="B88" s="120"/>
      <c r="C88" s="193"/>
      <c r="D88" s="11"/>
      <c r="E88" s="11"/>
      <c r="F88" s="11"/>
      <c r="G88" s="11"/>
      <c r="H88" s="11"/>
      <c r="I88" s="11"/>
      <c r="J88" s="11"/>
      <c r="K88" s="11"/>
      <c r="L88" s="11"/>
      <c r="M88" s="47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 ht="12.75" customHeight="1">
      <c r="A89" s="120"/>
      <c r="B89" s="120"/>
      <c r="C89" s="191" t="s">
        <v>211</v>
      </c>
      <c r="D89" s="138" t="s">
        <v>209</v>
      </c>
      <c r="E89" s="154" t="s">
        <v>47</v>
      </c>
      <c r="F89" s="154" t="s">
        <v>185</v>
      </c>
      <c r="G89" s="140" t="s">
        <v>198</v>
      </c>
      <c r="H89" s="154" t="s">
        <v>43</v>
      </c>
      <c r="I89" s="154" t="s">
        <v>51</v>
      </c>
      <c r="J89" s="192">
        <v>6.0</v>
      </c>
      <c r="K89" s="192">
        <v>7.0</v>
      </c>
      <c r="L89" s="139">
        <v>0.0</v>
      </c>
      <c r="M89" s="139">
        <v>2.0</v>
      </c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 ht="12.75" customHeight="1">
      <c r="A90" s="120"/>
      <c r="B90" s="120"/>
      <c r="C90" s="71"/>
      <c r="D90" s="71"/>
      <c r="E90" s="71"/>
      <c r="F90" s="71"/>
      <c r="G90" s="71"/>
      <c r="H90" s="71"/>
      <c r="I90" s="71"/>
      <c r="J90" s="192">
        <v>3.0</v>
      </c>
      <c r="K90" s="192">
        <v>6.0</v>
      </c>
      <c r="L90" s="71"/>
      <c r="M90" s="71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 ht="4.5" customHeight="1">
      <c r="A91" s="120"/>
      <c r="B91" s="120"/>
      <c r="C91" s="193"/>
      <c r="D91" s="11"/>
      <c r="E91" s="11"/>
      <c r="F91" s="11"/>
      <c r="G91" s="11"/>
      <c r="H91" s="11"/>
      <c r="I91" s="11"/>
      <c r="J91" s="11"/>
      <c r="K91" s="11"/>
      <c r="L91" s="11"/>
      <c r="M91" s="47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 ht="12.75" customHeight="1">
      <c r="A92" s="120"/>
      <c r="B92" s="120"/>
      <c r="C92" s="175" t="s">
        <v>202</v>
      </c>
      <c r="D92" s="157" t="s">
        <v>207</v>
      </c>
      <c r="E92" s="139" t="s">
        <v>82</v>
      </c>
      <c r="F92" s="139" t="s">
        <v>89</v>
      </c>
      <c r="G92" s="140" t="s">
        <v>198</v>
      </c>
      <c r="H92" s="139" t="s">
        <v>93</v>
      </c>
      <c r="I92" s="139" t="s">
        <v>100</v>
      </c>
      <c r="J92" s="192">
        <v>5.0</v>
      </c>
      <c r="K92" s="192">
        <v>7.0</v>
      </c>
      <c r="L92" s="143">
        <f>IF(J92+J93=12,2,IF(J92=6,1,IF(J93=6,1,0)))</f>
        <v>1</v>
      </c>
      <c r="M92" s="139">
        <v>1.0</v>
      </c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 ht="12.75" customHeight="1">
      <c r="A93" s="120"/>
      <c r="B93" s="120"/>
      <c r="C93" s="71"/>
      <c r="D93" s="71"/>
      <c r="E93" s="71"/>
      <c r="F93" s="71"/>
      <c r="G93" s="71"/>
      <c r="H93" s="71"/>
      <c r="I93" s="71"/>
      <c r="J93" s="192">
        <v>6.0</v>
      </c>
      <c r="K93" s="192">
        <v>4.0</v>
      </c>
      <c r="L93" s="71"/>
      <c r="M93" s="71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 ht="4.5" customHeight="1">
      <c r="A94" s="120"/>
      <c r="B94" s="120"/>
      <c r="C94" s="193"/>
      <c r="D94" s="11"/>
      <c r="E94" s="11"/>
      <c r="F94" s="11"/>
      <c r="G94" s="11"/>
      <c r="H94" s="11"/>
      <c r="I94" s="11"/>
      <c r="J94" s="11"/>
      <c r="K94" s="11"/>
      <c r="L94" s="11"/>
      <c r="M94" s="47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 ht="12.75" customHeight="1">
      <c r="A95" s="120"/>
      <c r="B95" s="120"/>
      <c r="C95" s="195" t="s">
        <v>251</v>
      </c>
      <c r="D95" s="11"/>
      <c r="E95" s="11"/>
      <c r="F95" s="11"/>
      <c r="G95" s="11"/>
      <c r="H95" s="11"/>
      <c r="I95" s="47"/>
      <c r="J95" s="196">
        <f t="shared" ref="J95:M95" si="14">SUM(J83:J93)</f>
        <v>39</v>
      </c>
      <c r="K95" s="196">
        <f t="shared" si="14"/>
        <v>39</v>
      </c>
      <c r="L95" s="196">
        <f t="shared" si="14"/>
        <v>3</v>
      </c>
      <c r="M95" s="196">
        <f t="shared" si="14"/>
        <v>5</v>
      </c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 ht="4.5" customHeight="1">
      <c r="A96" s="120"/>
      <c r="B96" s="120"/>
      <c r="C96" s="193"/>
      <c r="D96" s="11"/>
      <c r="E96" s="11"/>
      <c r="F96" s="11"/>
      <c r="G96" s="11"/>
      <c r="H96" s="11"/>
      <c r="I96" s="11"/>
      <c r="J96" s="11"/>
      <c r="K96" s="11"/>
      <c r="L96" s="11"/>
      <c r="M96" s="47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 ht="12.75" customHeight="1">
      <c r="A97" s="120"/>
      <c r="B97" s="120"/>
      <c r="C97" s="197"/>
      <c r="D97" s="11"/>
      <c r="E97" s="11"/>
      <c r="F97" s="11"/>
      <c r="G97" s="11"/>
      <c r="H97" s="11"/>
      <c r="I97" s="11"/>
      <c r="J97" s="11"/>
      <c r="K97" s="11"/>
      <c r="L97" s="11"/>
      <c r="M97" s="47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 ht="12.75" customHeight="1">
      <c r="A98" s="120"/>
      <c r="B98" s="120"/>
      <c r="C98" s="191" t="s">
        <v>202</v>
      </c>
      <c r="D98" s="138" t="s">
        <v>203</v>
      </c>
      <c r="E98" s="154" t="s">
        <v>139</v>
      </c>
      <c r="F98" s="154" t="s">
        <v>145</v>
      </c>
      <c r="G98" s="140" t="s">
        <v>198</v>
      </c>
      <c r="H98" s="154" t="s">
        <v>143</v>
      </c>
      <c r="I98" s="154" t="s">
        <v>149</v>
      </c>
      <c r="J98" s="192">
        <v>4.0</v>
      </c>
      <c r="K98" s="192">
        <v>6.0</v>
      </c>
      <c r="L98" s="143">
        <f t="shared" ref="L98:M98" si="15">IF(J98+J99=12,2,IF(J98=6,1,IF(J99=6,1,0)))</f>
        <v>0</v>
      </c>
      <c r="M98" s="143">
        <f t="shared" si="15"/>
        <v>2</v>
      </c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 ht="12.75" customHeight="1">
      <c r="A99" s="120"/>
      <c r="B99" s="120"/>
      <c r="C99" s="71"/>
      <c r="D99" s="71"/>
      <c r="E99" s="71"/>
      <c r="F99" s="71"/>
      <c r="G99" s="71"/>
      <c r="H99" s="71"/>
      <c r="I99" s="71"/>
      <c r="J99" s="192">
        <v>4.0</v>
      </c>
      <c r="K99" s="192">
        <v>6.0</v>
      </c>
      <c r="L99" s="71"/>
      <c r="M99" s="71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 ht="4.5" customHeight="1">
      <c r="A100" s="120"/>
      <c r="B100" s="120"/>
      <c r="C100" s="193"/>
      <c r="D100" s="11"/>
      <c r="E100" s="11"/>
      <c r="F100" s="11"/>
      <c r="G100" s="11"/>
      <c r="H100" s="11"/>
      <c r="I100" s="11"/>
      <c r="J100" s="11"/>
      <c r="K100" s="11"/>
      <c r="L100" s="11"/>
      <c r="M100" s="47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 ht="12.75" customHeight="1">
      <c r="A101" s="120"/>
      <c r="B101" s="120"/>
      <c r="C101" s="191" t="s">
        <v>204</v>
      </c>
      <c r="D101" s="138" t="s">
        <v>213</v>
      </c>
      <c r="E101" s="154" t="s">
        <v>121</v>
      </c>
      <c r="F101" s="154" t="s">
        <v>187</v>
      </c>
      <c r="G101" s="140" t="s">
        <v>198</v>
      </c>
      <c r="H101" s="154" t="s">
        <v>125</v>
      </c>
      <c r="I101" s="154" t="s">
        <v>137</v>
      </c>
      <c r="J101" s="192">
        <v>6.0</v>
      </c>
      <c r="K101" s="192">
        <v>1.0</v>
      </c>
      <c r="L101" s="139">
        <v>2.0</v>
      </c>
      <c r="M101" s="139">
        <v>0.0</v>
      </c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 ht="12.75" customHeight="1">
      <c r="A102" s="120"/>
      <c r="B102" s="120"/>
      <c r="C102" s="71"/>
      <c r="D102" s="71"/>
      <c r="E102" s="71"/>
      <c r="F102" s="71"/>
      <c r="G102" s="71"/>
      <c r="H102" s="71"/>
      <c r="I102" s="71"/>
      <c r="J102" s="192">
        <v>7.0</v>
      </c>
      <c r="K102" s="192">
        <v>6.0</v>
      </c>
      <c r="L102" s="71"/>
      <c r="M102" s="71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 ht="4.5" customHeight="1">
      <c r="A103" s="120"/>
      <c r="B103" s="120"/>
      <c r="C103" s="193"/>
      <c r="D103" s="11"/>
      <c r="E103" s="11"/>
      <c r="F103" s="11"/>
      <c r="G103" s="11"/>
      <c r="H103" s="11"/>
      <c r="I103" s="11"/>
      <c r="J103" s="11"/>
      <c r="K103" s="11"/>
      <c r="L103" s="11"/>
      <c r="M103" s="47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 ht="12.75" customHeight="1">
      <c r="A104" s="120"/>
      <c r="B104" s="120"/>
      <c r="C104" s="191" t="s">
        <v>211</v>
      </c>
      <c r="D104" s="138" t="s">
        <v>210</v>
      </c>
      <c r="E104" s="154" t="s">
        <v>68</v>
      </c>
      <c r="F104" s="154" t="s">
        <v>61</v>
      </c>
      <c r="G104" s="140" t="s">
        <v>198</v>
      </c>
      <c r="H104" s="154" t="s">
        <v>65</v>
      </c>
      <c r="I104" s="154" t="s">
        <v>72</v>
      </c>
      <c r="J104" s="192">
        <v>7.0</v>
      </c>
      <c r="K104" s="192">
        <v>6.0</v>
      </c>
      <c r="L104" s="139">
        <v>1.0</v>
      </c>
      <c r="M104" s="139">
        <v>1.0</v>
      </c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 ht="12.75" customHeight="1">
      <c r="A105" s="120"/>
      <c r="B105" s="120"/>
      <c r="C105" s="71"/>
      <c r="D105" s="71"/>
      <c r="E105" s="71"/>
      <c r="F105" s="71"/>
      <c r="G105" s="71"/>
      <c r="H105" s="71"/>
      <c r="I105" s="71"/>
      <c r="J105" s="192">
        <v>4.0</v>
      </c>
      <c r="K105" s="192">
        <v>6.0</v>
      </c>
      <c r="L105" s="71"/>
      <c r="M105" s="71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 ht="4.5" customHeight="1">
      <c r="A106" s="120"/>
      <c r="B106" s="120"/>
      <c r="C106" s="193"/>
      <c r="D106" s="11"/>
      <c r="E106" s="11"/>
      <c r="F106" s="11"/>
      <c r="G106" s="11"/>
      <c r="H106" s="11"/>
      <c r="I106" s="11"/>
      <c r="J106" s="11"/>
      <c r="K106" s="11"/>
      <c r="L106" s="11"/>
      <c r="M106" s="47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 ht="12.75" customHeight="1">
      <c r="A107" s="120"/>
      <c r="B107" s="120"/>
      <c r="C107" s="191" t="s">
        <v>211</v>
      </c>
      <c r="D107" s="175"/>
      <c r="E107" s="176"/>
      <c r="F107" s="176"/>
      <c r="G107" s="140" t="s">
        <v>198</v>
      </c>
      <c r="H107" s="176"/>
      <c r="I107" s="176"/>
      <c r="J107" s="196"/>
      <c r="K107" s="196"/>
      <c r="L107" s="143">
        <f t="shared" ref="L107:M107" si="16">IF(J107+J108=12,2,IF(J107=6,1,IF(J108=6,1,0)))</f>
        <v>0</v>
      </c>
      <c r="M107" s="143">
        <f t="shared" si="16"/>
        <v>0</v>
      </c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 ht="12.75" customHeight="1">
      <c r="A108" s="120"/>
      <c r="B108" s="120"/>
      <c r="C108" s="71"/>
      <c r="D108" s="71"/>
      <c r="E108" s="71"/>
      <c r="F108" s="71"/>
      <c r="G108" s="71"/>
      <c r="H108" s="71"/>
      <c r="I108" s="71"/>
      <c r="J108" s="196"/>
      <c r="K108" s="196"/>
      <c r="L108" s="71"/>
      <c r="M108" s="71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 ht="4.5" customHeight="1">
      <c r="A109" s="120"/>
      <c r="B109" s="120"/>
      <c r="C109" s="193"/>
      <c r="D109" s="11"/>
      <c r="E109" s="11"/>
      <c r="F109" s="11"/>
      <c r="G109" s="11"/>
      <c r="H109" s="11"/>
      <c r="I109" s="11"/>
      <c r="J109" s="11"/>
      <c r="K109" s="11"/>
      <c r="L109" s="11"/>
      <c r="M109" s="47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 ht="12.75" customHeight="1">
      <c r="A110" s="120"/>
      <c r="B110" s="120"/>
      <c r="C110" s="195" t="s">
        <v>253</v>
      </c>
      <c r="D110" s="11"/>
      <c r="E110" s="11"/>
      <c r="F110" s="11"/>
      <c r="G110" s="11"/>
      <c r="H110" s="11"/>
      <c r="I110" s="47"/>
      <c r="J110" s="196">
        <f t="shared" ref="J110:M110" si="17">SUM(J98:J108)</f>
        <v>32</v>
      </c>
      <c r="K110" s="196">
        <f t="shared" si="17"/>
        <v>31</v>
      </c>
      <c r="L110" s="196">
        <f t="shared" si="17"/>
        <v>3</v>
      </c>
      <c r="M110" s="196">
        <f t="shared" si="17"/>
        <v>3</v>
      </c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 ht="4.5" customHeight="1">
      <c r="A111" s="120"/>
      <c r="B111" s="120"/>
      <c r="C111" s="193"/>
      <c r="D111" s="11"/>
      <c r="E111" s="11"/>
      <c r="F111" s="11"/>
      <c r="G111" s="11"/>
      <c r="H111" s="11"/>
      <c r="I111" s="11"/>
      <c r="J111" s="11"/>
      <c r="K111" s="11"/>
      <c r="L111" s="11"/>
      <c r="M111" s="47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 ht="12.75" customHeight="1">
      <c r="A112" s="120"/>
      <c r="B112" s="120"/>
      <c r="C112" s="197" t="s">
        <v>254</v>
      </c>
      <c r="D112" s="11"/>
      <c r="E112" s="11"/>
      <c r="F112" s="11"/>
      <c r="G112" s="11"/>
      <c r="H112" s="11"/>
      <c r="I112" s="47"/>
      <c r="J112" s="198">
        <f t="shared" ref="J112:M112" si="18">J110+J95</f>
        <v>71</v>
      </c>
      <c r="K112" s="198">
        <f t="shared" si="18"/>
        <v>70</v>
      </c>
      <c r="L112" s="198">
        <f t="shared" si="18"/>
        <v>6</v>
      </c>
      <c r="M112" s="198">
        <f t="shared" si="18"/>
        <v>8</v>
      </c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 ht="6.75" customHeight="1">
      <c r="A113" s="120"/>
      <c r="B113" s="120"/>
      <c r="C113" s="193"/>
      <c r="D113" s="11"/>
      <c r="E113" s="11"/>
      <c r="F113" s="11"/>
      <c r="G113" s="11"/>
      <c r="H113" s="11"/>
      <c r="I113" s="11"/>
      <c r="J113" s="11"/>
      <c r="K113" s="11"/>
      <c r="L113" s="11"/>
      <c r="M113" s="47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 ht="12.75" customHeight="1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ht="12.75" customHeight="1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 t="s">
        <v>227</v>
      </c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t="12.75" customHeight="1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t="12.75" customHeight="1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t="12.75" customHeight="1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 ht="12.75" customHeight="1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 ht="12.75" customHeight="1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t="12.75" customHeight="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 ht="12.75" customHeight="1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 ht="12.75" customHeight="1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 ht="12.75" customHeight="1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 ht="12.75" customHeight="1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ht="12.75" customHeight="1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t="12.75" customHeight="1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t="12.75" customHeight="1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t="12.75" customHeight="1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 ht="12.75" customHeight="1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 ht="12.75" customHeight="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 ht="12.75" customHeight="1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 ht="12.75" customHeight="1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 ht="12.75" customHeight="1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 ht="12.75" customHeight="1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 ht="12.75" customHeight="1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t="12.75" customHeight="1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t="12.75" customHeight="1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t="12.75" customHeight="1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t="12.75" customHeight="1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 ht="12.75" customHeight="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 ht="12.75" customHeight="1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t="12.75" customHeight="1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t="12.75" customHeight="1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t="12.75" customHeight="1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t="12.75" customHeight="1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t="12.75" customHeight="1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 ht="12.75" customHeight="1">
      <c r="A148" s="120"/>
      <c r="B148" s="120"/>
      <c r="C148" s="120"/>
      <c r="D148" s="120"/>
      <c r="E148" s="120"/>
      <c r="F148" s="120" t="s">
        <v>227</v>
      </c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 ht="12.75" customHeight="1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 ht="12.75" customHeight="1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 ht="12.75" customHeight="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 ht="12.75" customHeight="1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 ht="12.75" customHeight="1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 ht="12.75" customHeight="1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 ht="12.75" customHeight="1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 ht="12.75" customHeight="1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 ht="12.75" customHeight="1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 ht="12.75" customHeight="1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 ht="12.75" customHeight="1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 ht="12.75" customHeight="1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 ht="12.75" customHeight="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 ht="12.75" customHeight="1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 ht="12.75" customHeight="1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 ht="12.75" customHeight="1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 ht="12.75" customHeight="1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 ht="12.75" customHeight="1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 ht="12.75" customHeight="1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 ht="12.75" customHeight="1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 ht="12.75" customHeight="1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 ht="12.75" customHeight="1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 ht="12.75" customHeight="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 ht="12.75" customHeight="1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 ht="12.75" customHeight="1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 ht="12.75" customHeight="1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 ht="12.75" customHeight="1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 ht="12.75" customHeight="1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 ht="12.75" customHeight="1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 ht="12.75" customHeight="1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 ht="12.75" customHeight="1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 ht="12.75" customHeight="1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 ht="12.75" customHeight="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 ht="12.75" customHeight="1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 ht="12.75" customHeight="1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 ht="12.75" customHeight="1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 ht="12.75" customHeight="1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 ht="12.75" customHeight="1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 ht="12.75" customHeight="1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 ht="12.75" customHeight="1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 ht="12.75" customHeight="1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 ht="12.75" customHeight="1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 ht="12.75" customHeight="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 ht="12.75" customHeight="1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 ht="12.75" customHeight="1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 ht="12.75" customHeight="1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 ht="12.75" customHeight="1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 ht="12.75" customHeight="1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 ht="12.75" customHeight="1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 ht="12.75" customHeight="1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 ht="12.75" customHeight="1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 ht="12.75" customHeight="1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 ht="12.75" customHeight="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 ht="12.75" customHeight="1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 ht="12.75" customHeight="1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 ht="12.75" customHeight="1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 ht="12.75" customHeight="1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 ht="12.75" customHeight="1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 ht="12.75" customHeight="1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 ht="12.75" customHeight="1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 ht="12.75" customHeight="1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 ht="12.75" customHeight="1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 ht="12.75" customHeight="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 ht="12.75" customHeight="1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 ht="12.75" customHeight="1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 ht="12.75" customHeight="1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 ht="12.75" customHeight="1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 ht="12.75" customHeight="1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 ht="12.75" customHeight="1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 ht="12.75" customHeight="1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 ht="12.75" customHeight="1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 ht="12.75" customHeight="1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 ht="12.75" customHeight="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 ht="12.75" customHeight="1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 ht="12.75" customHeight="1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 ht="12.75" customHeight="1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 ht="12.75" customHeight="1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 ht="12.75" customHeight="1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 ht="12.75" customHeight="1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 ht="12.75" customHeight="1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 ht="12.75" customHeight="1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 ht="12.75" customHeight="1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 ht="12.75" customHeight="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 ht="12.75" customHeight="1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 ht="12.75" customHeight="1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 ht="12.75" customHeight="1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 ht="12.75" customHeight="1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 ht="12.75" customHeight="1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 ht="12.75" customHeight="1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 ht="12.75" customHeight="1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 ht="12.75" customHeight="1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 ht="12.75" customHeight="1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 ht="12.75" customHeight="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 ht="12.75" customHeight="1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 ht="12.75" customHeight="1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 ht="12.75" customHeight="1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 ht="12.75" customHeight="1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 ht="12.75" customHeight="1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 ht="12.75" customHeight="1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 ht="12.75" customHeight="1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 ht="12.75" customHeight="1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 ht="12.75" customHeight="1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 ht="12.75" customHeight="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 ht="12.75" customHeight="1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 ht="12.75" customHeight="1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 ht="12.75" customHeight="1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 ht="12.75" customHeight="1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 ht="12.75" customHeight="1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 ht="12.75" customHeight="1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 ht="12.75" customHeight="1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 ht="12.75" customHeight="1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 ht="12.75" customHeight="1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 ht="12.75" customHeight="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 ht="12.75" customHeight="1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 ht="12.75" customHeight="1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 ht="12.75" customHeight="1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 ht="12.75" customHeight="1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 ht="12.75" customHeight="1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 ht="12.75" customHeight="1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 ht="12.75" customHeight="1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 ht="12.75" customHeight="1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 ht="12.75" customHeight="1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 ht="12.75" customHeight="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 ht="12.75" customHeight="1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 ht="12.75" customHeight="1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 ht="12.75" customHeight="1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 ht="12.75" customHeight="1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 ht="12.75" customHeight="1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 ht="12.75" customHeight="1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 ht="12.75" customHeight="1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 ht="12.75" customHeight="1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 ht="12.75" customHeight="1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 ht="12.75" customHeight="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 ht="12.75" customHeight="1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 ht="12.75" customHeight="1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 ht="12.75" customHeight="1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 ht="12.75" customHeight="1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 ht="12.75" customHeight="1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 ht="12.75" customHeight="1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 ht="12.75" customHeight="1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 ht="12.75" customHeight="1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 ht="12.75" customHeight="1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 ht="12.75" customHeight="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 ht="12.75" customHeight="1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 ht="12.75" customHeight="1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 ht="12.75" customHeight="1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 ht="12.75" customHeight="1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 ht="12.75" customHeight="1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 ht="12.75" customHeight="1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 ht="12.75" customHeight="1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 ht="12.75" customHeight="1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 ht="12.75" customHeight="1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 ht="12.75" customHeight="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 ht="12.75" customHeight="1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 ht="12.75" customHeight="1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 ht="12.75" customHeight="1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 ht="12.75" customHeight="1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 ht="12.75" customHeight="1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 ht="12.75" customHeight="1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 ht="12.75" customHeight="1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 ht="12.75" customHeight="1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 ht="12.75" customHeight="1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 ht="12.75" customHeight="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 ht="12.75" customHeight="1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 ht="12.75" customHeight="1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 ht="12.75" customHeight="1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 ht="12.75" customHeight="1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 ht="12.75" customHeight="1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 ht="12.75" customHeight="1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 ht="12.75" customHeight="1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 ht="12.75" customHeight="1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 ht="12.75" customHeight="1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 ht="12.75" customHeight="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 ht="12.75" customHeight="1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 ht="12.75" customHeight="1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 ht="12.75" customHeight="1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 ht="12.75" customHeight="1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 ht="12.75" customHeight="1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 ht="12.75" customHeight="1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 ht="12.75" customHeight="1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 ht="12.75" customHeight="1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 ht="12.75" customHeight="1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 ht="12.75" customHeight="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 ht="12.75" customHeight="1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 ht="12.75" customHeight="1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 ht="12.75" customHeight="1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 ht="12.75" customHeight="1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 ht="12.75" customHeight="1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 ht="12.75" customHeight="1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 ht="12.75" customHeight="1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 ht="12.75" customHeight="1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 ht="12.75" customHeight="1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 ht="12.75" customHeight="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 ht="12.75" customHeight="1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 ht="12.75" customHeight="1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 ht="12.75" customHeight="1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 ht="12.75" customHeight="1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 ht="12.75" customHeight="1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 ht="12.75" customHeight="1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 ht="12.75" customHeight="1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 ht="12.75" customHeight="1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 ht="12.75" customHeight="1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 ht="12.75" customHeight="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 ht="12.75" customHeight="1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 ht="12.75" customHeight="1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 ht="12.75" customHeight="1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 ht="12.75" customHeight="1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 ht="12.75" customHeight="1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 ht="12.75" customHeight="1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 ht="12.75" customHeight="1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 ht="12.75" customHeight="1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 ht="12.75" customHeight="1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 ht="12.75" customHeight="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 ht="12.75" customHeight="1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 ht="12.75" customHeight="1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 ht="12.75" customHeight="1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 ht="12.75" customHeight="1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 ht="12.75" customHeight="1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 ht="12.75" customHeight="1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 ht="12.75" customHeight="1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 ht="12.75" customHeight="1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 ht="12.75" customHeight="1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 ht="12.75" customHeight="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 ht="12.75" customHeight="1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 ht="12.75" customHeight="1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 ht="12.75" customHeight="1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 ht="12.75" customHeight="1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 ht="12.75" customHeight="1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 ht="12.75" customHeight="1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 ht="12.75" customHeight="1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 ht="12.75" customHeight="1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 ht="12.75" customHeight="1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 ht="12.75" customHeight="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 ht="12.75" customHeight="1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 ht="12.75" customHeight="1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 ht="12.75" customHeight="1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 ht="12.75" customHeight="1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 ht="12.75" customHeight="1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 ht="12.75" customHeight="1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 ht="12.75" customHeight="1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 ht="12.75" customHeight="1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 ht="12.75" customHeight="1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 ht="12.75" customHeight="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 ht="12.75" customHeight="1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 ht="12.75" customHeight="1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 ht="12.75" customHeight="1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 ht="12.75" customHeight="1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 ht="12.75" customHeight="1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 ht="12.75" customHeight="1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 ht="12.75" customHeight="1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 ht="12.75" customHeight="1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 ht="12.75" customHeight="1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 ht="12.75" customHeight="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 ht="12.75" customHeight="1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 ht="12.75" customHeight="1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 ht="12.75" customHeight="1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 ht="12.75" customHeight="1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 ht="12.75" customHeight="1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 ht="12.75" customHeight="1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 ht="12.75" customHeight="1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 ht="12.75" customHeight="1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 ht="12.75" customHeight="1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 ht="12.75" customHeight="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 ht="12.75" customHeight="1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 ht="12.75" customHeight="1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 ht="12.75" customHeight="1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 ht="12.75" customHeight="1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 ht="12.75" customHeight="1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 ht="12.75" customHeight="1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 ht="12.75" customHeight="1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 ht="12.75" customHeight="1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 ht="12.75" customHeight="1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 ht="12.75" customHeight="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 ht="12.75" customHeight="1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 ht="12.75" customHeight="1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 ht="12.75" customHeight="1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 ht="12.75" customHeight="1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 ht="12.75" customHeight="1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 ht="12.75" customHeight="1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 ht="12.75" customHeight="1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 ht="12.75" customHeight="1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 ht="12.75" customHeight="1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 ht="12.75" customHeight="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 ht="12.75" customHeight="1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 ht="12.75" customHeight="1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 ht="12.75" customHeight="1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 ht="12.75" customHeight="1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 ht="12.75" customHeight="1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 ht="12.75" customHeight="1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 ht="12.75" customHeight="1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 ht="12.75" customHeight="1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 ht="12.75" customHeight="1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 ht="12.75" customHeight="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 ht="12.75" customHeight="1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 ht="12.75" customHeight="1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 ht="12.75" customHeight="1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 ht="12.75" customHeight="1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 ht="12.75" customHeight="1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 ht="12.75" customHeight="1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 ht="12.75" customHeight="1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 ht="12.75" customHeight="1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 ht="12.75" customHeight="1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 ht="12.75" customHeight="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 ht="12.75" customHeight="1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 ht="12.75" customHeight="1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 ht="12.75" customHeight="1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 ht="12.75" customHeight="1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 ht="12.75" customHeight="1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 ht="12.75" customHeight="1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 ht="12.75" customHeight="1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 ht="12.75" customHeight="1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 ht="12.75" customHeight="1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 ht="12.75" customHeight="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 ht="12.75" customHeight="1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 ht="12.75" customHeight="1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 ht="12.75" customHeight="1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 ht="12.75" customHeight="1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 ht="12.75" customHeight="1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 ht="12.75" customHeight="1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 ht="12.75" customHeight="1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 ht="12.75" customHeight="1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 ht="12.75" customHeight="1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 ht="12.75" customHeight="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 ht="12.75" customHeight="1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 ht="12.75" customHeight="1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 ht="12.75" customHeight="1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 ht="12.75" customHeight="1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 ht="12.75" customHeight="1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 ht="12.75" customHeight="1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 ht="12.75" customHeight="1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 ht="12.75" customHeight="1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 ht="12.75" customHeight="1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 ht="12.75" customHeight="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 ht="12.75" customHeight="1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 ht="12.75" customHeight="1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 ht="12.75" customHeight="1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 ht="12.75" customHeight="1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 ht="12.75" customHeight="1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 ht="12.75" customHeight="1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 ht="12.75" customHeight="1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 ht="12.75" customHeight="1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 ht="12.75" customHeight="1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 ht="12.75" customHeight="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 ht="12.75" customHeight="1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 ht="12.75" customHeight="1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 ht="12.75" customHeight="1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 ht="12.75" customHeight="1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 ht="12.75" customHeight="1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 ht="12.75" customHeight="1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 ht="12.75" customHeight="1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 ht="12.75" customHeight="1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 ht="12.75" customHeight="1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 ht="12.75" customHeight="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 ht="12.75" customHeight="1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 ht="12.75" customHeight="1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 ht="12.75" customHeight="1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 ht="12.75" customHeight="1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 ht="12.75" customHeight="1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 ht="12.75" customHeight="1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 ht="12.75" customHeight="1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 ht="12.75" customHeight="1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 ht="12.75" customHeight="1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 ht="12.75" customHeight="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 ht="12.75" customHeight="1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 ht="12.75" customHeight="1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 ht="12.75" customHeight="1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 ht="12.75" customHeight="1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 ht="12.75" customHeight="1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 ht="12.75" customHeight="1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 ht="12.75" customHeight="1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 ht="12.75" customHeight="1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 ht="12.75" customHeight="1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 ht="12.75" customHeight="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 ht="12.75" customHeight="1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 ht="12.75" customHeight="1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 ht="12.75" customHeight="1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 ht="12.75" customHeight="1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 ht="12.75" customHeight="1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 ht="12.75" customHeight="1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 ht="12.75" customHeight="1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 ht="12.75" customHeight="1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 ht="12.75" customHeight="1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 ht="12.75" customHeight="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 ht="12.75" customHeight="1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 ht="12.75" customHeight="1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 ht="12.75" customHeight="1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 ht="12.75" customHeight="1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 ht="12.75" customHeight="1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 ht="12.75" customHeight="1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 ht="12.75" customHeight="1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 ht="12.75" customHeight="1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 ht="12.75" customHeight="1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 ht="12.75" customHeight="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 ht="12.75" customHeight="1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 ht="12.75" customHeight="1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 ht="12.75" customHeight="1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 ht="12.75" customHeight="1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 ht="12.75" customHeight="1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 ht="12.75" customHeight="1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 ht="12.75" customHeight="1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 ht="12.75" customHeight="1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 ht="12.75" customHeight="1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 ht="12.75" customHeight="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 ht="12.75" customHeight="1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 ht="12.75" customHeight="1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 ht="12.75" customHeight="1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 ht="12.75" customHeight="1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 ht="12.75" customHeight="1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 ht="12.75" customHeight="1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 ht="12.75" customHeight="1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 ht="12.75" customHeight="1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 ht="12.75" customHeight="1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 ht="12.75" customHeight="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 ht="12.75" customHeight="1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 ht="12.75" customHeight="1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 ht="12.75" customHeight="1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 ht="12.75" customHeight="1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 ht="12.75" customHeight="1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 ht="12.75" customHeight="1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 ht="12.75" customHeight="1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 ht="12.75" customHeight="1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 ht="12.75" customHeight="1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 ht="12.75" customHeight="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 ht="12.75" customHeight="1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 ht="12.75" customHeight="1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 ht="12.75" customHeight="1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 ht="12.75" customHeight="1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 ht="12.75" customHeight="1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 ht="12.75" customHeight="1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 ht="12.75" customHeight="1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 ht="12.75" customHeight="1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 ht="12.75" customHeight="1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 ht="12.75" customHeight="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 ht="12.75" customHeight="1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 ht="12.75" customHeight="1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 ht="12.75" customHeight="1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 ht="12.75" customHeight="1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 ht="12.75" customHeight="1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 ht="12.75" customHeight="1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 ht="12.75" customHeight="1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 ht="12.75" customHeight="1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 ht="12.75" customHeight="1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 ht="12.75" customHeight="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 ht="12.75" customHeight="1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 ht="12.75" customHeight="1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 ht="12.75" customHeight="1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 ht="12.75" customHeight="1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 ht="12.75" customHeight="1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 ht="12.75" customHeight="1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 ht="12.75" customHeight="1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 ht="12.75" customHeight="1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 ht="12.75" customHeight="1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 ht="12.75" customHeight="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 ht="12.75" customHeight="1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 ht="12.75" customHeight="1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 ht="12.75" customHeight="1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 ht="12.75" customHeight="1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 ht="12.75" customHeight="1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 ht="12.75" customHeight="1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 ht="12.75" customHeight="1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 ht="12.75" customHeight="1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 ht="12.75" customHeight="1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 ht="12.75" customHeight="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 ht="12.75" customHeight="1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 ht="12.75" customHeight="1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 ht="12.75" customHeight="1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 ht="12.75" customHeight="1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 ht="12.75" customHeight="1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 ht="12.75" customHeight="1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 ht="12.75" customHeight="1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 ht="12.75" customHeight="1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 ht="12.75" customHeight="1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 ht="12.75" customHeight="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 ht="12.75" customHeight="1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 ht="12.75" customHeight="1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 ht="12.75" customHeight="1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 ht="12.75" customHeight="1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 ht="12.75" customHeight="1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 ht="12.75" customHeight="1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 ht="12.75" customHeight="1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 ht="12.75" customHeight="1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 ht="12.75" customHeight="1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 ht="12.75" customHeight="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 ht="12.75" customHeight="1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 ht="12.75" customHeight="1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 ht="12.75" customHeight="1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 ht="12.75" customHeight="1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 ht="12.75" customHeight="1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 ht="12.75" customHeight="1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 ht="12.75" customHeight="1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 ht="12.75" customHeight="1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 ht="12.75" customHeight="1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 ht="12.75" customHeight="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 ht="12.75" customHeight="1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 ht="12.75" customHeight="1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 ht="12.75" customHeight="1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 ht="12.75" customHeight="1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 ht="12.75" customHeight="1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 ht="12.75" customHeight="1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 ht="12.75" customHeight="1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 ht="12.75" customHeight="1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 ht="12.75" customHeight="1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 ht="12.75" customHeight="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 ht="12.75" customHeight="1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 ht="12.75" customHeight="1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 ht="12.75" customHeight="1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 ht="12.75" customHeight="1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 ht="12.75" customHeight="1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 ht="12.75" customHeight="1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 ht="12.75" customHeight="1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 ht="12.75" customHeight="1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 ht="12.75" customHeight="1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 ht="12.75" customHeight="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 ht="12.75" customHeight="1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 ht="12.75" customHeight="1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 ht="12.75" customHeight="1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 ht="12.75" customHeight="1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 ht="12.75" customHeight="1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 ht="12.75" customHeight="1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 ht="12.75" customHeight="1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 ht="12.75" customHeight="1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 ht="12.75" customHeight="1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 ht="12.75" customHeight="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 ht="12.75" customHeight="1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 ht="12.75" customHeight="1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 ht="12.75" customHeight="1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 ht="12.75" customHeight="1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 ht="12.75" customHeight="1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 ht="12.75" customHeight="1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 ht="12.75" customHeight="1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 ht="12.75" customHeight="1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 ht="12.75" customHeight="1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 ht="12.75" customHeight="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 ht="12.75" customHeight="1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 ht="12.75" customHeight="1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 ht="12.75" customHeight="1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 ht="12.75" customHeight="1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 ht="12.75" customHeight="1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 ht="12.75" customHeight="1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 ht="12.75" customHeight="1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 ht="12.75" customHeight="1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 ht="12.75" customHeight="1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 ht="12.75" customHeight="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 ht="12.75" customHeight="1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 ht="12.75" customHeight="1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 ht="12.75" customHeight="1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 ht="12.75" customHeight="1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 ht="12.75" customHeight="1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 ht="12.75" customHeight="1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 ht="12.75" customHeight="1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 ht="12.75" customHeight="1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 ht="12.75" customHeight="1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 ht="12.75" customHeight="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 ht="12.75" customHeight="1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 ht="12.75" customHeight="1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 ht="12.75" customHeight="1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 ht="12.75" customHeight="1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 ht="12.75" customHeight="1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 ht="12.75" customHeight="1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 ht="12.75" customHeight="1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 ht="12.75" customHeight="1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 ht="12.75" customHeight="1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 ht="12.75" customHeight="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 ht="12.75" customHeight="1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 ht="12.75" customHeight="1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 ht="12.75" customHeight="1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 ht="12.75" customHeight="1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 ht="12.75" customHeight="1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 ht="12.75" customHeight="1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 ht="12.75" customHeight="1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 ht="12.75" customHeight="1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 ht="12.75" customHeight="1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 ht="12.75" customHeight="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 ht="12.75" customHeight="1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 ht="12.75" customHeight="1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 ht="12.75" customHeight="1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 ht="12.75" customHeight="1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 ht="12.75" customHeight="1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 ht="12.75" customHeight="1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 ht="12.75" customHeight="1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 ht="12.75" customHeight="1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 ht="12.75" customHeight="1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 ht="12.75" customHeight="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 ht="12.75" customHeight="1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 ht="12.75" customHeight="1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 ht="12.75" customHeight="1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 ht="12.75" customHeight="1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 ht="12.75" customHeight="1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 ht="12.75" customHeight="1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 ht="12.75" customHeight="1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 ht="12.75" customHeight="1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 ht="12.75" customHeight="1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 ht="12.75" customHeight="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 ht="12.75" customHeight="1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 ht="12.75" customHeight="1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 ht="12.75" customHeight="1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 ht="12.75" customHeight="1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 ht="12.75" customHeight="1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 ht="12.75" customHeight="1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 ht="12.75" customHeight="1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 ht="12.75" customHeight="1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 ht="12.75" customHeight="1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 ht="12.75" customHeight="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 ht="12.75" customHeight="1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 ht="12.75" customHeight="1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 ht="12.75" customHeight="1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 ht="12.75" customHeight="1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 ht="12.75" customHeight="1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 ht="12.75" customHeight="1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 ht="12.75" customHeight="1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 ht="12.75" customHeight="1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 ht="12.75" customHeight="1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 ht="12.75" customHeight="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 ht="12.75" customHeight="1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 ht="12.75" customHeight="1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 ht="12.75" customHeight="1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 ht="12.75" customHeight="1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 ht="12.75" customHeight="1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 ht="12.75" customHeight="1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 ht="12.75" customHeight="1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 ht="12.75" customHeight="1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 ht="12.75" customHeight="1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 ht="12.75" customHeight="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 ht="12.75" customHeight="1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 ht="12.75" customHeight="1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 ht="12.75" customHeight="1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 ht="12.75" customHeight="1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 ht="12.75" customHeight="1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 ht="12.75" customHeight="1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 ht="12.75" customHeight="1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 ht="12.75" customHeight="1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 ht="12.75" customHeight="1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 ht="12.75" customHeight="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 ht="12.75" customHeight="1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 ht="12.75" customHeight="1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 ht="12.75" customHeight="1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 ht="12.75" customHeight="1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 ht="12.75" customHeight="1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 ht="12.75" customHeight="1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 ht="12.75" customHeight="1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 ht="12.75" customHeight="1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 ht="12.75" customHeight="1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 ht="12.75" customHeight="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 ht="12.75" customHeight="1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 ht="12.75" customHeight="1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 ht="12.75" customHeight="1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 ht="12.75" customHeight="1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 ht="12.75" customHeight="1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 ht="12.75" customHeight="1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 ht="12.75" customHeight="1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 ht="12.75" customHeight="1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 ht="12.75" customHeight="1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 ht="12.75" customHeight="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 ht="12.75" customHeight="1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 ht="12.75" customHeight="1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 ht="12.75" customHeight="1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 ht="12.75" customHeight="1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 ht="12.75" customHeight="1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 ht="12.75" customHeight="1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 ht="12.75" customHeight="1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 ht="12.75" customHeight="1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 ht="12.75" customHeight="1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 ht="12.75" customHeight="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 ht="12.75" customHeight="1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 ht="12.75" customHeight="1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 ht="12.75" customHeight="1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 ht="12.75" customHeight="1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 ht="12.75" customHeight="1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 ht="12.75" customHeight="1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 ht="12.75" customHeight="1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 ht="12.75" customHeight="1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 ht="12.75" customHeight="1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 ht="12.75" customHeight="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 ht="12.75" customHeight="1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 ht="12.75" customHeight="1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 ht="12.75" customHeight="1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 ht="12.75" customHeight="1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 ht="12.75" customHeight="1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 ht="12.75" customHeight="1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 ht="12.75" customHeight="1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 ht="12.75" customHeight="1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 ht="12.75" customHeight="1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 ht="12.75" customHeight="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 ht="12.75" customHeight="1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 ht="12.75" customHeight="1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 ht="12.75" customHeight="1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 ht="12.75" customHeight="1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 ht="12.75" customHeight="1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 ht="12.75" customHeight="1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 ht="12.75" customHeight="1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 ht="12.75" customHeight="1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 ht="12.75" customHeight="1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 ht="12.75" customHeight="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 ht="12.75" customHeight="1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 ht="12.75" customHeight="1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 ht="12.75" customHeight="1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 ht="12.75" customHeight="1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 ht="12.75" customHeight="1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 ht="12.75" customHeight="1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 ht="12.75" customHeight="1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 ht="12.75" customHeight="1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 ht="12.75" customHeight="1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 ht="12.75" customHeight="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 ht="12.75" customHeight="1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 ht="12.75" customHeight="1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 ht="12.75" customHeight="1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 ht="12.75" customHeight="1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 ht="12.75" customHeight="1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 ht="12.75" customHeight="1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 ht="12.75" customHeight="1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 ht="12.75" customHeight="1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 ht="12.75" customHeight="1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 ht="12.75" customHeight="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 ht="12.75" customHeight="1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 ht="12.75" customHeight="1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 ht="12.75" customHeight="1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 ht="12.75" customHeight="1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 ht="12.75" customHeight="1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 ht="12.75" customHeight="1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 ht="12.75" customHeight="1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 ht="12.75" customHeight="1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 ht="12.75" customHeight="1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 ht="12.75" customHeight="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 ht="12.75" customHeight="1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 ht="12.75" customHeight="1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 ht="12.75" customHeight="1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 ht="12.75" customHeight="1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 ht="12.75" customHeight="1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 ht="12.75" customHeight="1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 ht="12.75" customHeight="1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 ht="12.75" customHeight="1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 ht="12.75" customHeight="1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 ht="12.75" customHeight="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 ht="12.75" customHeight="1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 ht="12.75" customHeight="1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 ht="12.75" customHeight="1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 ht="12.75" customHeight="1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 ht="12.75" customHeight="1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 ht="12.75" customHeight="1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 ht="12.75" customHeight="1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 ht="12.75" customHeight="1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 ht="12.75" customHeight="1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 ht="12.75" customHeight="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 ht="12.75" customHeight="1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 ht="12.75" customHeight="1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 ht="12.75" customHeight="1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 ht="12.75" customHeight="1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 ht="12.75" customHeight="1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 ht="12.75" customHeight="1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 ht="12.75" customHeight="1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 ht="12.75" customHeight="1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 ht="12.75" customHeight="1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 ht="12.75" customHeight="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 ht="12.75" customHeight="1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 ht="12.75" customHeight="1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 ht="12.75" customHeight="1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 ht="12.75" customHeight="1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 ht="12.75" customHeight="1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 ht="12.75" customHeight="1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 ht="12.75" customHeight="1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 ht="12.75" customHeight="1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 ht="12.75" customHeight="1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 ht="12.75" customHeight="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 ht="12.75" customHeight="1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 ht="12.75" customHeight="1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 ht="12.75" customHeight="1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 ht="12.75" customHeight="1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 ht="12.75" customHeight="1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 ht="12.75" customHeight="1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 ht="12.75" customHeight="1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 ht="12.75" customHeight="1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 ht="12.75" customHeight="1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 ht="12.75" customHeight="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 ht="12.75" customHeight="1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 ht="12.75" customHeight="1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 ht="12.75" customHeight="1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 ht="12.75" customHeight="1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 ht="12.75" customHeight="1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 ht="12.75" customHeight="1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 ht="12.75" customHeight="1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 ht="12.75" customHeight="1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 ht="12.75" customHeight="1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 ht="12.75" customHeight="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 ht="12.75" customHeight="1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 ht="12.75" customHeight="1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 ht="12.75" customHeight="1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 ht="12.75" customHeight="1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 ht="12.75" customHeight="1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 ht="12.75" customHeight="1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 ht="12.75" customHeight="1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 ht="12.75" customHeight="1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 ht="12.75" customHeight="1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 ht="12.75" customHeight="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 ht="12.75" customHeight="1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 ht="12.75" customHeight="1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 ht="12.75" customHeight="1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 ht="12.75" customHeight="1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 ht="12.75" customHeight="1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 ht="12.75" customHeight="1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 ht="12.75" customHeight="1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 ht="12.75" customHeight="1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 ht="12.75" customHeight="1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 ht="12.75" customHeight="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 ht="12.75" customHeight="1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 ht="12.75" customHeight="1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 ht="12.75" customHeight="1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 ht="12.75" customHeight="1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 ht="12.75" customHeight="1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 ht="12.75" customHeight="1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 ht="12.75" customHeight="1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 ht="12.75" customHeight="1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 ht="12.75" customHeight="1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 ht="12.75" customHeight="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 ht="12.75" customHeight="1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 ht="12.75" customHeight="1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 ht="12.75" customHeight="1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 ht="12.75" customHeight="1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 ht="12.75" customHeight="1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 ht="12.75" customHeight="1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 ht="12.75" customHeight="1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 ht="12.75" customHeight="1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 ht="12.75" customHeight="1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 ht="12.75" customHeight="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 ht="12.75" customHeight="1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 ht="12.75" customHeight="1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 ht="12.75" customHeight="1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 ht="12.75" customHeight="1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 ht="12.75" customHeight="1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 ht="12.75" customHeight="1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 ht="12.75" customHeight="1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 ht="12.75" customHeight="1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 ht="12.75" customHeight="1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 ht="12.75" customHeight="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 ht="12.75" customHeight="1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 ht="12.75" customHeight="1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 ht="12.75" customHeight="1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 ht="12.75" customHeight="1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 ht="12.75" customHeight="1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 ht="12.75" customHeight="1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 ht="12.75" customHeight="1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 ht="12.75" customHeight="1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 ht="12.75" customHeight="1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 ht="12.75" customHeight="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 ht="12.75" customHeight="1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 ht="12.75" customHeight="1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 ht="12.75" customHeight="1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 ht="12.75" customHeight="1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 ht="12.75" customHeight="1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 ht="12.75" customHeight="1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 ht="12.75" customHeight="1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 ht="12.75" customHeight="1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 ht="12.75" customHeight="1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</sheetData>
  <mergeCells count="282">
    <mergeCell ref="L69:L70"/>
    <mergeCell ref="M69:M70"/>
    <mergeCell ref="D69:D70"/>
    <mergeCell ref="E69:E70"/>
    <mergeCell ref="F69:F70"/>
    <mergeCell ref="G69:G70"/>
    <mergeCell ref="H69:H70"/>
    <mergeCell ref="I69:I70"/>
    <mergeCell ref="C71:M71"/>
    <mergeCell ref="G63:G64"/>
    <mergeCell ref="H63:H64"/>
    <mergeCell ref="I63:I64"/>
    <mergeCell ref="L63:L64"/>
    <mergeCell ref="M63:M64"/>
    <mergeCell ref="C65:M65"/>
    <mergeCell ref="I57:I58"/>
    <mergeCell ref="C59:M59"/>
    <mergeCell ref="C60:I60"/>
    <mergeCell ref="C61:M61"/>
    <mergeCell ref="C62:M62"/>
    <mergeCell ref="C63:C64"/>
    <mergeCell ref="D63:D64"/>
    <mergeCell ref="H66:H67"/>
    <mergeCell ref="I66:I67"/>
    <mergeCell ref="L66:L67"/>
    <mergeCell ref="M66:M67"/>
    <mergeCell ref="C68:M68"/>
    <mergeCell ref="E63:E64"/>
    <mergeCell ref="F63:F64"/>
    <mergeCell ref="C66:C67"/>
    <mergeCell ref="D66:D67"/>
    <mergeCell ref="E66:E67"/>
    <mergeCell ref="F66:F67"/>
    <mergeCell ref="G66:G67"/>
    <mergeCell ref="C69:C70"/>
    <mergeCell ref="C72:C73"/>
    <mergeCell ref="D72:D73"/>
    <mergeCell ref="E72:E73"/>
    <mergeCell ref="F72:F73"/>
    <mergeCell ref="G72:G73"/>
    <mergeCell ref="H72:H73"/>
    <mergeCell ref="L89:L90"/>
    <mergeCell ref="M89:M90"/>
    <mergeCell ref="D89:D90"/>
    <mergeCell ref="E89:E90"/>
    <mergeCell ref="F89:F90"/>
    <mergeCell ref="G89:G90"/>
    <mergeCell ref="H89:H90"/>
    <mergeCell ref="I89:I90"/>
    <mergeCell ref="C91:M91"/>
    <mergeCell ref="I72:I73"/>
    <mergeCell ref="L72:L73"/>
    <mergeCell ref="M72:M73"/>
    <mergeCell ref="C74:M74"/>
    <mergeCell ref="C75:I75"/>
    <mergeCell ref="C76:M76"/>
    <mergeCell ref="C77:I77"/>
    <mergeCell ref="C78:M78"/>
    <mergeCell ref="C79:M80"/>
    <mergeCell ref="E81:F81"/>
    <mergeCell ref="H81:I81"/>
    <mergeCell ref="J81:K81"/>
    <mergeCell ref="L81:M81"/>
    <mergeCell ref="C82:M82"/>
    <mergeCell ref="L83:L84"/>
    <mergeCell ref="M83:M84"/>
    <mergeCell ref="L86:L87"/>
    <mergeCell ref="M86:M87"/>
    <mergeCell ref="L92:L93"/>
    <mergeCell ref="M92:M93"/>
    <mergeCell ref="D83:D84"/>
    <mergeCell ref="E83:E84"/>
    <mergeCell ref="F83:F84"/>
    <mergeCell ref="G83:G84"/>
    <mergeCell ref="H83:H84"/>
    <mergeCell ref="I83:I84"/>
    <mergeCell ref="C85:M85"/>
    <mergeCell ref="I86:I87"/>
    <mergeCell ref="C88:M88"/>
    <mergeCell ref="C83:C84"/>
    <mergeCell ref="C86:C87"/>
    <mergeCell ref="D86:D87"/>
    <mergeCell ref="E86:E87"/>
    <mergeCell ref="F86:F87"/>
    <mergeCell ref="G86:G87"/>
    <mergeCell ref="H86:H87"/>
    <mergeCell ref="C89:C90"/>
    <mergeCell ref="C92:C93"/>
    <mergeCell ref="D92:D93"/>
    <mergeCell ref="E92:E93"/>
    <mergeCell ref="F92:F93"/>
    <mergeCell ref="G92:G93"/>
    <mergeCell ref="H92:H93"/>
    <mergeCell ref="L19:L20"/>
    <mergeCell ref="M19:M20"/>
    <mergeCell ref="D19:D20"/>
    <mergeCell ref="E19:E20"/>
    <mergeCell ref="F19:F20"/>
    <mergeCell ref="G19:G20"/>
    <mergeCell ref="H19:H20"/>
    <mergeCell ref="I19:I20"/>
    <mergeCell ref="C21:M21"/>
    <mergeCell ref="C1:M3"/>
    <mergeCell ref="C6:M6"/>
    <mergeCell ref="C7:M8"/>
    <mergeCell ref="C9:M10"/>
    <mergeCell ref="E11:F11"/>
    <mergeCell ref="H11:I11"/>
    <mergeCell ref="J11:K11"/>
    <mergeCell ref="H13:H14"/>
    <mergeCell ref="I13:I14"/>
    <mergeCell ref="L13:L14"/>
    <mergeCell ref="M13:M14"/>
    <mergeCell ref="L16:L17"/>
    <mergeCell ref="M16:M17"/>
    <mergeCell ref="L22:L23"/>
    <mergeCell ref="M22:M23"/>
    <mergeCell ref="L11:M11"/>
    <mergeCell ref="C12:M12"/>
    <mergeCell ref="D13:D14"/>
    <mergeCell ref="E13:E14"/>
    <mergeCell ref="F13:F14"/>
    <mergeCell ref="G13:G14"/>
    <mergeCell ref="C15:M15"/>
    <mergeCell ref="I16:I17"/>
    <mergeCell ref="C18:M18"/>
    <mergeCell ref="C13:C14"/>
    <mergeCell ref="C16:C17"/>
    <mergeCell ref="D16:D17"/>
    <mergeCell ref="E16:E17"/>
    <mergeCell ref="F16:F17"/>
    <mergeCell ref="G16:G17"/>
    <mergeCell ref="H16:H17"/>
    <mergeCell ref="C19:C20"/>
    <mergeCell ref="C22:C23"/>
    <mergeCell ref="D22:D23"/>
    <mergeCell ref="E22:E23"/>
    <mergeCell ref="F22:F23"/>
    <mergeCell ref="G22:G23"/>
    <mergeCell ref="H22:H23"/>
    <mergeCell ref="L34:L35"/>
    <mergeCell ref="M34:M35"/>
    <mergeCell ref="D34:D35"/>
    <mergeCell ref="E34:E35"/>
    <mergeCell ref="F34:F35"/>
    <mergeCell ref="G34:G35"/>
    <mergeCell ref="H34:H35"/>
    <mergeCell ref="I34:I35"/>
    <mergeCell ref="C36:M36"/>
    <mergeCell ref="G28:G29"/>
    <mergeCell ref="H28:H29"/>
    <mergeCell ref="I28:I29"/>
    <mergeCell ref="L28:L29"/>
    <mergeCell ref="M28:M29"/>
    <mergeCell ref="C30:M30"/>
    <mergeCell ref="I22:I23"/>
    <mergeCell ref="C24:M24"/>
    <mergeCell ref="C25:I25"/>
    <mergeCell ref="C26:M26"/>
    <mergeCell ref="C27:M27"/>
    <mergeCell ref="C28:C29"/>
    <mergeCell ref="D28:D29"/>
    <mergeCell ref="H31:H32"/>
    <mergeCell ref="I31:I32"/>
    <mergeCell ref="L31:L32"/>
    <mergeCell ref="M31:M32"/>
    <mergeCell ref="C33:M33"/>
    <mergeCell ref="E28:E29"/>
    <mergeCell ref="F28:F29"/>
    <mergeCell ref="C31:C32"/>
    <mergeCell ref="D31:D32"/>
    <mergeCell ref="E31:E32"/>
    <mergeCell ref="F31:F32"/>
    <mergeCell ref="G31:G32"/>
    <mergeCell ref="C34:C35"/>
    <mergeCell ref="C37:C38"/>
    <mergeCell ref="D37:D38"/>
    <mergeCell ref="E37:E38"/>
    <mergeCell ref="F37:F38"/>
    <mergeCell ref="G37:G38"/>
    <mergeCell ref="H37:H38"/>
    <mergeCell ref="L54:L55"/>
    <mergeCell ref="M54:M55"/>
    <mergeCell ref="D54:D55"/>
    <mergeCell ref="E54:E55"/>
    <mergeCell ref="F54:F55"/>
    <mergeCell ref="G54:G55"/>
    <mergeCell ref="H54:H55"/>
    <mergeCell ref="I54:I55"/>
    <mergeCell ref="C56:M56"/>
    <mergeCell ref="I37:I38"/>
    <mergeCell ref="L37:L38"/>
    <mergeCell ref="M37:M38"/>
    <mergeCell ref="C39:M39"/>
    <mergeCell ref="C40:I40"/>
    <mergeCell ref="C41:M41"/>
    <mergeCell ref="C42:I42"/>
    <mergeCell ref="C43:M43"/>
    <mergeCell ref="C44:M45"/>
    <mergeCell ref="E46:F46"/>
    <mergeCell ref="H46:I46"/>
    <mergeCell ref="J46:K46"/>
    <mergeCell ref="L46:M46"/>
    <mergeCell ref="C47:M47"/>
    <mergeCell ref="L48:L49"/>
    <mergeCell ref="M48:M49"/>
    <mergeCell ref="L51:L52"/>
    <mergeCell ref="M51:M52"/>
    <mergeCell ref="L57:L58"/>
    <mergeCell ref="M57:M58"/>
    <mergeCell ref="D48:D49"/>
    <mergeCell ref="E48:E49"/>
    <mergeCell ref="F48:F49"/>
    <mergeCell ref="G48:G49"/>
    <mergeCell ref="H48:H49"/>
    <mergeCell ref="I48:I49"/>
    <mergeCell ref="C50:M50"/>
    <mergeCell ref="I51:I52"/>
    <mergeCell ref="C53:M53"/>
    <mergeCell ref="C48:C49"/>
    <mergeCell ref="C51:C52"/>
    <mergeCell ref="D51:D52"/>
    <mergeCell ref="E51:E52"/>
    <mergeCell ref="F51:F52"/>
    <mergeCell ref="G51:G52"/>
    <mergeCell ref="H51:H52"/>
    <mergeCell ref="C54:C55"/>
    <mergeCell ref="C57:C58"/>
    <mergeCell ref="D57:D58"/>
    <mergeCell ref="E57:E58"/>
    <mergeCell ref="F57:F58"/>
    <mergeCell ref="G57:G58"/>
    <mergeCell ref="H57:H58"/>
    <mergeCell ref="L104:L105"/>
    <mergeCell ref="M104:M105"/>
    <mergeCell ref="D104:D105"/>
    <mergeCell ref="E104:E105"/>
    <mergeCell ref="F104:F105"/>
    <mergeCell ref="G104:G105"/>
    <mergeCell ref="H104:H105"/>
    <mergeCell ref="I104:I105"/>
    <mergeCell ref="C106:M106"/>
    <mergeCell ref="G98:G99"/>
    <mergeCell ref="H98:H99"/>
    <mergeCell ref="I98:I99"/>
    <mergeCell ref="L98:L99"/>
    <mergeCell ref="M98:M99"/>
    <mergeCell ref="C100:M100"/>
    <mergeCell ref="I92:I93"/>
    <mergeCell ref="C94:M94"/>
    <mergeCell ref="C95:I95"/>
    <mergeCell ref="C96:M96"/>
    <mergeCell ref="C97:M97"/>
    <mergeCell ref="C98:C99"/>
    <mergeCell ref="D98:D99"/>
    <mergeCell ref="H101:H102"/>
    <mergeCell ref="I101:I102"/>
    <mergeCell ref="L101:L102"/>
    <mergeCell ref="M101:M102"/>
    <mergeCell ref="C103:M103"/>
    <mergeCell ref="E98:E99"/>
    <mergeCell ref="F98:F99"/>
    <mergeCell ref="C101:C102"/>
    <mergeCell ref="D101:D102"/>
    <mergeCell ref="E101:E102"/>
    <mergeCell ref="F101:F102"/>
    <mergeCell ref="G101:G102"/>
    <mergeCell ref="I107:I108"/>
    <mergeCell ref="L107:L108"/>
    <mergeCell ref="M107:M108"/>
    <mergeCell ref="C109:M109"/>
    <mergeCell ref="C110:I110"/>
    <mergeCell ref="C111:M111"/>
    <mergeCell ref="C112:I112"/>
    <mergeCell ref="C113:M113"/>
    <mergeCell ref="C104:C105"/>
    <mergeCell ref="C107:C108"/>
    <mergeCell ref="D107:D108"/>
    <mergeCell ref="E107:E108"/>
    <mergeCell ref="F107:F108"/>
    <mergeCell ref="G107:G108"/>
    <mergeCell ref="H107:H108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hidden="1" min="1" max="1" width="2.71"/>
    <col customWidth="1" min="2" max="2" width="2.71"/>
    <col customWidth="1" min="3" max="3" width="7.57"/>
    <col customWidth="1" min="4" max="4" width="7.43"/>
    <col customWidth="1" min="5" max="5" width="20.71"/>
    <col customWidth="1" min="6" max="6" width="16.29"/>
    <col customWidth="1" min="7" max="7" width="4.86"/>
    <col customWidth="1" min="8" max="8" width="18.71"/>
    <col customWidth="1" min="9" max="9" width="18.14"/>
    <col customWidth="1" min="10" max="13" width="5.71"/>
    <col customWidth="1" min="14" max="17" width="9.14"/>
    <col customWidth="1" min="18" max="26" width="8.0"/>
  </cols>
  <sheetData>
    <row r="1" ht="12.75" customHeight="1">
      <c r="A1" s="120"/>
      <c r="B1" s="120"/>
      <c r="C1" s="186" t="s">
        <v>192</v>
      </c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 ht="12.75" customHeight="1">
      <c r="A2" s="120"/>
      <c r="B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 ht="12.75" customHeight="1">
      <c r="A3" s="120"/>
      <c r="B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 ht="12.75" customHeight="1">
      <c r="A4" s="120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</row>
    <row r="5" ht="12.75" customHeight="1">
      <c r="A5" s="120"/>
      <c r="B5" s="120"/>
      <c r="C5" s="120"/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</row>
    <row r="6" ht="19.5" customHeight="1">
      <c r="A6" s="120"/>
      <c r="B6" s="120"/>
      <c r="C6" s="125" t="s">
        <v>166</v>
      </c>
      <c r="D6" s="11"/>
      <c r="E6" s="11"/>
      <c r="F6" s="11"/>
      <c r="G6" s="11"/>
      <c r="H6" s="11"/>
      <c r="I6" s="11"/>
      <c r="J6" s="11"/>
      <c r="K6" s="11"/>
      <c r="L6" s="11"/>
      <c r="M6" s="47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</row>
    <row r="7" ht="4.5" customHeight="1">
      <c r="A7" s="120"/>
      <c r="B7" s="120"/>
      <c r="C7" s="187"/>
      <c r="D7" s="127"/>
      <c r="E7" s="127"/>
      <c r="F7" s="127"/>
      <c r="G7" s="127"/>
      <c r="H7" s="127"/>
      <c r="I7" s="127"/>
      <c r="J7" s="127"/>
      <c r="K7" s="127"/>
      <c r="L7" s="127"/>
      <c r="M7" s="188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</row>
    <row r="8" ht="4.5" customHeight="1">
      <c r="A8" s="120"/>
      <c r="B8" s="120"/>
      <c r="C8" s="166"/>
      <c r="D8" s="130"/>
      <c r="E8" s="130"/>
      <c r="F8" s="130"/>
      <c r="G8" s="130"/>
      <c r="H8" s="130"/>
      <c r="I8" s="130"/>
      <c r="J8" s="130"/>
      <c r="K8" s="130"/>
      <c r="L8" s="130"/>
      <c r="M8" s="164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</row>
    <row r="9" ht="12.75" customHeight="1">
      <c r="A9" s="120"/>
      <c r="B9" s="120"/>
      <c r="C9" s="189" t="s">
        <v>194</v>
      </c>
      <c r="D9" s="127"/>
      <c r="E9" s="127"/>
      <c r="F9" s="127"/>
      <c r="G9" s="127"/>
      <c r="H9" s="127"/>
      <c r="I9" s="127"/>
      <c r="J9" s="127"/>
      <c r="K9" s="127"/>
      <c r="L9" s="127"/>
      <c r="M9" s="188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</row>
    <row r="10" ht="12.75" customHeight="1">
      <c r="A10" s="120"/>
      <c r="B10" s="120"/>
      <c r="C10" s="166"/>
      <c r="D10" s="130"/>
      <c r="E10" s="130"/>
      <c r="F10" s="130"/>
      <c r="G10" s="130"/>
      <c r="H10" s="130"/>
      <c r="I10" s="130"/>
      <c r="J10" s="130"/>
      <c r="K10" s="130"/>
      <c r="L10" s="130"/>
      <c r="M10" s="164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</row>
    <row r="11" ht="19.5" customHeight="1">
      <c r="A11" s="120"/>
      <c r="B11" s="120"/>
      <c r="C11" s="134" t="s">
        <v>195</v>
      </c>
      <c r="D11" s="134" t="s">
        <v>196</v>
      </c>
      <c r="E11" s="135" t="s">
        <v>199</v>
      </c>
      <c r="F11" s="47"/>
      <c r="G11" s="134" t="s">
        <v>198</v>
      </c>
      <c r="H11" s="135" t="s">
        <v>225</v>
      </c>
      <c r="I11" s="47"/>
      <c r="J11" s="136" t="s">
        <v>200</v>
      </c>
      <c r="K11" s="47"/>
      <c r="L11" s="136" t="s">
        <v>201</v>
      </c>
      <c r="M11" s="47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</row>
    <row r="12" ht="12.75" customHeight="1">
      <c r="A12" s="120"/>
      <c r="B12" s="120"/>
      <c r="C12" s="190"/>
      <c r="D12" s="11"/>
      <c r="E12" s="11"/>
      <c r="F12" s="11"/>
      <c r="G12" s="11"/>
      <c r="H12" s="11"/>
      <c r="I12" s="11"/>
      <c r="J12" s="11"/>
      <c r="K12" s="11"/>
      <c r="L12" s="11"/>
      <c r="M12" s="47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</row>
    <row r="13" ht="13.5" customHeight="1">
      <c r="A13" s="120"/>
      <c r="B13" s="120"/>
      <c r="C13" s="191" t="s">
        <v>202</v>
      </c>
      <c r="D13" s="138" t="s">
        <v>205</v>
      </c>
      <c r="E13" s="139" t="s">
        <v>104</v>
      </c>
      <c r="F13" s="139" t="s">
        <v>116</v>
      </c>
      <c r="G13" s="140" t="s">
        <v>198</v>
      </c>
      <c r="H13" s="139" t="s">
        <v>107</v>
      </c>
      <c r="I13" s="139" t="s">
        <v>119</v>
      </c>
      <c r="J13" s="192">
        <v>1.0</v>
      </c>
      <c r="K13" s="192">
        <v>6.0</v>
      </c>
      <c r="L13" s="143">
        <f t="shared" ref="L13:M13" si="1">IF(J13+J14=12,2,IF(J13=6,1,IF(J14=6,1,0)))</f>
        <v>0</v>
      </c>
      <c r="M13" s="143">
        <f t="shared" si="1"/>
        <v>2</v>
      </c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</row>
    <row r="14" ht="12.75" customHeight="1">
      <c r="A14" s="120"/>
      <c r="B14" s="120"/>
      <c r="C14" s="71"/>
      <c r="D14" s="71"/>
      <c r="E14" s="71"/>
      <c r="F14" s="71"/>
      <c r="G14" s="71"/>
      <c r="H14" s="71"/>
      <c r="I14" s="71"/>
      <c r="J14" s="192">
        <v>4.0</v>
      </c>
      <c r="K14" s="192">
        <v>6.0</v>
      </c>
      <c r="L14" s="71"/>
      <c r="M14" s="71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</row>
    <row r="15" ht="4.5" customHeight="1">
      <c r="A15" s="120"/>
      <c r="B15" s="120"/>
      <c r="C15" s="193"/>
      <c r="D15" s="11"/>
      <c r="E15" s="11"/>
      <c r="F15" s="11"/>
      <c r="G15" s="11"/>
      <c r="H15" s="11"/>
      <c r="I15" s="11"/>
      <c r="J15" s="11"/>
      <c r="K15" s="11"/>
      <c r="L15" s="11"/>
      <c r="M15" s="47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</row>
    <row r="16" ht="12.75" customHeight="1">
      <c r="A16" s="120"/>
      <c r="B16" s="120"/>
      <c r="C16" s="191" t="s">
        <v>204</v>
      </c>
      <c r="D16" s="138" t="s">
        <v>213</v>
      </c>
      <c r="E16" s="139" t="s">
        <v>122</v>
      </c>
      <c r="F16" s="139" t="s">
        <v>134</v>
      </c>
      <c r="G16" s="140" t="s">
        <v>198</v>
      </c>
      <c r="H16" s="139" t="s">
        <v>131</v>
      </c>
      <c r="I16" s="139" t="s">
        <v>137</v>
      </c>
      <c r="J16" s="192">
        <v>6.0</v>
      </c>
      <c r="K16" s="192">
        <v>2.0</v>
      </c>
      <c r="L16" s="139">
        <v>2.0</v>
      </c>
      <c r="M16" s="139">
        <v>0.0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</row>
    <row r="17" ht="12.75" customHeight="1">
      <c r="A17" s="120"/>
      <c r="B17" s="120"/>
      <c r="C17" s="71"/>
      <c r="D17" s="71"/>
      <c r="E17" s="71"/>
      <c r="F17" s="71"/>
      <c r="G17" s="71"/>
      <c r="H17" s="71"/>
      <c r="I17" s="71"/>
      <c r="J17" s="192">
        <v>7.0</v>
      </c>
      <c r="K17" s="192">
        <v>6.0</v>
      </c>
      <c r="L17" s="71"/>
      <c r="M17" s="71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</row>
    <row r="18" ht="4.5" customHeight="1">
      <c r="A18" s="120"/>
      <c r="B18" s="120"/>
      <c r="C18" s="202" t="s">
        <v>191</v>
      </c>
      <c r="D18" s="11"/>
      <c r="E18" s="11"/>
      <c r="F18" s="11"/>
      <c r="G18" s="11"/>
      <c r="H18" s="11"/>
      <c r="I18" s="11"/>
      <c r="J18" s="11"/>
      <c r="K18" s="11"/>
      <c r="L18" s="11"/>
      <c r="M18" s="47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</row>
    <row r="19" ht="12.75" customHeight="1">
      <c r="A19" s="120"/>
      <c r="B19" s="120"/>
      <c r="C19" s="191" t="s">
        <v>211</v>
      </c>
      <c r="D19" s="138" t="s">
        <v>210</v>
      </c>
      <c r="E19" s="139" t="s">
        <v>69</v>
      </c>
      <c r="F19" s="139" t="s">
        <v>76</v>
      </c>
      <c r="G19" s="140" t="s">
        <v>198</v>
      </c>
      <c r="H19" s="139" t="s">
        <v>255</v>
      </c>
      <c r="I19" s="139" t="s">
        <v>79</v>
      </c>
      <c r="J19" s="192">
        <v>6.0</v>
      </c>
      <c r="K19" s="192">
        <v>2.0</v>
      </c>
      <c r="L19" s="143">
        <f t="shared" ref="L19:M19" si="2">IF(J19+J20=12,2,IF(J19=6,1,IF(J20=6,1,0)))</f>
        <v>2</v>
      </c>
      <c r="M19" s="143">
        <f t="shared" si="2"/>
        <v>0</v>
      </c>
      <c r="N19" s="120"/>
      <c r="O19" s="120"/>
      <c r="P19" s="120"/>
      <c r="Q19" s="120"/>
      <c r="R19" s="120"/>
      <c r="S19" s="120"/>
      <c r="T19" s="120"/>
      <c r="U19" s="120"/>
      <c r="V19" s="120"/>
      <c r="W19" s="120"/>
      <c r="X19" s="120"/>
      <c r="Y19" s="120"/>
      <c r="Z19" s="120"/>
    </row>
    <row r="20" ht="12.75" customHeight="1">
      <c r="A20" s="120"/>
      <c r="B20" s="120"/>
      <c r="C20" s="71"/>
      <c r="D20" s="71"/>
      <c r="E20" s="71"/>
      <c r="F20" s="71"/>
      <c r="G20" s="71"/>
      <c r="H20" s="71"/>
      <c r="I20" s="71"/>
      <c r="J20" s="192">
        <v>6.0</v>
      </c>
      <c r="K20" s="192">
        <v>2.0</v>
      </c>
      <c r="L20" s="71"/>
      <c r="M20" s="71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</row>
    <row r="21" ht="4.5" customHeight="1">
      <c r="A21" s="120"/>
      <c r="B21" s="120"/>
      <c r="C21" s="193"/>
      <c r="D21" s="11"/>
      <c r="E21" s="11"/>
      <c r="F21" s="11"/>
      <c r="G21" s="11"/>
      <c r="H21" s="11"/>
      <c r="I21" s="11"/>
      <c r="J21" s="11"/>
      <c r="K21" s="11"/>
      <c r="L21" s="11"/>
      <c r="M21" s="47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</row>
    <row r="22" ht="12.75" customHeight="1">
      <c r="A22" s="120"/>
      <c r="B22" s="120"/>
      <c r="C22" s="191" t="s">
        <v>202</v>
      </c>
      <c r="D22" s="157" t="s">
        <v>203</v>
      </c>
      <c r="E22" s="139" t="s">
        <v>140</v>
      </c>
      <c r="F22" s="139" t="s">
        <v>190</v>
      </c>
      <c r="G22" s="140" t="s">
        <v>198</v>
      </c>
      <c r="H22" s="139" t="s">
        <v>143</v>
      </c>
      <c r="I22" s="139" t="s">
        <v>226</v>
      </c>
      <c r="J22" s="192">
        <v>6.0</v>
      </c>
      <c r="K22" s="192">
        <v>4.0</v>
      </c>
      <c r="L22" s="143">
        <f t="shared" ref="L22:M22" si="3">IF(J22+J23=12,2,IF(J22=6,1,IF(J23=6,1,0)))</f>
        <v>1</v>
      </c>
      <c r="M22" s="143">
        <f t="shared" si="3"/>
        <v>1</v>
      </c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</row>
    <row r="23" ht="12.75" customHeight="1">
      <c r="A23" s="120"/>
      <c r="B23" s="120"/>
      <c r="C23" s="71"/>
      <c r="D23" s="71"/>
      <c r="E23" s="71"/>
      <c r="F23" s="71"/>
      <c r="G23" s="71"/>
      <c r="H23" s="71"/>
      <c r="I23" s="71"/>
      <c r="J23" s="192">
        <v>4.0</v>
      </c>
      <c r="K23" s="192">
        <v>6.0</v>
      </c>
      <c r="L23" s="71"/>
      <c r="M23" s="71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</row>
    <row r="24" ht="4.5" customHeight="1">
      <c r="A24" s="120"/>
      <c r="B24" s="120"/>
      <c r="C24" s="193"/>
      <c r="D24" s="11"/>
      <c r="E24" s="11"/>
      <c r="F24" s="11"/>
      <c r="G24" s="11"/>
      <c r="H24" s="11"/>
      <c r="I24" s="11"/>
      <c r="J24" s="11"/>
      <c r="K24" s="11"/>
      <c r="L24" s="11"/>
      <c r="M24" s="47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</row>
    <row r="25" ht="12.75" customHeight="1">
      <c r="A25" s="120"/>
      <c r="B25" s="120"/>
      <c r="C25" s="195" t="s">
        <v>256</v>
      </c>
      <c r="D25" s="11"/>
      <c r="E25" s="11"/>
      <c r="F25" s="11"/>
      <c r="G25" s="11"/>
      <c r="H25" s="11"/>
      <c r="I25" s="47"/>
      <c r="J25" s="196">
        <f t="shared" ref="J25:M25" si="4">SUM(J13:J23)</f>
        <v>40</v>
      </c>
      <c r="K25" s="196">
        <f t="shared" si="4"/>
        <v>34</v>
      </c>
      <c r="L25" s="196">
        <f t="shared" si="4"/>
        <v>5</v>
      </c>
      <c r="M25" s="196">
        <f t="shared" si="4"/>
        <v>3</v>
      </c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</row>
    <row r="26" ht="4.5" customHeight="1">
      <c r="A26" s="120"/>
      <c r="B26" s="120"/>
      <c r="C26" s="193"/>
      <c r="D26" s="11"/>
      <c r="E26" s="11"/>
      <c r="F26" s="11"/>
      <c r="G26" s="11"/>
      <c r="H26" s="11"/>
      <c r="I26" s="11"/>
      <c r="J26" s="11"/>
      <c r="K26" s="11"/>
      <c r="L26" s="11"/>
      <c r="M26" s="47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</row>
    <row r="27" ht="12.75" customHeight="1">
      <c r="A27" s="120"/>
      <c r="B27" s="120"/>
      <c r="C27" s="197"/>
      <c r="D27" s="11"/>
      <c r="E27" s="11"/>
      <c r="F27" s="11"/>
      <c r="G27" s="11"/>
      <c r="H27" s="11"/>
      <c r="I27" s="11"/>
      <c r="J27" s="11"/>
      <c r="K27" s="11"/>
      <c r="L27" s="11"/>
      <c r="M27" s="47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</row>
    <row r="28" ht="12.75" customHeight="1">
      <c r="A28" s="120"/>
      <c r="B28" s="120"/>
      <c r="C28" s="191" t="s">
        <v>202</v>
      </c>
      <c r="D28" s="204" t="s">
        <v>207</v>
      </c>
      <c r="E28" s="154" t="s">
        <v>83</v>
      </c>
      <c r="F28" s="154" t="s">
        <v>90</v>
      </c>
      <c r="G28" s="140" t="s">
        <v>198</v>
      </c>
      <c r="H28" s="154" t="s">
        <v>86</v>
      </c>
      <c r="I28" s="154" t="s">
        <v>93</v>
      </c>
      <c r="J28" s="192">
        <v>2.0</v>
      </c>
      <c r="K28" s="192">
        <v>6.0</v>
      </c>
      <c r="L28" s="143">
        <f t="shared" ref="L28:M28" si="5">IF(J28+J29=12,2,IF(J28=6,1,IF(J29=6,1,0)))</f>
        <v>0</v>
      </c>
      <c r="M28" s="143">
        <f t="shared" si="5"/>
        <v>2</v>
      </c>
      <c r="N28" s="120"/>
      <c r="O28" s="120"/>
      <c r="P28" s="120"/>
      <c r="Q28" s="120" t="s">
        <v>227</v>
      </c>
      <c r="R28" s="120"/>
      <c r="S28" s="120"/>
      <c r="T28" s="120"/>
      <c r="U28" s="120"/>
      <c r="V28" s="120"/>
      <c r="W28" s="120"/>
      <c r="X28" s="120"/>
      <c r="Y28" s="120"/>
      <c r="Z28" s="120"/>
    </row>
    <row r="29" ht="12.75" customHeight="1">
      <c r="A29" s="120"/>
      <c r="B29" s="120"/>
      <c r="C29" s="71"/>
      <c r="D29" s="71"/>
      <c r="E29" s="71"/>
      <c r="F29" s="71"/>
      <c r="G29" s="71"/>
      <c r="H29" s="71"/>
      <c r="I29" s="71"/>
      <c r="J29" s="192">
        <v>3.0</v>
      </c>
      <c r="K29" s="192">
        <v>6.0</v>
      </c>
      <c r="L29" s="71"/>
      <c r="M29" s="71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</row>
    <row r="30" ht="4.5" customHeight="1">
      <c r="A30" s="120"/>
      <c r="B30" s="120"/>
      <c r="C30" s="193"/>
      <c r="D30" s="11"/>
      <c r="E30" s="11"/>
      <c r="F30" s="11"/>
      <c r="G30" s="11"/>
      <c r="H30" s="11"/>
      <c r="I30" s="11"/>
      <c r="J30" s="11"/>
      <c r="K30" s="11"/>
      <c r="L30" s="11"/>
      <c r="M30" s="47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</row>
    <row r="31" ht="12.75" customHeight="1">
      <c r="A31" s="124"/>
      <c r="B31" s="120"/>
      <c r="C31" s="191" t="s">
        <v>204</v>
      </c>
      <c r="D31" s="138" t="s">
        <v>212</v>
      </c>
      <c r="E31" s="154" t="s">
        <v>189</v>
      </c>
      <c r="F31" s="154" t="s">
        <v>33</v>
      </c>
      <c r="G31" s="140" t="s">
        <v>198</v>
      </c>
      <c r="H31" s="154" t="s">
        <v>22</v>
      </c>
      <c r="I31" s="154" t="s">
        <v>36</v>
      </c>
      <c r="J31" s="192">
        <v>7.0</v>
      </c>
      <c r="K31" s="192">
        <v>5.0</v>
      </c>
      <c r="L31" s="139">
        <v>1.0</v>
      </c>
      <c r="M31" s="143">
        <f>IF(K31+K32=12,2,IF(K31=6,1,IF(K32=6,1,0)))</f>
        <v>1</v>
      </c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</row>
    <row r="32" ht="12.75" customHeight="1">
      <c r="A32" s="124"/>
      <c r="B32" s="120"/>
      <c r="C32" s="71"/>
      <c r="D32" s="71"/>
      <c r="E32" s="71"/>
      <c r="F32" s="71"/>
      <c r="G32" s="71"/>
      <c r="H32" s="71"/>
      <c r="I32" s="71"/>
      <c r="J32" s="192">
        <v>3.0</v>
      </c>
      <c r="K32" s="192">
        <v>6.0</v>
      </c>
      <c r="L32" s="71"/>
      <c r="M32" s="71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</row>
    <row r="33" ht="4.5" customHeight="1">
      <c r="A33" s="120"/>
      <c r="B33" s="120"/>
      <c r="C33" s="193"/>
      <c r="D33" s="11"/>
      <c r="E33" s="11"/>
      <c r="F33" s="11"/>
      <c r="G33" s="11"/>
      <c r="H33" s="11"/>
      <c r="I33" s="11"/>
      <c r="J33" s="11"/>
      <c r="K33" s="11"/>
      <c r="L33" s="11"/>
      <c r="M33" s="47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</row>
    <row r="34" ht="12.75" customHeight="1">
      <c r="A34" s="120"/>
      <c r="B34" s="120"/>
      <c r="C34" s="191" t="s">
        <v>211</v>
      </c>
      <c r="D34" s="138" t="s">
        <v>209</v>
      </c>
      <c r="E34" s="154" t="s">
        <v>40</v>
      </c>
      <c r="F34" s="154" t="s">
        <v>55</v>
      </c>
      <c r="G34" s="140" t="s">
        <v>198</v>
      </c>
      <c r="H34" s="154" t="s">
        <v>43</v>
      </c>
      <c r="I34" s="154" t="s">
        <v>58</v>
      </c>
      <c r="J34" s="192">
        <v>3.0</v>
      </c>
      <c r="K34" s="192">
        <v>6.0</v>
      </c>
      <c r="L34" s="143">
        <f>IF(J34+J35=12,2,IF(J34=6,1,IF(J35=6,1,0)))</f>
        <v>0</v>
      </c>
      <c r="M34" s="139">
        <v>2.0</v>
      </c>
      <c r="N34" s="120"/>
      <c r="O34" s="120"/>
      <c r="P34" s="120"/>
      <c r="Q34" s="120" t="s">
        <v>227</v>
      </c>
      <c r="R34" s="120"/>
      <c r="S34" s="120"/>
      <c r="T34" s="120"/>
      <c r="U34" s="120"/>
      <c r="V34" s="120"/>
      <c r="W34" s="120"/>
      <c r="X34" s="120"/>
      <c r="Y34" s="120"/>
      <c r="Z34" s="120"/>
    </row>
    <row r="35" ht="12.75" customHeight="1">
      <c r="A35" s="120"/>
      <c r="B35" s="120"/>
      <c r="C35" s="71"/>
      <c r="D35" s="71"/>
      <c r="E35" s="71"/>
      <c r="F35" s="71"/>
      <c r="G35" s="71"/>
      <c r="H35" s="71"/>
      <c r="I35" s="71"/>
      <c r="J35" s="192">
        <v>5.0</v>
      </c>
      <c r="K35" s="192">
        <v>7.0</v>
      </c>
      <c r="L35" s="71"/>
      <c r="M35" s="71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</row>
    <row r="36" ht="4.5" customHeight="1">
      <c r="A36" s="120"/>
      <c r="B36" s="120"/>
      <c r="C36" s="193"/>
      <c r="D36" s="11"/>
      <c r="E36" s="11"/>
      <c r="F36" s="11"/>
      <c r="G36" s="11"/>
      <c r="H36" s="11"/>
      <c r="I36" s="11"/>
      <c r="J36" s="11"/>
      <c r="K36" s="11"/>
      <c r="L36" s="11"/>
      <c r="M36" s="47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</row>
    <row r="37" ht="12.75" customHeight="1">
      <c r="A37" s="120"/>
      <c r="B37" s="120"/>
      <c r="C37" s="191" t="s">
        <v>257</v>
      </c>
      <c r="D37" s="175"/>
      <c r="E37" s="143"/>
      <c r="F37" s="143"/>
      <c r="G37" s="140" t="s">
        <v>198</v>
      </c>
      <c r="H37" s="143"/>
      <c r="I37" s="143"/>
      <c r="J37" s="196"/>
      <c r="K37" s="196"/>
      <c r="L37" s="143">
        <f>IF(J37+J38=12,2,IF(J37=6,1,IF(J38=6,1,0)))</f>
        <v>0</v>
      </c>
      <c r="M37" s="143">
        <v>0.0</v>
      </c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 ht="12.75" customHeight="1">
      <c r="A38" s="120"/>
      <c r="B38" s="120"/>
      <c r="C38" s="71"/>
      <c r="D38" s="71"/>
      <c r="E38" s="71"/>
      <c r="F38" s="71"/>
      <c r="G38" s="71"/>
      <c r="H38" s="71"/>
      <c r="I38" s="71"/>
      <c r="J38" s="196"/>
      <c r="K38" s="196"/>
      <c r="L38" s="71"/>
      <c r="M38" s="71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 ht="4.5" customHeight="1">
      <c r="A39" s="120"/>
      <c r="B39" s="120"/>
      <c r="C39" s="193"/>
      <c r="D39" s="11"/>
      <c r="E39" s="11"/>
      <c r="F39" s="11"/>
      <c r="G39" s="11"/>
      <c r="H39" s="11"/>
      <c r="I39" s="11"/>
      <c r="J39" s="11"/>
      <c r="K39" s="11"/>
      <c r="L39" s="11"/>
      <c r="M39" s="47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 ht="12.75" customHeight="1">
      <c r="A40" s="120"/>
      <c r="B40" s="120"/>
      <c r="C40" s="195" t="s">
        <v>258</v>
      </c>
      <c r="D40" s="11"/>
      <c r="E40" s="11"/>
      <c r="F40" s="11"/>
      <c r="G40" s="11"/>
      <c r="H40" s="11"/>
      <c r="I40" s="47"/>
      <c r="J40" s="196">
        <f t="shared" ref="J40:M40" si="6">SUM(J28:J38)</f>
        <v>23</v>
      </c>
      <c r="K40" s="196">
        <f t="shared" si="6"/>
        <v>36</v>
      </c>
      <c r="L40" s="196">
        <f t="shared" si="6"/>
        <v>1</v>
      </c>
      <c r="M40" s="196">
        <f t="shared" si="6"/>
        <v>5</v>
      </c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 ht="4.5" customHeight="1">
      <c r="A41" s="120"/>
      <c r="B41" s="120"/>
      <c r="C41" s="193"/>
      <c r="D41" s="11"/>
      <c r="E41" s="11"/>
      <c r="F41" s="11"/>
      <c r="G41" s="11"/>
      <c r="H41" s="11"/>
      <c r="I41" s="11"/>
      <c r="J41" s="11"/>
      <c r="K41" s="11"/>
      <c r="L41" s="11"/>
      <c r="M41" s="47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 ht="12.75" customHeight="1">
      <c r="A42" s="120"/>
      <c r="B42" s="120"/>
      <c r="C42" s="197" t="s">
        <v>259</v>
      </c>
      <c r="D42" s="11"/>
      <c r="E42" s="11"/>
      <c r="F42" s="11"/>
      <c r="G42" s="11"/>
      <c r="H42" s="11"/>
      <c r="I42" s="47"/>
      <c r="J42" s="198">
        <f t="shared" ref="J42:M42" si="7">J40+J25</f>
        <v>63</v>
      </c>
      <c r="K42" s="198">
        <f t="shared" si="7"/>
        <v>70</v>
      </c>
      <c r="L42" s="198">
        <f t="shared" si="7"/>
        <v>6</v>
      </c>
      <c r="M42" s="198">
        <f t="shared" si="7"/>
        <v>8</v>
      </c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 ht="6.75" customHeight="1">
      <c r="A43" s="120"/>
      <c r="B43" s="120"/>
      <c r="C43" s="193"/>
      <c r="D43" s="11"/>
      <c r="E43" s="11"/>
      <c r="F43" s="11"/>
      <c r="G43" s="11"/>
      <c r="H43" s="11"/>
      <c r="I43" s="11"/>
      <c r="J43" s="11"/>
      <c r="K43" s="11"/>
      <c r="L43" s="11"/>
      <c r="M43" s="47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 ht="7.5" customHeight="1">
      <c r="A44" s="120"/>
      <c r="B44" s="120"/>
      <c r="C44" s="189" t="s">
        <v>216</v>
      </c>
      <c r="D44" s="127"/>
      <c r="E44" s="127"/>
      <c r="F44" s="127"/>
      <c r="G44" s="127"/>
      <c r="H44" s="127"/>
      <c r="I44" s="127"/>
      <c r="J44" s="127"/>
      <c r="K44" s="127"/>
      <c r="L44" s="127"/>
      <c r="M44" s="188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 ht="12.75" customHeight="1">
      <c r="A45" s="120"/>
      <c r="B45" s="120"/>
      <c r="C45" s="166"/>
      <c r="D45" s="130"/>
      <c r="E45" s="130"/>
      <c r="F45" s="130"/>
      <c r="G45" s="130"/>
      <c r="H45" s="130"/>
      <c r="I45" s="130"/>
      <c r="J45" s="130"/>
      <c r="K45" s="130"/>
      <c r="L45" s="130"/>
      <c r="M45" s="164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 ht="26.25" customHeight="1">
      <c r="A46" s="120"/>
      <c r="B46" s="120"/>
      <c r="C46" s="134" t="s">
        <v>195</v>
      </c>
      <c r="D46" s="134" t="s">
        <v>196</v>
      </c>
      <c r="E46" s="135" t="s">
        <v>228</v>
      </c>
      <c r="F46" s="47"/>
      <c r="G46" s="134" t="s">
        <v>198</v>
      </c>
      <c r="H46" s="135" t="s">
        <v>218</v>
      </c>
      <c r="I46" s="47"/>
      <c r="J46" s="136" t="s">
        <v>200</v>
      </c>
      <c r="K46" s="47"/>
      <c r="L46" s="136" t="s">
        <v>201</v>
      </c>
      <c r="M46" s="47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 ht="12.75" customHeight="1">
      <c r="A47" s="120"/>
      <c r="B47" s="120"/>
      <c r="C47" s="190"/>
      <c r="D47" s="11"/>
      <c r="E47" s="11"/>
      <c r="F47" s="11"/>
      <c r="G47" s="11"/>
      <c r="H47" s="11"/>
      <c r="I47" s="11"/>
      <c r="J47" s="11"/>
      <c r="K47" s="11"/>
      <c r="L47" s="11"/>
      <c r="M47" s="47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 ht="12.75" customHeight="1">
      <c r="A48" s="120"/>
      <c r="B48" s="120"/>
      <c r="C48" s="191" t="s">
        <v>202</v>
      </c>
      <c r="D48" s="138" t="s">
        <v>205</v>
      </c>
      <c r="E48" s="154" t="s">
        <v>111</v>
      </c>
      <c r="F48" s="154" t="s">
        <v>117</v>
      </c>
      <c r="G48" s="140" t="s">
        <v>198</v>
      </c>
      <c r="H48" s="154" t="s">
        <v>106</v>
      </c>
      <c r="I48" s="154" t="s">
        <v>118</v>
      </c>
      <c r="J48" s="192">
        <v>1.0</v>
      </c>
      <c r="K48" s="192">
        <v>6.0</v>
      </c>
      <c r="L48" s="143">
        <f t="shared" ref="L48:M48" si="8">IF(J48+J49=12,2,IF(J48=6,1,IF(J49=6,1,0)))</f>
        <v>1</v>
      </c>
      <c r="M48" s="143">
        <f t="shared" si="8"/>
        <v>1</v>
      </c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 ht="12.75" customHeight="1">
      <c r="A49" s="120"/>
      <c r="B49" s="120"/>
      <c r="C49" s="71"/>
      <c r="D49" s="71"/>
      <c r="E49" s="71"/>
      <c r="F49" s="71"/>
      <c r="G49" s="71"/>
      <c r="H49" s="71"/>
      <c r="I49" s="71"/>
      <c r="J49" s="192">
        <v>6.0</v>
      </c>
      <c r="K49" s="192">
        <v>4.0</v>
      </c>
      <c r="L49" s="71"/>
      <c r="M49" s="71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 ht="4.5" customHeight="1">
      <c r="A50" s="120"/>
      <c r="B50" s="120"/>
      <c r="C50" s="193"/>
      <c r="D50" s="11"/>
      <c r="E50" s="11"/>
      <c r="F50" s="11"/>
      <c r="G50" s="11"/>
      <c r="H50" s="11"/>
      <c r="I50" s="11"/>
      <c r="J50" s="11"/>
      <c r="K50" s="11"/>
      <c r="L50" s="11"/>
      <c r="M50" s="47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 ht="12.75" customHeight="1">
      <c r="A51" s="120"/>
      <c r="B51" s="120"/>
      <c r="C51" s="191" t="s">
        <v>204</v>
      </c>
      <c r="D51" s="138" t="s">
        <v>207</v>
      </c>
      <c r="E51" s="154" t="s">
        <v>84</v>
      </c>
      <c r="F51" s="154" t="s">
        <v>91</v>
      </c>
      <c r="G51" s="140" t="s">
        <v>198</v>
      </c>
      <c r="H51" s="154" t="s">
        <v>92</v>
      </c>
      <c r="I51" s="154" t="s">
        <v>99</v>
      </c>
      <c r="J51" s="192">
        <v>6.0</v>
      </c>
      <c r="K51" s="192">
        <v>0.0</v>
      </c>
      <c r="L51" s="143">
        <f t="shared" ref="L51:M51" si="9">IF(J51+J52=12,2,IF(J51=6,1,IF(J52=6,1,0)))</f>
        <v>2</v>
      </c>
      <c r="M51" s="143">
        <f t="shared" si="9"/>
        <v>0</v>
      </c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 ht="12.75" customHeight="1">
      <c r="A52" s="120"/>
      <c r="B52" s="120"/>
      <c r="C52" s="71"/>
      <c r="D52" s="71"/>
      <c r="E52" s="71"/>
      <c r="F52" s="71"/>
      <c r="G52" s="71"/>
      <c r="H52" s="71"/>
      <c r="I52" s="71"/>
      <c r="J52" s="192">
        <v>6.0</v>
      </c>
      <c r="K52" s="192">
        <v>3.0</v>
      </c>
      <c r="L52" s="71"/>
      <c r="M52" s="71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 ht="4.5" customHeight="1">
      <c r="A53" s="120"/>
      <c r="B53" s="120"/>
      <c r="C53" s="193"/>
      <c r="D53" s="11"/>
      <c r="E53" s="11"/>
      <c r="F53" s="11"/>
      <c r="G53" s="11"/>
      <c r="H53" s="11"/>
      <c r="I53" s="11"/>
      <c r="J53" s="11"/>
      <c r="K53" s="11"/>
      <c r="L53" s="11"/>
      <c r="M53" s="47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 ht="12.75" customHeight="1">
      <c r="A54" s="120"/>
      <c r="B54" s="120"/>
      <c r="C54" s="191" t="s">
        <v>211</v>
      </c>
      <c r="D54" s="138" t="s">
        <v>209</v>
      </c>
      <c r="E54" s="154" t="s">
        <v>56</v>
      </c>
      <c r="F54" s="154" t="s">
        <v>260</v>
      </c>
      <c r="G54" s="140" t="s">
        <v>198</v>
      </c>
      <c r="H54" s="154" t="s">
        <v>50</v>
      </c>
      <c r="I54" s="154" t="s">
        <v>57</v>
      </c>
      <c r="J54" s="192">
        <v>6.0</v>
      </c>
      <c r="K54" s="192">
        <v>3.0</v>
      </c>
      <c r="L54" s="143">
        <f t="shared" ref="L54:M54" si="10">IF(J54+J55=12,2,IF(J54=6,1,IF(J55=6,1,0)))</f>
        <v>2</v>
      </c>
      <c r="M54" s="143">
        <f t="shared" si="10"/>
        <v>0</v>
      </c>
      <c r="N54" s="120"/>
      <c r="O54" s="120" t="s">
        <v>227</v>
      </c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 ht="12.75" customHeight="1">
      <c r="A55" s="120"/>
      <c r="B55" s="120"/>
      <c r="C55" s="71"/>
      <c r="D55" s="71"/>
      <c r="E55" s="71"/>
      <c r="F55" s="71"/>
      <c r="G55" s="71"/>
      <c r="H55" s="71"/>
      <c r="I55" s="71"/>
      <c r="J55" s="192">
        <v>6.0</v>
      </c>
      <c r="K55" s="192">
        <v>4.0</v>
      </c>
      <c r="L55" s="71"/>
      <c r="M55" s="71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 ht="4.5" customHeight="1">
      <c r="A56" s="120"/>
      <c r="B56" s="120"/>
      <c r="C56" s="193"/>
      <c r="D56" s="11"/>
      <c r="E56" s="11"/>
      <c r="F56" s="11"/>
      <c r="G56" s="11"/>
      <c r="H56" s="11"/>
      <c r="I56" s="11"/>
      <c r="J56" s="11"/>
      <c r="K56" s="11"/>
      <c r="L56" s="11"/>
      <c r="M56" s="47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 ht="12.75" customHeight="1">
      <c r="A57" s="120"/>
      <c r="B57" s="120"/>
      <c r="C57" s="191" t="s">
        <v>204</v>
      </c>
      <c r="D57" s="175"/>
      <c r="E57" s="176"/>
      <c r="F57" s="176"/>
      <c r="G57" s="140" t="s">
        <v>198</v>
      </c>
      <c r="H57" s="176"/>
      <c r="I57" s="176"/>
      <c r="J57" s="196"/>
      <c r="K57" s="196"/>
      <c r="L57" s="143">
        <f t="shared" ref="L57:M57" si="11">IF(J57+J58=12,2,IF(J57=6,1,IF(J58=6,1,0)))</f>
        <v>0</v>
      </c>
      <c r="M57" s="143">
        <f t="shared" si="11"/>
        <v>0</v>
      </c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 ht="12.75" customHeight="1">
      <c r="A58" s="120"/>
      <c r="B58" s="120"/>
      <c r="C58" s="71"/>
      <c r="D58" s="71"/>
      <c r="E58" s="71"/>
      <c r="F58" s="71"/>
      <c r="G58" s="71"/>
      <c r="H58" s="71"/>
      <c r="I58" s="71"/>
      <c r="J58" s="196"/>
      <c r="K58" s="196"/>
      <c r="L58" s="71"/>
      <c r="M58" s="71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 ht="4.5" customHeight="1">
      <c r="A59" s="120"/>
      <c r="B59" s="120"/>
      <c r="C59" s="193"/>
      <c r="D59" s="11"/>
      <c r="E59" s="11"/>
      <c r="F59" s="11"/>
      <c r="G59" s="11"/>
      <c r="H59" s="11"/>
      <c r="I59" s="11"/>
      <c r="J59" s="11"/>
      <c r="K59" s="11"/>
      <c r="L59" s="11"/>
      <c r="M59" s="47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 ht="12.75" customHeight="1">
      <c r="A60" s="120"/>
      <c r="B60" s="120"/>
      <c r="C60" s="195" t="s">
        <v>256</v>
      </c>
      <c r="D60" s="11"/>
      <c r="E60" s="11"/>
      <c r="F60" s="11"/>
      <c r="G60" s="11"/>
      <c r="H60" s="11"/>
      <c r="I60" s="47"/>
      <c r="J60" s="196">
        <f t="shared" ref="J60:M60" si="12">SUM(J48:J58)</f>
        <v>31</v>
      </c>
      <c r="K60" s="196">
        <f t="shared" si="12"/>
        <v>20</v>
      </c>
      <c r="L60" s="196">
        <f t="shared" si="12"/>
        <v>5</v>
      </c>
      <c r="M60" s="196">
        <f t="shared" si="12"/>
        <v>1</v>
      </c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 ht="4.5" customHeight="1">
      <c r="A61" s="120"/>
      <c r="B61" s="120"/>
      <c r="C61" s="193"/>
      <c r="D61" s="11"/>
      <c r="E61" s="11"/>
      <c r="F61" s="11"/>
      <c r="G61" s="11"/>
      <c r="H61" s="11"/>
      <c r="I61" s="11"/>
      <c r="J61" s="11"/>
      <c r="K61" s="11"/>
      <c r="L61" s="11"/>
      <c r="M61" s="47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 ht="12.75" customHeight="1">
      <c r="A62" s="120"/>
      <c r="B62" s="120"/>
      <c r="C62" s="197"/>
      <c r="D62" s="11"/>
      <c r="E62" s="11"/>
      <c r="F62" s="11"/>
      <c r="G62" s="11"/>
      <c r="H62" s="11"/>
      <c r="I62" s="11"/>
      <c r="J62" s="11"/>
      <c r="K62" s="11"/>
      <c r="L62" s="11"/>
      <c r="M62" s="47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 ht="12.75" customHeight="1">
      <c r="A63" s="120"/>
      <c r="B63" s="120"/>
      <c r="C63" s="191" t="s">
        <v>202</v>
      </c>
      <c r="D63" s="138" t="s">
        <v>210</v>
      </c>
      <c r="E63" s="154" t="s">
        <v>63</v>
      </c>
      <c r="F63" s="154" t="s">
        <v>70</v>
      </c>
      <c r="G63" s="140" t="s">
        <v>198</v>
      </c>
      <c r="H63" s="154" t="s">
        <v>64</v>
      </c>
      <c r="I63" s="154" t="s">
        <v>237</v>
      </c>
      <c r="J63" s="192">
        <v>6.0</v>
      </c>
      <c r="K63" s="192">
        <v>4.0</v>
      </c>
      <c r="L63" s="143">
        <f t="shared" ref="L63:M63" si="13">IF(J63+J64=12,2,IF(J63=6,1,IF(J64=6,1,0)))</f>
        <v>1</v>
      </c>
      <c r="M63" s="143">
        <f t="shared" si="13"/>
        <v>1</v>
      </c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 ht="12.75" customHeight="1">
      <c r="A64" s="120"/>
      <c r="B64" s="120"/>
      <c r="C64" s="71"/>
      <c r="D64" s="71"/>
      <c r="E64" s="71"/>
      <c r="F64" s="71"/>
      <c r="G64" s="71"/>
      <c r="H64" s="71"/>
      <c r="I64" s="71"/>
      <c r="J64" s="192">
        <v>4.0</v>
      </c>
      <c r="K64" s="192">
        <v>6.0</v>
      </c>
      <c r="L64" s="71"/>
      <c r="M64" s="71"/>
      <c r="N64" s="120"/>
      <c r="O64" s="120" t="s">
        <v>227</v>
      </c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 ht="4.5" customHeight="1">
      <c r="A65" s="120"/>
      <c r="B65" s="120"/>
      <c r="C65" s="193"/>
      <c r="D65" s="11"/>
      <c r="E65" s="11"/>
      <c r="F65" s="11"/>
      <c r="G65" s="11"/>
      <c r="H65" s="11"/>
      <c r="I65" s="11"/>
      <c r="J65" s="11"/>
      <c r="K65" s="11"/>
      <c r="L65" s="11"/>
      <c r="M65" s="47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 ht="12.75" customHeight="1">
      <c r="A66" s="120"/>
      <c r="B66" s="120"/>
      <c r="C66" s="191" t="s">
        <v>204</v>
      </c>
      <c r="D66" s="138" t="s">
        <v>212</v>
      </c>
      <c r="E66" s="154" t="s">
        <v>27</v>
      </c>
      <c r="F66" s="154" t="s">
        <v>34</v>
      </c>
      <c r="G66" s="140" t="s">
        <v>198</v>
      </c>
      <c r="H66" s="154" t="s">
        <v>28</v>
      </c>
      <c r="I66" s="154" t="s">
        <v>35</v>
      </c>
      <c r="J66" s="192">
        <v>3.0</v>
      </c>
      <c r="K66" s="192">
        <v>6.0</v>
      </c>
      <c r="L66" s="143">
        <f t="shared" ref="L66:M66" si="14">IF(J66+J67=12,2,IF(J66=6,1,IF(J67=6,1,0)))</f>
        <v>0</v>
      </c>
      <c r="M66" s="143">
        <f t="shared" si="14"/>
        <v>2</v>
      </c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 ht="12.75" customHeight="1">
      <c r="A67" s="120"/>
      <c r="B67" s="120"/>
      <c r="C67" s="71"/>
      <c r="D67" s="71"/>
      <c r="E67" s="71"/>
      <c r="F67" s="71"/>
      <c r="G67" s="71"/>
      <c r="H67" s="71"/>
      <c r="I67" s="71"/>
      <c r="J67" s="192">
        <v>0.0</v>
      </c>
      <c r="K67" s="192">
        <v>6.0</v>
      </c>
      <c r="L67" s="71"/>
      <c r="M67" s="71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 ht="4.5" customHeight="1">
      <c r="A68" s="120"/>
      <c r="B68" s="120"/>
      <c r="C68" s="193"/>
      <c r="D68" s="11"/>
      <c r="E68" s="11"/>
      <c r="F68" s="11"/>
      <c r="G68" s="11"/>
      <c r="H68" s="11"/>
      <c r="I68" s="11"/>
      <c r="J68" s="11"/>
      <c r="K68" s="11"/>
      <c r="L68" s="11"/>
      <c r="M68" s="47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 ht="12.75" customHeight="1">
      <c r="A69" s="120"/>
      <c r="B69" s="120"/>
      <c r="C69" s="191" t="s">
        <v>211</v>
      </c>
      <c r="D69" s="138" t="s">
        <v>213</v>
      </c>
      <c r="E69" s="154" t="s">
        <v>129</v>
      </c>
      <c r="F69" s="154" t="s">
        <v>135</v>
      </c>
      <c r="G69" s="140" t="s">
        <v>198</v>
      </c>
      <c r="H69" s="154" t="s">
        <v>130</v>
      </c>
      <c r="I69" s="154" t="s">
        <v>136</v>
      </c>
      <c r="J69" s="192">
        <v>6.0</v>
      </c>
      <c r="K69" s="192">
        <v>3.0</v>
      </c>
      <c r="L69" s="143">
        <f t="shared" ref="L69:M69" si="15">IF(J69+J70=12,2,IF(J69=6,1,IF(J70=6,1,0)))</f>
        <v>1</v>
      </c>
      <c r="M69" s="143">
        <f t="shared" si="15"/>
        <v>1</v>
      </c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 ht="12.75" customHeight="1">
      <c r="A70" s="120"/>
      <c r="B70" s="120"/>
      <c r="C70" s="71"/>
      <c r="D70" s="71"/>
      <c r="E70" s="71"/>
      <c r="F70" s="71"/>
      <c r="G70" s="71"/>
      <c r="H70" s="71"/>
      <c r="I70" s="71"/>
      <c r="J70" s="192">
        <v>1.0</v>
      </c>
      <c r="K70" s="192">
        <v>6.0</v>
      </c>
      <c r="L70" s="71"/>
      <c r="M70" s="71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 ht="4.5" customHeight="1">
      <c r="A71" s="120"/>
      <c r="B71" s="120"/>
      <c r="C71" s="193"/>
      <c r="D71" s="11"/>
      <c r="E71" s="11"/>
      <c r="F71" s="11"/>
      <c r="G71" s="11"/>
      <c r="H71" s="11"/>
      <c r="I71" s="11"/>
      <c r="J71" s="11"/>
      <c r="K71" s="11"/>
      <c r="L71" s="11"/>
      <c r="M71" s="47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 ht="12.75" customHeight="1">
      <c r="A72" s="120"/>
      <c r="B72" s="120"/>
      <c r="C72" s="191" t="s">
        <v>236</v>
      </c>
      <c r="D72" s="157" t="s">
        <v>203</v>
      </c>
      <c r="E72" s="154" t="s">
        <v>141</v>
      </c>
      <c r="F72" s="154" t="s">
        <v>153</v>
      </c>
      <c r="G72" s="140" t="s">
        <v>198</v>
      </c>
      <c r="H72" s="154" t="s">
        <v>142</v>
      </c>
      <c r="I72" s="154" t="s">
        <v>154</v>
      </c>
      <c r="J72" s="192">
        <v>3.0</v>
      </c>
      <c r="K72" s="192">
        <v>6.0</v>
      </c>
      <c r="L72" s="143">
        <f>IF(J72+J73=12,2,IF(J72=6,1,IF(J73=6,1,0)))</f>
        <v>0</v>
      </c>
      <c r="M72" s="139">
        <v>2.0</v>
      </c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 ht="12.75" customHeight="1">
      <c r="A73" s="120"/>
      <c r="B73" s="120"/>
      <c r="C73" s="71"/>
      <c r="D73" s="71"/>
      <c r="E73" s="71"/>
      <c r="F73" s="71"/>
      <c r="G73" s="71"/>
      <c r="H73" s="71"/>
      <c r="I73" s="71"/>
      <c r="J73" s="192">
        <v>5.0</v>
      </c>
      <c r="K73" s="192">
        <v>7.0</v>
      </c>
      <c r="L73" s="71"/>
      <c r="M73" s="71"/>
      <c r="N73" s="120"/>
      <c r="O73" s="120"/>
      <c r="P73" s="120"/>
      <c r="Q73" s="120" t="s">
        <v>227</v>
      </c>
      <c r="R73" s="120"/>
      <c r="S73" s="120"/>
      <c r="T73" s="120"/>
      <c r="U73" s="120"/>
      <c r="V73" s="120"/>
      <c r="W73" s="120"/>
      <c r="X73" s="120"/>
      <c r="Y73" s="120"/>
      <c r="Z73" s="120"/>
    </row>
    <row r="74" ht="4.5" customHeight="1">
      <c r="A74" s="120"/>
      <c r="B74" s="120"/>
      <c r="C74" s="193"/>
      <c r="D74" s="11"/>
      <c r="E74" s="11"/>
      <c r="F74" s="11"/>
      <c r="G74" s="11"/>
      <c r="H74" s="11"/>
      <c r="I74" s="11"/>
      <c r="J74" s="11"/>
      <c r="K74" s="11"/>
      <c r="L74" s="11"/>
      <c r="M74" s="47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 ht="12.75" customHeight="1">
      <c r="A75" s="120"/>
      <c r="B75" s="120"/>
      <c r="C75" s="195" t="s">
        <v>258</v>
      </c>
      <c r="D75" s="11"/>
      <c r="E75" s="11"/>
      <c r="F75" s="11"/>
      <c r="G75" s="11"/>
      <c r="H75" s="11"/>
      <c r="I75" s="47"/>
      <c r="J75" s="196">
        <f t="shared" ref="J75:M75" si="16">SUM(J63:J73)</f>
        <v>28</v>
      </c>
      <c r="K75" s="196">
        <f t="shared" si="16"/>
        <v>44</v>
      </c>
      <c r="L75" s="196">
        <f t="shared" si="16"/>
        <v>2</v>
      </c>
      <c r="M75" s="196">
        <f t="shared" si="16"/>
        <v>6</v>
      </c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 ht="4.5" customHeight="1">
      <c r="A76" s="120"/>
      <c r="B76" s="120"/>
      <c r="C76" s="193"/>
      <c r="D76" s="11"/>
      <c r="E76" s="11"/>
      <c r="F76" s="11"/>
      <c r="G76" s="11"/>
      <c r="H76" s="11"/>
      <c r="I76" s="11"/>
      <c r="J76" s="11"/>
      <c r="K76" s="11"/>
      <c r="L76" s="11"/>
      <c r="M76" s="47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 ht="12.75" customHeight="1">
      <c r="A77" s="120"/>
      <c r="B77" s="120"/>
      <c r="C77" s="197" t="s">
        <v>259</v>
      </c>
      <c r="D77" s="11"/>
      <c r="E77" s="11"/>
      <c r="F77" s="11"/>
      <c r="G77" s="11"/>
      <c r="H77" s="11"/>
      <c r="I77" s="47"/>
      <c r="J77" s="198">
        <f t="shared" ref="J77:M77" si="17">J75+J60</f>
        <v>59</v>
      </c>
      <c r="K77" s="198">
        <f t="shared" si="17"/>
        <v>64</v>
      </c>
      <c r="L77" s="198">
        <f t="shared" si="17"/>
        <v>7</v>
      </c>
      <c r="M77" s="198">
        <f t="shared" si="17"/>
        <v>7</v>
      </c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 ht="6.75" customHeight="1">
      <c r="A78" s="120"/>
      <c r="B78" s="120"/>
      <c r="C78" s="193"/>
      <c r="D78" s="11"/>
      <c r="E78" s="11"/>
      <c r="F78" s="11"/>
      <c r="G78" s="11"/>
      <c r="H78" s="11"/>
      <c r="I78" s="11"/>
      <c r="J78" s="11"/>
      <c r="K78" s="11"/>
      <c r="L78" s="11"/>
      <c r="M78" s="47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 ht="12.75" customHeight="1">
      <c r="A79" s="120"/>
      <c r="B79" s="120"/>
      <c r="C79" s="189" t="s">
        <v>224</v>
      </c>
      <c r="D79" s="127"/>
      <c r="E79" s="127"/>
      <c r="F79" s="127"/>
      <c r="G79" s="127"/>
      <c r="H79" s="127"/>
      <c r="I79" s="127"/>
      <c r="J79" s="127"/>
      <c r="K79" s="127"/>
      <c r="L79" s="127"/>
      <c r="M79" s="188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 ht="12.75" customHeight="1">
      <c r="A80" s="120"/>
      <c r="B80" s="120"/>
      <c r="C80" s="166"/>
      <c r="D80" s="130"/>
      <c r="E80" s="130"/>
      <c r="F80" s="130"/>
      <c r="G80" s="130"/>
      <c r="H80" s="130"/>
      <c r="I80" s="130"/>
      <c r="J80" s="130"/>
      <c r="K80" s="130"/>
      <c r="L80" s="130"/>
      <c r="M80" s="164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 ht="25.5" customHeight="1">
      <c r="A81" s="120"/>
      <c r="B81" s="120"/>
      <c r="C81" s="200" t="s">
        <v>195</v>
      </c>
      <c r="D81" s="134" t="s">
        <v>196</v>
      </c>
      <c r="E81" s="135" t="s">
        <v>197</v>
      </c>
      <c r="F81" s="47"/>
      <c r="G81" s="134" t="s">
        <v>198</v>
      </c>
      <c r="H81" s="135" t="s">
        <v>217</v>
      </c>
      <c r="I81" s="47"/>
      <c r="J81" s="136" t="s">
        <v>200</v>
      </c>
      <c r="K81" s="47"/>
      <c r="L81" s="136" t="s">
        <v>201</v>
      </c>
      <c r="M81" s="47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 ht="12.75" customHeight="1">
      <c r="A82" s="120"/>
      <c r="B82" s="120"/>
      <c r="C82" s="190"/>
      <c r="D82" s="11"/>
      <c r="E82" s="11"/>
      <c r="F82" s="11"/>
      <c r="G82" s="11"/>
      <c r="H82" s="11"/>
      <c r="I82" s="11"/>
      <c r="J82" s="11"/>
      <c r="K82" s="11"/>
      <c r="L82" s="11"/>
      <c r="M82" s="47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 ht="12.75" customHeight="1">
      <c r="A83" s="120"/>
      <c r="B83" s="120"/>
      <c r="C83" s="191" t="s">
        <v>202</v>
      </c>
      <c r="D83" s="138" t="s">
        <v>210</v>
      </c>
      <c r="E83" s="154" t="s">
        <v>261</v>
      </c>
      <c r="F83" s="154" t="s">
        <v>67</v>
      </c>
      <c r="G83" s="140" t="s">
        <v>198</v>
      </c>
      <c r="H83" s="154" t="s">
        <v>68</v>
      </c>
      <c r="I83" s="154" t="s">
        <v>75</v>
      </c>
      <c r="J83" s="192">
        <v>7.0</v>
      </c>
      <c r="K83" s="192">
        <v>5.0</v>
      </c>
      <c r="L83" s="143">
        <f>IF(J83+J84=12,2,IF(J83=6,1,IF(J84=6,1,0)))</f>
        <v>1</v>
      </c>
      <c r="M83" s="139">
        <v>1.0</v>
      </c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 ht="12.75" customHeight="1">
      <c r="A84" s="120"/>
      <c r="B84" s="120"/>
      <c r="C84" s="71"/>
      <c r="D84" s="71"/>
      <c r="E84" s="71"/>
      <c r="F84" s="71"/>
      <c r="G84" s="71"/>
      <c r="H84" s="71"/>
      <c r="I84" s="71"/>
      <c r="J84" s="192">
        <v>6.0</v>
      </c>
      <c r="K84" s="192">
        <v>7.0</v>
      </c>
      <c r="L84" s="71"/>
      <c r="M84" s="71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 ht="4.5" customHeight="1">
      <c r="A85" s="120"/>
      <c r="B85" s="120"/>
      <c r="C85" s="193"/>
      <c r="D85" s="11"/>
      <c r="E85" s="11"/>
      <c r="F85" s="11"/>
      <c r="G85" s="11"/>
      <c r="H85" s="11"/>
      <c r="I85" s="11"/>
      <c r="J85" s="11"/>
      <c r="K85" s="11"/>
      <c r="L85" s="11"/>
      <c r="M85" s="47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 ht="12.75" customHeight="1">
      <c r="A86" s="120"/>
      <c r="B86" s="120"/>
      <c r="C86" s="191" t="s">
        <v>204</v>
      </c>
      <c r="D86" s="138" t="s">
        <v>213</v>
      </c>
      <c r="E86" s="154" t="s">
        <v>126</v>
      </c>
      <c r="F86" s="154" t="s">
        <v>120</v>
      </c>
      <c r="G86" s="140" t="s">
        <v>198</v>
      </c>
      <c r="H86" s="154" t="s">
        <v>121</v>
      </c>
      <c r="I86" s="154" t="s">
        <v>133</v>
      </c>
      <c r="J86" s="192">
        <v>1.0</v>
      </c>
      <c r="K86" s="192">
        <v>6.0</v>
      </c>
      <c r="L86" s="139">
        <v>1.0</v>
      </c>
      <c r="M86" s="139">
        <v>1.0</v>
      </c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 ht="12.75" customHeight="1">
      <c r="A87" s="120"/>
      <c r="B87" s="120"/>
      <c r="C87" s="71"/>
      <c r="D87" s="71"/>
      <c r="E87" s="71"/>
      <c r="F87" s="71"/>
      <c r="G87" s="71"/>
      <c r="H87" s="71"/>
      <c r="I87" s="71"/>
      <c r="J87" s="192">
        <v>7.0</v>
      </c>
      <c r="K87" s="192">
        <v>6.0</v>
      </c>
      <c r="L87" s="71"/>
      <c r="M87" s="71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 ht="4.5" customHeight="1">
      <c r="A88" s="120"/>
      <c r="B88" s="120"/>
      <c r="C88" s="193"/>
      <c r="D88" s="11"/>
      <c r="E88" s="11"/>
      <c r="F88" s="11"/>
      <c r="G88" s="11"/>
      <c r="H88" s="11"/>
      <c r="I88" s="11"/>
      <c r="J88" s="11"/>
      <c r="K88" s="11"/>
      <c r="L88" s="11"/>
      <c r="M88" s="47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 ht="12.75" customHeight="1">
      <c r="A89" s="120"/>
      <c r="B89" s="120"/>
      <c r="C89" s="191" t="s">
        <v>211</v>
      </c>
      <c r="D89" s="138" t="s">
        <v>212</v>
      </c>
      <c r="E89" s="154" t="s">
        <v>24</v>
      </c>
      <c r="F89" s="154" t="s">
        <v>183</v>
      </c>
      <c r="G89" s="140" t="s">
        <v>198</v>
      </c>
      <c r="H89" s="154" t="s">
        <v>25</v>
      </c>
      <c r="I89" s="154" t="s">
        <v>32</v>
      </c>
      <c r="J89" s="192">
        <v>6.0</v>
      </c>
      <c r="K89" s="192">
        <v>4.0</v>
      </c>
      <c r="L89" s="143">
        <f t="shared" ref="L89:M89" si="18">IF(J89+J90=12,2,IF(J89=6,1,IF(J90=6,1,0)))</f>
        <v>1</v>
      </c>
      <c r="M89" s="143">
        <f t="shared" si="18"/>
        <v>1</v>
      </c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 ht="12.75" customHeight="1">
      <c r="A90" s="120"/>
      <c r="B90" s="120"/>
      <c r="C90" s="71"/>
      <c r="D90" s="71"/>
      <c r="E90" s="71"/>
      <c r="F90" s="71"/>
      <c r="G90" s="71"/>
      <c r="H90" s="71"/>
      <c r="I90" s="71"/>
      <c r="J90" s="192">
        <v>2.0</v>
      </c>
      <c r="K90" s="192">
        <v>6.0</v>
      </c>
      <c r="L90" s="71"/>
      <c r="M90" s="71"/>
      <c r="N90" s="120"/>
      <c r="O90" s="120" t="s">
        <v>227</v>
      </c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 ht="4.5" customHeight="1">
      <c r="A91" s="120"/>
      <c r="B91" s="120"/>
      <c r="C91" s="202">
        <v>4.0</v>
      </c>
      <c r="D91" s="11"/>
      <c r="E91" s="11"/>
      <c r="F91" s="11"/>
      <c r="G91" s="11"/>
      <c r="H91" s="11"/>
      <c r="I91" s="11"/>
      <c r="J91" s="11"/>
      <c r="K91" s="11"/>
      <c r="L91" s="11"/>
      <c r="M91" s="47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 ht="12.75" customHeight="1">
      <c r="A92" s="120"/>
      <c r="B92" s="120"/>
      <c r="C92" s="157" t="s">
        <v>204</v>
      </c>
      <c r="D92" s="157" t="s">
        <v>205</v>
      </c>
      <c r="E92" s="139" t="s">
        <v>102</v>
      </c>
      <c r="F92" s="139" t="s">
        <v>114</v>
      </c>
      <c r="G92" s="140" t="s">
        <v>198</v>
      </c>
      <c r="H92" s="139" t="s">
        <v>109</v>
      </c>
      <c r="I92" s="139" t="s">
        <v>115</v>
      </c>
      <c r="J92" s="192">
        <v>4.0</v>
      </c>
      <c r="K92" s="192">
        <v>6.0</v>
      </c>
      <c r="L92" s="139">
        <v>1.0</v>
      </c>
      <c r="M92" s="143">
        <f>IF(K92+K93=12,2,IF(K92=6,1,IF(K93=6,1,0)))</f>
        <v>1</v>
      </c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 ht="12.75" customHeight="1">
      <c r="A93" s="120"/>
      <c r="B93" s="120"/>
      <c r="C93" s="71"/>
      <c r="D93" s="71"/>
      <c r="E93" s="71"/>
      <c r="F93" s="71"/>
      <c r="G93" s="71"/>
      <c r="H93" s="71"/>
      <c r="I93" s="71"/>
      <c r="J93" s="192">
        <v>7.0</v>
      </c>
      <c r="K93" s="192">
        <v>5.0</v>
      </c>
      <c r="L93" s="71"/>
      <c r="M93" s="71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 ht="4.5" customHeight="1">
      <c r="A94" s="120"/>
      <c r="B94" s="120"/>
      <c r="C94" s="193"/>
      <c r="D94" s="11"/>
      <c r="E94" s="11"/>
      <c r="F94" s="11"/>
      <c r="G94" s="11"/>
      <c r="H94" s="11"/>
      <c r="I94" s="11"/>
      <c r="J94" s="11"/>
      <c r="K94" s="11"/>
      <c r="L94" s="11"/>
      <c r="M94" s="47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 ht="12.75" customHeight="1">
      <c r="A95" s="120"/>
      <c r="B95" s="120"/>
      <c r="C95" s="195" t="s">
        <v>256</v>
      </c>
      <c r="D95" s="11"/>
      <c r="E95" s="11"/>
      <c r="F95" s="11"/>
      <c r="G95" s="11"/>
      <c r="H95" s="11"/>
      <c r="I95" s="47"/>
      <c r="J95" s="196">
        <f t="shared" ref="J95:M95" si="19">SUM(J83:J93)</f>
        <v>40</v>
      </c>
      <c r="K95" s="196">
        <f t="shared" si="19"/>
        <v>45</v>
      </c>
      <c r="L95" s="196">
        <f t="shared" si="19"/>
        <v>4</v>
      </c>
      <c r="M95" s="196">
        <f t="shared" si="19"/>
        <v>4</v>
      </c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 ht="4.5" customHeight="1">
      <c r="A96" s="120"/>
      <c r="B96" s="120"/>
      <c r="C96" s="193"/>
      <c r="D96" s="11"/>
      <c r="E96" s="11"/>
      <c r="F96" s="11"/>
      <c r="G96" s="11"/>
      <c r="H96" s="11"/>
      <c r="I96" s="11"/>
      <c r="J96" s="11"/>
      <c r="K96" s="11"/>
      <c r="L96" s="11"/>
      <c r="M96" s="47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 ht="12.75" customHeight="1">
      <c r="A97" s="120"/>
      <c r="B97" s="120"/>
      <c r="C97" s="197"/>
      <c r="D97" s="11"/>
      <c r="E97" s="11"/>
      <c r="F97" s="11"/>
      <c r="G97" s="11"/>
      <c r="H97" s="11"/>
      <c r="I97" s="11"/>
      <c r="J97" s="11"/>
      <c r="K97" s="11"/>
      <c r="L97" s="11"/>
      <c r="M97" s="47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 ht="12.75" customHeight="1">
      <c r="A98" s="120"/>
      <c r="B98" s="120"/>
      <c r="C98" s="191" t="s">
        <v>202</v>
      </c>
      <c r="D98" s="138" t="s">
        <v>207</v>
      </c>
      <c r="E98" s="154" t="s">
        <v>81</v>
      </c>
      <c r="F98" s="154" t="s">
        <v>88</v>
      </c>
      <c r="G98" s="140" t="s">
        <v>198</v>
      </c>
      <c r="H98" s="154" t="s">
        <v>82</v>
      </c>
      <c r="I98" s="154" t="s">
        <v>96</v>
      </c>
      <c r="J98" s="192">
        <v>2.0</v>
      </c>
      <c r="K98" s="192">
        <v>6.0</v>
      </c>
      <c r="L98" s="143">
        <f t="shared" ref="L98:M98" si="20">IF(J98+J99=12,2,IF(J98=6,1,IF(J99=6,1,0)))</f>
        <v>0</v>
      </c>
      <c r="M98" s="143">
        <f t="shared" si="20"/>
        <v>2</v>
      </c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 ht="12.75" customHeight="1">
      <c r="A99" s="120"/>
      <c r="B99" s="120"/>
      <c r="C99" s="71"/>
      <c r="D99" s="71"/>
      <c r="E99" s="71"/>
      <c r="F99" s="71"/>
      <c r="G99" s="71"/>
      <c r="H99" s="71"/>
      <c r="I99" s="71"/>
      <c r="J99" s="192">
        <v>0.0</v>
      </c>
      <c r="K99" s="192">
        <v>6.0</v>
      </c>
      <c r="L99" s="71"/>
      <c r="M99" s="71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 ht="4.5" customHeight="1">
      <c r="A100" s="120"/>
      <c r="B100" s="120"/>
      <c r="C100" s="202">
        <v>6.0</v>
      </c>
      <c r="D100" s="11"/>
      <c r="E100" s="11"/>
      <c r="F100" s="11"/>
      <c r="G100" s="11"/>
      <c r="H100" s="11"/>
      <c r="I100" s="11"/>
      <c r="J100" s="11"/>
      <c r="K100" s="11"/>
      <c r="L100" s="11"/>
      <c r="M100" s="47"/>
      <c r="N100" s="167" t="s">
        <v>191</v>
      </c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 ht="12.75" customHeight="1">
      <c r="A101" s="120"/>
      <c r="B101" s="120"/>
      <c r="C101" s="194" t="s">
        <v>202</v>
      </c>
      <c r="D101" s="138" t="s">
        <v>203</v>
      </c>
      <c r="E101" s="154" t="s">
        <v>138</v>
      </c>
      <c r="F101" s="154" t="s">
        <v>144</v>
      </c>
      <c r="G101" s="206" t="s">
        <v>198</v>
      </c>
      <c r="H101" s="154" t="s">
        <v>139</v>
      </c>
      <c r="I101" s="154" t="s">
        <v>151</v>
      </c>
      <c r="J101" s="192">
        <v>6.0</v>
      </c>
      <c r="K101" s="192">
        <v>3.0</v>
      </c>
      <c r="L101" s="139">
        <v>1.0</v>
      </c>
      <c r="M101" s="139">
        <v>1.0</v>
      </c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 ht="12.75" customHeight="1">
      <c r="A102" s="120"/>
      <c r="B102" s="120"/>
      <c r="C102" s="71"/>
      <c r="D102" s="71"/>
      <c r="E102" s="71"/>
      <c r="F102" s="71"/>
      <c r="G102" s="71"/>
      <c r="H102" s="71"/>
      <c r="I102" s="71"/>
      <c r="J102" s="192">
        <v>2.0</v>
      </c>
      <c r="K102" s="192">
        <v>6.0</v>
      </c>
      <c r="L102" s="71"/>
      <c r="M102" s="71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 ht="4.5" customHeight="1">
      <c r="A103" s="120"/>
      <c r="B103" s="120"/>
      <c r="C103" s="193"/>
      <c r="D103" s="11"/>
      <c r="E103" s="11"/>
      <c r="F103" s="11"/>
      <c r="G103" s="11"/>
      <c r="H103" s="11"/>
      <c r="I103" s="11"/>
      <c r="J103" s="11"/>
      <c r="K103" s="11"/>
      <c r="L103" s="11"/>
      <c r="M103" s="47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 ht="12.75" customHeight="1">
      <c r="A104" s="120"/>
      <c r="B104" s="120"/>
      <c r="C104" s="194" t="s">
        <v>204</v>
      </c>
      <c r="D104" s="138" t="s">
        <v>209</v>
      </c>
      <c r="E104" s="154" t="s">
        <v>46</v>
      </c>
      <c r="F104" s="154" t="s">
        <v>262</v>
      </c>
      <c r="G104" s="140" t="s">
        <v>198</v>
      </c>
      <c r="H104" s="154" t="s">
        <v>39</v>
      </c>
      <c r="I104" s="154" t="s">
        <v>47</v>
      </c>
      <c r="J104" s="192">
        <v>6.0</v>
      </c>
      <c r="K104" s="192">
        <v>3.0</v>
      </c>
      <c r="L104" s="143">
        <f t="shared" ref="L104:M104" si="21">IF(J104+J105=12,2,IF(J104=6,1,IF(J105=6,1,0)))</f>
        <v>2</v>
      </c>
      <c r="M104" s="143">
        <f t="shared" si="21"/>
        <v>0</v>
      </c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 ht="12.75" customHeight="1">
      <c r="A105" s="120"/>
      <c r="B105" s="120"/>
      <c r="C105" s="71"/>
      <c r="D105" s="71"/>
      <c r="E105" s="71"/>
      <c r="F105" s="71"/>
      <c r="G105" s="71"/>
      <c r="H105" s="71"/>
      <c r="I105" s="71"/>
      <c r="J105" s="192">
        <v>6.0</v>
      </c>
      <c r="K105" s="192">
        <v>1.0</v>
      </c>
      <c r="L105" s="71"/>
      <c r="M105" s="71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 ht="4.5" customHeight="1">
      <c r="A106" s="120"/>
      <c r="B106" s="120"/>
      <c r="C106" s="193"/>
      <c r="D106" s="11"/>
      <c r="E106" s="11"/>
      <c r="F106" s="11"/>
      <c r="G106" s="11"/>
      <c r="H106" s="11"/>
      <c r="I106" s="11"/>
      <c r="J106" s="11"/>
      <c r="K106" s="11"/>
      <c r="L106" s="11"/>
      <c r="M106" s="47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 ht="12.75" customHeight="1">
      <c r="A107" s="120"/>
      <c r="B107" s="120"/>
      <c r="C107" s="191"/>
      <c r="D107" s="175"/>
      <c r="E107" s="176"/>
      <c r="F107" s="176"/>
      <c r="G107" s="140" t="s">
        <v>198</v>
      </c>
      <c r="H107" s="176"/>
      <c r="I107" s="176"/>
      <c r="J107" s="196"/>
      <c r="K107" s="196"/>
      <c r="L107" s="143">
        <f t="shared" ref="L107:M107" si="22">IF(J107+J108=12,2,IF(J107=6,1,IF(J108=6,1,0)))</f>
        <v>0</v>
      </c>
      <c r="M107" s="143">
        <f t="shared" si="22"/>
        <v>0</v>
      </c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 ht="12.75" customHeight="1">
      <c r="A108" s="120"/>
      <c r="B108" s="120"/>
      <c r="C108" s="71"/>
      <c r="D108" s="71"/>
      <c r="E108" s="71"/>
      <c r="F108" s="71"/>
      <c r="G108" s="71"/>
      <c r="H108" s="71"/>
      <c r="I108" s="71"/>
      <c r="J108" s="196"/>
      <c r="K108" s="196"/>
      <c r="L108" s="71"/>
      <c r="M108" s="71"/>
      <c r="N108" s="120"/>
      <c r="O108" s="120" t="s">
        <v>227</v>
      </c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 ht="4.5" customHeight="1">
      <c r="A109" s="120"/>
      <c r="B109" s="120"/>
      <c r="C109" s="193"/>
      <c r="D109" s="11"/>
      <c r="E109" s="11"/>
      <c r="F109" s="11"/>
      <c r="G109" s="11"/>
      <c r="H109" s="11"/>
      <c r="I109" s="11"/>
      <c r="J109" s="11"/>
      <c r="K109" s="11"/>
      <c r="L109" s="11"/>
      <c r="M109" s="47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 ht="12.75" customHeight="1">
      <c r="A110" s="120"/>
      <c r="B110" s="120"/>
      <c r="C110" s="195" t="s">
        <v>263</v>
      </c>
      <c r="D110" s="11"/>
      <c r="E110" s="11"/>
      <c r="F110" s="11"/>
      <c r="G110" s="11"/>
      <c r="H110" s="11"/>
      <c r="I110" s="47"/>
      <c r="J110" s="196">
        <f t="shared" ref="J110:M110" si="23">SUM(J98:J108)</f>
        <v>22</v>
      </c>
      <c r="K110" s="196">
        <f t="shared" si="23"/>
        <v>25</v>
      </c>
      <c r="L110" s="196">
        <f t="shared" si="23"/>
        <v>3</v>
      </c>
      <c r="M110" s="196">
        <f t="shared" si="23"/>
        <v>3</v>
      </c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 ht="4.5" customHeight="1">
      <c r="A111" s="120"/>
      <c r="B111" s="120"/>
      <c r="C111" s="193"/>
      <c r="D111" s="11"/>
      <c r="E111" s="11"/>
      <c r="F111" s="11"/>
      <c r="G111" s="11"/>
      <c r="H111" s="11"/>
      <c r="I111" s="11"/>
      <c r="J111" s="11"/>
      <c r="K111" s="11"/>
      <c r="L111" s="11"/>
      <c r="M111" s="47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 ht="12.75" customHeight="1">
      <c r="A112" s="120"/>
      <c r="B112" s="120"/>
      <c r="C112" s="197" t="s">
        <v>259</v>
      </c>
      <c r="D112" s="11"/>
      <c r="E112" s="11"/>
      <c r="F112" s="11"/>
      <c r="G112" s="11"/>
      <c r="H112" s="11"/>
      <c r="I112" s="47"/>
      <c r="J112" s="198">
        <f t="shared" ref="J112:M112" si="24">J110+J95</f>
        <v>62</v>
      </c>
      <c r="K112" s="198">
        <f t="shared" si="24"/>
        <v>70</v>
      </c>
      <c r="L112" s="198">
        <f t="shared" si="24"/>
        <v>7</v>
      </c>
      <c r="M112" s="198">
        <f t="shared" si="24"/>
        <v>7</v>
      </c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 ht="6.75" customHeight="1">
      <c r="A113" s="120"/>
      <c r="B113" s="120"/>
      <c r="C113" s="193"/>
      <c r="D113" s="11"/>
      <c r="E113" s="11"/>
      <c r="F113" s="11"/>
      <c r="G113" s="11"/>
      <c r="H113" s="11"/>
      <c r="I113" s="11"/>
      <c r="J113" s="11"/>
      <c r="K113" s="11"/>
      <c r="L113" s="11"/>
      <c r="M113" s="47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 ht="12.75" customHeight="1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ht="12.75" customHeight="1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t="12.75" customHeight="1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t="12.75" customHeight="1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t="12.75" customHeight="1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 ht="12.75" customHeight="1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 ht="12.75" customHeight="1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t="12.75" customHeight="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 ht="12.75" customHeight="1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 ht="12.75" customHeight="1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 ht="12.75" customHeight="1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 ht="12.75" customHeight="1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ht="12.75" customHeight="1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t="12.75" customHeight="1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t="12.75" customHeight="1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t="12.75" customHeight="1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 ht="12.75" customHeight="1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 ht="12.75" customHeight="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 ht="12.75" customHeight="1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 ht="12.75" customHeight="1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 ht="12.75" customHeight="1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 ht="12.75" customHeight="1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 ht="12.75" customHeight="1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t="12.75" customHeight="1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t="12.75" customHeight="1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t="12.75" customHeight="1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t="12.75" customHeight="1">
      <c r="A140" s="120"/>
      <c r="B140" s="120"/>
      <c r="C140" s="120"/>
      <c r="D140" s="120"/>
      <c r="E140" s="120" t="s">
        <v>227</v>
      </c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 ht="12.75" customHeight="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 ht="12.75" customHeight="1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t="12.75" customHeight="1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t="12.75" customHeight="1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t="12.75" customHeight="1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t="12.75" customHeight="1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t="12.75" customHeight="1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 ht="12.75" customHeight="1">
      <c r="A148" s="120"/>
      <c r="B148" s="120"/>
      <c r="C148" s="120"/>
      <c r="D148" s="120"/>
      <c r="E148" s="120"/>
      <c r="F148" s="120" t="s">
        <v>227</v>
      </c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 ht="12.75" customHeight="1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 ht="12.75" customHeight="1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 ht="12.75" customHeight="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 ht="12.75" customHeight="1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 ht="12.75" customHeight="1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 ht="12.75" customHeight="1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 ht="12.75" customHeight="1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 ht="12.75" customHeight="1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 ht="12.75" customHeight="1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 ht="12.75" customHeight="1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 ht="12.75" customHeight="1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 ht="12.75" customHeight="1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 ht="12.75" customHeight="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 ht="12.75" customHeight="1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 ht="12.75" customHeight="1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 ht="12.75" customHeight="1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 ht="12.75" customHeight="1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 ht="12.75" customHeight="1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 ht="12.75" customHeight="1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 ht="12.75" customHeight="1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 ht="12.75" customHeight="1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 ht="12.75" customHeight="1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 ht="12.75" customHeight="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 ht="12.75" customHeight="1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 ht="12.75" customHeight="1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 ht="12.75" customHeight="1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 ht="12.75" customHeight="1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 ht="12.75" customHeight="1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 ht="12.75" customHeight="1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 ht="12.75" customHeight="1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 ht="12.75" customHeight="1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 ht="12.75" customHeight="1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 ht="12.75" customHeight="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 ht="12.75" customHeight="1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 ht="12.75" customHeight="1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 ht="12.75" customHeight="1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 ht="12.75" customHeight="1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 ht="12.75" customHeight="1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 ht="12.75" customHeight="1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 ht="12.75" customHeight="1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 ht="12.75" customHeight="1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 ht="12.75" customHeight="1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 ht="12.75" customHeight="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 ht="12.75" customHeight="1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 ht="12.75" customHeight="1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 ht="12.75" customHeight="1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 ht="12.75" customHeight="1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 ht="12.75" customHeight="1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 ht="12.75" customHeight="1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 ht="12.75" customHeight="1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 ht="12.75" customHeight="1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 ht="12.75" customHeight="1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 ht="12.75" customHeight="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 ht="12.75" customHeight="1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 ht="12.75" customHeight="1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 ht="12.75" customHeight="1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 ht="12.75" customHeight="1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 ht="12.75" customHeight="1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 ht="12.75" customHeight="1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 ht="12.75" customHeight="1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 ht="12.75" customHeight="1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 ht="12.75" customHeight="1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 ht="12.75" customHeight="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 ht="12.75" customHeight="1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 ht="12.75" customHeight="1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 ht="12.75" customHeight="1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 ht="12.75" customHeight="1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 ht="12.75" customHeight="1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 ht="12.75" customHeight="1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 ht="12.75" customHeight="1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 ht="12.75" customHeight="1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 ht="12.75" customHeight="1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 ht="12.75" customHeight="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 ht="12.75" customHeight="1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 ht="12.75" customHeight="1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 ht="12.75" customHeight="1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 ht="12.75" customHeight="1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 ht="12.75" customHeight="1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 ht="12.75" customHeight="1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 ht="12.75" customHeight="1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 ht="12.75" customHeight="1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 ht="12.75" customHeight="1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 ht="12.75" customHeight="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 ht="12.75" customHeight="1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 ht="12.75" customHeight="1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 ht="12.75" customHeight="1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 ht="12.75" customHeight="1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 ht="12.75" customHeight="1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 ht="12.75" customHeight="1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 ht="12.75" customHeight="1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 ht="12.75" customHeight="1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 ht="12.75" customHeight="1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 ht="12.75" customHeight="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 ht="12.75" customHeight="1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 ht="12.75" customHeight="1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 ht="12.75" customHeight="1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 ht="12.75" customHeight="1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 ht="12.75" customHeight="1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 ht="12.75" customHeight="1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 ht="12.75" customHeight="1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 ht="12.75" customHeight="1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 ht="12.75" customHeight="1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 ht="12.75" customHeight="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 ht="12.75" customHeight="1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 ht="12.75" customHeight="1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 ht="12.75" customHeight="1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 ht="12.75" customHeight="1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 ht="12.75" customHeight="1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 ht="12.75" customHeight="1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 ht="12.75" customHeight="1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 ht="12.75" customHeight="1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 ht="12.75" customHeight="1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 ht="12.75" customHeight="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 ht="12.75" customHeight="1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 ht="12.75" customHeight="1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 ht="12.75" customHeight="1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 ht="12.75" customHeight="1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 ht="12.75" customHeight="1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 ht="12.75" customHeight="1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 ht="12.75" customHeight="1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 ht="12.75" customHeight="1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 ht="12.75" customHeight="1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 ht="12.75" customHeight="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 ht="12.75" customHeight="1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 ht="12.75" customHeight="1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 ht="12.75" customHeight="1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 ht="12.75" customHeight="1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 ht="12.75" customHeight="1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 ht="12.75" customHeight="1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 ht="12.75" customHeight="1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 ht="12.75" customHeight="1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 ht="12.75" customHeight="1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 ht="12.75" customHeight="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 ht="12.75" customHeight="1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 ht="12.75" customHeight="1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 ht="12.75" customHeight="1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 ht="12.75" customHeight="1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 ht="12.75" customHeight="1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 ht="12.75" customHeight="1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 ht="12.75" customHeight="1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 ht="12.75" customHeight="1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 ht="12.75" customHeight="1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 ht="12.75" customHeight="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 ht="12.75" customHeight="1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 ht="12.75" customHeight="1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 ht="12.75" customHeight="1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 ht="12.75" customHeight="1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 ht="12.75" customHeight="1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 ht="12.75" customHeight="1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 ht="12.75" customHeight="1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 ht="12.75" customHeight="1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 ht="12.75" customHeight="1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 ht="12.75" customHeight="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 ht="12.75" customHeight="1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 ht="12.75" customHeight="1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 ht="12.75" customHeight="1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 ht="12.75" customHeight="1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 ht="12.75" customHeight="1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 ht="12.75" customHeight="1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 ht="12.75" customHeight="1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 ht="12.75" customHeight="1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 ht="12.75" customHeight="1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 ht="12.75" customHeight="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 ht="12.75" customHeight="1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 ht="12.75" customHeight="1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 ht="12.75" customHeight="1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 ht="12.75" customHeight="1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 ht="12.75" customHeight="1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 ht="12.75" customHeight="1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 ht="12.75" customHeight="1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 ht="12.75" customHeight="1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 ht="12.75" customHeight="1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 ht="12.75" customHeight="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 ht="12.75" customHeight="1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 ht="12.75" customHeight="1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 ht="12.75" customHeight="1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 ht="12.75" customHeight="1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 ht="12.75" customHeight="1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 ht="12.75" customHeight="1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 ht="12.75" customHeight="1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 ht="12.75" customHeight="1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 ht="12.75" customHeight="1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 ht="12.75" customHeight="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 ht="12.75" customHeight="1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 ht="12.75" customHeight="1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 ht="12.75" customHeight="1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 ht="12.75" customHeight="1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 ht="12.75" customHeight="1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 ht="12.75" customHeight="1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 ht="12.75" customHeight="1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 ht="12.75" customHeight="1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 ht="12.75" customHeight="1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 ht="12.75" customHeight="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 ht="12.75" customHeight="1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 ht="12.75" customHeight="1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 ht="12.75" customHeight="1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 ht="12.75" customHeight="1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 ht="12.75" customHeight="1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 ht="12.75" customHeight="1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 ht="12.75" customHeight="1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 ht="12.75" customHeight="1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 ht="12.75" customHeight="1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 ht="12.75" customHeight="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 ht="12.75" customHeight="1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 ht="12.75" customHeight="1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 ht="12.75" customHeight="1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 ht="12.75" customHeight="1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 ht="12.75" customHeight="1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 ht="12.75" customHeight="1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 ht="12.75" customHeight="1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 ht="12.75" customHeight="1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 ht="12.75" customHeight="1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 ht="12.75" customHeight="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 ht="12.75" customHeight="1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 ht="12.75" customHeight="1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 ht="12.75" customHeight="1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 ht="12.75" customHeight="1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 ht="12.75" customHeight="1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 ht="12.75" customHeight="1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 ht="12.75" customHeight="1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 ht="12.75" customHeight="1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 ht="12.75" customHeight="1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 ht="12.75" customHeight="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 ht="12.75" customHeight="1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 ht="12.75" customHeight="1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 ht="12.75" customHeight="1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 ht="12.75" customHeight="1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 ht="12.75" customHeight="1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 ht="12.75" customHeight="1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 ht="12.75" customHeight="1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 ht="12.75" customHeight="1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 ht="12.75" customHeight="1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 ht="12.75" customHeight="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 ht="12.75" customHeight="1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 ht="12.75" customHeight="1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 ht="12.75" customHeight="1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 ht="12.75" customHeight="1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 ht="12.75" customHeight="1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 ht="12.75" customHeight="1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 ht="12.75" customHeight="1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 ht="12.75" customHeight="1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 ht="12.75" customHeight="1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 ht="12.75" customHeight="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 ht="12.75" customHeight="1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 ht="12.75" customHeight="1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 ht="12.75" customHeight="1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 ht="12.75" customHeight="1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 ht="12.75" customHeight="1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 ht="12.75" customHeight="1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 ht="12.75" customHeight="1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 ht="12.75" customHeight="1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 ht="12.75" customHeight="1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 ht="12.75" customHeight="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 ht="12.75" customHeight="1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 ht="12.75" customHeight="1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 ht="12.75" customHeight="1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 ht="12.75" customHeight="1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 ht="12.75" customHeight="1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 ht="12.75" customHeight="1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 ht="12.75" customHeight="1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 ht="12.75" customHeight="1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 ht="12.75" customHeight="1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 ht="12.75" customHeight="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 ht="12.75" customHeight="1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 ht="12.75" customHeight="1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 ht="12.75" customHeight="1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 ht="12.75" customHeight="1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 ht="12.75" customHeight="1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 ht="12.75" customHeight="1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 ht="12.75" customHeight="1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 ht="12.75" customHeight="1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 ht="12.75" customHeight="1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 ht="12.75" customHeight="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 ht="12.75" customHeight="1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 ht="12.75" customHeight="1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 ht="12.75" customHeight="1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 ht="12.75" customHeight="1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 ht="12.75" customHeight="1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 ht="12.75" customHeight="1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 ht="12.75" customHeight="1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 ht="12.75" customHeight="1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 ht="12.75" customHeight="1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 ht="12.75" customHeight="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 ht="12.75" customHeight="1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 ht="12.75" customHeight="1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 ht="12.75" customHeight="1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 ht="12.75" customHeight="1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 ht="12.75" customHeight="1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 ht="12.75" customHeight="1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 ht="12.75" customHeight="1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 ht="12.75" customHeight="1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 ht="12.75" customHeight="1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 ht="12.75" customHeight="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 ht="12.75" customHeight="1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 ht="12.75" customHeight="1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 ht="12.75" customHeight="1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 ht="12.75" customHeight="1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 ht="12.75" customHeight="1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 ht="12.75" customHeight="1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 ht="12.75" customHeight="1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 ht="12.75" customHeight="1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 ht="12.75" customHeight="1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 ht="12.75" customHeight="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 ht="12.75" customHeight="1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 ht="12.75" customHeight="1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 ht="12.75" customHeight="1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 ht="12.75" customHeight="1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 ht="12.75" customHeight="1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 ht="12.75" customHeight="1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 ht="12.75" customHeight="1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 ht="12.75" customHeight="1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 ht="12.75" customHeight="1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 ht="12.75" customHeight="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 ht="12.75" customHeight="1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 ht="12.75" customHeight="1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 ht="12.75" customHeight="1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 ht="12.75" customHeight="1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 ht="12.75" customHeight="1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 ht="12.75" customHeight="1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 ht="12.75" customHeight="1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 ht="12.75" customHeight="1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 ht="12.75" customHeight="1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 ht="12.75" customHeight="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 ht="12.75" customHeight="1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 ht="12.75" customHeight="1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 ht="12.75" customHeight="1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 ht="12.75" customHeight="1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 ht="12.75" customHeight="1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 ht="12.75" customHeight="1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 ht="12.75" customHeight="1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 ht="12.75" customHeight="1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 ht="12.75" customHeight="1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 ht="12.75" customHeight="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 ht="12.75" customHeight="1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 ht="12.75" customHeight="1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 ht="12.75" customHeight="1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 ht="12.75" customHeight="1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 ht="12.75" customHeight="1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 ht="12.75" customHeight="1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 ht="12.75" customHeight="1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 ht="12.75" customHeight="1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 ht="12.75" customHeight="1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 ht="12.75" customHeight="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 ht="12.75" customHeight="1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 ht="12.75" customHeight="1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 ht="12.75" customHeight="1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 ht="12.75" customHeight="1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 ht="12.75" customHeight="1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 ht="12.75" customHeight="1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 ht="12.75" customHeight="1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 ht="12.75" customHeight="1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 ht="12.75" customHeight="1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 ht="12.75" customHeight="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 ht="12.75" customHeight="1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 ht="12.75" customHeight="1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 ht="12.75" customHeight="1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 ht="12.75" customHeight="1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 ht="12.75" customHeight="1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 ht="12.75" customHeight="1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 ht="12.75" customHeight="1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 ht="12.75" customHeight="1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 ht="12.75" customHeight="1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 ht="12.75" customHeight="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 ht="12.75" customHeight="1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 ht="12.75" customHeight="1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 ht="12.75" customHeight="1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 ht="12.75" customHeight="1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 ht="12.75" customHeight="1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 ht="12.75" customHeight="1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 ht="12.75" customHeight="1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 ht="12.75" customHeight="1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 ht="12.75" customHeight="1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 ht="12.75" customHeight="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 ht="12.75" customHeight="1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 ht="12.75" customHeight="1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 ht="12.75" customHeight="1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 ht="12.75" customHeight="1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 ht="12.75" customHeight="1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 ht="12.75" customHeight="1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 ht="12.75" customHeight="1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 ht="12.75" customHeight="1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 ht="12.75" customHeight="1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 ht="12.75" customHeight="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 ht="12.75" customHeight="1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 ht="12.75" customHeight="1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 ht="12.75" customHeight="1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 ht="12.75" customHeight="1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 ht="12.75" customHeight="1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 ht="12.75" customHeight="1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 ht="12.75" customHeight="1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 ht="12.75" customHeight="1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 ht="12.75" customHeight="1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 ht="12.75" customHeight="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 ht="12.75" customHeight="1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 ht="12.75" customHeight="1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 ht="12.75" customHeight="1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 ht="12.75" customHeight="1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 ht="12.75" customHeight="1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 ht="12.75" customHeight="1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 ht="12.75" customHeight="1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 ht="12.75" customHeight="1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 ht="12.75" customHeight="1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 ht="12.75" customHeight="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 ht="12.75" customHeight="1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 ht="12.75" customHeight="1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 ht="12.75" customHeight="1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 ht="12.75" customHeight="1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 ht="12.75" customHeight="1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 ht="12.75" customHeight="1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 ht="12.75" customHeight="1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 ht="12.75" customHeight="1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 ht="12.75" customHeight="1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 ht="12.75" customHeight="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 ht="12.75" customHeight="1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 ht="12.75" customHeight="1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 ht="12.75" customHeight="1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 ht="12.75" customHeight="1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 ht="12.75" customHeight="1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 ht="12.75" customHeight="1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 ht="12.75" customHeight="1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 ht="12.75" customHeight="1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 ht="12.75" customHeight="1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 ht="12.75" customHeight="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 ht="12.75" customHeight="1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 ht="12.75" customHeight="1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 ht="12.75" customHeight="1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 ht="12.75" customHeight="1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 ht="12.75" customHeight="1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 ht="12.75" customHeight="1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 ht="12.75" customHeight="1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 ht="12.75" customHeight="1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 ht="12.75" customHeight="1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 ht="12.75" customHeight="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 ht="12.75" customHeight="1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 ht="12.75" customHeight="1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 ht="12.75" customHeight="1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 ht="12.75" customHeight="1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 ht="12.75" customHeight="1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 ht="12.75" customHeight="1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 ht="12.75" customHeight="1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 ht="12.75" customHeight="1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 ht="12.75" customHeight="1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 ht="12.75" customHeight="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 ht="12.75" customHeight="1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 ht="12.75" customHeight="1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 ht="12.75" customHeight="1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 ht="12.75" customHeight="1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 ht="12.75" customHeight="1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 ht="12.75" customHeight="1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 ht="12.75" customHeight="1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 ht="12.75" customHeight="1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 ht="12.75" customHeight="1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 ht="12.75" customHeight="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 ht="12.75" customHeight="1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 ht="12.75" customHeight="1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 ht="12.75" customHeight="1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 ht="12.75" customHeight="1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 ht="12.75" customHeight="1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 ht="12.75" customHeight="1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 ht="12.75" customHeight="1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 ht="12.75" customHeight="1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 ht="12.75" customHeight="1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 ht="12.75" customHeight="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 ht="12.75" customHeight="1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 ht="12.75" customHeight="1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 ht="12.75" customHeight="1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 ht="12.75" customHeight="1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 ht="12.75" customHeight="1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 ht="12.75" customHeight="1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 ht="12.75" customHeight="1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 ht="12.75" customHeight="1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 ht="12.75" customHeight="1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 ht="12.75" customHeight="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 ht="12.75" customHeight="1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 ht="12.75" customHeight="1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 ht="12.75" customHeight="1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 ht="12.75" customHeight="1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 ht="12.75" customHeight="1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 ht="12.75" customHeight="1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 ht="12.75" customHeight="1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 ht="12.75" customHeight="1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 ht="12.75" customHeight="1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 ht="12.75" customHeight="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 ht="12.75" customHeight="1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 ht="12.75" customHeight="1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 ht="12.75" customHeight="1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 ht="12.75" customHeight="1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 ht="12.75" customHeight="1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 ht="12.75" customHeight="1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 ht="12.75" customHeight="1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 ht="12.75" customHeight="1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 ht="12.75" customHeight="1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 ht="12.75" customHeight="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 ht="12.75" customHeight="1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 ht="12.75" customHeight="1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 ht="12.75" customHeight="1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 ht="12.75" customHeight="1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 ht="12.75" customHeight="1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 ht="12.75" customHeight="1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 ht="12.75" customHeight="1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 ht="12.75" customHeight="1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 ht="12.75" customHeight="1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 ht="12.75" customHeight="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 ht="12.75" customHeight="1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 ht="12.75" customHeight="1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 ht="12.75" customHeight="1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 ht="12.75" customHeight="1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 ht="12.75" customHeight="1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 ht="12.75" customHeight="1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 ht="12.75" customHeight="1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 ht="12.75" customHeight="1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 ht="12.75" customHeight="1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 ht="12.75" customHeight="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 ht="12.75" customHeight="1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 ht="12.75" customHeight="1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 ht="12.75" customHeight="1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 ht="12.75" customHeight="1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 ht="12.75" customHeight="1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 ht="12.75" customHeight="1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 ht="12.75" customHeight="1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 ht="12.75" customHeight="1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 ht="12.75" customHeight="1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 ht="12.75" customHeight="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 ht="12.75" customHeight="1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 ht="12.75" customHeight="1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 ht="12.75" customHeight="1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 ht="12.75" customHeight="1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 ht="12.75" customHeight="1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 ht="12.75" customHeight="1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 ht="12.75" customHeight="1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 ht="12.75" customHeight="1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 ht="12.75" customHeight="1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 ht="12.75" customHeight="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 ht="12.75" customHeight="1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 ht="12.75" customHeight="1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 ht="12.75" customHeight="1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 ht="12.75" customHeight="1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 ht="12.75" customHeight="1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 ht="12.75" customHeight="1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 ht="12.75" customHeight="1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 ht="12.75" customHeight="1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 ht="12.75" customHeight="1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 ht="12.75" customHeight="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 ht="12.75" customHeight="1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 ht="12.75" customHeight="1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 ht="12.75" customHeight="1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 ht="12.75" customHeight="1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 ht="12.75" customHeight="1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 ht="12.75" customHeight="1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 ht="12.75" customHeight="1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 ht="12.75" customHeight="1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 ht="12.75" customHeight="1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 ht="12.75" customHeight="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 ht="12.75" customHeight="1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 ht="12.75" customHeight="1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 ht="12.75" customHeight="1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 ht="12.75" customHeight="1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 ht="12.75" customHeight="1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 ht="12.75" customHeight="1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 ht="12.75" customHeight="1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 ht="12.75" customHeight="1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 ht="12.75" customHeight="1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 ht="12.75" customHeight="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 ht="12.75" customHeight="1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 ht="12.75" customHeight="1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 ht="12.75" customHeight="1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 ht="12.75" customHeight="1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 ht="12.75" customHeight="1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 ht="12.75" customHeight="1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 ht="12.75" customHeight="1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 ht="12.75" customHeight="1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 ht="12.75" customHeight="1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 ht="12.75" customHeight="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 ht="12.75" customHeight="1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 ht="12.75" customHeight="1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 ht="12.75" customHeight="1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 ht="12.75" customHeight="1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 ht="12.75" customHeight="1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 ht="12.75" customHeight="1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 ht="12.75" customHeight="1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 ht="12.75" customHeight="1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 ht="12.75" customHeight="1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 ht="12.75" customHeight="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 ht="12.75" customHeight="1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 ht="12.75" customHeight="1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 ht="12.75" customHeight="1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 ht="12.75" customHeight="1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 ht="12.75" customHeight="1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 ht="12.75" customHeight="1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 ht="12.75" customHeight="1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 ht="12.75" customHeight="1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 ht="12.75" customHeight="1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 ht="12.75" customHeight="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 ht="12.75" customHeight="1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 ht="12.75" customHeight="1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 ht="12.75" customHeight="1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 ht="12.75" customHeight="1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 ht="12.75" customHeight="1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 ht="12.75" customHeight="1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 ht="12.75" customHeight="1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 ht="12.75" customHeight="1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 ht="12.75" customHeight="1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 ht="12.75" customHeight="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 ht="12.75" customHeight="1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 ht="12.75" customHeight="1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 ht="12.75" customHeight="1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 ht="12.75" customHeight="1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 ht="12.75" customHeight="1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 ht="12.75" customHeight="1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 ht="12.75" customHeight="1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 ht="12.75" customHeight="1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 ht="12.75" customHeight="1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 ht="12.75" customHeight="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 ht="12.75" customHeight="1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 ht="12.75" customHeight="1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 ht="12.75" customHeight="1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 ht="12.75" customHeight="1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 ht="12.75" customHeight="1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 ht="12.75" customHeight="1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 ht="12.75" customHeight="1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 ht="12.75" customHeight="1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 ht="12.75" customHeight="1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 ht="12.75" customHeight="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 ht="12.75" customHeight="1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 ht="12.75" customHeight="1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 ht="12.75" customHeight="1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 ht="12.75" customHeight="1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 ht="12.75" customHeight="1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 ht="12.75" customHeight="1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 ht="12.75" customHeight="1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 ht="12.75" customHeight="1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 ht="12.75" customHeight="1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 ht="12.75" customHeight="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 ht="12.75" customHeight="1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 ht="12.75" customHeight="1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 ht="12.75" customHeight="1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 ht="12.75" customHeight="1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 ht="12.75" customHeight="1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 ht="12.75" customHeight="1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 ht="12.75" customHeight="1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 ht="12.75" customHeight="1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 ht="12.75" customHeight="1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 ht="12.75" customHeight="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 ht="12.75" customHeight="1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 ht="12.75" customHeight="1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 ht="12.75" customHeight="1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 ht="12.75" customHeight="1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 ht="12.75" customHeight="1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 ht="12.75" customHeight="1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 ht="12.75" customHeight="1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 ht="12.75" customHeight="1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 ht="12.75" customHeight="1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 ht="12.75" customHeight="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 ht="12.75" customHeight="1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 ht="12.75" customHeight="1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 ht="12.75" customHeight="1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 ht="12.75" customHeight="1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 ht="12.75" customHeight="1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 ht="12.75" customHeight="1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 ht="12.75" customHeight="1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 ht="12.75" customHeight="1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 ht="12.75" customHeight="1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 ht="12.75" customHeight="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 ht="12.75" customHeight="1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 ht="12.75" customHeight="1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 ht="12.75" customHeight="1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 ht="12.75" customHeight="1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 ht="12.75" customHeight="1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 ht="12.75" customHeight="1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 ht="12.75" customHeight="1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 ht="12.75" customHeight="1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 ht="12.75" customHeight="1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 ht="12.75" customHeight="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 ht="12.75" customHeight="1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 ht="12.75" customHeight="1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 ht="12.75" customHeight="1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 ht="12.75" customHeight="1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 ht="12.75" customHeight="1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 ht="12.75" customHeight="1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 ht="12.75" customHeight="1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 ht="12.75" customHeight="1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 ht="12.75" customHeight="1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 ht="12.75" customHeight="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 ht="12.75" customHeight="1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 ht="12.75" customHeight="1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 ht="12.75" customHeight="1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 ht="12.75" customHeight="1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 ht="12.75" customHeight="1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 ht="12.75" customHeight="1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 ht="12.75" customHeight="1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 ht="12.75" customHeight="1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 ht="12.75" customHeight="1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 ht="12.75" customHeight="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 ht="12.75" customHeight="1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 ht="12.75" customHeight="1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 ht="12.75" customHeight="1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 ht="12.75" customHeight="1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 ht="12.75" customHeight="1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 ht="12.75" customHeight="1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 ht="12.75" customHeight="1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 ht="12.75" customHeight="1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 ht="12.75" customHeight="1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 ht="12.75" customHeight="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 ht="12.75" customHeight="1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 ht="12.75" customHeight="1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 ht="12.75" customHeight="1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 ht="12.75" customHeight="1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 ht="12.75" customHeight="1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 ht="12.75" customHeight="1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 ht="12.75" customHeight="1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 ht="12.75" customHeight="1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 ht="12.75" customHeight="1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 ht="12.75" customHeight="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 ht="12.75" customHeight="1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 ht="12.75" customHeight="1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 ht="12.75" customHeight="1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 ht="12.75" customHeight="1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 ht="12.75" customHeight="1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 ht="12.75" customHeight="1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 ht="12.75" customHeight="1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 ht="12.75" customHeight="1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 ht="12.75" customHeight="1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 ht="12.75" customHeight="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 ht="12.75" customHeight="1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 ht="12.75" customHeight="1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 ht="12.75" customHeight="1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 ht="12.75" customHeight="1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 ht="12.75" customHeight="1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 ht="12.75" customHeight="1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 ht="12.75" customHeight="1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 ht="12.75" customHeight="1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 ht="12.75" customHeight="1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 ht="12.75" customHeight="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 ht="12.75" customHeight="1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 ht="12.75" customHeight="1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 ht="12.75" customHeight="1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 ht="12.75" customHeight="1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 ht="12.75" customHeight="1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 ht="12.75" customHeight="1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 ht="12.75" customHeight="1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 ht="12.75" customHeight="1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 ht="12.75" customHeight="1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 ht="12.75" customHeight="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 ht="12.75" customHeight="1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 ht="12.75" customHeight="1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 ht="12.75" customHeight="1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 ht="12.75" customHeight="1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 ht="12.75" customHeight="1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 ht="12.75" customHeight="1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 ht="12.75" customHeight="1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 ht="12.75" customHeight="1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 ht="12.75" customHeight="1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 ht="12.75" customHeight="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 ht="12.75" customHeight="1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 ht="12.75" customHeight="1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 ht="12.75" customHeight="1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 ht="12.75" customHeight="1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 ht="12.75" customHeight="1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 ht="12.75" customHeight="1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 ht="12.75" customHeight="1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 ht="12.75" customHeight="1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 ht="12.75" customHeight="1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 ht="12.75" customHeight="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 ht="12.75" customHeight="1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 ht="12.75" customHeight="1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 ht="12.75" customHeight="1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 ht="12.75" customHeight="1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 ht="12.75" customHeight="1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 ht="12.75" customHeight="1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 ht="12.75" customHeight="1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 ht="12.75" customHeight="1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 ht="12.75" customHeight="1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 ht="12.75" customHeight="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 ht="12.75" customHeight="1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 ht="12.75" customHeight="1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 ht="12.75" customHeight="1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 ht="12.75" customHeight="1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 ht="12.75" customHeight="1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 ht="12.75" customHeight="1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 ht="12.75" customHeight="1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 ht="12.75" customHeight="1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 ht="12.75" customHeight="1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 ht="12.75" customHeight="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 ht="12.75" customHeight="1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 ht="12.75" customHeight="1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 ht="12.75" customHeight="1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 ht="12.75" customHeight="1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 ht="12.75" customHeight="1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 ht="12.75" customHeight="1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 ht="12.75" customHeight="1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 ht="12.75" customHeight="1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 ht="12.75" customHeight="1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 ht="12.75" customHeight="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 ht="12.75" customHeight="1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 ht="12.75" customHeight="1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 ht="12.75" customHeight="1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 ht="12.75" customHeight="1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 ht="12.75" customHeight="1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 ht="12.75" customHeight="1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 ht="12.75" customHeight="1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 ht="12.75" customHeight="1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 ht="12.75" customHeight="1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 ht="12.75" customHeight="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 ht="12.75" customHeight="1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 ht="12.75" customHeight="1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 ht="12.75" customHeight="1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 ht="12.75" customHeight="1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 ht="12.75" customHeight="1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 ht="12.75" customHeight="1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 ht="12.75" customHeight="1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 ht="12.75" customHeight="1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 ht="12.75" customHeight="1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 ht="12.75" customHeight="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 ht="12.75" customHeight="1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 ht="12.75" customHeight="1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 ht="12.75" customHeight="1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 ht="12.75" customHeight="1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 ht="12.75" customHeight="1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 ht="12.75" customHeight="1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 ht="12.75" customHeight="1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 ht="12.75" customHeight="1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 ht="12.75" customHeight="1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 ht="12.75" customHeight="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 ht="12.75" customHeight="1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 ht="12.75" customHeight="1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 ht="12.75" customHeight="1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 ht="12.75" customHeight="1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 ht="12.75" customHeight="1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 ht="12.75" customHeight="1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 ht="12.75" customHeight="1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 ht="12.75" customHeight="1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 ht="12.75" customHeight="1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 ht="12.75" customHeight="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 ht="12.75" customHeight="1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 ht="12.75" customHeight="1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 ht="12.75" customHeight="1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 ht="12.75" customHeight="1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 ht="12.75" customHeight="1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 ht="12.75" customHeight="1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 ht="12.75" customHeight="1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 ht="12.75" customHeight="1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 ht="12.75" customHeight="1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 ht="12.75" customHeight="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 ht="12.75" customHeight="1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 ht="12.75" customHeight="1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 ht="12.75" customHeight="1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 ht="12.75" customHeight="1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 ht="12.75" customHeight="1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 ht="12.75" customHeight="1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 ht="12.75" customHeight="1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 ht="12.75" customHeight="1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 ht="12.75" customHeight="1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</sheetData>
  <mergeCells count="282">
    <mergeCell ref="L69:L70"/>
    <mergeCell ref="M69:M70"/>
    <mergeCell ref="D69:D70"/>
    <mergeCell ref="E69:E70"/>
    <mergeCell ref="F69:F70"/>
    <mergeCell ref="G69:G70"/>
    <mergeCell ref="H69:H70"/>
    <mergeCell ref="I69:I70"/>
    <mergeCell ref="C71:M71"/>
    <mergeCell ref="G63:G64"/>
    <mergeCell ref="H63:H64"/>
    <mergeCell ref="I63:I64"/>
    <mergeCell ref="L63:L64"/>
    <mergeCell ref="M63:M64"/>
    <mergeCell ref="C65:M65"/>
    <mergeCell ref="I57:I58"/>
    <mergeCell ref="C59:M59"/>
    <mergeCell ref="C60:I60"/>
    <mergeCell ref="C61:M61"/>
    <mergeCell ref="C62:M62"/>
    <mergeCell ref="C63:C64"/>
    <mergeCell ref="D63:D64"/>
    <mergeCell ref="H66:H67"/>
    <mergeCell ref="I66:I67"/>
    <mergeCell ref="L66:L67"/>
    <mergeCell ref="M66:M67"/>
    <mergeCell ref="C68:M68"/>
    <mergeCell ref="E63:E64"/>
    <mergeCell ref="F63:F64"/>
    <mergeCell ref="C66:C67"/>
    <mergeCell ref="D66:D67"/>
    <mergeCell ref="E66:E67"/>
    <mergeCell ref="F66:F67"/>
    <mergeCell ref="G66:G67"/>
    <mergeCell ref="C69:C70"/>
    <mergeCell ref="C72:C73"/>
    <mergeCell ref="D72:D73"/>
    <mergeCell ref="E72:E73"/>
    <mergeCell ref="F72:F73"/>
    <mergeCell ref="G72:G73"/>
    <mergeCell ref="H72:H73"/>
    <mergeCell ref="L89:L90"/>
    <mergeCell ref="M89:M90"/>
    <mergeCell ref="D89:D90"/>
    <mergeCell ref="E89:E90"/>
    <mergeCell ref="F89:F90"/>
    <mergeCell ref="G89:G90"/>
    <mergeCell ref="H89:H90"/>
    <mergeCell ref="I89:I90"/>
    <mergeCell ref="C91:M91"/>
    <mergeCell ref="I72:I73"/>
    <mergeCell ref="L72:L73"/>
    <mergeCell ref="M72:M73"/>
    <mergeCell ref="C74:M74"/>
    <mergeCell ref="C75:I75"/>
    <mergeCell ref="C76:M76"/>
    <mergeCell ref="C77:I77"/>
    <mergeCell ref="C78:M78"/>
    <mergeCell ref="C79:M80"/>
    <mergeCell ref="E81:F81"/>
    <mergeCell ref="H81:I81"/>
    <mergeCell ref="J81:K81"/>
    <mergeCell ref="L81:M81"/>
    <mergeCell ref="C82:M82"/>
    <mergeCell ref="L83:L84"/>
    <mergeCell ref="M83:M84"/>
    <mergeCell ref="L86:L87"/>
    <mergeCell ref="M86:M87"/>
    <mergeCell ref="L92:L93"/>
    <mergeCell ref="M92:M93"/>
    <mergeCell ref="D83:D84"/>
    <mergeCell ref="E83:E84"/>
    <mergeCell ref="F83:F84"/>
    <mergeCell ref="G83:G84"/>
    <mergeCell ref="H83:H84"/>
    <mergeCell ref="I83:I84"/>
    <mergeCell ref="C85:M85"/>
    <mergeCell ref="I86:I87"/>
    <mergeCell ref="C88:M88"/>
    <mergeCell ref="C83:C84"/>
    <mergeCell ref="C86:C87"/>
    <mergeCell ref="D86:D87"/>
    <mergeCell ref="E86:E87"/>
    <mergeCell ref="F86:F87"/>
    <mergeCell ref="G86:G87"/>
    <mergeCell ref="H86:H87"/>
    <mergeCell ref="C89:C90"/>
    <mergeCell ref="C92:C93"/>
    <mergeCell ref="D92:D93"/>
    <mergeCell ref="E92:E93"/>
    <mergeCell ref="F92:F93"/>
    <mergeCell ref="G92:G93"/>
    <mergeCell ref="H92:H93"/>
    <mergeCell ref="L19:L20"/>
    <mergeCell ref="M19:M20"/>
    <mergeCell ref="D19:D20"/>
    <mergeCell ref="E19:E20"/>
    <mergeCell ref="F19:F20"/>
    <mergeCell ref="G19:G20"/>
    <mergeCell ref="H19:H20"/>
    <mergeCell ref="I19:I20"/>
    <mergeCell ref="C21:M21"/>
    <mergeCell ref="C1:M3"/>
    <mergeCell ref="C6:M6"/>
    <mergeCell ref="C7:M8"/>
    <mergeCell ref="C9:M10"/>
    <mergeCell ref="E11:F11"/>
    <mergeCell ref="H11:I11"/>
    <mergeCell ref="J11:K11"/>
    <mergeCell ref="H13:H14"/>
    <mergeCell ref="I13:I14"/>
    <mergeCell ref="L13:L14"/>
    <mergeCell ref="M13:M14"/>
    <mergeCell ref="L16:L17"/>
    <mergeCell ref="M16:M17"/>
    <mergeCell ref="L22:L23"/>
    <mergeCell ref="M22:M23"/>
    <mergeCell ref="L11:M11"/>
    <mergeCell ref="C12:M12"/>
    <mergeCell ref="D13:D14"/>
    <mergeCell ref="E13:E14"/>
    <mergeCell ref="F13:F14"/>
    <mergeCell ref="G13:G14"/>
    <mergeCell ref="C15:M15"/>
    <mergeCell ref="I16:I17"/>
    <mergeCell ref="C18:M18"/>
    <mergeCell ref="C13:C14"/>
    <mergeCell ref="C16:C17"/>
    <mergeCell ref="D16:D17"/>
    <mergeCell ref="E16:E17"/>
    <mergeCell ref="F16:F17"/>
    <mergeCell ref="G16:G17"/>
    <mergeCell ref="H16:H17"/>
    <mergeCell ref="C19:C20"/>
    <mergeCell ref="C22:C23"/>
    <mergeCell ref="D22:D23"/>
    <mergeCell ref="E22:E23"/>
    <mergeCell ref="F22:F23"/>
    <mergeCell ref="G22:G23"/>
    <mergeCell ref="H22:H23"/>
    <mergeCell ref="L34:L35"/>
    <mergeCell ref="M34:M35"/>
    <mergeCell ref="D34:D35"/>
    <mergeCell ref="E34:E35"/>
    <mergeCell ref="F34:F35"/>
    <mergeCell ref="G34:G35"/>
    <mergeCell ref="H34:H35"/>
    <mergeCell ref="I34:I35"/>
    <mergeCell ref="C36:M36"/>
    <mergeCell ref="G28:G29"/>
    <mergeCell ref="H28:H29"/>
    <mergeCell ref="I28:I29"/>
    <mergeCell ref="L28:L29"/>
    <mergeCell ref="M28:M29"/>
    <mergeCell ref="C30:M30"/>
    <mergeCell ref="I22:I23"/>
    <mergeCell ref="C24:M24"/>
    <mergeCell ref="C25:I25"/>
    <mergeCell ref="C26:M26"/>
    <mergeCell ref="C27:M27"/>
    <mergeCell ref="C28:C29"/>
    <mergeCell ref="D28:D29"/>
    <mergeCell ref="H31:H32"/>
    <mergeCell ref="I31:I32"/>
    <mergeCell ref="L31:L32"/>
    <mergeCell ref="M31:M32"/>
    <mergeCell ref="C33:M33"/>
    <mergeCell ref="E28:E29"/>
    <mergeCell ref="F28:F29"/>
    <mergeCell ref="C31:C32"/>
    <mergeCell ref="D31:D32"/>
    <mergeCell ref="E31:E32"/>
    <mergeCell ref="F31:F32"/>
    <mergeCell ref="G31:G32"/>
    <mergeCell ref="C34:C35"/>
    <mergeCell ref="C37:C38"/>
    <mergeCell ref="D37:D38"/>
    <mergeCell ref="E37:E38"/>
    <mergeCell ref="F37:F38"/>
    <mergeCell ref="G37:G38"/>
    <mergeCell ref="H37:H38"/>
    <mergeCell ref="L54:L55"/>
    <mergeCell ref="M54:M55"/>
    <mergeCell ref="D54:D55"/>
    <mergeCell ref="E54:E55"/>
    <mergeCell ref="F54:F55"/>
    <mergeCell ref="G54:G55"/>
    <mergeCell ref="H54:H55"/>
    <mergeCell ref="I54:I55"/>
    <mergeCell ref="C56:M56"/>
    <mergeCell ref="I37:I38"/>
    <mergeCell ref="L37:L38"/>
    <mergeCell ref="M37:M38"/>
    <mergeCell ref="C39:M39"/>
    <mergeCell ref="C40:I40"/>
    <mergeCell ref="C41:M41"/>
    <mergeCell ref="C42:I42"/>
    <mergeCell ref="C43:M43"/>
    <mergeCell ref="C44:M45"/>
    <mergeCell ref="E46:F46"/>
    <mergeCell ref="H46:I46"/>
    <mergeCell ref="J46:K46"/>
    <mergeCell ref="L46:M46"/>
    <mergeCell ref="C47:M47"/>
    <mergeCell ref="L48:L49"/>
    <mergeCell ref="M48:M49"/>
    <mergeCell ref="L51:L52"/>
    <mergeCell ref="M51:M52"/>
    <mergeCell ref="L57:L58"/>
    <mergeCell ref="M57:M58"/>
    <mergeCell ref="D48:D49"/>
    <mergeCell ref="E48:E49"/>
    <mergeCell ref="F48:F49"/>
    <mergeCell ref="G48:G49"/>
    <mergeCell ref="H48:H49"/>
    <mergeCell ref="I48:I49"/>
    <mergeCell ref="C50:M50"/>
    <mergeCell ref="I51:I52"/>
    <mergeCell ref="C53:M53"/>
    <mergeCell ref="C48:C49"/>
    <mergeCell ref="C51:C52"/>
    <mergeCell ref="D51:D52"/>
    <mergeCell ref="E51:E52"/>
    <mergeCell ref="F51:F52"/>
    <mergeCell ref="G51:G52"/>
    <mergeCell ref="H51:H52"/>
    <mergeCell ref="C54:C55"/>
    <mergeCell ref="C57:C58"/>
    <mergeCell ref="D57:D58"/>
    <mergeCell ref="E57:E58"/>
    <mergeCell ref="F57:F58"/>
    <mergeCell ref="G57:G58"/>
    <mergeCell ref="H57:H58"/>
    <mergeCell ref="L104:L105"/>
    <mergeCell ref="M104:M105"/>
    <mergeCell ref="D104:D105"/>
    <mergeCell ref="E104:E105"/>
    <mergeCell ref="F104:F105"/>
    <mergeCell ref="G104:G105"/>
    <mergeCell ref="H104:H105"/>
    <mergeCell ref="I104:I105"/>
    <mergeCell ref="C106:M106"/>
    <mergeCell ref="G98:G99"/>
    <mergeCell ref="H98:H99"/>
    <mergeCell ref="I98:I99"/>
    <mergeCell ref="L98:L99"/>
    <mergeCell ref="M98:M99"/>
    <mergeCell ref="C100:M100"/>
    <mergeCell ref="I92:I93"/>
    <mergeCell ref="C94:M94"/>
    <mergeCell ref="C95:I95"/>
    <mergeCell ref="C96:M96"/>
    <mergeCell ref="C97:M97"/>
    <mergeCell ref="C98:C99"/>
    <mergeCell ref="D98:D99"/>
    <mergeCell ref="H101:H102"/>
    <mergeCell ref="I101:I102"/>
    <mergeCell ref="L101:L102"/>
    <mergeCell ref="M101:M102"/>
    <mergeCell ref="C103:M103"/>
    <mergeCell ref="E98:E99"/>
    <mergeCell ref="F98:F99"/>
    <mergeCell ref="C101:C102"/>
    <mergeCell ref="D101:D102"/>
    <mergeCell ref="E101:E102"/>
    <mergeCell ref="F101:F102"/>
    <mergeCell ref="G101:G102"/>
    <mergeCell ref="I107:I108"/>
    <mergeCell ref="L107:L108"/>
    <mergeCell ref="M107:M108"/>
    <mergeCell ref="C109:M109"/>
    <mergeCell ref="C110:I110"/>
    <mergeCell ref="C111:M111"/>
    <mergeCell ref="C112:I112"/>
    <mergeCell ref="C113:M113"/>
    <mergeCell ref="C104:C105"/>
    <mergeCell ref="C107:C108"/>
    <mergeCell ref="D107:D108"/>
    <mergeCell ref="E107:E108"/>
    <mergeCell ref="F107:F108"/>
    <mergeCell ref="G107:G108"/>
    <mergeCell ref="H107:H108"/>
  </mergeCell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2.71"/>
    <col customWidth="1" min="2" max="2" width="2.71"/>
    <col customWidth="1" min="3" max="3" width="7.57"/>
    <col customWidth="1" min="4" max="4" width="7.43"/>
    <col customWidth="1" min="5" max="5" width="17.86"/>
    <col customWidth="1" min="6" max="6" width="20.71"/>
    <col customWidth="1" min="7" max="7" width="4.86"/>
    <col customWidth="1" min="8" max="8" width="20.71"/>
    <col customWidth="1" min="9" max="9" width="18.14"/>
    <col customWidth="1" min="10" max="13" width="5.71"/>
    <col customWidth="1" min="14" max="18" width="9.14"/>
    <col customWidth="1" min="19" max="26" width="8.0"/>
  </cols>
  <sheetData>
    <row r="1" ht="12.75" customHeight="1">
      <c r="A1" s="120"/>
      <c r="B1" s="120"/>
      <c r="C1" s="186" t="s">
        <v>192</v>
      </c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 ht="12.75" customHeight="1">
      <c r="A2" s="120"/>
      <c r="B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 ht="12.75" customHeight="1">
      <c r="A3" s="120"/>
      <c r="B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 ht="12.75" customHeight="1">
      <c r="A4" s="120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</row>
    <row r="5" ht="12.75" customHeight="1">
      <c r="A5" s="120"/>
      <c r="B5" s="120"/>
      <c r="C5" s="120"/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</row>
    <row r="6" ht="19.5" customHeight="1">
      <c r="A6" s="120"/>
      <c r="B6" s="120"/>
      <c r="C6" s="125" t="s">
        <v>264</v>
      </c>
      <c r="D6" s="11"/>
      <c r="E6" s="11"/>
      <c r="F6" s="11"/>
      <c r="G6" s="11"/>
      <c r="H6" s="11"/>
      <c r="I6" s="11"/>
      <c r="J6" s="11"/>
      <c r="K6" s="11"/>
      <c r="L6" s="11"/>
      <c r="M6" s="47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</row>
    <row r="7" ht="4.5" customHeight="1">
      <c r="A7" s="120"/>
      <c r="B7" s="120"/>
      <c r="C7" s="187"/>
      <c r="D7" s="127"/>
      <c r="E7" s="127"/>
      <c r="F7" s="127"/>
      <c r="G7" s="127"/>
      <c r="H7" s="127"/>
      <c r="I7" s="127"/>
      <c r="J7" s="127"/>
      <c r="K7" s="127"/>
      <c r="L7" s="127"/>
      <c r="M7" s="188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</row>
    <row r="8" ht="4.5" customHeight="1">
      <c r="A8" s="120"/>
      <c r="B8" s="120"/>
      <c r="C8" s="166"/>
      <c r="D8" s="130"/>
      <c r="E8" s="130"/>
      <c r="F8" s="130"/>
      <c r="G8" s="130"/>
      <c r="H8" s="130"/>
      <c r="I8" s="130"/>
      <c r="J8" s="130"/>
      <c r="K8" s="130"/>
      <c r="L8" s="130"/>
      <c r="M8" s="164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</row>
    <row r="9" ht="12.0" customHeight="1">
      <c r="A9" s="120"/>
      <c r="B9" s="120"/>
      <c r="C9" s="189" t="s">
        <v>194</v>
      </c>
      <c r="D9" s="127"/>
      <c r="E9" s="127"/>
      <c r="F9" s="127"/>
      <c r="G9" s="127"/>
      <c r="H9" s="127"/>
      <c r="I9" s="127"/>
      <c r="J9" s="127"/>
      <c r="K9" s="127"/>
      <c r="L9" s="127"/>
      <c r="M9" s="188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</row>
    <row r="10" ht="12.0" customHeight="1">
      <c r="A10" s="120"/>
      <c r="B10" s="120"/>
      <c r="C10" s="166"/>
      <c r="D10" s="130"/>
      <c r="E10" s="130"/>
      <c r="F10" s="130"/>
      <c r="G10" s="130"/>
      <c r="H10" s="130"/>
      <c r="I10" s="130"/>
      <c r="J10" s="130"/>
      <c r="K10" s="130"/>
      <c r="L10" s="130"/>
      <c r="M10" s="164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</row>
    <row r="11" ht="12.0" customHeight="1">
      <c r="A11" s="120"/>
      <c r="B11" s="120"/>
      <c r="C11" s="134" t="s">
        <v>195</v>
      </c>
      <c r="D11" s="134" t="s">
        <v>196</v>
      </c>
      <c r="E11" s="135" t="s">
        <v>265</v>
      </c>
      <c r="F11" s="47"/>
      <c r="G11" s="134" t="s">
        <v>198</v>
      </c>
      <c r="H11" s="135" t="s">
        <v>217</v>
      </c>
      <c r="I11" s="47"/>
      <c r="J11" s="136" t="s">
        <v>200</v>
      </c>
      <c r="K11" s="47"/>
      <c r="L11" s="136" t="s">
        <v>201</v>
      </c>
      <c r="M11" s="47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</row>
    <row r="12" ht="12.75" customHeight="1">
      <c r="A12" s="120"/>
      <c r="B12" s="120"/>
      <c r="C12" s="190"/>
      <c r="D12" s="11"/>
      <c r="E12" s="11"/>
      <c r="F12" s="11"/>
      <c r="G12" s="11"/>
      <c r="H12" s="11"/>
      <c r="I12" s="11"/>
      <c r="J12" s="11"/>
      <c r="K12" s="11"/>
      <c r="L12" s="11"/>
      <c r="M12" s="47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</row>
    <row r="13" ht="12.75" customHeight="1">
      <c r="A13" s="120"/>
      <c r="B13" s="120"/>
      <c r="C13" s="191" t="s">
        <v>202</v>
      </c>
      <c r="D13" s="138" t="s">
        <v>205</v>
      </c>
      <c r="E13" s="139" t="s">
        <v>105</v>
      </c>
      <c r="F13" s="139" t="s">
        <v>266</v>
      </c>
      <c r="G13" s="140" t="s">
        <v>198</v>
      </c>
      <c r="H13" s="139" t="s">
        <v>109</v>
      </c>
      <c r="I13" s="139" t="s">
        <v>103</v>
      </c>
      <c r="J13" s="192">
        <v>3.0</v>
      </c>
      <c r="K13" s="192">
        <v>6.0</v>
      </c>
      <c r="L13" s="139">
        <v>0.0</v>
      </c>
      <c r="M13" s="139">
        <v>2.0</v>
      </c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</row>
    <row r="14" ht="12.75" customHeight="1">
      <c r="A14" s="120"/>
      <c r="B14" s="120"/>
      <c r="C14" s="71"/>
      <c r="D14" s="71"/>
      <c r="E14" s="71"/>
      <c r="F14" s="71"/>
      <c r="G14" s="71"/>
      <c r="H14" s="71"/>
      <c r="I14" s="71"/>
      <c r="J14" s="192">
        <v>2.0</v>
      </c>
      <c r="K14" s="192">
        <v>6.0</v>
      </c>
      <c r="L14" s="71"/>
      <c r="M14" s="71"/>
      <c r="N14" s="201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</row>
    <row r="15" ht="12.75" customHeight="1">
      <c r="A15" s="120"/>
      <c r="B15" s="120"/>
      <c r="C15" s="193"/>
      <c r="D15" s="11"/>
      <c r="E15" s="11"/>
      <c r="F15" s="11"/>
      <c r="G15" s="11"/>
      <c r="H15" s="11"/>
      <c r="I15" s="11"/>
      <c r="J15" s="11"/>
      <c r="K15" s="11"/>
      <c r="L15" s="11"/>
      <c r="M15" s="47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</row>
    <row r="16" ht="12.75" customHeight="1">
      <c r="A16" s="120"/>
      <c r="B16" s="120"/>
      <c r="C16" s="191" t="s">
        <v>204</v>
      </c>
      <c r="D16" s="138" t="s">
        <v>213</v>
      </c>
      <c r="E16" s="139" t="s">
        <v>123</v>
      </c>
      <c r="F16" s="139" t="s">
        <v>129</v>
      </c>
      <c r="G16" s="140" t="s">
        <v>198</v>
      </c>
      <c r="H16" s="139" t="s">
        <v>121</v>
      </c>
      <c r="I16" s="139" t="s">
        <v>246</v>
      </c>
      <c r="J16" s="192">
        <v>4.0</v>
      </c>
      <c r="K16" s="192">
        <v>6.0</v>
      </c>
      <c r="L16" s="139">
        <v>0.0</v>
      </c>
      <c r="M16" s="139">
        <v>2.0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</row>
    <row r="17" ht="12.75" customHeight="1">
      <c r="A17" s="120"/>
      <c r="B17" s="120"/>
      <c r="C17" s="71"/>
      <c r="D17" s="71"/>
      <c r="E17" s="71"/>
      <c r="F17" s="71"/>
      <c r="G17" s="71"/>
      <c r="H17" s="71"/>
      <c r="I17" s="71"/>
      <c r="J17" s="192">
        <v>3.0</v>
      </c>
      <c r="K17" s="192">
        <v>6.0</v>
      </c>
      <c r="L17" s="71"/>
      <c r="M17" s="71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</row>
    <row r="18" ht="12.75" customHeight="1">
      <c r="A18" s="120"/>
      <c r="B18" s="120"/>
      <c r="C18" s="202" t="s">
        <v>191</v>
      </c>
      <c r="D18" s="11"/>
      <c r="E18" s="11"/>
      <c r="F18" s="11"/>
      <c r="G18" s="11"/>
      <c r="H18" s="11"/>
      <c r="I18" s="11"/>
      <c r="J18" s="11"/>
      <c r="K18" s="11"/>
      <c r="L18" s="11"/>
      <c r="M18" s="47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</row>
    <row r="19" ht="12.75" customHeight="1">
      <c r="A19" s="120"/>
      <c r="B19" s="120"/>
      <c r="C19" s="191" t="s">
        <v>211</v>
      </c>
      <c r="D19" s="138" t="s">
        <v>209</v>
      </c>
      <c r="E19" s="139" t="s">
        <v>41</v>
      </c>
      <c r="F19" s="139" t="s">
        <v>49</v>
      </c>
      <c r="G19" s="140" t="s">
        <v>198</v>
      </c>
      <c r="H19" s="139" t="s">
        <v>39</v>
      </c>
      <c r="I19" s="139" t="s">
        <v>47</v>
      </c>
      <c r="J19" s="192">
        <v>4.0</v>
      </c>
      <c r="K19" s="192">
        <v>6.0</v>
      </c>
      <c r="L19" s="139">
        <v>0.0</v>
      </c>
      <c r="M19" s="139">
        <v>2.0</v>
      </c>
      <c r="N19" s="120"/>
      <c r="O19" s="120"/>
      <c r="P19" s="120"/>
      <c r="Q19" s="120"/>
      <c r="R19" s="120"/>
      <c r="S19" s="120"/>
      <c r="T19" s="120"/>
      <c r="U19" s="120"/>
      <c r="V19" s="120"/>
      <c r="W19" s="120"/>
      <c r="X19" s="120"/>
      <c r="Y19" s="120"/>
      <c r="Z19" s="120"/>
    </row>
    <row r="20" ht="12.75" customHeight="1">
      <c r="A20" s="120"/>
      <c r="B20" s="120"/>
      <c r="C20" s="71"/>
      <c r="D20" s="71"/>
      <c r="E20" s="71"/>
      <c r="F20" s="71"/>
      <c r="G20" s="71"/>
      <c r="H20" s="71"/>
      <c r="I20" s="71"/>
      <c r="J20" s="192">
        <v>5.0</v>
      </c>
      <c r="K20" s="192">
        <v>7.0</v>
      </c>
      <c r="L20" s="71"/>
      <c r="M20" s="71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</row>
    <row r="21" ht="12.75" customHeight="1">
      <c r="A21" s="120"/>
      <c r="B21" s="120"/>
      <c r="C21" s="202">
        <v>1.0</v>
      </c>
      <c r="D21" s="11"/>
      <c r="E21" s="11"/>
      <c r="F21" s="11"/>
      <c r="G21" s="11"/>
      <c r="H21" s="11"/>
      <c r="I21" s="11"/>
      <c r="J21" s="11"/>
      <c r="K21" s="11"/>
      <c r="L21" s="11"/>
      <c r="M21" s="47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</row>
    <row r="22" ht="12.75" customHeight="1">
      <c r="A22" s="120"/>
      <c r="B22" s="120"/>
      <c r="C22" s="191" t="s">
        <v>202</v>
      </c>
      <c r="D22" s="157" t="s">
        <v>203</v>
      </c>
      <c r="E22" s="139" t="s">
        <v>267</v>
      </c>
      <c r="F22" s="139" t="s">
        <v>147</v>
      </c>
      <c r="G22" s="140" t="s">
        <v>198</v>
      </c>
      <c r="H22" s="139" t="s">
        <v>151</v>
      </c>
      <c r="I22" s="139" t="s">
        <v>139</v>
      </c>
      <c r="J22" s="192">
        <v>1.0</v>
      </c>
      <c r="K22" s="192">
        <v>6.0</v>
      </c>
      <c r="L22" s="139">
        <v>0.0</v>
      </c>
      <c r="M22" s="139">
        <v>2.0</v>
      </c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</row>
    <row r="23" ht="12.75" customHeight="1">
      <c r="A23" s="120"/>
      <c r="B23" s="120"/>
      <c r="C23" s="71"/>
      <c r="D23" s="71"/>
      <c r="E23" s="71"/>
      <c r="F23" s="71"/>
      <c r="G23" s="71"/>
      <c r="H23" s="71"/>
      <c r="I23" s="71"/>
      <c r="J23" s="192">
        <v>4.0</v>
      </c>
      <c r="K23" s="192">
        <v>6.0</v>
      </c>
      <c r="L23" s="71"/>
      <c r="M23" s="71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</row>
    <row r="24" ht="12.75" customHeight="1">
      <c r="A24" s="120"/>
      <c r="B24" s="120"/>
      <c r="C24" s="193"/>
      <c r="D24" s="11"/>
      <c r="E24" s="11"/>
      <c r="F24" s="11"/>
      <c r="G24" s="11"/>
      <c r="H24" s="11"/>
      <c r="I24" s="11"/>
      <c r="J24" s="11"/>
      <c r="K24" s="11"/>
      <c r="L24" s="11"/>
      <c r="M24" s="47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</row>
    <row r="25" ht="12.75" customHeight="1">
      <c r="A25" s="120"/>
      <c r="B25" s="120"/>
      <c r="C25" s="195" t="s">
        <v>229</v>
      </c>
      <c r="D25" s="11"/>
      <c r="E25" s="11"/>
      <c r="F25" s="11"/>
      <c r="G25" s="11"/>
      <c r="H25" s="11"/>
      <c r="I25" s="47"/>
      <c r="J25" s="196">
        <f t="shared" ref="J25:M25" si="1">SUM(J13:J23)</f>
        <v>26</v>
      </c>
      <c r="K25" s="196">
        <f t="shared" si="1"/>
        <v>49</v>
      </c>
      <c r="L25" s="196">
        <f t="shared" si="1"/>
        <v>0</v>
      </c>
      <c r="M25" s="196">
        <f t="shared" si="1"/>
        <v>8</v>
      </c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</row>
    <row r="26" ht="12.75" customHeight="1">
      <c r="A26" s="120"/>
      <c r="B26" s="120"/>
      <c r="C26" s="193"/>
      <c r="D26" s="11"/>
      <c r="E26" s="11"/>
      <c r="F26" s="11"/>
      <c r="G26" s="11"/>
      <c r="H26" s="11"/>
      <c r="I26" s="11"/>
      <c r="J26" s="11"/>
      <c r="K26" s="11"/>
      <c r="L26" s="11"/>
      <c r="M26" s="47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</row>
    <row r="27" ht="12.75" customHeight="1">
      <c r="A27" s="120"/>
      <c r="B27" s="120"/>
      <c r="C27" s="197"/>
      <c r="D27" s="11"/>
      <c r="E27" s="11"/>
      <c r="F27" s="11"/>
      <c r="G27" s="11"/>
      <c r="H27" s="11"/>
      <c r="I27" s="11"/>
      <c r="J27" s="11"/>
      <c r="K27" s="11"/>
      <c r="L27" s="11"/>
      <c r="M27" s="47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</row>
    <row r="28" ht="12.75" customHeight="1">
      <c r="A28" s="120"/>
      <c r="B28" s="120"/>
      <c r="C28" s="191" t="s">
        <v>202</v>
      </c>
      <c r="D28" s="207"/>
      <c r="E28" s="176"/>
      <c r="F28" s="176"/>
      <c r="G28" s="140" t="s">
        <v>198</v>
      </c>
      <c r="H28" s="176"/>
      <c r="I28" s="176"/>
      <c r="J28" s="196"/>
      <c r="K28" s="196"/>
      <c r="L28" s="143"/>
      <c r="M28" s="143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</row>
    <row r="29" ht="12.75" customHeight="1">
      <c r="A29" s="120"/>
      <c r="B29" s="120"/>
      <c r="C29" s="71"/>
      <c r="D29" s="71"/>
      <c r="E29" s="71"/>
      <c r="F29" s="71"/>
      <c r="G29" s="71"/>
      <c r="H29" s="71"/>
      <c r="I29" s="71"/>
      <c r="J29" s="196"/>
      <c r="K29" s="196"/>
      <c r="L29" s="71"/>
      <c r="M29" s="71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</row>
    <row r="30" ht="12.75" customHeight="1">
      <c r="A30" s="120"/>
      <c r="B30" s="120"/>
      <c r="C30" s="193"/>
      <c r="D30" s="11"/>
      <c r="E30" s="11"/>
      <c r="F30" s="11"/>
      <c r="G30" s="11"/>
      <c r="H30" s="11"/>
      <c r="I30" s="11"/>
      <c r="J30" s="11"/>
      <c r="K30" s="11"/>
      <c r="L30" s="11"/>
      <c r="M30" s="47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</row>
    <row r="31" ht="12.75" customHeight="1">
      <c r="A31" s="120"/>
      <c r="B31" s="120"/>
      <c r="C31" s="191" t="s">
        <v>204</v>
      </c>
      <c r="D31" s="208"/>
      <c r="E31" s="176"/>
      <c r="F31" s="176"/>
      <c r="G31" s="140" t="s">
        <v>198</v>
      </c>
      <c r="H31" s="176"/>
      <c r="I31" s="176"/>
      <c r="J31" s="196"/>
      <c r="K31" s="196"/>
      <c r="L31" s="143"/>
      <c r="M31" s="143"/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</row>
    <row r="32" ht="12.75" customHeight="1">
      <c r="A32" s="120"/>
      <c r="B32" s="120"/>
      <c r="C32" s="71"/>
      <c r="D32" s="71"/>
      <c r="E32" s="71"/>
      <c r="F32" s="71"/>
      <c r="G32" s="71"/>
      <c r="H32" s="71"/>
      <c r="I32" s="71"/>
      <c r="J32" s="196"/>
      <c r="K32" s="196"/>
      <c r="L32" s="71"/>
      <c r="M32" s="71"/>
      <c r="N32" s="209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</row>
    <row r="33" ht="12.75" customHeight="1">
      <c r="A33" s="120"/>
      <c r="B33" s="120"/>
      <c r="C33" s="193"/>
      <c r="D33" s="11"/>
      <c r="E33" s="11"/>
      <c r="F33" s="11"/>
      <c r="G33" s="11"/>
      <c r="H33" s="11"/>
      <c r="I33" s="11"/>
      <c r="J33" s="11"/>
      <c r="K33" s="11"/>
      <c r="L33" s="11"/>
      <c r="M33" s="47"/>
      <c r="N33" s="210"/>
      <c r="O33" s="120"/>
      <c r="P33" s="120"/>
      <c r="Q33" s="120"/>
      <c r="R33" s="120" t="s">
        <v>227</v>
      </c>
      <c r="S33" s="120"/>
      <c r="T33" s="120"/>
      <c r="U33" s="120"/>
      <c r="V33" s="120"/>
      <c r="W33" s="120"/>
      <c r="X33" s="120"/>
      <c r="Y33" s="120"/>
      <c r="Z33" s="120"/>
    </row>
    <row r="34" ht="12.75" customHeight="1">
      <c r="A34" s="120"/>
      <c r="B34" s="120"/>
      <c r="C34" s="191" t="s">
        <v>211</v>
      </c>
      <c r="D34" s="208"/>
      <c r="E34" s="176"/>
      <c r="F34" s="176"/>
      <c r="G34" s="140" t="s">
        <v>198</v>
      </c>
      <c r="H34" s="176"/>
      <c r="I34" s="176"/>
      <c r="J34" s="196"/>
      <c r="K34" s="196"/>
      <c r="L34" s="143"/>
      <c r="M34" s="143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</row>
    <row r="35" ht="12.75" customHeight="1">
      <c r="A35" s="120"/>
      <c r="B35" s="120"/>
      <c r="C35" s="71"/>
      <c r="D35" s="71"/>
      <c r="E35" s="71"/>
      <c r="F35" s="71"/>
      <c r="G35" s="71"/>
      <c r="H35" s="71"/>
      <c r="I35" s="71"/>
      <c r="J35" s="196"/>
      <c r="K35" s="196"/>
      <c r="L35" s="71"/>
      <c r="M35" s="71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</row>
    <row r="36" ht="12.75" customHeight="1">
      <c r="A36" s="120"/>
      <c r="B36" s="120"/>
      <c r="C36" s="193"/>
      <c r="D36" s="11"/>
      <c r="E36" s="11"/>
      <c r="F36" s="11"/>
      <c r="G36" s="11"/>
      <c r="H36" s="11"/>
      <c r="I36" s="11"/>
      <c r="J36" s="11"/>
      <c r="K36" s="11"/>
      <c r="L36" s="11"/>
      <c r="M36" s="47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</row>
    <row r="37" ht="12.75" customHeight="1">
      <c r="A37" s="120"/>
      <c r="B37" s="120"/>
      <c r="C37" s="191" t="s">
        <v>204</v>
      </c>
      <c r="D37" s="175"/>
      <c r="E37" s="143"/>
      <c r="F37" s="143"/>
      <c r="G37" s="140"/>
      <c r="H37" s="143"/>
      <c r="I37" s="143"/>
      <c r="J37" s="196"/>
      <c r="K37" s="196"/>
      <c r="L37" s="143"/>
      <c r="M37" s="143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 ht="12.75" customHeight="1">
      <c r="A38" s="120"/>
      <c r="B38" s="120"/>
      <c r="C38" s="71"/>
      <c r="D38" s="71"/>
      <c r="E38" s="71"/>
      <c r="F38" s="71"/>
      <c r="G38" s="71"/>
      <c r="H38" s="71"/>
      <c r="I38" s="71"/>
      <c r="J38" s="196"/>
      <c r="K38" s="196"/>
      <c r="L38" s="71"/>
      <c r="M38" s="71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 ht="12.75" customHeight="1">
      <c r="A39" s="120"/>
      <c r="B39" s="120"/>
      <c r="C39" s="193"/>
      <c r="D39" s="11"/>
      <c r="E39" s="11"/>
      <c r="F39" s="11"/>
      <c r="G39" s="11"/>
      <c r="H39" s="11"/>
      <c r="I39" s="11"/>
      <c r="J39" s="11"/>
      <c r="K39" s="11"/>
      <c r="L39" s="11"/>
      <c r="M39" s="47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 ht="12.75" customHeight="1">
      <c r="A40" s="120"/>
      <c r="B40" s="120"/>
      <c r="C40" s="195" t="s">
        <v>268</v>
      </c>
      <c r="D40" s="11"/>
      <c r="E40" s="11"/>
      <c r="F40" s="11"/>
      <c r="G40" s="11"/>
      <c r="H40" s="11"/>
      <c r="I40" s="47"/>
      <c r="J40" s="196">
        <f t="shared" ref="J40:M40" si="2">SUM(J28:J38)</f>
        <v>0</v>
      </c>
      <c r="K40" s="196">
        <f t="shared" si="2"/>
        <v>0</v>
      </c>
      <c r="L40" s="196">
        <f t="shared" si="2"/>
        <v>0</v>
      </c>
      <c r="M40" s="196">
        <f t="shared" si="2"/>
        <v>0</v>
      </c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 ht="12.75" customHeight="1">
      <c r="A41" s="120"/>
      <c r="B41" s="120"/>
      <c r="C41" s="193"/>
      <c r="D41" s="11"/>
      <c r="E41" s="11"/>
      <c r="F41" s="11"/>
      <c r="G41" s="11"/>
      <c r="H41" s="11"/>
      <c r="I41" s="11"/>
      <c r="J41" s="11"/>
      <c r="K41" s="11"/>
      <c r="L41" s="11"/>
      <c r="M41" s="47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 ht="12.75" customHeight="1">
      <c r="A42" s="120"/>
      <c r="B42" s="120"/>
      <c r="C42" s="197" t="s">
        <v>234</v>
      </c>
      <c r="D42" s="11"/>
      <c r="E42" s="11"/>
      <c r="F42" s="11"/>
      <c r="G42" s="11"/>
      <c r="H42" s="11"/>
      <c r="I42" s="47"/>
      <c r="J42" s="198">
        <f t="shared" ref="J42:M42" si="3">J40+J25</f>
        <v>26</v>
      </c>
      <c r="K42" s="198">
        <f t="shared" si="3"/>
        <v>49</v>
      </c>
      <c r="L42" s="198">
        <f t="shared" si="3"/>
        <v>0</v>
      </c>
      <c r="M42" s="198">
        <f t="shared" si="3"/>
        <v>8</v>
      </c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 ht="12.75" customHeight="1">
      <c r="A43" s="120"/>
      <c r="B43" s="120"/>
      <c r="C43" s="193"/>
      <c r="D43" s="11"/>
      <c r="E43" s="11"/>
      <c r="F43" s="11"/>
      <c r="G43" s="11"/>
      <c r="H43" s="11"/>
      <c r="I43" s="11"/>
      <c r="J43" s="11"/>
      <c r="K43" s="11"/>
      <c r="L43" s="11"/>
      <c r="M43" s="47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 ht="12.75" customHeight="1">
      <c r="A44" s="120"/>
      <c r="B44" s="120"/>
      <c r="C44" s="189" t="s">
        <v>216</v>
      </c>
      <c r="D44" s="127"/>
      <c r="E44" s="127"/>
      <c r="F44" s="127"/>
      <c r="G44" s="127"/>
      <c r="H44" s="127"/>
      <c r="I44" s="127"/>
      <c r="J44" s="127"/>
      <c r="K44" s="127"/>
      <c r="L44" s="127"/>
      <c r="M44" s="188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 ht="12.75" customHeight="1">
      <c r="A45" s="120"/>
      <c r="B45" s="120"/>
      <c r="C45" s="166"/>
      <c r="D45" s="130"/>
      <c r="E45" s="130"/>
      <c r="F45" s="130"/>
      <c r="G45" s="130"/>
      <c r="H45" s="130"/>
      <c r="I45" s="130"/>
      <c r="J45" s="130"/>
      <c r="K45" s="130"/>
      <c r="L45" s="130"/>
      <c r="M45" s="164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 ht="12.75" customHeight="1">
      <c r="A46" s="120"/>
      <c r="B46" s="120"/>
      <c r="C46" s="134" t="s">
        <v>195</v>
      </c>
      <c r="D46" s="134" t="s">
        <v>196</v>
      </c>
      <c r="E46" s="135" t="s">
        <v>269</v>
      </c>
      <c r="F46" s="47"/>
      <c r="G46" s="134" t="s">
        <v>198</v>
      </c>
      <c r="H46" s="135" t="s">
        <v>225</v>
      </c>
      <c r="I46" s="47"/>
      <c r="J46" s="136" t="s">
        <v>200</v>
      </c>
      <c r="K46" s="47"/>
      <c r="L46" s="136" t="s">
        <v>201</v>
      </c>
      <c r="M46" s="47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 ht="12.75" customHeight="1">
      <c r="A47" s="120"/>
      <c r="B47" s="120"/>
      <c r="C47" s="211">
        <v>6.0</v>
      </c>
      <c r="D47" s="11"/>
      <c r="E47" s="11"/>
      <c r="F47" s="11"/>
      <c r="G47" s="11"/>
      <c r="H47" s="11"/>
      <c r="I47" s="11"/>
      <c r="J47" s="11"/>
      <c r="K47" s="11"/>
      <c r="L47" s="11"/>
      <c r="M47" s="47"/>
      <c r="N47" s="167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 ht="12.75" customHeight="1">
      <c r="A48" s="120"/>
      <c r="B48" s="120"/>
      <c r="C48" s="191" t="s">
        <v>202</v>
      </c>
      <c r="D48" s="138" t="s">
        <v>203</v>
      </c>
      <c r="E48" s="154" t="s">
        <v>142</v>
      </c>
      <c r="F48" s="154" t="s">
        <v>154</v>
      </c>
      <c r="G48" s="140" t="s">
        <v>198</v>
      </c>
      <c r="H48" s="154" t="s">
        <v>143</v>
      </c>
      <c r="I48" s="154" t="s">
        <v>149</v>
      </c>
      <c r="J48" s="192">
        <v>6.0</v>
      </c>
      <c r="K48" s="192">
        <v>2.0</v>
      </c>
      <c r="L48" s="139">
        <v>2.0</v>
      </c>
      <c r="M48" s="139">
        <v>0.0</v>
      </c>
      <c r="N48" s="167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 ht="12.75" customHeight="1">
      <c r="A49" s="120"/>
      <c r="B49" s="120"/>
      <c r="C49" s="71"/>
      <c r="D49" s="71"/>
      <c r="E49" s="71"/>
      <c r="F49" s="71"/>
      <c r="G49" s="71"/>
      <c r="H49" s="71"/>
      <c r="I49" s="71"/>
      <c r="J49" s="192">
        <v>6.0</v>
      </c>
      <c r="K49" s="192">
        <v>3.0</v>
      </c>
      <c r="L49" s="71"/>
      <c r="M49" s="71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 ht="12.75" customHeight="1">
      <c r="A50" s="120"/>
      <c r="B50" s="120"/>
      <c r="C50" s="193"/>
      <c r="D50" s="11"/>
      <c r="E50" s="11"/>
      <c r="F50" s="11"/>
      <c r="G50" s="11"/>
      <c r="H50" s="11"/>
      <c r="I50" s="11"/>
      <c r="J50" s="11"/>
      <c r="K50" s="11"/>
      <c r="L50" s="11"/>
      <c r="M50" s="47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 ht="12.75" customHeight="1">
      <c r="A51" s="120"/>
      <c r="B51" s="120"/>
      <c r="C51" s="191" t="s">
        <v>204</v>
      </c>
      <c r="D51" s="138" t="s">
        <v>212</v>
      </c>
      <c r="E51" s="154" t="s">
        <v>21</v>
      </c>
      <c r="F51" s="154" t="s">
        <v>28</v>
      </c>
      <c r="G51" s="140" t="s">
        <v>198</v>
      </c>
      <c r="H51" s="154" t="s">
        <v>22</v>
      </c>
      <c r="I51" s="154" t="s">
        <v>29</v>
      </c>
      <c r="J51" s="192">
        <v>6.0</v>
      </c>
      <c r="K51" s="192">
        <v>3.0</v>
      </c>
      <c r="L51" s="139">
        <v>1.0</v>
      </c>
      <c r="M51" s="139">
        <v>1.0</v>
      </c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 ht="12.75" customHeight="1">
      <c r="A52" s="120"/>
      <c r="B52" s="120"/>
      <c r="C52" s="71"/>
      <c r="D52" s="71"/>
      <c r="E52" s="71"/>
      <c r="F52" s="71"/>
      <c r="G52" s="71"/>
      <c r="H52" s="71"/>
      <c r="I52" s="71"/>
      <c r="J52" s="192">
        <v>2.0</v>
      </c>
      <c r="K52" s="192">
        <v>6.0</v>
      </c>
      <c r="L52" s="71"/>
      <c r="M52" s="71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 ht="12.75" customHeight="1">
      <c r="A53" s="120"/>
      <c r="B53" s="120"/>
      <c r="C53" s="193"/>
      <c r="D53" s="11"/>
      <c r="E53" s="11"/>
      <c r="F53" s="11"/>
      <c r="G53" s="11"/>
      <c r="H53" s="11"/>
      <c r="I53" s="11"/>
      <c r="J53" s="11"/>
      <c r="K53" s="11"/>
      <c r="L53" s="11"/>
      <c r="M53" s="47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 ht="12.75" customHeight="1">
      <c r="A54" s="120"/>
      <c r="B54" s="120"/>
      <c r="C54" s="191" t="s">
        <v>211</v>
      </c>
      <c r="D54" s="138" t="s">
        <v>209</v>
      </c>
      <c r="E54" s="154" t="s">
        <v>42</v>
      </c>
      <c r="F54" s="154" t="s">
        <v>57</v>
      </c>
      <c r="G54" s="140" t="s">
        <v>198</v>
      </c>
      <c r="H54" s="154" t="s">
        <v>43</v>
      </c>
      <c r="I54" s="154" t="s">
        <v>51</v>
      </c>
      <c r="J54" s="192">
        <v>4.0</v>
      </c>
      <c r="K54" s="192">
        <v>6.0</v>
      </c>
      <c r="L54" s="139">
        <v>0.0</v>
      </c>
      <c r="M54" s="139">
        <v>2.0</v>
      </c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 ht="12.75" customHeight="1">
      <c r="A55" s="120"/>
      <c r="B55" s="120"/>
      <c r="C55" s="71"/>
      <c r="D55" s="71"/>
      <c r="E55" s="71"/>
      <c r="F55" s="71"/>
      <c r="G55" s="71"/>
      <c r="H55" s="71"/>
      <c r="I55" s="71"/>
      <c r="J55" s="192">
        <v>1.0</v>
      </c>
      <c r="K55" s="192">
        <v>6.0</v>
      </c>
      <c r="L55" s="71"/>
      <c r="M55" s="71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 ht="12.75" customHeight="1">
      <c r="A56" s="120"/>
      <c r="B56" s="120"/>
      <c r="C56" s="193"/>
      <c r="D56" s="11"/>
      <c r="E56" s="11"/>
      <c r="F56" s="11"/>
      <c r="G56" s="11"/>
      <c r="H56" s="11"/>
      <c r="I56" s="11"/>
      <c r="J56" s="11"/>
      <c r="K56" s="11"/>
      <c r="L56" s="11"/>
      <c r="M56" s="47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 ht="12.75" customHeight="1">
      <c r="A57" s="120"/>
      <c r="B57" s="120"/>
      <c r="C57" s="191" t="s">
        <v>204</v>
      </c>
      <c r="D57" s="157" t="s">
        <v>210</v>
      </c>
      <c r="E57" s="154" t="s">
        <v>64</v>
      </c>
      <c r="F57" s="154" t="s">
        <v>71</v>
      </c>
      <c r="G57" s="140" t="s">
        <v>198</v>
      </c>
      <c r="H57" s="154" t="s">
        <v>72</v>
      </c>
      <c r="I57" s="154" t="s">
        <v>79</v>
      </c>
      <c r="J57" s="192">
        <v>6.0</v>
      </c>
      <c r="K57" s="192">
        <v>2.0</v>
      </c>
      <c r="L57" s="139">
        <v>2.0</v>
      </c>
      <c r="M57" s="139">
        <v>0.0</v>
      </c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 ht="12.75" customHeight="1">
      <c r="A58" s="120"/>
      <c r="B58" s="120"/>
      <c r="C58" s="71"/>
      <c r="D58" s="71"/>
      <c r="E58" s="71"/>
      <c r="F58" s="71"/>
      <c r="G58" s="71"/>
      <c r="H58" s="71"/>
      <c r="I58" s="71"/>
      <c r="J58" s="192">
        <v>6.0</v>
      </c>
      <c r="K58" s="192">
        <v>0.0</v>
      </c>
      <c r="L58" s="71"/>
      <c r="M58" s="71"/>
      <c r="N58" s="201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 ht="12.75" customHeight="1">
      <c r="A59" s="120"/>
      <c r="B59" s="120"/>
      <c r="C59" s="193"/>
      <c r="D59" s="11"/>
      <c r="E59" s="11"/>
      <c r="F59" s="11"/>
      <c r="G59" s="11"/>
      <c r="H59" s="11"/>
      <c r="I59" s="11"/>
      <c r="J59" s="11"/>
      <c r="K59" s="11"/>
      <c r="L59" s="11"/>
      <c r="M59" s="47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 ht="12.75" customHeight="1">
      <c r="A60" s="120"/>
      <c r="B60" s="120"/>
      <c r="C60" s="195" t="s">
        <v>229</v>
      </c>
      <c r="D60" s="11"/>
      <c r="E60" s="11"/>
      <c r="F60" s="11"/>
      <c r="G60" s="11"/>
      <c r="H60" s="11"/>
      <c r="I60" s="47"/>
      <c r="J60" s="196">
        <f t="shared" ref="J60:M60" si="4">SUM(J48:J58)</f>
        <v>37</v>
      </c>
      <c r="K60" s="196">
        <f t="shared" si="4"/>
        <v>28</v>
      </c>
      <c r="L60" s="196">
        <f t="shared" si="4"/>
        <v>5</v>
      </c>
      <c r="M60" s="196">
        <f t="shared" si="4"/>
        <v>3</v>
      </c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 ht="12.75" customHeight="1">
      <c r="A61" s="120"/>
      <c r="B61" s="120"/>
      <c r="C61" s="193"/>
      <c r="D61" s="11"/>
      <c r="E61" s="11"/>
      <c r="F61" s="11"/>
      <c r="G61" s="11"/>
      <c r="H61" s="11"/>
      <c r="I61" s="11"/>
      <c r="J61" s="11"/>
      <c r="K61" s="11"/>
      <c r="L61" s="11"/>
      <c r="M61" s="47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 ht="12.75" customHeight="1">
      <c r="A62" s="120"/>
      <c r="B62" s="120"/>
      <c r="C62" s="197"/>
      <c r="D62" s="11"/>
      <c r="E62" s="11"/>
      <c r="F62" s="11"/>
      <c r="G62" s="11"/>
      <c r="H62" s="11"/>
      <c r="I62" s="11"/>
      <c r="J62" s="11"/>
      <c r="K62" s="11"/>
      <c r="L62" s="11"/>
      <c r="M62" s="47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 ht="12.75" customHeight="1">
      <c r="A63" s="120"/>
      <c r="B63" s="120"/>
      <c r="C63" s="191" t="s">
        <v>202</v>
      </c>
      <c r="D63" s="138" t="s">
        <v>213</v>
      </c>
      <c r="E63" s="154" t="s">
        <v>270</v>
      </c>
      <c r="F63" s="154" t="s">
        <v>271</v>
      </c>
      <c r="G63" s="140" t="s">
        <v>198</v>
      </c>
      <c r="H63" s="154" t="s">
        <v>125</v>
      </c>
      <c r="I63" s="154" t="s">
        <v>131</v>
      </c>
      <c r="J63" s="192">
        <v>1.0</v>
      </c>
      <c r="K63" s="192">
        <v>6.0</v>
      </c>
      <c r="L63" s="139">
        <v>0.0</v>
      </c>
      <c r="M63" s="139">
        <v>2.0</v>
      </c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 ht="12.75" customHeight="1">
      <c r="A64" s="120"/>
      <c r="B64" s="120"/>
      <c r="C64" s="71"/>
      <c r="D64" s="71"/>
      <c r="E64" s="71"/>
      <c r="F64" s="71"/>
      <c r="G64" s="71"/>
      <c r="H64" s="71"/>
      <c r="I64" s="71"/>
      <c r="J64" s="192">
        <v>5.0</v>
      </c>
      <c r="K64" s="192">
        <v>7.0</v>
      </c>
      <c r="L64" s="71"/>
      <c r="M64" s="71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 ht="12.75" customHeight="1">
      <c r="A65" s="120"/>
      <c r="B65" s="120"/>
      <c r="C65" s="193"/>
      <c r="D65" s="11"/>
      <c r="E65" s="11"/>
      <c r="F65" s="11"/>
      <c r="G65" s="11"/>
      <c r="H65" s="11"/>
      <c r="I65" s="11"/>
      <c r="J65" s="11"/>
      <c r="K65" s="11"/>
      <c r="L65" s="11"/>
      <c r="M65" s="47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 ht="12.75" customHeight="1">
      <c r="A66" s="120"/>
      <c r="B66" s="120"/>
      <c r="C66" s="191" t="s">
        <v>204</v>
      </c>
      <c r="D66" s="138" t="s">
        <v>207</v>
      </c>
      <c r="E66" s="154" t="s">
        <v>272</v>
      </c>
      <c r="F66" s="154" t="s">
        <v>85</v>
      </c>
      <c r="G66" s="140" t="s">
        <v>198</v>
      </c>
      <c r="H66" s="154" t="s">
        <v>86</v>
      </c>
      <c r="I66" s="154" t="s">
        <v>100</v>
      </c>
      <c r="J66" s="192">
        <v>2.0</v>
      </c>
      <c r="K66" s="192">
        <v>6.0</v>
      </c>
      <c r="L66" s="139">
        <v>0.0</v>
      </c>
      <c r="M66" s="139">
        <v>2.0</v>
      </c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 ht="12.75" customHeight="1">
      <c r="A67" s="120"/>
      <c r="B67" s="120"/>
      <c r="C67" s="71"/>
      <c r="D67" s="71"/>
      <c r="E67" s="71"/>
      <c r="F67" s="71"/>
      <c r="G67" s="71"/>
      <c r="H67" s="71"/>
      <c r="I67" s="71"/>
      <c r="J67" s="192">
        <v>2.0</v>
      </c>
      <c r="K67" s="192">
        <v>6.0</v>
      </c>
      <c r="L67" s="71"/>
      <c r="M67" s="71"/>
      <c r="N67" s="209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 ht="12.75" customHeight="1">
      <c r="A68" s="120"/>
      <c r="B68" s="120"/>
      <c r="C68" s="193"/>
      <c r="D68" s="11"/>
      <c r="E68" s="11"/>
      <c r="F68" s="11"/>
      <c r="G68" s="11"/>
      <c r="H68" s="11"/>
      <c r="I68" s="11"/>
      <c r="J68" s="11"/>
      <c r="K68" s="11"/>
      <c r="L68" s="11"/>
      <c r="M68" s="47"/>
      <c r="N68" s="21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 ht="12.75" customHeight="1">
      <c r="A69" s="120"/>
      <c r="B69" s="120"/>
      <c r="C69" s="191" t="s">
        <v>211</v>
      </c>
      <c r="D69" s="208"/>
      <c r="E69" s="176"/>
      <c r="F69" s="176"/>
      <c r="G69" s="140" t="s">
        <v>198</v>
      </c>
      <c r="H69" s="176"/>
      <c r="I69" s="176"/>
      <c r="J69" s="196"/>
      <c r="K69" s="196"/>
      <c r="L69" s="143"/>
      <c r="M69" s="143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 ht="12.75" customHeight="1">
      <c r="A70" s="120"/>
      <c r="B70" s="120"/>
      <c r="C70" s="71"/>
      <c r="D70" s="71"/>
      <c r="E70" s="71"/>
      <c r="F70" s="71"/>
      <c r="G70" s="71"/>
      <c r="H70" s="71"/>
      <c r="I70" s="71"/>
      <c r="J70" s="196"/>
      <c r="K70" s="196"/>
      <c r="L70" s="71"/>
      <c r="M70" s="71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 ht="12.75" customHeight="1">
      <c r="A71" s="120"/>
      <c r="B71" s="120"/>
      <c r="C71" s="193"/>
      <c r="D71" s="11"/>
      <c r="E71" s="11"/>
      <c r="F71" s="11"/>
      <c r="G71" s="11"/>
      <c r="H71" s="11"/>
      <c r="I71" s="11"/>
      <c r="J71" s="11"/>
      <c r="K71" s="11"/>
      <c r="L71" s="11"/>
      <c r="M71" s="47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 ht="12.75" customHeight="1">
      <c r="A72" s="120"/>
      <c r="B72" s="120"/>
      <c r="C72" s="191" t="s">
        <v>204</v>
      </c>
      <c r="D72" s="175"/>
      <c r="E72" s="176"/>
      <c r="F72" s="176"/>
      <c r="G72" s="140" t="s">
        <v>198</v>
      </c>
      <c r="H72" s="176"/>
      <c r="I72" s="176"/>
      <c r="J72" s="196"/>
      <c r="K72" s="196"/>
      <c r="L72" s="143"/>
      <c r="M72" s="143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 ht="12.75" customHeight="1">
      <c r="A73" s="120"/>
      <c r="B73" s="120"/>
      <c r="C73" s="71"/>
      <c r="D73" s="71"/>
      <c r="E73" s="71"/>
      <c r="F73" s="71"/>
      <c r="G73" s="71"/>
      <c r="H73" s="71"/>
      <c r="I73" s="71"/>
      <c r="J73" s="196"/>
      <c r="K73" s="196"/>
      <c r="L73" s="71"/>
      <c r="M73" s="71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 ht="12.75" customHeight="1">
      <c r="A74" s="120"/>
      <c r="B74" s="120"/>
      <c r="C74" s="193"/>
      <c r="D74" s="11"/>
      <c r="E74" s="11"/>
      <c r="F74" s="11"/>
      <c r="G74" s="11"/>
      <c r="H74" s="11"/>
      <c r="I74" s="11"/>
      <c r="J74" s="11"/>
      <c r="K74" s="11"/>
      <c r="L74" s="11"/>
      <c r="M74" s="47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 ht="12.75" customHeight="1">
      <c r="A75" s="120"/>
      <c r="B75" s="120"/>
      <c r="C75" s="195" t="s">
        <v>268</v>
      </c>
      <c r="D75" s="11"/>
      <c r="E75" s="11"/>
      <c r="F75" s="11"/>
      <c r="G75" s="11"/>
      <c r="H75" s="11"/>
      <c r="I75" s="47"/>
      <c r="J75" s="196">
        <f t="shared" ref="J75:M75" si="5">SUM(J63:J73)</f>
        <v>10</v>
      </c>
      <c r="K75" s="196">
        <f t="shared" si="5"/>
        <v>25</v>
      </c>
      <c r="L75" s="196">
        <f t="shared" si="5"/>
        <v>0</v>
      </c>
      <c r="M75" s="196">
        <f t="shared" si="5"/>
        <v>4</v>
      </c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 ht="12.75" customHeight="1">
      <c r="A76" s="120"/>
      <c r="B76" s="120"/>
      <c r="C76" s="193"/>
      <c r="D76" s="11"/>
      <c r="E76" s="11"/>
      <c r="F76" s="11"/>
      <c r="G76" s="11"/>
      <c r="H76" s="11"/>
      <c r="I76" s="11"/>
      <c r="J76" s="11"/>
      <c r="K76" s="11"/>
      <c r="L76" s="11"/>
      <c r="M76" s="47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 ht="12.75" customHeight="1">
      <c r="A77" s="120"/>
      <c r="B77" s="120"/>
      <c r="C77" s="197" t="s">
        <v>234</v>
      </c>
      <c r="D77" s="11"/>
      <c r="E77" s="11"/>
      <c r="F77" s="11"/>
      <c r="G77" s="11"/>
      <c r="H77" s="11"/>
      <c r="I77" s="47"/>
      <c r="J77" s="198">
        <f t="shared" ref="J77:M77" si="6">J75+J60</f>
        <v>47</v>
      </c>
      <c r="K77" s="198">
        <f t="shared" si="6"/>
        <v>53</v>
      </c>
      <c r="L77" s="198">
        <f t="shared" si="6"/>
        <v>5</v>
      </c>
      <c r="M77" s="198">
        <f t="shared" si="6"/>
        <v>7</v>
      </c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 ht="12.75" customHeight="1">
      <c r="A78" s="120"/>
      <c r="B78" s="120"/>
      <c r="C78" s="193"/>
      <c r="D78" s="11"/>
      <c r="E78" s="11"/>
      <c r="F78" s="11"/>
      <c r="G78" s="11"/>
      <c r="H78" s="11"/>
      <c r="I78" s="11"/>
      <c r="J78" s="11"/>
      <c r="K78" s="11"/>
      <c r="L78" s="11"/>
      <c r="M78" s="47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 ht="12.75" customHeight="1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 ht="12.75" customHeight="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 ht="12.75" customHeight="1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 ht="12.75" customHeight="1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 ht="12.75" customHeight="1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 ht="12.75" customHeight="1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 ht="12.75" customHeight="1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 ht="12.75" customHeight="1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 ht="12.75" customHeight="1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 ht="12.75" customHeight="1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 ht="12.75" customHeight="1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 ht="12.75" customHeight="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 ht="12.75" customHeight="1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 ht="12.75" customHeight="1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 ht="12.75" customHeight="1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 ht="12.75" customHeight="1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 ht="12.75" customHeight="1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 ht="12.75" customHeight="1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 ht="12.75" customHeight="1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 ht="12.75" customHeight="1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 ht="12.75" customHeight="1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 ht="12.75" customHeight="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 ht="12.75" customHeight="1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 ht="12.75" customHeight="1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 ht="12.75" customHeight="1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 ht="12.75" customHeight="1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 ht="12.75" customHeight="1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 ht="12.75" customHeight="1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 ht="12.75" customHeight="1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 ht="12.75" customHeight="1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 ht="12.75" customHeight="1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 ht="12.75" customHeight="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 ht="12.75" customHeight="1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 ht="12.75" customHeight="1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 ht="12.75" customHeight="1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ht="12.75" customHeight="1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t="12.75" customHeight="1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t="12.75" customHeight="1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t="12.75" customHeight="1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 ht="12.75" customHeight="1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 ht="12.75" customHeight="1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t="12.75" customHeight="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 ht="12.75" customHeight="1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 ht="12.75" customHeight="1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 ht="12.75" customHeight="1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 ht="12.75" customHeight="1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ht="12.75" customHeight="1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t="12.75" customHeight="1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t="12.75" customHeight="1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t="12.75" customHeight="1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 ht="12.75" customHeight="1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 ht="12.75" customHeight="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 ht="12.75" customHeight="1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 ht="12.75" customHeight="1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 ht="12.75" customHeight="1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 ht="12.75" customHeight="1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 ht="12.75" customHeight="1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t="12.75" customHeight="1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t="12.75" customHeight="1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t="12.75" customHeight="1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t="12.75" customHeight="1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 ht="12.75" customHeight="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 ht="12.75" customHeight="1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t="12.75" customHeight="1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t="12.75" customHeight="1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t="12.75" customHeight="1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t="12.75" customHeight="1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t="12.75" customHeight="1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 ht="12.75" customHeight="1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 ht="12.75" customHeight="1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 ht="12.75" customHeight="1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 ht="12.75" customHeight="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 ht="12.75" customHeight="1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 ht="12.75" customHeight="1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 ht="12.75" customHeight="1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 ht="12.75" customHeight="1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 ht="12.75" customHeight="1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 ht="12.75" customHeight="1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 ht="12.75" customHeight="1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 ht="12.75" customHeight="1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 ht="12.75" customHeight="1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 ht="12.75" customHeight="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 ht="12.75" customHeight="1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 ht="12.75" customHeight="1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 ht="12.75" customHeight="1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 ht="12.75" customHeight="1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 ht="12.75" customHeight="1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 ht="12.75" customHeight="1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 ht="12.75" customHeight="1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 ht="12.75" customHeight="1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 ht="12.75" customHeight="1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 ht="12.75" customHeight="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 ht="12.75" customHeight="1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 ht="12.75" customHeight="1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 ht="12.75" customHeight="1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 ht="12.75" customHeight="1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 ht="12.75" customHeight="1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 ht="12.75" customHeight="1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 ht="12.75" customHeight="1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 ht="12.75" customHeight="1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 ht="12.75" customHeight="1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 ht="12.75" customHeight="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 ht="12.75" customHeight="1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 ht="12.75" customHeight="1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 ht="12.75" customHeight="1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 ht="12.75" customHeight="1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 ht="12.75" customHeight="1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 ht="12.75" customHeight="1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 ht="12.75" customHeight="1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 ht="12.75" customHeight="1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 ht="12.75" customHeight="1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 ht="12.75" customHeight="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 ht="12.75" customHeight="1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 ht="12.75" customHeight="1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 ht="12.75" customHeight="1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 ht="12.75" customHeight="1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 ht="12.75" customHeight="1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 ht="12.75" customHeight="1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 ht="12.75" customHeight="1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 ht="12.75" customHeight="1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 ht="12.75" customHeight="1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 ht="12.75" customHeight="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 ht="12.75" customHeight="1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 ht="12.75" customHeight="1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 ht="12.75" customHeight="1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 ht="12.75" customHeight="1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 ht="12.75" customHeight="1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 ht="12.75" customHeight="1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 ht="12.75" customHeight="1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 ht="12.75" customHeight="1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 ht="12.75" customHeight="1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 ht="12.75" customHeight="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 ht="12.75" customHeight="1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 ht="12.75" customHeight="1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 ht="12.75" customHeight="1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 ht="12.75" customHeight="1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 ht="12.75" customHeight="1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 ht="12.75" customHeight="1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 ht="12.75" customHeight="1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 ht="12.75" customHeight="1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 ht="12.75" customHeight="1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 ht="12.75" customHeight="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 ht="12.75" customHeight="1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 ht="12.75" customHeight="1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 ht="12.75" customHeight="1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 ht="12.75" customHeight="1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 ht="12.75" customHeight="1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 ht="12.75" customHeight="1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 ht="12.75" customHeight="1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 ht="12.75" customHeight="1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 ht="12.75" customHeight="1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 ht="12.75" customHeight="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 ht="12.75" customHeight="1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 ht="12.75" customHeight="1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 ht="12.75" customHeight="1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 ht="12.75" customHeight="1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 ht="12.75" customHeight="1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 ht="12.75" customHeight="1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 ht="12.75" customHeight="1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 ht="12.75" customHeight="1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 ht="12.75" customHeight="1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 ht="12.75" customHeight="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 ht="12.75" customHeight="1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 ht="12.75" customHeight="1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 ht="12.75" customHeight="1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 ht="12.75" customHeight="1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 ht="12.75" customHeight="1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 ht="12.75" customHeight="1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 ht="12.75" customHeight="1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 ht="12.75" customHeight="1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 ht="12.75" customHeight="1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 ht="12.75" customHeight="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 ht="12.75" customHeight="1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 ht="12.75" customHeight="1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 ht="12.75" customHeight="1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 ht="12.75" customHeight="1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 ht="12.75" customHeight="1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 ht="12.75" customHeight="1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 ht="12.75" customHeight="1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 ht="12.75" customHeight="1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 ht="12.75" customHeight="1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 ht="12.75" customHeight="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 ht="12.75" customHeight="1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 ht="12.75" customHeight="1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 ht="12.75" customHeight="1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 ht="12.75" customHeight="1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 ht="12.75" customHeight="1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 ht="12.75" customHeight="1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 ht="12.75" customHeight="1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 ht="12.75" customHeight="1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 ht="12.75" customHeight="1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 ht="12.75" customHeight="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 ht="12.75" customHeight="1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 ht="12.75" customHeight="1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 ht="12.75" customHeight="1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 ht="12.75" customHeight="1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 ht="12.75" customHeight="1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 ht="12.75" customHeight="1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 ht="12.75" customHeight="1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 ht="12.75" customHeight="1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 ht="12.75" customHeight="1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 ht="12.75" customHeight="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 ht="12.75" customHeight="1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 ht="12.75" customHeight="1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 ht="12.75" customHeight="1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 ht="12.75" customHeight="1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 ht="12.75" customHeight="1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 ht="12.75" customHeight="1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 ht="12.75" customHeight="1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 ht="12.75" customHeight="1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 ht="12.75" customHeight="1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 ht="12.75" customHeight="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 ht="12.75" customHeight="1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 ht="12.75" customHeight="1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 ht="12.75" customHeight="1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 ht="12.75" customHeight="1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 ht="12.75" customHeight="1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 ht="12.75" customHeight="1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 ht="12.75" customHeight="1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 ht="12.75" customHeight="1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 ht="12.75" customHeight="1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 ht="12.75" customHeight="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 ht="12.75" customHeight="1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 ht="12.75" customHeight="1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 ht="12.75" customHeight="1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 ht="12.75" customHeight="1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 ht="12.75" customHeight="1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 ht="12.75" customHeight="1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 ht="12.75" customHeight="1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 ht="12.75" customHeight="1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 ht="12.75" customHeight="1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 ht="12.75" customHeight="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 ht="12.75" customHeight="1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 ht="12.75" customHeight="1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 ht="12.75" customHeight="1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 ht="12.75" customHeight="1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 ht="12.75" customHeight="1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 ht="12.75" customHeight="1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 ht="12.75" customHeight="1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 ht="12.75" customHeight="1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 ht="12.75" customHeight="1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 ht="12.75" customHeight="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 ht="12.75" customHeight="1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 ht="12.75" customHeight="1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 ht="12.75" customHeight="1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 ht="12.75" customHeight="1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 ht="12.75" customHeight="1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 ht="12.75" customHeight="1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 ht="12.75" customHeight="1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 ht="12.75" customHeight="1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 ht="12.75" customHeight="1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 ht="12.75" customHeight="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 ht="12.75" customHeight="1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 ht="12.75" customHeight="1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 ht="12.75" customHeight="1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 ht="12.75" customHeight="1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 ht="12.75" customHeight="1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 ht="12.75" customHeight="1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 ht="12.75" customHeight="1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 ht="12.75" customHeight="1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 ht="12.75" customHeight="1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 ht="12.75" customHeight="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 ht="12.75" customHeight="1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 ht="12.75" customHeight="1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 ht="12.75" customHeight="1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 ht="12.75" customHeight="1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 ht="12.75" customHeight="1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 ht="12.75" customHeight="1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 ht="12.75" customHeight="1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 ht="12.75" customHeight="1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 ht="12.75" customHeight="1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 ht="12.75" customHeight="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 ht="12.75" customHeight="1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 ht="12.75" customHeight="1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 ht="12.75" customHeight="1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 ht="12.75" customHeight="1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 ht="12.75" customHeight="1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 ht="12.75" customHeight="1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 ht="12.75" customHeight="1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 ht="12.75" customHeight="1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 ht="12.75" customHeight="1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 ht="12.75" customHeight="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 ht="12.75" customHeight="1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 ht="12.75" customHeight="1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 ht="12.75" customHeight="1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 ht="12.75" customHeight="1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 ht="12.75" customHeight="1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 ht="12.75" customHeight="1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 ht="12.75" customHeight="1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 ht="12.75" customHeight="1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 ht="12.75" customHeight="1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 ht="12.75" customHeight="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 ht="12.75" customHeight="1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 ht="12.75" customHeight="1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 ht="12.75" customHeight="1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 ht="12.75" customHeight="1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 ht="12.75" customHeight="1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 ht="12.75" customHeight="1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 ht="12.75" customHeight="1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 ht="12.75" customHeight="1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 ht="12.75" customHeight="1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 ht="12.75" customHeight="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 ht="12.75" customHeight="1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 ht="12.75" customHeight="1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 ht="12.75" customHeight="1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 ht="12.75" customHeight="1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 ht="12.75" customHeight="1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 ht="12.75" customHeight="1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 ht="12.75" customHeight="1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 ht="12.75" customHeight="1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 ht="12.75" customHeight="1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 ht="12.75" customHeight="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 ht="12.75" customHeight="1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 ht="12.75" customHeight="1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 ht="12.75" customHeight="1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 ht="12.75" customHeight="1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 ht="12.75" customHeight="1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 ht="12.75" customHeight="1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 ht="12.75" customHeight="1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 ht="12.75" customHeight="1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 ht="12.75" customHeight="1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 ht="12.75" customHeight="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 ht="12.75" customHeight="1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 ht="12.75" customHeight="1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 ht="12.75" customHeight="1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 ht="12.75" customHeight="1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 ht="12.75" customHeight="1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 ht="12.75" customHeight="1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 ht="12.75" customHeight="1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 ht="12.75" customHeight="1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 ht="12.75" customHeight="1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 ht="12.75" customHeight="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 ht="12.75" customHeight="1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 ht="12.75" customHeight="1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 ht="12.75" customHeight="1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 ht="12.75" customHeight="1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 ht="12.75" customHeight="1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 ht="12.75" customHeight="1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 ht="12.75" customHeight="1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 ht="12.75" customHeight="1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 ht="12.75" customHeight="1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 ht="12.75" customHeight="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 ht="12.75" customHeight="1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 ht="12.75" customHeight="1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 ht="12.75" customHeight="1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 ht="12.75" customHeight="1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 ht="12.75" customHeight="1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 ht="12.75" customHeight="1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 ht="12.75" customHeight="1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 ht="12.75" customHeight="1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 ht="12.75" customHeight="1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 ht="12.75" customHeight="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 ht="12.75" customHeight="1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 ht="12.75" customHeight="1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 ht="12.75" customHeight="1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 ht="12.75" customHeight="1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 ht="12.75" customHeight="1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 ht="12.75" customHeight="1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 ht="12.75" customHeight="1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 ht="12.75" customHeight="1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 ht="12.75" customHeight="1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 ht="12.75" customHeight="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 ht="12.75" customHeight="1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 ht="12.75" customHeight="1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 ht="12.75" customHeight="1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 ht="12.75" customHeight="1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 ht="12.75" customHeight="1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 ht="12.75" customHeight="1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 ht="12.75" customHeight="1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 ht="12.75" customHeight="1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 ht="12.75" customHeight="1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 ht="12.75" customHeight="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 ht="12.75" customHeight="1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 ht="12.75" customHeight="1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 ht="12.75" customHeight="1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 ht="12.75" customHeight="1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 ht="12.75" customHeight="1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 ht="12.75" customHeight="1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 ht="12.75" customHeight="1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 ht="12.75" customHeight="1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 ht="12.75" customHeight="1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 ht="12.75" customHeight="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 ht="12.75" customHeight="1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 ht="12.75" customHeight="1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 ht="12.75" customHeight="1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 ht="12.75" customHeight="1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 ht="12.75" customHeight="1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 ht="12.75" customHeight="1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 ht="12.75" customHeight="1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 ht="12.75" customHeight="1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 ht="12.75" customHeight="1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 ht="12.75" customHeight="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 ht="12.75" customHeight="1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 ht="12.75" customHeight="1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 ht="12.75" customHeight="1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 ht="12.75" customHeight="1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 ht="12.75" customHeight="1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 ht="12.75" customHeight="1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 ht="12.75" customHeight="1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 ht="12.75" customHeight="1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 ht="12.75" customHeight="1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 ht="12.75" customHeight="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 ht="12.75" customHeight="1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 ht="12.75" customHeight="1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 ht="12.75" customHeight="1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 ht="12.75" customHeight="1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 ht="12.75" customHeight="1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 ht="12.75" customHeight="1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 ht="12.75" customHeight="1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 ht="12.75" customHeight="1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 ht="12.75" customHeight="1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 ht="12.75" customHeight="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 ht="12.75" customHeight="1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 ht="12.75" customHeight="1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 ht="12.75" customHeight="1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 ht="12.75" customHeight="1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 ht="12.75" customHeight="1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 ht="12.75" customHeight="1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 ht="12.75" customHeight="1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 ht="12.75" customHeight="1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 ht="12.75" customHeight="1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 ht="12.75" customHeight="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 ht="12.75" customHeight="1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 ht="12.75" customHeight="1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 ht="12.75" customHeight="1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 ht="12.75" customHeight="1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 ht="12.75" customHeight="1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 ht="12.75" customHeight="1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 ht="12.75" customHeight="1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 ht="12.75" customHeight="1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 ht="12.75" customHeight="1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 ht="12.75" customHeight="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 ht="12.75" customHeight="1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 ht="12.75" customHeight="1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 ht="12.75" customHeight="1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 ht="12.75" customHeight="1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 ht="12.75" customHeight="1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 ht="12.75" customHeight="1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 ht="12.75" customHeight="1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 ht="12.75" customHeight="1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 ht="12.75" customHeight="1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 ht="12.75" customHeight="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 ht="12.75" customHeight="1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 ht="12.75" customHeight="1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 ht="12.75" customHeight="1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 ht="12.75" customHeight="1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 ht="12.75" customHeight="1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 ht="12.75" customHeight="1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 ht="12.75" customHeight="1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 ht="12.75" customHeight="1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 ht="12.75" customHeight="1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 ht="12.75" customHeight="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 ht="12.75" customHeight="1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 ht="12.75" customHeight="1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 ht="12.75" customHeight="1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 ht="12.75" customHeight="1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 ht="12.75" customHeight="1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 ht="12.75" customHeight="1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 ht="12.75" customHeight="1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 ht="12.75" customHeight="1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 ht="12.75" customHeight="1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 ht="12.75" customHeight="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 ht="12.75" customHeight="1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 ht="12.75" customHeight="1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 ht="12.75" customHeight="1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 ht="12.75" customHeight="1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 ht="12.75" customHeight="1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 ht="12.75" customHeight="1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 ht="12.75" customHeight="1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 ht="12.75" customHeight="1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 ht="12.75" customHeight="1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 ht="12.75" customHeight="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 ht="12.75" customHeight="1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 ht="12.75" customHeight="1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 ht="12.75" customHeight="1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 ht="12.75" customHeight="1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 ht="12.75" customHeight="1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 ht="12.75" customHeight="1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 ht="12.75" customHeight="1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 ht="12.75" customHeight="1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 ht="12.75" customHeight="1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 ht="12.75" customHeight="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 ht="12.75" customHeight="1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 ht="12.75" customHeight="1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 ht="12.75" customHeight="1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 ht="12.75" customHeight="1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 ht="12.75" customHeight="1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 ht="12.75" customHeight="1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 ht="12.75" customHeight="1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 ht="12.75" customHeight="1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 ht="12.75" customHeight="1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 ht="12.75" customHeight="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 ht="12.75" customHeight="1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 ht="12.75" customHeight="1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 ht="12.75" customHeight="1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 ht="12.75" customHeight="1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 ht="12.75" customHeight="1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 ht="12.75" customHeight="1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 ht="12.75" customHeight="1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 ht="12.75" customHeight="1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 ht="12.75" customHeight="1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 ht="12.75" customHeight="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 ht="12.75" customHeight="1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 ht="12.75" customHeight="1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 ht="12.75" customHeight="1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 ht="12.75" customHeight="1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 ht="12.75" customHeight="1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 ht="12.75" customHeight="1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 ht="12.75" customHeight="1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 ht="12.75" customHeight="1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 ht="12.75" customHeight="1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 ht="12.75" customHeight="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 ht="12.75" customHeight="1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 ht="12.75" customHeight="1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 ht="12.75" customHeight="1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 ht="12.75" customHeight="1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 ht="12.75" customHeight="1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 ht="12.75" customHeight="1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 ht="12.75" customHeight="1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 ht="12.75" customHeight="1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 ht="12.75" customHeight="1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 ht="12.75" customHeight="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 ht="12.75" customHeight="1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 ht="12.75" customHeight="1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 ht="12.75" customHeight="1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 ht="12.75" customHeight="1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 ht="12.75" customHeight="1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 ht="12.75" customHeight="1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 ht="12.75" customHeight="1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 ht="12.75" customHeight="1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 ht="12.75" customHeight="1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 ht="12.75" customHeight="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 ht="12.75" customHeight="1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 ht="12.75" customHeight="1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 ht="12.75" customHeight="1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 ht="12.75" customHeight="1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 ht="12.75" customHeight="1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 ht="12.75" customHeight="1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 ht="12.75" customHeight="1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 ht="12.75" customHeight="1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 ht="12.75" customHeight="1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 ht="12.75" customHeight="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 ht="12.75" customHeight="1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 ht="12.75" customHeight="1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 ht="12.75" customHeight="1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 ht="12.75" customHeight="1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 ht="12.75" customHeight="1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 ht="12.75" customHeight="1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 ht="12.75" customHeight="1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 ht="12.75" customHeight="1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 ht="12.75" customHeight="1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 ht="12.75" customHeight="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 ht="12.75" customHeight="1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 ht="12.75" customHeight="1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 ht="12.75" customHeight="1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 ht="12.75" customHeight="1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 ht="12.75" customHeight="1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 ht="12.75" customHeight="1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 ht="12.75" customHeight="1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 ht="12.75" customHeight="1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 ht="12.75" customHeight="1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 ht="12.75" customHeight="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 ht="12.75" customHeight="1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 ht="12.75" customHeight="1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 ht="12.75" customHeight="1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 ht="12.75" customHeight="1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 ht="12.75" customHeight="1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 ht="12.75" customHeight="1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 ht="12.75" customHeight="1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 ht="12.75" customHeight="1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 ht="12.75" customHeight="1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 ht="12.75" customHeight="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 ht="12.75" customHeight="1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 ht="12.75" customHeight="1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 ht="12.75" customHeight="1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 ht="12.75" customHeight="1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 ht="12.75" customHeight="1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 ht="12.75" customHeight="1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 ht="12.75" customHeight="1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 ht="12.75" customHeight="1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 ht="12.75" customHeight="1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 ht="12.75" customHeight="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 ht="12.75" customHeight="1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 ht="12.75" customHeight="1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 ht="12.75" customHeight="1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 ht="12.75" customHeight="1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 ht="12.75" customHeight="1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 ht="12.75" customHeight="1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 ht="12.75" customHeight="1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 ht="12.75" customHeight="1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 ht="12.75" customHeight="1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 ht="12.75" customHeight="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 ht="12.75" customHeight="1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 ht="12.75" customHeight="1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 ht="12.75" customHeight="1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 ht="12.75" customHeight="1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 ht="12.75" customHeight="1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 ht="12.75" customHeight="1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 ht="12.75" customHeight="1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 ht="12.75" customHeight="1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 ht="12.75" customHeight="1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 ht="12.75" customHeight="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 ht="12.75" customHeight="1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 ht="12.75" customHeight="1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 ht="12.75" customHeight="1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 ht="12.75" customHeight="1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 ht="12.75" customHeight="1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 ht="12.75" customHeight="1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 ht="12.75" customHeight="1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 ht="12.75" customHeight="1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 ht="12.75" customHeight="1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 ht="12.75" customHeight="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 ht="12.75" customHeight="1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 ht="12.75" customHeight="1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 ht="12.75" customHeight="1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 ht="12.75" customHeight="1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 ht="12.75" customHeight="1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 ht="12.75" customHeight="1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 ht="12.75" customHeight="1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 ht="12.75" customHeight="1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 ht="12.75" customHeight="1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 ht="12.75" customHeight="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 ht="12.75" customHeight="1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 ht="12.75" customHeight="1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 ht="12.75" customHeight="1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 ht="12.75" customHeight="1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 ht="12.75" customHeight="1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 ht="12.75" customHeight="1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 ht="12.75" customHeight="1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 ht="12.75" customHeight="1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 ht="12.75" customHeight="1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 ht="12.75" customHeight="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 ht="12.75" customHeight="1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 ht="12.75" customHeight="1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 ht="12.75" customHeight="1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 ht="12.75" customHeight="1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 ht="12.75" customHeight="1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 ht="12.75" customHeight="1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 ht="12.75" customHeight="1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 ht="12.75" customHeight="1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 ht="12.75" customHeight="1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 ht="12.75" customHeight="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 ht="12.75" customHeight="1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 ht="12.75" customHeight="1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 ht="12.75" customHeight="1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 ht="12.75" customHeight="1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 ht="12.75" customHeight="1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 ht="12.75" customHeight="1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 ht="12.75" customHeight="1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 ht="12.75" customHeight="1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 ht="12.75" customHeight="1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 ht="12.75" customHeight="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 ht="12.75" customHeight="1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 ht="12.75" customHeight="1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 ht="12.75" customHeight="1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 ht="12.75" customHeight="1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 ht="12.75" customHeight="1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 ht="12.75" customHeight="1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 ht="12.75" customHeight="1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 ht="12.75" customHeight="1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 ht="12.75" customHeight="1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 ht="12.75" customHeight="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 ht="12.75" customHeight="1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 ht="12.75" customHeight="1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 ht="12.75" customHeight="1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 ht="12.75" customHeight="1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 ht="12.75" customHeight="1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 ht="12.75" customHeight="1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 ht="12.75" customHeight="1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 ht="12.75" customHeight="1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 ht="12.75" customHeight="1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 ht="12.75" customHeight="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 ht="12.75" customHeight="1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 ht="12.75" customHeight="1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 ht="12.75" customHeight="1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 ht="12.75" customHeight="1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 ht="12.75" customHeight="1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 ht="12.75" customHeight="1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 ht="12.75" customHeight="1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 ht="12.75" customHeight="1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 ht="12.75" customHeight="1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 ht="12.75" customHeight="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 ht="12.75" customHeight="1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 ht="12.75" customHeight="1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 ht="12.75" customHeight="1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 ht="12.75" customHeight="1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 ht="12.75" customHeight="1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 ht="12.75" customHeight="1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 ht="12.75" customHeight="1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 ht="12.75" customHeight="1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 ht="12.75" customHeight="1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 ht="12.75" customHeight="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 ht="12.75" customHeight="1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 ht="12.75" customHeight="1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 ht="12.75" customHeight="1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 ht="12.75" customHeight="1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 ht="12.75" customHeight="1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 ht="12.75" customHeight="1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 ht="12.75" customHeight="1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 ht="12.75" customHeight="1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 ht="12.75" customHeight="1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 ht="12.75" customHeight="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 ht="12.75" customHeight="1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 ht="12.75" customHeight="1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 ht="12.75" customHeight="1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 ht="12.75" customHeight="1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 ht="12.75" customHeight="1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 ht="12.75" customHeight="1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 ht="12.75" customHeight="1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 ht="12.75" customHeight="1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 ht="12.75" customHeight="1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 ht="12.75" customHeight="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 ht="12.75" customHeight="1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 ht="12.75" customHeight="1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 ht="12.75" customHeight="1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 ht="12.75" customHeight="1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 ht="12.75" customHeight="1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 ht="12.75" customHeight="1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 ht="12.75" customHeight="1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 ht="12.75" customHeight="1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 ht="12.75" customHeight="1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 ht="12.75" customHeight="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 ht="12.75" customHeight="1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 ht="12.75" customHeight="1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 ht="12.75" customHeight="1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 ht="12.75" customHeight="1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 ht="12.75" customHeight="1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 ht="12.75" customHeight="1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 ht="12.75" customHeight="1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 ht="12.75" customHeight="1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 ht="12.75" customHeight="1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 ht="12.75" customHeight="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 ht="12.75" customHeight="1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 ht="12.75" customHeight="1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 ht="12.75" customHeight="1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 ht="12.75" customHeight="1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 ht="12.75" customHeight="1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 ht="12.75" customHeight="1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 ht="12.75" customHeight="1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 ht="12.75" customHeight="1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 ht="12.75" customHeight="1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 ht="12.75" customHeight="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 ht="12.75" customHeight="1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 ht="12.75" customHeight="1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 ht="12.75" customHeight="1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 ht="12.75" customHeight="1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 ht="12.75" customHeight="1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 ht="12.75" customHeight="1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 ht="12.75" customHeight="1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 ht="12.75" customHeight="1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 ht="12.75" customHeight="1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 ht="12.75" customHeight="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 ht="12.75" customHeight="1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 ht="12.75" customHeight="1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 ht="12.75" customHeight="1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 ht="12.75" customHeight="1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 ht="12.75" customHeight="1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 ht="12.75" customHeight="1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 ht="12.75" customHeight="1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 ht="12.75" customHeight="1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 ht="12.75" customHeight="1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 ht="12.75" customHeight="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 ht="12.75" customHeight="1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 ht="12.75" customHeight="1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 ht="12.75" customHeight="1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 ht="12.75" customHeight="1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 ht="12.75" customHeight="1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 ht="12.75" customHeight="1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 ht="12.75" customHeight="1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 ht="12.75" customHeight="1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 ht="12.75" customHeight="1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 ht="12.75" customHeight="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 ht="12.75" customHeight="1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 ht="12.75" customHeight="1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 ht="12.75" customHeight="1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 ht="12.75" customHeight="1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 ht="12.75" customHeight="1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 ht="12.75" customHeight="1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 ht="12.75" customHeight="1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 ht="12.75" customHeight="1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 ht="12.75" customHeight="1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 ht="12.75" customHeight="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 ht="12.75" customHeight="1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 ht="12.75" customHeight="1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 ht="12.75" customHeight="1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 ht="12.75" customHeight="1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 ht="12.75" customHeight="1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 ht="12.75" customHeight="1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 ht="12.75" customHeight="1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 ht="12.75" customHeight="1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 ht="12.75" customHeight="1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 ht="12.75" customHeight="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 ht="12.75" customHeight="1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 ht="12.75" customHeight="1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 ht="12.75" customHeight="1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 ht="12.75" customHeight="1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 ht="12.75" customHeight="1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 ht="12.75" customHeight="1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 ht="12.75" customHeight="1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 ht="12.75" customHeight="1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 ht="12.75" customHeight="1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 ht="12.75" customHeight="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 ht="12.75" customHeight="1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 ht="12.75" customHeight="1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 ht="12.75" customHeight="1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 ht="12.75" customHeight="1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 ht="12.75" customHeight="1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 ht="12.75" customHeight="1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 ht="12.75" customHeight="1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 ht="12.75" customHeight="1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 ht="12.75" customHeight="1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 ht="12.75" customHeight="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 ht="12.75" customHeight="1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 ht="12.75" customHeight="1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 ht="12.75" customHeight="1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 ht="12.75" customHeight="1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 ht="12.75" customHeight="1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 ht="12.75" customHeight="1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 ht="12.75" customHeight="1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 ht="12.75" customHeight="1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 ht="12.75" customHeight="1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 ht="12.75" customHeight="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 ht="12.75" customHeight="1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 ht="12.75" customHeight="1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 ht="12.75" customHeight="1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 ht="12.75" customHeight="1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 ht="12.75" customHeight="1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 ht="12.75" customHeight="1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 ht="12.75" customHeight="1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 ht="12.75" customHeight="1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 ht="12.75" customHeight="1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 ht="12.75" customHeight="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 ht="12.75" customHeight="1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 ht="12.75" customHeight="1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 ht="12.75" customHeight="1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 ht="12.75" customHeight="1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 ht="12.75" customHeight="1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 ht="12.75" customHeight="1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 ht="12.75" customHeight="1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 ht="12.75" customHeight="1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 ht="12.75" customHeight="1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 ht="12.75" customHeight="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 ht="12.75" customHeight="1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 ht="12.75" customHeight="1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 ht="12.75" customHeight="1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 ht="12.75" customHeight="1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 ht="12.75" customHeight="1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 ht="12.75" customHeight="1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 ht="12.75" customHeight="1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 ht="12.75" customHeight="1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 ht="12.75" customHeight="1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 ht="12.75" customHeight="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 ht="12.75" customHeight="1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 ht="12.75" customHeight="1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 ht="12.75" customHeight="1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 ht="12.75" customHeight="1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 ht="12.75" customHeight="1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 ht="12.75" customHeight="1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 ht="12.75" customHeight="1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 ht="12.75" customHeight="1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 ht="12.75" customHeight="1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 ht="12.75" customHeight="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 ht="12.75" customHeight="1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 ht="12.75" customHeight="1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 ht="12.75" customHeight="1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 ht="12.75" customHeight="1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 ht="12.75" customHeight="1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 ht="12.75" customHeight="1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 ht="12.75" customHeight="1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 ht="12.75" customHeight="1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 ht="12.75" customHeight="1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 ht="12.75" customHeight="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 ht="12.75" customHeight="1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 ht="12.75" customHeight="1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 ht="12.75" customHeight="1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 ht="12.75" customHeight="1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 ht="12.75" customHeight="1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 ht="12.75" customHeight="1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 ht="12.75" customHeight="1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 ht="12.75" customHeight="1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 ht="12.75" customHeight="1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 ht="12.75" customHeight="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 ht="12.75" customHeight="1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 ht="12.75" customHeight="1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 ht="12.75" customHeight="1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 ht="12.75" customHeight="1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 ht="12.75" customHeight="1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 ht="12.75" customHeight="1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 ht="12.75" customHeight="1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 ht="12.75" customHeight="1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 ht="12.75" customHeight="1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 ht="12.75" customHeight="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 ht="12.75" customHeight="1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 ht="12.75" customHeight="1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 ht="12.75" customHeight="1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 ht="12.75" customHeight="1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 ht="12.75" customHeight="1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 ht="12.75" customHeight="1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 ht="12.75" customHeight="1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 ht="12.75" customHeight="1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 ht="12.75" customHeight="1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 ht="12.75" customHeight="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 ht="12.75" customHeight="1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 ht="12.75" customHeight="1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 ht="12.75" customHeight="1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 ht="12.75" customHeight="1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 ht="12.75" customHeight="1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 ht="12.75" customHeight="1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 ht="12.75" customHeight="1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 ht="12.75" customHeight="1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 ht="12.75" customHeight="1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 ht="12.75" customHeight="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 ht="12.75" customHeight="1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 ht="12.75" customHeight="1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 ht="12.75" customHeight="1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 ht="12.75" customHeight="1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 ht="12.75" customHeight="1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 ht="12.75" customHeight="1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  <row r="998" ht="12.75" customHeight="1">
      <c r="A998" s="120"/>
      <c r="B998" s="120"/>
      <c r="C998" s="120"/>
      <c r="D998" s="120"/>
      <c r="E998" s="120"/>
      <c r="F998" s="120"/>
      <c r="G998" s="120"/>
      <c r="H998" s="120"/>
      <c r="I998" s="120"/>
      <c r="J998" s="120"/>
      <c r="K998" s="120"/>
      <c r="L998" s="120"/>
      <c r="M998" s="120"/>
      <c r="N998" s="120"/>
      <c r="O998" s="120"/>
      <c r="P998" s="120"/>
      <c r="Q998" s="120"/>
      <c r="R998" s="120"/>
      <c r="S998" s="120"/>
      <c r="T998" s="120"/>
      <c r="U998" s="120"/>
      <c r="V998" s="120"/>
      <c r="W998" s="120"/>
      <c r="X998" s="120"/>
      <c r="Y998" s="120"/>
      <c r="Z998" s="120"/>
    </row>
    <row r="999" ht="12.75" customHeight="1">
      <c r="A999" s="120"/>
      <c r="B999" s="120"/>
      <c r="C999" s="120"/>
      <c r="D999" s="120"/>
      <c r="E999" s="120"/>
      <c r="F999" s="120"/>
      <c r="G999" s="120"/>
      <c r="H999" s="120"/>
      <c r="I999" s="120"/>
      <c r="J999" s="120"/>
      <c r="K999" s="120"/>
      <c r="L999" s="120"/>
      <c r="M999" s="120"/>
      <c r="N999" s="120"/>
      <c r="O999" s="120"/>
      <c r="P999" s="120"/>
      <c r="Q999" s="120"/>
      <c r="R999" s="120"/>
      <c r="S999" s="120"/>
      <c r="T999" s="120"/>
      <c r="U999" s="120"/>
      <c r="V999" s="120"/>
      <c r="W999" s="120"/>
      <c r="X999" s="120"/>
      <c r="Y999" s="120"/>
      <c r="Z999" s="120"/>
    </row>
    <row r="1000" ht="12.75" customHeight="1">
      <c r="A1000" s="120"/>
      <c r="B1000" s="120"/>
      <c r="C1000" s="120"/>
      <c r="D1000" s="120"/>
      <c r="E1000" s="120"/>
      <c r="F1000" s="120"/>
      <c r="G1000" s="120"/>
      <c r="H1000" s="120"/>
      <c r="I1000" s="120"/>
      <c r="J1000" s="120"/>
      <c r="K1000" s="120"/>
      <c r="L1000" s="120"/>
      <c r="M1000" s="120"/>
      <c r="N1000" s="120"/>
      <c r="O1000" s="120"/>
      <c r="P1000" s="120"/>
      <c r="Q1000" s="120"/>
      <c r="R1000" s="120"/>
      <c r="S1000" s="120"/>
      <c r="T1000" s="120"/>
      <c r="U1000" s="120"/>
      <c r="V1000" s="120"/>
      <c r="W1000" s="120"/>
      <c r="X1000" s="120"/>
      <c r="Y1000" s="120"/>
      <c r="Z1000" s="120"/>
    </row>
  </sheetData>
  <mergeCells count="191">
    <mergeCell ref="L54:L55"/>
    <mergeCell ref="M54:M55"/>
    <mergeCell ref="D54:D55"/>
    <mergeCell ref="E54:E55"/>
    <mergeCell ref="F54:F55"/>
    <mergeCell ref="G54:G55"/>
    <mergeCell ref="H54:H55"/>
    <mergeCell ref="I54:I55"/>
    <mergeCell ref="C56:M56"/>
    <mergeCell ref="I37:I38"/>
    <mergeCell ref="L37:L38"/>
    <mergeCell ref="M37:M38"/>
    <mergeCell ref="C39:M39"/>
    <mergeCell ref="C40:I40"/>
    <mergeCell ref="C41:M41"/>
    <mergeCell ref="C42:I42"/>
    <mergeCell ref="C43:M43"/>
    <mergeCell ref="C44:M45"/>
    <mergeCell ref="E46:F46"/>
    <mergeCell ref="H46:I46"/>
    <mergeCell ref="J46:K46"/>
    <mergeCell ref="L46:M46"/>
    <mergeCell ref="C47:M47"/>
    <mergeCell ref="L48:L49"/>
    <mergeCell ref="M48:M49"/>
    <mergeCell ref="L51:L52"/>
    <mergeCell ref="M51:M52"/>
    <mergeCell ref="L57:L58"/>
    <mergeCell ref="M57:M58"/>
    <mergeCell ref="N58:N59"/>
    <mergeCell ref="D48:D49"/>
    <mergeCell ref="E48:E49"/>
    <mergeCell ref="F48:F49"/>
    <mergeCell ref="G48:G49"/>
    <mergeCell ref="H48:H49"/>
    <mergeCell ref="I48:I49"/>
    <mergeCell ref="C50:M50"/>
    <mergeCell ref="I51:I52"/>
    <mergeCell ref="C53:M53"/>
    <mergeCell ref="C48:C49"/>
    <mergeCell ref="C51:C52"/>
    <mergeCell ref="D51:D52"/>
    <mergeCell ref="E51:E52"/>
    <mergeCell ref="F51:F52"/>
    <mergeCell ref="G51:G52"/>
    <mergeCell ref="H51:H52"/>
    <mergeCell ref="C54:C55"/>
    <mergeCell ref="C57:C58"/>
    <mergeCell ref="D57:D58"/>
    <mergeCell ref="E57:E58"/>
    <mergeCell ref="F57:F58"/>
    <mergeCell ref="G57:G58"/>
    <mergeCell ref="H57:H58"/>
    <mergeCell ref="L19:L20"/>
    <mergeCell ref="M19:M20"/>
    <mergeCell ref="D19:D20"/>
    <mergeCell ref="E19:E20"/>
    <mergeCell ref="F19:F20"/>
    <mergeCell ref="G19:G20"/>
    <mergeCell ref="H19:H20"/>
    <mergeCell ref="I19:I20"/>
    <mergeCell ref="C21:M21"/>
    <mergeCell ref="C19:C20"/>
    <mergeCell ref="C22:C23"/>
    <mergeCell ref="D22:D23"/>
    <mergeCell ref="E22:E23"/>
    <mergeCell ref="F22:F23"/>
    <mergeCell ref="G22:G23"/>
    <mergeCell ref="H22:H23"/>
    <mergeCell ref="I22:I23"/>
    <mergeCell ref="L22:L23"/>
    <mergeCell ref="M22:M23"/>
    <mergeCell ref="C24:M24"/>
    <mergeCell ref="C25:I25"/>
    <mergeCell ref="C26:M26"/>
    <mergeCell ref="C27:M27"/>
    <mergeCell ref="L28:L29"/>
    <mergeCell ref="M28:M29"/>
    <mergeCell ref="D28:D29"/>
    <mergeCell ref="E28:E29"/>
    <mergeCell ref="F28:F29"/>
    <mergeCell ref="G28:G29"/>
    <mergeCell ref="H28:H29"/>
    <mergeCell ref="I28:I29"/>
    <mergeCell ref="C30:M30"/>
    <mergeCell ref="I31:I32"/>
    <mergeCell ref="L31:L32"/>
    <mergeCell ref="M31:M32"/>
    <mergeCell ref="C33:M33"/>
    <mergeCell ref="C28:C29"/>
    <mergeCell ref="C31:C32"/>
    <mergeCell ref="D31:D32"/>
    <mergeCell ref="E31:E32"/>
    <mergeCell ref="F31:F32"/>
    <mergeCell ref="G31:G32"/>
    <mergeCell ref="H31:H32"/>
    <mergeCell ref="L34:L35"/>
    <mergeCell ref="M34:M35"/>
    <mergeCell ref="D34:D35"/>
    <mergeCell ref="E34:E35"/>
    <mergeCell ref="F34:F35"/>
    <mergeCell ref="G34:G35"/>
    <mergeCell ref="H34:H35"/>
    <mergeCell ref="I34:I35"/>
    <mergeCell ref="C36:M36"/>
    <mergeCell ref="C1:M3"/>
    <mergeCell ref="C6:M6"/>
    <mergeCell ref="C7:M8"/>
    <mergeCell ref="C9:M10"/>
    <mergeCell ref="E11:F11"/>
    <mergeCell ref="H11:I11"/>
    <mergeCell ref="J11:K11"/>
    <mergeCell ref="H13:H14"/>
    <mergeCell ref="I13:I14"/>
    <mergeCell ref="L13:L14"/>
    <mergeCell ref="M13:M14"/>
    <mergeCell ref="N14:N15"/>
    <mergeCell ref="L16:L17"/>
    <mergeCell ref="M16:M17"/>
    <mergeCell ref="L11:M11"/>
    <mergeCell ref="C12:M12"/>
    <mergeCell ref="D13:D14"/>
    <mergeCell ref="E13:E14"/>
    <mergeCell ref="F13:F14"/>
    <mergeCell ref="G13:G14"/>
    <mergeCell ref="C15:M15"/>
    <mergeCell ref="I16:I17"/>
    <mergeCell ref="C18:M18"/>
    <mergeCell ref="C13:C14"/>
    <mergeCell ref="C16:C17"/>
    <mergeCell ref="D16:D17"/>
    <mergeCell ref="E16:E17"/>
    <mergeCell ref="F16:F17"/>
    <mergeCell ref="G16:G17"/>
    <mergeCell ref="H16:H17"/>
    <mergeCell ref="C34:C35"/>
    <mergeCell ref="C37:C38"/>
    <mergeCell ref="D37:D38"/>
    <mergeCell ref="E37:E38"/>
    <mergeCell ref="F37:F38"/>
    <mergeCell ref="G37:G38"/>
    <mergeCell ref="H37:H38"/>
    <mergeCell ref="L69:L70"/>
    <mergeCell ref="M69:M70"/>
    <mergeCell ref="D69:D70"/>
    <mergeCell ref="E69:E70"/>
    <mergeCell ref="F69:F70"/>
    <mergeCell ref="G69:G70"/>
    <mergeCell ref="H69:H70"/>
    <mergeCell ref="I69:I70"/>
    <mergeCell ref="C71:M71"/>
    <mergeCell ref="G63:G64"/>
    <mergeCell ref="H63:H64"/>
    <mergeCell ref="I63:I64"/>
    <mergeCell ref="L63:L64"/>
    <mergeCell ref="M63:M64"/>
    <mergeCell ref="C65:M65"/>
    <mergeCell ref="I57:I58"/>
    <mergeCell ref="C59:M59"/>
    <mergeCell ref="C60:I60"/>
    <mergeCell ref="C61:M61"/>
    <mergeCell ref="C62:M62"/>
    <mergeCell ref="C63:C64"/>
    <mergeCell ref="D63:D64"/>
    <mergeCell ref="H66:H67"/>
    <mergeCell ref="I66:I67"/>
    <mergeCell ref="L66:L67"/>
    <mergeCell ref="M66:M67"/>
    <mergeCell ref="C68:M68"/>
    <mergeCell ref="E63:E64"/>
    <mergeCell ref="F63:F64"/>
    <mergeCell ref="C66:C67"/>
    <mergeCell ref="D66:D67"/>
    <mergeCell ref="E66:E67"/>
    <mergeCell ref="F66:F67"/>
    <mergeCell ref="G66:G67"/>
    <mergeCell ref="I72:I73"/>
    <mergeCell ref="L72:L73"/>
    <mergeCell ref="M72:M73"/>
    <mergeCell ref="C74:M74"/>
    <mergeCell ref="C75:I75"/>
    <mergeCell ref="C76:M76"/>
    <mergeCell ref="C77:I77"/>
    <mergeCell ref="C78:M78"/>
    <mergeCell ref="C69:C70"/>
    <mergeCell ref="C72:C73"/>
    <mergeCell ref="D72:D73"/>
    <mergeCell ref="E72:E73"/>
    <mergeCell ref="F72:F73"/>
    <mergeCell ref="G72:G73"/>
    <mergeCell ref="H72:H73"/>
  </mergeCells>
  <printOptions gridLines="1"/>
  <pageMargins bottom="0.75" footer="0.0" header="0.0" left="0.25" right="0.3774392331393359" top="0.75"/>
  <pageSetup paperSize="9" scale="90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hidden="1" min="1" max="1" width="2.71"/>
    <col customWidth="1" min="2" max="2" width="2.71"/>
    <col customWidth="1" min="3" max="3" width="7.57"/>
    <col customWidth="1" min="4" max="4" width="9.86"/>
    <col customWidth="1" min="5" max="5" width="17.86"/>
    <col customWidth="1" min="6" max="6" width="16.29"/>
    <col customWidth="1" min="7" max="7" width="4.86"/>
    <col customWidth="1" min="8" max="8" width="18.71"/>
    <col customWidth="1" min="9" max="9" width="18.14"/>
    <col customWidth="1" min="10" max="13" width="5.71"/>
    <col customWidth="1" min="14" max="17" width="9.14"/>
    <col customWidth="1" min="18" max="26" width="8.0"/>
  </cols>
  <sheetData>
    <row r="1" ht="12.75" customHeight="1">
      <c r="A1" s="120"/>
      <c r="B1" s="120"/>
      <c r="C1" s="186" t="s">
        <v>192</v>
      </c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 ht="12.75" customHeight="1">
      <c r="A2" s="120"/>
      <c r="B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 ht="12.75" customHeight="1">
      <c r="A3" s="120"/>
      <c r="B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 ht="12.75" customHeight="1">
      <c r="A4" s="120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</row>
    <row r="5" ht="13.5" customHeight="1">
      <c r="A5" s="120"/>
      <c r="B5" s="120"/>
      <c r="C5" s="120"/>
      <c r="D5" s="120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</row>
    <row r="6" ht="19.5" customHeight="1">
      <c r="A6" s="120"/>
      <c r="B6" s="120"/>
      <c r="C6" s="212" t="s">
        <v>273</v>
      </c>
      <c r="D6" s="37"/>
      <c r="E6" s="37"/>
      <c r="F6" s="37"/>
      <c r="G6" s="37"/>
      <c r="H6" s="37"/>
      <c r="I6" s="37"/>
      <c r="J6" s="37"/>
      <c r="K6" s="37"/>
      <c r="L6" s="37"/>
      <c r="M6" s="38"/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</row>
    <row r="7" ht="4.5" customHeight="1">
      <c r="A7" s="120"/>
      <c r="B7" s="120"/>
      <c r="C7" s="126"/>
      <c r="D7" s="127"/>
      <c r="E7" s="127"/>
      <c r="F7" s="127"/>
      <c r="G7" s="127"/>
      <c r="H7" s="127"/>
      <c r="I7" s="127"/>
      <c r="J7" s="127"/>
      <c r="K7" s="127"/>
      <c r="L7" s="127"/>
      <c r="M7" s="128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</row>
    <row r="8" ht="4.5" customHeight="1">
      <c r="A8" s="120"/>
      <c r="B8" s="120"/>
      <c r="C8" s="129"/>
      <c r="D8" s="130"/>
      <c r="E8" s="130"/>
      <c r="F8" s="130"/>
      <c r="G8" s="130"/>
      <c r="H8" s="130"/>
      <c r="I8" s="130"/>
      <c r="J8" s="130"/>
      <c r="K8" s="130"/>
      <c r="L8" s="130"/>
      <c r="M8" s="131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</row>
    <row r="9" ht="12.75" customHeight="1">
      <c r="A9" s="120"/>
      <c r="B9" s="120"/>
      <c r="C9" s="132"/>
      <c r="D9" s="127"/>
      <c r="E9" s="127"/>
      <c r="F9" s="127"/>
      <c r="G9" s="127"/>
      <c r="H9" s="127"/>
      <c r="I9" s="127"/>
      <c r="J9" s="127"/>
      <c r="K9" s="127"/>
      <c r="L9" s="127"/>
      <c r="M9" s="128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</row>
    <row r="10" ht="12.75" customHeight="1">
      <c r="A10" s="120"/>
      <c r="B10" s="120"/>
      <c r="C10" s="129"/>
      <c r="D10" s="130"/>
      <c r="E10" s="130"/>
      <c r="F10" s="130"/>
      <c r="G10" s="130"/>
      <c r="H10" s="130"/>
      <c r="I10" s="130"/>
      <c r="J10" s="130"/>
      <c r="K10" s="130"/>
      <c r="L10" s="130"/>
      <c r="M10" s="131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</row>
    <row r="11" ht="19.5" customHeight="1">
      <c r="A11" s="120"/>
      <c r="B11" s="120"/>
      <c r="C11" s="133" t="s">
        <v>195</v>
      </c>
      <c r="D11" s="134" t="s">
        <v>196</v>
      </c>
      <c r="E11" s="135" t="s">
        <v>274</v>
      </c>
      <c r="F11" s="47"/>
      <c r="G11" s="134" t="s">
        <v>198</v>
      </c>
      <c r="H11" s="135" t="s">
        <v>218</v>
      </c>
      <c r="I11" s="47"/>
      <c r="J11" s="136" t="s">
        <v>200</v>
      </c>
      <c r="K11" s="47"/>
      <c r="L11" s="136" t="s">
        <v>201</v>
      </c>
      <c r="M11" s="12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</row>
    <row r="12" ht="12.75" customHeight="1">
      <c r="A12" s="120"/>
      <c r="B12" s="120"/>
      <c r="C12" s="213"/>
      <c r="M12" s="122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</row>
    <row r="13" ht="12.0" customHeight="1">
      <c r="A13" s="120"/>
      <c r="B13" s="120"/>
      <c r="C13" s="137" t="s">
        <v>202</v>
      </c>
      <c r="D13" s="138" t="s">
        <v>207</v>
      </c>
      <c r="E13" s="139" t="s">
        <v>82</v>
      </c>
      <c r="F13" s="139" t="s">
        <v>96</v>
      </c>
      <c r="G13" s="140" t="s">
        <v>198</v>
      </c>
      <c r="H13" s="139" t="s">
        <v>85</v>
      </c>
      <c r="I13" s="139" t="s">
        <v>99</v>
      </c>
      <c r="J13" s="141">
        <v>6.0</v>
      </c>
      <c r="K13" s="142">
        <v>2.0</v>
      </c>
      <c r="L13" s="139">
        <v>2.0</v>
      </c>
      <c r="M13" s="149">
        <v>0.0</v>
      </c>
      <c r="N13" s="209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</row>
    <row r="14" ht="12.0" customHeight="1">
      <c r="A14" s="120"/>
      <c r="B14" s="120"/>
      <c r="C14" s="145"/>
      <c r="D14" s="71"/>
      <c r="E14" s="71"/>
      <c r="F14" s="71"/>
      <c r="G14" s="71"/>
      <c r="H14" s="71"/>
      <c r="I14" s="71"/>
      <c r="J14" s="146">
        <v>6.0</v>
      </c>
      <c r="K14" s="147">
        <v>4.0</v>
      </c>
      <c r="L14" s="71"/>
      <c r="M14" s="72"/>
      <c r="N14" s="167" t="s">
        <v>275</v>
      </c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</row>
    <row r="15" ht="12.0" customHeight="1">
      <c r="A15" s="120"/>
      <c r="B15" s="120"/>
      <c r="C15" s="148"/>
      <c r="D15" s="11"/>
      <c r="E15" s="11"/>
      <c r="F15" s="11"/>
      <c r="G15" s="11"/>
      <c r="H15" s="11"/>
      <c r="I15" s="11"/>
      <c r="J15" s="11"/>
      <c r="K15" s="11"/>
      <c r="L15" s="11"/>
      <c r="M15" s="12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</row>
    <row r="16" ht="12.0" customHeight="1">
      <c r="A16" s="120"/>
      <c r="B16" s="120"/>
      <c r="C16" s="137" t="s">
        <v>202</v>
      </c>
      <c r="D16" s="138" t="s">
        <v>212</v>
      </c>
      <c r="E16" s="139" t="s">
        <v>18</v>
      </c>
      <c r="F16" s="139" t="s">
        <v>25</v>
      </c>
      <c r="G16" s="140" t="s">
        <v>198</v>
      </c>
      <c r="H16" s="139" t="s">
        <v>21</v>
      </c>
      <c r="I16" s="139" t="s">
        <v>28</v>
      </c>
      <c r="J16" s="141">
        <v>7.0</v>
      </c>
      <c r="K16" s="142">
        <v>6.0</v>
      </c>
      <c r="L16" s="139">
        <v>1.0</v>
      </c>
      <c r="M16" s="149">
        <v>1.0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</row>
    <row r="17" ht="12.0" customHeight="1">
      <c r="A17" s="120"/>
      <c r="B17" s="120"/>
      <c r="C17" s="145"/>
      <c r="D17" s="71"/>
      <c r="E17" s="71"/>
      <c r="F17" s="71"/>
      <c r="G17" s="71"/>
      <c r="H17" s="71"/>
      <c r="I17" s="71"/>
      <c r="J17" s="146">
        <v>3.0</v>
      </c>
      <c r="K17" s="147">
        <v>6.0</v>
      </c>
      <c r="L17" s="71"/>
      <c r="M17" s="72"/>
      <c r="N17" s="214"/>
      <c r="O17" s="120"/>
      <c r="P17" s="120" t="s">
        <v>227</v>
      </c>
      <c r="Q17" s="120"/>
      <c r="R17" s="120"/>
      <c r="S17" s="120"/>
      <c r="T17" s="120"/>
      <c r="U17" s="120"/>
      <c r="V17" s="120"/>
      <c r="W17" s="120"/>
      <c r="X17" s="120"/>
      <c r="Y17" s="120"/>
      <c r="Z17" s="120"/>
    </row>
    <row r="18" ht="12.0" customHeight="1">
      <c r="A18" s="120"/>
      <c r="B18" s="120"/>
      <c r="C18" s="148"/>
      <c r="D18" s="11"/>
      <c r="E18" s="11"/>
      <c r="F18" s="11"/>
      <c r="G18" s="11"/>
      <c r="H18" s="11"/>
      <c r="I18" s="11"/>
      <c r="J18" s="11"/>
      <c r="K18" s="11"/>
      <c r="L18" s="11"/>
      <c r="M18" s="12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/>
      <c r="Z18" s="120"/>
    </row>
    <row r="19" ht="12.0" customHeight="1">
      <c r="A19" s="120"/>
      <c r="B19" s="120"/>
      <c r="C19" s="137" t="s">
        <v>202</v>
      </c>
      <c r="D19" s="138" t="s">
        <v>205</v>
      </c>
      <c r="E19" s="139" t="s">
        <v>103</v>
      </c>
      <c r="F19" s="139" t="s">
        <v>109</v>
      </c>
      <c r="G19" s="140" t="s">
        <v>198</v>
      </c>
      <c r="H19" s="139" t="s">
        <v>112</v>
      </c>
      <c r="I19" s="139" t="s">
        <v>106</v>
      </c>
      <c r="J19" s="141">
        <v>1.0</v>
      </c>
      <c r="K19" s="142">
        <v>6.0</v>
      </c>
      <c r="L19" s="139">
        <v>1.0</v>
      </c>
      <c r="M19" s="149">
        <v>1.0</v>
      </c>
      <c r="N19" s="120"/>
      <c r="O19" s="120"/>
      <c r="P19" s="120"/>
      <c r="Q19" s="120"/>
      <c r="R19" s="120"/>
      <c r="S19" s="120"/>
      <c r="T19" s="120"/>
      <c r="U19" s="120"/>
      <c r="V19" s="120"/>
      <c r="W19" s="120"/>
      <c r="X19" s="120"/>
      <c r="Y19" s="120"/>
      <c r="Z19" s="120"/>
    </row>
    <row r="20" ht="12.0" customHeight="1">
      <c r="A20" s="120"/>
      <c r="B20" s="120"/>
      <c r="C20" s="145"/>
      <c r="D20" s="71"/>
      <c r="E20" s="71"/>
      <c r="F20" s="71"/>
      <c r="G20" s="71"/>
      <c r="H20" s="71"/>
      <c r="I20" s="71"/>
      <c r="J20" s="146">
        <v>6.0</v>
      </c>
      <c r="K20" s="147">
        <v>4.0</v>
      </c>
      <c r="L20" s="71"/>
      <c r="M20" s="72"/>
      <c r="N20" s="214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</row>
    <row r="21" ht="12.0" customHeight="1">
      <c r="A21" s="120"/>
      <c r="B21" s="120"/>
      <c r="C21" s="148"/>
      <c r="D21" s="11"/>
      <c r="E21" s="11"/>
      <c r="F21" s="11"/>
      <c r="G21" s="11"/>
      <c r="H21" s="11"/>
      <c r="I21" s="11"/>
      <c r="J21" s="11"/>
      <c r="K21" s="11"/>
      <c r="L21" s="11"/>
      <c r="M21" s="12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</row>
    <row r="22" ht="12.0" customHeight="1">
      <c r="A22" s="120"/>
      <c r="B22" s="120"/>
      <c r="C22" s="137" t="s">
        <v>204</v>
      </c>
      <c r="D22" s="138" t="s">
        <v>213</v>
      </c>
      <c r="E22" s="139" t="s">
        <v>121</v>
      </c>
      <c r="F22" s="139" t="s">
        <v>276</v>
      </c>
      <c r="G22" s="140" t="s">
        <v>198</v>
      </c>
      <c r="H22" s="139" t="s">
        <v>124</v>
      </c>
      <c r="I22" s="139" t="s">
        <v>130</v>
      </c>
      <c r="J22" s="141">
        <v>6.0</v>
      </c>
      <c r="K22" s="142">
        <v>2.0</v>
      </c>
      <c r="L22" s="139">
        <v>2.0</v>
      </c>
      <c r="M22" s="149">
        <v>0.0</v>
      </c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20"/>
      <c r="Z22" s="120"/>
    </row>
    <row r="23" ht="12.0" customHeight="1">
      <c r="A23" s="120"/>
      <c r="B23" s="120"/>
      <c r="C23" s="145"/>
      <c r="D23" s="71"/>
      <c r="E23" s="71"/>
      <c r="F23" s="71"/>
      <c r="G23" s="71"/>
      <c r="H23" s="71"/>
      <c r="I23" s="71"/>
      <c r="J23" s="146">
        <v>6.0</v>
      </c>
      <c r="K23" s="147">
        <v>1.0</v>
      </c>
      <c r="L23" s="71"/>
      <c r="M23" s="72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</row>
    <row r="24" ht="12.0" customHeight="1">
      <c r="A24" s="120"/>
      <c r="B24" s="120"/>
      <c r="C24" s="148"/>
      <c r="D24" s="11"/>
      <c r="E24" s="11"/>
      <c r="F24" s="11"/>
      <c r="G24" s="11"/>
      <c r="H24" s="11"/>
      <c r="I24" s="11"/>
      <c r="J24" s="11"/>
      <c r="K24" s="11"/>
      <c r="L24" s="11"/>
      <c r="M24" s="12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</row>
    <row r="25" ht="12.0" customHeight="1">
      <c r="A25" s="120"/>
      <c r="B25" s="120"/>
      <c r="C25" s="137" t="s">
        <v>204</v>
      </c>
      <c r="D25" s="138" t="s">
        <v>209</v>
      </c>
      <c r="E25" s="139" t="s">
        <v>39</v>
      </c>
      <c r="F25" s="139" t="s">
        <v>47</v>
      </c>
      <c r="G25" s="140" t="s">
        <v>198</v>
      </c>
      <c r="H25" s="139" t="s">
        <v>42</v>
      </c>
      <c r="I25" s="139" t="s">
        <v>50</v>
      </c>
      <c r="J25" s="141">
        <v>2.0</v>
      </c>
      <c r="K25" s="142">
        <v>6.0</v>
      </c>
      <c r="L25" s="139">
        <v>1.0</v>
      </c>
      <c r="M25" s="149">
        <v>1.0</v>
      </c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</row>
    <row r="26" ht="12.0" customHeight="1">
      <c r="A26" s="120"/>
      <c r="B26" s="120"/>
      <c r="C26" s="145"/>
      <c r="D26" s="71"/>
      <c r="E26" s="71"/>
      <c r="F26" s="71"/>
      <c r="G26" s="71"/>
      <c r="H26" s="71"/>
      <c r="I26" s="71"/>
      <c r="J26" s="146">
        <v>6.0</v>
      </c>
      <c r="K26" s="147">
        <v>3.0</v>
      </c>
      <c r="L26" s="71"/>
      <c r="M26" s="72"/>
      <c r="N26" s="209"/>
      <c r="O26" s="120"/>
      <c r="P26" s="120"/>
      <c r="Q26" s="120" t="s">
        <v>227</v>
      </c>
      <c r="R26" s="120"/>
      <c r="S26" s="120"/>
      <c r="T26" s="120"/>
      <c r="U26" s="120"/>
      <c r="V26" s="120"/>
      <c r="W26" s="120"/>
      <c r="X26" s="120"/>
      <c r="Y26" s="120"/>
      <c r="Z26" s="120"/>
    </row>
    <row r="27" ht="12.0" customHeight="1">
      <c r="A27" s="120"/>
      <c r="B27" s="120"/>
      <c r="C27" s="148"/>
      <c r="D27" s="11"/>
      <c r="E27" s="11"/>
      <c r="F27" s="11"/>
      <c r="G27" s="11"/>
      <c r="H27" s="11"/>
      <c r="I27" s="11"/>
      <c r="J27" s="11"/>
      <c r="K27" s="11"/>
      <c r="L27" s="11"/>
      <c r="M27" s="12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</row>
    <row r="28" ht="12.0" customHeight="1">
      <c r="A28" s="120"/>
      <c r="B28" s="120"/>
      <c r="C28" s="137" t="s">
        <v>211</v>
      </c>
      <c r="D28" s="138" t="s">
        <v>210</v>
      </c>
      <c r="E28" s="154" t="s">
        <v>61</v>
      </c>
      <c r="F28" s="154" t="s">
        <v>68</v>
      </c>
      <c r="G28" s="140" t="s">
        <v>198</v>
      </c>
      <c r="H28" s="154" t="s">
        <v>64</v>
      </c>
      <c r="I28" s="154" t="s">
        <v>71</v>
      </c>
      <c r="J28" s="155">
        <v>3.0</v>
      </c>
      <c r="K28" s="142">
        <v>6.0</v>
      </c>
      <c r="L28" s="139">
        <v>0.0</v>
      </c>
      <c r="M28" s="149">
        <v>2.0</v>
      </c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</row>
    <row r="29" ht="12.0" customHeight="1">
      <c r="A29" s="120"/>
      <c r="B29" s="120"/>
      <c r="C29" s="145"/>
      <c r="D29" s="71"/>
      <c r="E29" s="71"/>
      <c r="F29" s="71"/>
      <c r="G29" s="71"/>
      <c r="H29" s="71"/>
      <c r="I29" s="71"/>
      <c r="J29" s="156">
        <v>4.0</v>
      </c>
      <c r="K29" s="147">
        <v>6.0</v>
      </c>
      <c r="L29" s="71"/>
      <c r="M29" s="72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</row>
    <row r="30" ht="12.75" customHeight="1">
      <c r="A30" s="120"/>
      <c r="B30" s="120"/>
      <c r="C30" s="148"/>
      <c r="D30" s="11"/>
      <c r="E30" s="11"/>
      <c r="F30" s="11"/>
      <c r="G30" s="11"/>
      <c r="H30" s="11"/>
      <c r="I30" s="11"/>
      <c r="J30" s="11"/>
      <c r="K30" s="11"/>
      <c r="L30" s="11"/>
      <c r="M30" s="12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</row>
    <row r="31" ht="12.75" customHeight="1">
      <c r="A31" s="120"/>
      <c r="B31" s="120"/>
      <c r="C31" s="215" t="s">
        <v>248</v>
      </c>
      <c r="D31" s="216" t="s">
        <v>203</v>
      </c>
      <c r="E31" s="217" t="s">
        <v>139</v>
      </c>
      <c r="F31" s="217" t="s">
        <v>151</v>
      </c>
      <c r="G31" s="218" t="s">
        <v>198</v>
      </c>
      <c r="H31" s="217" t="s">
        <v>142</v>
      </c>
      <c r="I31" s="219" t="s">
        <v>154</v>
      </c>
      <c r="J31" s="220">
        <v>3.0</v>
      </c>
      <c r="K31" s="221">
        <v>6.0</v>
      </c>
      <c r="L31" s="217">
        <v>1.0</v>
      </c>
      <c r="M31" s="222">
        <v>1.0</v>
      </c>
      <c r="N31" s="120"/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</row>
    <row r="32" ht="12.75" customHeight="1">
      <c r="A32" s="120"/>
      <c r="B32" s="120"/>
      <c r="C32" s="145"/>
      <c r="D32" s="71"/>
      <c r="E32" s="71"/>
      <c r="F32" s="71"/>
      <c r="G32" s="71"/>
      <c r="H32" s="71"/>
      <c r="I32" s="223"/>
      <c r="J32" s="224">
        <v>6.0</v>
      </c>
      <c r="K32" s="225">
        <v>4.0</v>
      </c>
      <c r="L32" s="71"/>
      <c r="M32" s="72"/>
      <c r="N32" s="167" t="s">
        <v>191</v>
      </c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</row>
    <row r="33" ht="12.75" customHeight="1">
      <c r="A33" s="120"/>
      <c r="B33" s="120"/>
      <c r="C33" s="226"/>
      <c r="D33" s="227"/>
      <c r="E33" s="227"/>
      <c r="F33" s="227"/>
      <c r="G33" s="227"/>
      <c r="H33" s="227"/>
      <c r="I33" s="227"/>
      <c r="J33" s="228"/>
      <c r="K33" s="229"/>
      <c r="L33" s="227"/>
      <c r="M33" s="230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</row>
    <row r="34" ht="12.75" customHeight="1">
      <c r="A34" s="120"/>
      <c r="B34" s="120"/>
      <c r="C34" s="137"/>
      <c r="D34" s="208"/>
      <c r="E34" s="143"/>
      <c r="F34" s="143"/>
      <c r="G34" s="140" t="s">
        <v>198</v>
      </c>
      <c r="H34" s="143"/>
      <c r="I34" s="139"/>
      <c r="J34" s="231"/>
      <c r="K34" s="232"/>
      <c r="L34" s="143"/>
      <c r="M34" s="144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</row>
    <row r="35" ht="12.75" customHeight="1">
      <c r="A35" s="120"/>
      <c r="B35" s="120"/>
      <c r="C35" s="145"/>
      <c r="D35" s="71"/>
      <c r="E35" s="71"/>
      <c r="F35" s="71"/>
      <c r="G35" s="71"/>
      <c r="H35" s="71"/>
      <c r="I35" s="71"/>
      <c r="J35" s="233"/>
      <c r="K35" s="234"/>
      <c r="L35" s="71"/>
      <c r="M35" s="72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</row>
    <row r="36" ht="12.75" customHeight="1">
      <c r="A36" s="120"/>
      <c r="B36" s="120"/>
      <c r="C36" s="148"/>
      <c r="D36" s="11"/>
      <c r="E36" s="11"/>
      <c r="F36" s="11"/>
      <c r="G36" s="11"/>
      <c r="H36" s="11"/>
      <c r="I36" s="11"/>
      <c r="J36" s="11"/>
      <c r="K36" s="11"/>
      <c r="L36" s="11"/>
      <c r="M36" s="12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</row>
    <row r="37" ht="15.0" customHeight="1">
      <c r="A37" s="120"/>
      <c r="B37" s="120"/>
      <c r="C37" s="235" t="s">
        <v>277</v>
      </c>
      <c r="D37" s="11"/>
      <c r="E37" s="11"/>
      <c r="F37" s="11"/>
      <c r="G37" s="11"/>
      <c r="H37" s="11"/>
      <c r="I37" s="47"/>
      <c r="J37" s="236">
        <v>65.0</v>
      </c>
      <c r="K37" s="237">
        <v>62.0</v>
      </c>
      <c r="L37" s="238">
        <v>8.0</v>
      </c>
      <c r="M37" s="239">
        <v>6.0</v>
      </c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</row>
    <row r="38" ht="13.5" customHeight="1">
      <c r="A38" s="120"/>
      <c r="B38" s="120"/>
      <c r="C38" s="183"/>
      <c r="D38" s="184"/>
      <c r="E38" s="184"/>
      <c r="F38" s="184"/>
      <c r="G38" s="184"/>
      <c r="H38" s="184"/>
      <c r="I38" s="184"/>
      <c r="J38" s="184"/>
      <c r="K38" s="184"/>
      <c r="L38" s="184"/>
      <c r="M38" s="185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</row>
    <row r="39" ht="12.75" customHeight="1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</row>
    <row r="40" ht="12.75" customHeight="1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</row>
    <row r="41" ht="12.75" customHeight="1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</row>
    <row r="42" ht="12.75" customHeight="1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</row>
    <row r="43" ht="12.75" customHeight="1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</row>
    <row r="44" ht="12.75" customHeight="1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</row>
    <row r="45" ht="12.75" customHeight="1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</row>
    <row r="46" ht="12.75" customHeight="1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</row>
    <row r="47" ht="12.75" customHeight="1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</row>
    <row r="48" ht="12.75" customHeight="1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</row>
    <row r="49" ht="12.75" customHeight="1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</row>
    <row r="50" ht="12.75" customHeight="1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</row>
    <row r="51" ht="12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</row>
    <row r="52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</row>
    <row r="53" ht="12.75" customHeight="1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</row>
    <row r="54" ht="12.75" customHeight="1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</row>
    <row r="55" ht="12.75" customHeight="1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</row>
    <row r="56" ht="12.75" customHeight="1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</row>
    <row r="57" ht="12.75" customHeight="1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</row>
    <row r="58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</row>
    <row r="59" ht="12.75" customHeight="1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</row>
    <row r="60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</row>
    <row r="61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</row>
    <row r="62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</row>
    <row r="63" ht="12.75" customHeight="1">
      <c r="A63" s="120"/>
      <c r="B63" s="120"/>
      <c r="C63" s="240" t="s">
        <v>227</v>
      </c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</row>
    <row r="64" ht="12.75" customHeight="1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</row>
    <row r="65" ht="12.75" customHeight="1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</row>
    <row r="66" ht="12.75" customHeight="1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</row>
    <row r="67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</row>
    <row r="68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</row>
    <row r="6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</row>
    <row r="70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</row>
    <row r="71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</row>
    <row r="72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</row>
    <row r="73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</row>
    <row r="74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</row>
    <row r="75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</row>
    <row r="76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</row>
    <row r="77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</row>
    <row r="78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</row>
    <row r="7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</row>
    <row r="80" ht="12.75" customHeight="1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</row>
    <row r="81" ht="12.75" customHeight="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</row>
    <row r="82" ht="12.75" customHeight="1">
      <c r="A82" s="120"/>
      <c r="B82" s="120"/>
      <c r="C82" s="120"/>
      <c r="D82" s="120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</row>
    <row r="83" ht="12.75" customHeight="1">
      <c r="A83" s="120"/>
      <c r="B83" s="120"/>
      <c r="C83" s="120"/>
      <c r="D83" s="120"/>
      <c r="E83" s="120"/>
      <c r="F83" s="120"/>
      <c r="G83" s="120"/>
      <c r="H83" s="120"/>
      <c r="I83" s="120"/>
      <c r="J83" s="120"/>
      <c r="K83" s="120"/>
      <c r="L83" s="120"/>
      <c r="M83" s="120"/>
      <c r="N83" s="120"/>
      <c r="O83" s="120"/>
      <c r="P83" s="120"/>
      <c r="Q83" s="120"/>
      <c r="R83" s="120"/>
      <c r="S83" s="120"/>
      <c r="T83" s="120"/>
      <c r="U83" s="120"/>
      <c r="V83" s="120"/>
      <c r="W83" s="120"/>
      <c r="X83" s="120"/>
      <c r="Y83" s="120"/>
      <c r="Z83" s="120"/>
    </row>
    <row r="84" ht="12.75" customHeight="1">
      <c r="A84" s="120"/>
      <c r="B84" s="120"/>
      <c r="C84" s="120"/>
      <c r="D84" s="120"/>
      <c r="E84" s="120"/>
      <c r="F84" s="120"/>
      <c r="G84" s="120"/>
      <c r="H84" s="120"/>
      <c r="I84" s="120"/>
      <c r="J84" s="120"/>
      <c r="K84" s="120"/>
      <c r="L84" s="120"/>
      <c r="M84" s="120"/>
      <c r="N84" s="120"/>
      <c r="O84" s="120"/>
      <c r="P84" s="120"/>
      <c r="Q84" s="120"/>
      <c r="R84" s="120"/>
      <c r="S84" s="120"/>
      <c r="T84" s="120"/>
      <c r="U84" s="120"/>
      <c r="V84" s="120"/>
      <c r="W84" s="120"/>
      <c r="X84" s="120"/>
      <c r="Y84" s="120"/>
      <c r="Z84" s="120"/>
    </row>
    <row r="85" ht="12.75" customHeight="1">
      <c r="A85" s="120"/>
      <c r="B85" s="120"/>
      <c r="C85" s="120"/>
      <c r="D85" s="120"/>
      <c r="E85" s="120"/>
      <c r="F85" s="120"/>
      <c r="G85" s="120"/>
      <c r="H85" s="120"/>
      <c r="I85" s="120"/>
      <c r="J85" s="120"/>
      <c r="K85" s="120"/>
      <c r="L85" s="120"/>
      <c r="M85" s="120"/>
      <c r="N85" s="120"/>
      <c r="O85" s="120"/>
      <c r="P85" s="120"/>
      <c r="Q85" s="120"/>
      <c r="R85" s="120"/>
      <c r="S85" s="120"/>
      <c r="T85" s="120"/>
      <c r="U85" s="120"/>
      <c r="V85" s="120"/>
      <c r="W85" s="120"/>
      <c r="X85" s="120"/>
      <c r="Y85" s="120"/>
      <c r="Z85" s="120"/>
    </row>
    <row r="86" ht="12.75" customHeight="1">
      <c r="A86" s="120"/>
      <c r="B86" s="120"/>
      <c r="C86" s="120"/>
      <c r="D86" s="120"/>
      <c r="E86" s="120"/>
      <c r="F86" s="120"/>
      <c r="G86" s="120"/>
      <c r="H86" s="120"/>
      <c r="I86" s="120"/>
      <c r="J86" s="120"/>
      <c r="K86" s="120"/>
      <c r="L86" s="120"/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W86" s="120"/>
      <c r="X86" s="120"/>
      <c r="Y86" s="120"/>
      <c r="Z86" s="120"/>
    </row>
    <row r="87" ht="12.75" customHeight="1">
      <c r="A87" s="120"/>
      <c r="B87" s="120"/>
      <c r="C87" s="120"/>
      <c r="D87" s="120"/>
      <c r="E87" s="120"/>
      <c r="F87" s="120"/>
      <c r="G87" s="120"/>
      <c r="H87" s="120"/>
      <c r="I87" s="120"/>
      <c r="J87" s="120"/>
      <c r="K87" s="120"/>
      <c r="L87" s="120"/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W87" s="120"/>
      <c r="X87" s="120"/>
      <c r="Y87" s="120"/>
      <c r="Z87" s="120"/>
    </row>
    <row r="88" ht="12.75" customHeight="1">
      <c r="A88" s="120"/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W88" s="120"/>
      <c r="X88" s="120"/>
      <c r="Y88" s="120"/>
      <c r="Z88" s="120"/>
    </row>
    <row r="89" ht="12.75" customHeight="1">
      <c r="A89" s="120"/>
      <c r="B89" s="120"/>
      <c r="C89" s="120"/>
      <c r="D89" s="120"/>
      <c r="E89" s="120"/>
      <c r="F89" s="120"/>
      <c r="G89" s="120"/>
      <c r="H89" s="120"/>
      <c r="I89" s="120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0"/>
      <c r="V89" s="120"/>
      <c r="W89" s="120"/>
      <c r="X89" s="120"/>
      <c r="Y89" s="120"/>
      <c r="Z89" s="120"/>
    </row>
    <row r="90" ht="12.75" customHeight="1">
      <c r="A90" s="120"/>
      <c r="B90" s="120"/>
      <c r="C90" s="120"/>
      <c r="D90" s="120"/>
      <c r="E90" s="120"/>
      <c r="F90" s="120"/>
      <c r="G90" s="120"/>
      <c r="H90" s="120"/>
      <c r="I90" s="120"/>
      <c r="J90" s="120"/>
      <c r="K90" s="120"/>
      <c r="L90" s="120"/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W90" s="120"/>
      <c r="X90" s="120"/>
      <c r="Y90" s="120"/>
      <c r="Z90" s="120"/>
    </row>
    <row r="91" ht="12.75" customHeight="1">
      <c r="A91" s="120"/>
      <c r="B91" s="120"/>
      <c r="C91" s="120"/>
      <c r="D91" s="120"/>
      <c r="E91" s="120"/>
      <c r="F91" s="120"/>
      <c r="G91" s="120"/>
      <c r="H91" s="120"/>
      <c r="I91" s="120"/>
      <c r="J91" s="120"/>
      <c r="K91" s="120"/>
      <c r="L91" s="120"/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W91" s="120"/>
      <c r="X91" s="120"/>
      <c r="Y91" s="120"/>
      <c r="Z91" s="120"/>
    </row>
    <row r="92" ht="12.75" customHeight="1">
      <c r="A92" s="120"/>
      <c r="B92" s="120"/>
      <c r="C92" s="120"/>
      <c r="D92" s="120"/>
      <c r="E92" s="120"/>
      <c r="F92" s="120"/>
      <c r="G92" s="120"/>
      <c r="H92" s="120"/>
      <c r="I92" s="120"/>
      <c r="J92" s="120"/>
      <c r="K92" s="120"/>
      <c r="L92" s="120"/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W92" s="120"/>
      <c r="X92" s="120"/>
      <c r="Y92" s="120"/>
      <c r="Z92" s="120"/>
    </row>
    <row r="93" ht="12.75" customHeight="1">
      <c r="A93" s="120"/>
      <c r="B93" s="120"/>
      <c r="C93" s="120"/>
      <c r="D93" s="120"/>
      <c r="E93" s="120"/>
      <c r="F93" s="120"/>
      <c r="G93" s="120"/>
      <c r="H93" s="120"/>
      <c r="I93" s="120"/>
      <c r="J93" s="120"/>
      <c r="K93" s="120"/>
      <c r="L93" s="120"/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W93" s="120"/>
      <c r="X93" s="120"/>
      <c r="Y93" s="120"/>
      <c r="Z93" s="120"/>
    </row>
    <row r="94" ht="12.75" customHeight="1">
      <c r="A94" s="120"/>
      <c r="B94" s="120"/>
      <c r="C94" s="120"/>
      <c r="D94" s="120"/>
      <c r="E94" s="120"/>
      <c r="F94" s="120"/>
      <c r="G94" s="120"/>
      <c r="H94" s="120"/>
      <c r="I94" s="120"/>
      <c r="J94" s="120"/>
      <c r="K94" s="120"/>
      <c r="L94" s="120"/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W94" s="120"/>
      <c r="X94" s="120"/>
      <c r="Y94" s="120"/>
      <c r="Z94" s="120"/>
    </row>
    <row r="95" ht="12.75" customHeight="1">
      <c r="A95" s="120"/>
      <c r="B95" s="120"/>
      <c r="C95" s="120"/>
      <c r="D95" s="120"/>
      <c r="E95" s="120"/>
      <c r="F95" s="120"/>
      <c r="G95" s="120"/>
      <c r="H95" s="120"/>
      <c r="I95" s="120"/>
      <c r="J95" s="120"/>
      <c r="K95" s="120"/>
      <c r="L95" s="120"/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W95" s="120"/>
      <c r="X95" s="120"/>
      <c r="Y95" s="120"/>
      <c r="Z95" s="120"/>
    </row>
    <row r="96" ht="12.75" customHeight="1">
      <c r="A96" s="120"/>
      <c r="B96" s="120"/>
      <c r="C96" s="120"/>
      <c r="D96" s="120"/>
      <c r="E96" s="120"/>
      <c r="F96" s="120"/>
      <c r="G96" s="120"/>
      <c r="H96" s="120"/>
      <c r="I96" s="120"/>
      <c r="J96" s="120"/>
      <c r="K96" s="120"/>
      <c r="L96" s="120"/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W96" s="120"/>
      <c r="X96" s="120"/>
      <c r="Y96" s="120"/>
      <c r="Z96" s="120"/>
    </row>
    <row r="97" ht="12.75" customHeight="1">
      <c r="A97" s="120"/>
      <c r="B97" s="120"/>
      <c r="C97" s="120"/>
      <c r="D97" s="120"/>
      <c r="E97" s="120"/>
      <c r="F97" s="120"/>
      <c r="G97" s="120"/>
      <c r="H97" s="120"/>
      <c r="I97" s="120"/>
      <c r="J97" s="120"/>
      <c r="K97" s="120"/>
      <c r="L97" s="120"/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W97" s="120"/>
      <c r="X97" s="120"/>
      <c r="Y97" s="120"/>
      <c r="Z97" s="120"/>
    </row>
    <row r="98" ht="12.75" customHeight="1">
      <c r="A98" s="120"/>
      <c r="B98" s="120"/>
      <c r="C98" s="120"/>
      <c r="D98" s="120"/>
      <c r="E98" s="120"/>
      <c r="F98" s="120"/>
      <c r="G98" s="120"/>
      <c r="H98" s="120"/>
      <c r="I98" s="120"/>
      <c r="J98" s="120"/>
      <c r="K98" s="120"/>
      <c r="L98" s="120"/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W98" s="120"/>
      <c r="X98" s="120"/>
      <c r="Y98" s="120"/>
      <c r="Z98" s="120"/>
    </row>
    <row r="99" ht="12.75" customHeight="1">
      <c r="A99" s="120"/>
      <c r="B99" s="120"/>
      <c r="C99" s="120"/>
      <c r="D99" s="120"/>
      <c r="E99" s="120"/>
      <c r="F99" s="120"/>
      <c r="G99" s="120"/>
      <c r="H99" s="120"/>
      <c r="I99" s="120"/>
      <c r="J99" s="120"/>
      <c r="K99" s="120"/>
      <c r="L99" s="120"/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</row>
    <row r="100" ht="12.75" customHeight="1">
      <c r="A100" s="120"/>
      <c r="B100" s="120"/>
      <c r="C100" s="120"/>
      <c r="D100" s="120"/>
      <c r="E100" s="120"/>
      <c r="F100" s="120"/>
      <c r="G100" s="120"/>
      <c r="H100" s="120"/>
      <c r="I100" s="120"/>
      <c r="J100" s="120"/>
      <c r="K100" s="120"/>
      <c r="L100" s="120"/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W100" s="120"/>
      <c r="X100" s="120"/>
      <c r="Y100" s="120"/>
      <c r="Z100" s="120"/>
    </row>
    <row r="101" ht="12.75" customHeight="1">
      <c r="A101" s="120"/>
      <c r="B101" s="120"/>
      <c r="C101" s="120"/>
      <c r="D101" s="120"/>
      <c r="E101" s="120"/>
      <c r="F101" s="120"/>
      <c r="G101" s="120"/>
      <c r="H101" s="120"/>
      <c r="I101" s="120"/>
      <c r="J101" s="120"/>
      <c r="K101" s="120"/>
      <c r="L101" s="120"/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W101" s="120"/>
      <c r="X101" s="120"/>
      <c r="Y101" s="120"/>
      <c r="Z101" s="120"/>
    </row>
    <row r="102" ht="12.75" customHeight="1">
      <c r="A102" s="120"/>
      <c r="B102" s="120"/>
      <c r="C102" s="120"/>
      <c r="D102" s="120"/>
      <c r="E102" s="120"/>
      <c r="F102" s="120"/>
      <c r="G102" s="120"/>
      <c r="H102" s="120"/>
      <c r="I102" s="120"/>
      <c r="J102" s="120"/>
      <c r="K102" s="120"/>
      <c r="L102" s="120"/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W102" s="120"/>
      <c r="X102" s="120"/>
      <c r="Y102" s="120"/>
      <c r="Z102" s="120"/>
    </row>
    <row r="103" ht="12.75" customHeight="1">
      <c r="A103" s="120"/>
      <c r="B103" s="120"/>
      <c r="C103" s="120"/>
      <c r="D103" s="120"/>
      <c r="E103" s="120"/>
      <c r="F103" s="120"/>
      <c r="G103" s="120"/>
      <c r="H103" s="120"/>
      <c r="I103" s="120"/>
      <c r="J103" s="120"/>
      <c r="K103" s="120"/>
      <c r="L103" s="120"/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W103" s="120"/>
      <c r="X103" s="120"/>
      <c r="Y103" s="120"/>
      <c r="Z103" s="120"/>
    </row>
    <row r="104" ht="12.75" customHeight="1">
      <c r="A104" s="120"/>
      <c r="B104" s="120"/>
      <c r="C104" s="120"/>
      <c r="D104" s="120"/>
      <c r="E104" s="120"/>
      <c r="F104" s="120"/>
      <c r="G104" s="120"/>
      <c r="H104" s="120"/>
      <c r="I104" s="120"/>
      <c r="J104" s="120"/>
      <c r="K104" s="120"/>
      <c r="L104" s="120"/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</row>
    <row r="105" ht="12.75" customHeight="1">
      <c r="A105" s="120"/>
      <c r="B105" s="120"/>
      <c r="C105" s="120"/>
      <c r="D105" s="120"/>
      <c r="E105" s="120"/>
      <c r="F105" s="120"/>
      <c r="G105" s="120"/>
      <c r="H105" s="120"/>
      <c r="I105" s="120"/>
      <c r="J105" s="120"/>
      <c r="K105" s="120"/>
      <c r="L105" s="120"/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W105" s="120"/>
      <c r="X105" s="120"/>
      <c r="Y105" s="120"/>
      <c r="Z105" s="120"/>
    </row>
    <row r="106" ht="12.75" customHeight="1">
      <c r="A106" s="120"/>
      <c r="B106" s="120"/>
      <c r="C106" s="120"/>
      <c r="D106" s="120"/>
      <c r="E106" s="120"/>
      <c r="F106" s="120"/>
      <c r="G106" s="120"/>
      <c r="H106" s="120"/>
      <c r="I106" s="120"/>
      <c r="J106" s="120"/>
      <c r="K106" s="120"/>
      <c r="L106" s="120"/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W106" s="120"/>
      <c r="X106" s="120"/>
      <c r="Y106" s="120"/>
      <c r="Z106" s="120"/>
    </row>
    <row r="107" ht="12.75" customHeight="1">
      <c r="A107" s="120"/>
      <c r="B107" s="120"/>
      <c r="C107" s="120"/>
      <c r="D107" s="120"/>
      <c r="E107" s="120"/>
      <c r="F107" s="120"/>
      <c r="G107" s="120"/>
      <c r="H107" s="120"/>
      <c r="I107" s="120"/>
      <c r="J107" s="120"/>
      <c r="K107" s="12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</row>
    <row r="108" ht="12.75" customHeight="1">
      <c r="A108" s="120"/>
      <c r="B108" s="120"/>
      <c r="C108" s="120"/>
      <c r="D108" s="120"/>
      <c r="E108" s="120"/>
      <c r="F108" s="120"/>
      <c r="G108" s="120"/>
      <c r="H108" s="120"/>
      <c r="I108" s="120"/>
      <c r="J108" s="120"/>
      <c r="K108" s="12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</row>
    <row r="109" ht="12.75" customHeight="1">
      <c r="A109" s="120"/>
      <c r="B109" s="120"/>
      <c r="C109" s="120"/>
      <c r="D109" s="120"/>
      <c r="E109" s="120"/>
      <c r="F109" s="120"/>
      <c r="G109" s="120"/>
      <c r="H109" s="120"/>
      <c r="I109" s="120"/>
      <c r="J109" s="120"/>
      <c r="K109" s="12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</row>
    <row r="110" ht="12.75" customHeight="1">
      <c r="A110" s="120"/>
      <c r="B110" s="120"/>
      <c r="C110" s="120"/>
      <c r="D110" s="120"/>
      <c r="E110" s="120"/>
      <c r="F110" s="120"/>
      <c r="G110" s="120"/>
      <c r="H110" s="120"/>
      <c r="I110" s="120"/>
      <c r="J110" s="120"/>
      <c r="K110" s="120"/>
      <c r="L110" s="120"/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W110" s="120"/>
      <c r="X110" s="120"/>
      <c r="Y110" s="120"/>
      <c r="Z110" s="120"/>
    </row>
    <row r="111" ht="12.75" customHeight="1">
      <c r="A111" s="120"/>
      <c r="B111" s="120"/>
      <c r="C111" s="120"/>
      <c r="D111" s="120"/>
      <c r="E111" s="120"/>
      <c r="F111" s="120"/>
      <c r="G111" s="120"/>
      <c r="H111" s="120"/>
      <c r="I111" s="120"/>
      <c r="J111" s="120"/>
      <c r="K111" s="120"/>
      <c r="L111" s="120"/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W111" s="120"/>
      <c r="X111" s="120"/>
      <c r="Y111" s="120"/>
      <c r="Z111" s="120"/>
    </row>
    <row r="112" ht="12.75" customHeight="1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W112" s="120"/>
      <c r="X112" s="120"/>
      <c r="Y112" s="120"/>
      <c r="Z112" s="120"/>
    </row>
    <row r="113" ht="12.75" customHeight="1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W113" s="120"/>
      <c r="X113" s="120"/>
      <c r="Y113" s="120"/>
      <c r="Z113" s="120"/>
    </row>
    <row r="114" ht="12.75" customHeight="1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ht="12.75" customHeight="1">
      <c r="A115" s="120"/>
      <c r="B115" s="120"/>
      <c r="C115" s="120"/>
      <c r="D115" s="120"/>
      <c r="E115" s="120"/>
      <c r="F115" s="120"/>
      <c r="G115" s="120"/>
      <c r="H115" s="120"/>
      <c r="I115" s="120"/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t="12.75" customHeight="1">
      <c r="A116" s="120"/>
      <c r="B116" s="120"/>
      <c r="C116" s="120"/>
      <c r="D116" s="120"/>
      <c r="E116" s="120"/>
      <c r="F116" s="120"/>
      <c r="G116" s="120"/>
      <c r="H116" s="120"/>
      <c r="I116" s="120"/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t="12.75" customHeight="1">
      <c r="A117" s="120"/>
      <c r="B117" s="120"/>
      <c r="C117" s="120"/>
      <c r="D117" s="120"/>
      <c r="E117" s="120"/>
      <c r="F117" s="120"/>
      <c r="G117" s="120"/>
      <c r="H117" s="120"/>
      <c r="I117" s="120"/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t="12.75" customHeight="1">
      <c r="A118" s="120"/>
      <c r="B118" s="120"/>
      <c r="C118" s="120"/>
      <c r="D118" s="120"/>
      <c r="E118" s="120"/>
      <c r="F118" s="120"/>
      <c r="G118" s="120"/>
      <c r="H118" s="120"/>
      <c r="I118" s="120"/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 ht="12.75" customHeight="1">
      <c r="A119" s="120"/>
      <c r="B119" s="120"/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 ht="12.75" customHeight="1">
      <c r="A120" s="120"/>
      <c r="B120" s="120"/>
      <c r="C120" s="120"/>
      <c r="D120" s="120"/>
      <c r="E120" s="120"/>
      <c r="F120" s="120"/>
      <c r="G120" s="120"/>
      <c r="H120" s="120"/>
      <c r="I120" s="120"/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t="12.75" customHeight="1">
      <c r="A121" s="120"/>
      <c r="B121" s="120"/>
      <c r="C121" s="120"/>
      <c r="D121" s="120"/>
      <c r="E121" s="120"/>
      <c r="F121" s="120"/>
      <c r="G121" s="120"/>
      <c r="H121" s="120"/>
      <c r="I121" s="120"/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 ht="12.75" customHeight="1">
      <c r="A122" s="120"/>
      <c r="B122" s="120"/>
      <c r="C122" s="120"/>
      <c r="D122" s="120"/>
      <c r="E122" s="120"/>
      <c r="F122" s="120"/>
      <c r="G122" s="120"/>
      <c r="H122" s="120"/>
      <c r="I122" s="120"/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 ht="12.75" customHeight="1">
      <c r="A123" s="120"/>
      <c r="B123" s="120"/>
      <c r="C123" s="120"/>
      <c r="D123" s="120"/>
      <c r="E123" s="120"/>
      <c r="F123" s="120"/>
      <c r="G123" s="120"/>
      <c r="H123" s="120"/>
      <c r="I123" s="120"/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W123" s="120"/>
      <c r="X123" s="120"/>
      <c r="Y123" s="120"/>
      <c r="Z123" s="120"/>
    </row>
    <row r="124" ht="12.75" customHeight="1">
      <c r="A124" s="120"/>
      <c r="B124" s="120"/>
      <c r="C124" s="120"/>
      <c r="D124" s="120"/>
      <c r="E124" s="120"/>
      <c r="F124" s="120"/>
      <c r="G124" s="120"/>
      <c r="H124" s="120"/>
      <c r="I124" s="120"/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W124" s="120"/>
      <c r="X124" s="120"/>
      <c r="Y124" s="120"/>
      <c r="Z124" s="120"/>
    </row>
    <row r="125" ht="12.75" customHeight="1">
      <c r="A125" s="120"/>
      <c r="B125" s="120"/>
      <c r="C125" s="120"/>
      <c r="D125" s="120"/>
      <c r="E125" s="120"/>
      <c r="F125" s="120"/>
      <c r="G125" s="120"/>
      <c r="H125" s="120"/>
      <c r="I125" s="120"/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ht="12.75" customHeight="1">
      <c r="A126" s="120"/>
      <c r="B126" s="120"/>
      <c r="C126" s="120"/>
      <c r="D126" s="120"/>
      <c r="E126" s="120"/>
      <c r="F126" s="120"/>
      <c r="G126" s="120"/>
      <c r="H126" s="120"/>
      <c r="I126" s="120"/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t="12.75" customHeight="1">
      <c r="A127" s="120"/>
      <c r="B127" s="120"/>
      <c r="C127" s="120"/>
      <c r="D127" s="120"/>
      <c r="E127" s="120"/>
      <c r="F127" s="120"/>
      <c r="G127" s="120"/>
      <c r="H127" s="120"/>
      <c r="I127" s="120"/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t="12.75" customHeight="1">
      <c r="A128" s="120"/>
      <c r="B128" s="120"/>
      <c r="C128" s="120"/>
      <c r="D128" s="120"/>
      <c r="E128" s="120"/>
      <c r="F128" s="120"/>
      <c r="G128" s="120"/>
      <c r="H128" s="120"/>
      <c r="I128" s="120"/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t="12.75" customHeight="1">
      <c r="A129" s="120"/>
      <c r="B129" s="120"/>
      <c r="C129" s="120"/>
      <c r="D129" s="120"/>
      <c r="E129" s="120"/>
      <c r="F129" s="120"/>
      <c r="G129" s="120"/>
      <c r="H129" s="120"/>
      <c r="I129" s="120"/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 ht="12.75" customHeight="1">
      <c r="A130" s="120"/>
      <c r="B130" s="120"/>
      <c r="C130" s="120"/>
      <c r="D130" s="120"/>
      <c r="E130" s="120"/>
      <c r="F130" s="120"/>
      <c r="G130" s="120"/>
      <c r="H130" s="120"/>
      <c r="I130" s="120"/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 ht="12.75" customHeight="1">
      <c r="A131" s="120"/>
      <c r="B131" s="120"/>
      <c r="C131" s="120"/>
      <c r="D131" s="120"/>
      <c r="E131" s="120"/>
      <c r="F131" s="120"/>
      <c r="G131" s="120"/>
      <c r="H131" s="120"/>
      <c r="I131" s="120"/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 ht="12.75" customHeight="1">
      <c r="A132" s="120"/>
      <c r="B132" s="120"/>
      <c r="C132" s="120"/>
      <c r="D132" s="120"/>
      <c r="E132" s="120"/>
      <c r="F132" s="120"/>
      <c r="G132" s="120"/>
      <c r="H132" s="120"/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 ht="12.75" customHeight="1">
      <c r="A133" s="120"/>
      <c r="B133" s="120"/>
      <c r="C133" s="120"/>
      <c r="D133" s="120"/>
      <c r="E133" s="120"/>
      <c r="F133" s="120"/>
      <c r="G133" s="120"/>
      <c r="H133" s="120"/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 ht="12.75" customHeight="1">
      <c r="A134" s="120"/>
      <c r="B134" s="120"/>
      <c r="C134" s="120"/>
      <c r="D134" s="120"/>
      <c r="E134" s="120"/>
      <c r="F134" s="120"/>
      <c r="G134" s="120"/>
      <c r="H134" s="120"/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 ht="12.75" customHeight="1">
      <c r="A135" s="120"/>
      <c r="B135" s="120"/>
      <c r="C135" s="120"/>
      <c r="D135" s="120"/>
      <c r="E135" s="120"/>
      <c r="F135" s="120"/>
      <c r="G135" s="120"/>
      <c r="H135" s="120"/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 ht="12.75" customHeight="1">
      <c r="A136" s="120"/>
      <c r="B136" s="120"/>
      <c r="C136" s="120"/>
      <c r="D136" s="120"/>
      <c r="E136" s="120"/>
      <c r="F136" s="120"/>
      <c r="G136" s="120"/>
      <c r="H136" s="120"/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t="12.75" customHeight="1">
      <c r="A137" s="120"/>
      <c r="B137" s="120"/>
      <c r="C137" s="120"/>
      <c r="D137" s="120"/>
      <c r="E137" s="120"/>
      <c r="F137" s="120"/>
      <c r="G137" s="120"/>
      <c r="H137" s="120"/>
      <c r="I137" s="120"/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t="12.75" customHeight="1">
      <c r="A138" s="120"/>
      <c r="B138" s="120"/>
      <c r="C138" s="120"/>
      <c r="D138" s="120"/>
      <c r="E138" s="120"/>
      <c r="F138" s="120"/>
      <c r="G138" s="120"/>
      <c r="H138" s="120"/>
      <c r="I138" s="120"/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t="12.75" customHeight="1">
      <c r="A139" s="120"/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t="12.75" customHeight="1">
      <c r="A140" s="120"/>
      <c r="B140" s="120"/>
      <c r="C140" s="120"/>
      <c r="D140" s="120"/>
      <c r="E140" s="120"/>
      <c r="F140" s="120"/>
      <c r="G140" s="120"/>
      <c r="H140" s="120"/>
      <c r="I140" s="120"/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 ht="12.75" customHeight="1">
      <c r="A141" s="120"/>
      <c r="B141" s="120"/>
      <c r="C141" s="120"/>
      <c r="D141" s="120"/>
      <c r="E141" s="120"/>
      <c r="F141" s="120"/>
      <c r="G141" s="120"/>
      <c r="H141" s="120"/>
      <c r="I141" s="120"/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 ht="12.75" customHeight="1">
      <c r="A142" s="120"/>
      <c r="B142" s="120"/>
      <c r="C142" s="120"/>
      <c r="D142" s="120"/>
      <c r="E142" s="120"/>
      <c r="F142" s="120"/>
      <c r="G142" s="120"/>
      <c r="H142" s="120"/>
      <c r="I142" s="120"/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t="12.75" customHeight="1">
      <c r="A143" s="120"/>
      <c r="B143" s="120"/>
      <c r="C143" s="120"/>
      <c r="D143" s="120"/>
      <c r="E143" s="120"/>
      <c r="F143" s="120"/>
      <c r="G143" s="120"/>
      <c r="H143" s="120"/>
      <c r="I143" s="120"/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t="12.75" customHeight="1">
      <c r="A144" s="120"/>
      <c r="B144" s="120"/>
      <c r="C144" s="120"/>
      <c r="D144" s="120"/>
      <c r="E144" s="120"/>
      <c r="F144" s="120"/>
      <c r="G144" s="120"/>
      <c r="H144" s="120"/>
      <c r="I144" s="120"/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t="12.75" customHeight="1">
      <c r="A145" s="120"/>
      <c r="B145" s="120"/>
      <c r="C145" s="120"/>
      <c r="D145" s="120"/>
      <c r="E145" s="120"/>
      <c r="F145" s="120"/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t="12.75" customHeight="1">
      <c r="A146" s="120"/>
      <c r="B146" s="120"/>
      <c r="C146" s="120"/>
      <c r="D146" s="120"/>
      <c r="E146" s="120"/>
      <c r="F146" s="120"/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t="12.75" customHeight="1">
      <c r="A147" s="120"/>
      <c r="B147" s="120"/>
      <c r="C147" s="120"/>
      <c r="D147" s="120"/>
      <c r="E147" s="120"/>
      <c r="F147" s="120"/>
      <c r="G147" s="120"/>
      <c r="H147" s="120"/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 ht="12.75" customHeight="1">
      <c r="A148" s="120"/>
      <c r="B148" s="120"/>
      <c r="C148" s="120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 ht="12.75" customHeight="1">
      <c r="A149" s="120"/>
      <c r="B149" s="120"/>
      <c r="C149" s="120"/>
      <c r="D149" s="120"/>
      <c r="E149" s="120"/>
      <c r="F149" s="120"/>
      <c r="G149" s="120"/>
      <c r="H149" s="120"/>
      <c r="I149" s="120"/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 ht="12.75" customHeight="1">
      <c r="A150" s="120"/>
      <c r="B150" s="120"/>
      <c r="C150" s="120"/>
      <c r="D150" s="120"/>
      <c r="E150" s="120"/>
      <c r="F150" s="120"/>
      <c r="G150" s="120"/>
      <c r="H150" s="120"/>
      <c r="I150" s="120"/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 ht="12.75" customHeight="1">
      <c r="A151" s="120"/>
      <c r="B151" s="120"/>
      <c r="C151" s="120"/>
      <c r="D151" s="120"/>
      <c r="E151" s="120"/>
      <c r="F151" s="120"/>
      <c r="G151" s="120"/>
      <c r="H151" s="120"/>
      <c r="I151" s="120"/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 ht="12.75" customHeight="1">
      <c r="A152" s="120"/>
      <c r="B152" s="120"/>
      <c r="C152" s="120"/>
      <c r="D152" s="120"/>
      <c r="E152" s="120"/>
      <c r="F152" s="120"/>
      <c r="G152" s="120"/>
      <c r="H152" s="120"/>
      <c r="I152" s="120"/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 ht="12.75" customHeight="1">
      <c r="A153" s="120"/>
      <c r="B153" s="120"/>
      <c r="C153" s="120"/>
      <c r="D153" s="120"/>
      <c r="E153" s="120"/>
      <c r="F153" s="120"/>
      <c r="G153" s="120"/>
      <c r="H153" s="120"/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 ht="12.75" customHeight="1">
      <c r="A154" s="120"/>
      <c r="B154" s="120"/>
      <c r="C154" s="120"/>
      <c r="D154" s="120"/>
      <c r="E154" s="120"/>
      <c r="F154" s="120"/>
      <c r="G154" s="120"/>
      <c r="H154" s="120"/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 ht="12.75" customHeight="1">
      <c r="A155" s="120"/>
      <c r="B155" s="120"/>
      <c r="C155" s="120"/>
      <c r="D155" s="120"/>
      <c r="E155" s="120"/>
      <c r="F155" s="120"/>
      <c r="G155" s="120"/>
      <c r="H155" s="120"/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20"/>
      <c r="V155" s="120"/>
      <c r="W155" s="120"/>
      <c r="X155" s="120"/>
      <c r="Y155" s="120"/>
      <c r="Z155" s="120"/>
    </row>
    <row r="156" ht="12.75" customHeight="1">
      <c r="A156" s="120"/>
      <c r="B156" s="120"/>
      <c r="C156" s="120"/>
      <c r="D156" s="120"/>
      <c r="E156" s="120"/>
      <c r="F156" s="120"/>
      <c r="G156" s="120"/>
      <c r="H156" s="120"/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20"/>
      <c r="V156" s="120"/>
      <c r="W156" s="120"/>
      <c r="X156" s="120"/>
      <c r="Y156" s="120"/>
      <c r="Z156" s="120"/>
    </row>
    <row r="157" ht="12.75" customHeight="1">
      <c r="A157" s="120"/>
      <c r="B157" s="120"/>
      <c r="C157" s="120"/>
      <c r="D157" s="120"/>
      <c r="E157" s="120"/>
      <c r="F157" s="120"/>
      <c r="G157" s="120"/>
      <c r="H157" s="120"/>
      <c r="I157" s="120"/>
      <c r="J157" s="120"/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/>
      <c r="V157" s="120"/>
      <c r="W157" s="120"/>
      <c r="X157" s="120"/>
      <c r="Y157" s="120"/>
      <c r="Z157" s="120"/>
    </row>
    <row r="158" ht="12.75" customHeight="1">
      <c r="A158" s="120"/>
      <c r="B158" s="120"/>
      <c r="C158" s="120"/>
      <c r="D158" s="120"/>
      <c r="E158" s="120"/>
      <c r="F158" s="120"/>
      <c r="G158" s="120"/>
      <c r="H158" s="120"/>
      <c r="I158" s="120"/>
      <c r="J158" s="120"/>
      <c r="K158" s="120"/>
      <c r="L158" s="120"/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W158" s="120"/>
      <c r="X158" s="120"/>
      <c r="Y158" s="120"/>
      <c r="Z158" s="120"/>
    </row>
    <row r="159" ht="12.75" customHeight="1">
      <c r="A159" s="120"/>
      <c r="B159" s="120"/>
      <c r="C159" s="120"/>
      <c r="D159" s="120"/>
      <c r="E159" s="120"/>
      <c r="F159" s="120"/>
      <c r="G159" s="120"/>
      <c r="H159" s="120"/>
      <c r="I159" s="120"/>
      <c r="J159" s="120"/>
      <c r="K159" s="120"/>
      <c r="L159" s="120"/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W159" s="120"/>
      <c r="X159" s="120"/>
      <c r="Y159" s="120"/>
      <c r="Z159" s="120"/>
    </row>
    <row r="160" ht="12.75" customHeight="1">
      <c r="A160" s="120"/>
      <c r="B160" s="120"/>
      <c r="C160" s="120"/>
      <c r="D160" s="120"/>
      <c r="E160" s="120"/>
      <c r="F160" s="120"/>
      <c r="G160" s="120"/>
      <c r="H160" s="120"/>
      <c r="I160" s="120"/>
      <c r="J160" s="120"/>
      <c r="K160" s="120"/>
      <c r="L160" s="120"/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W160" s="120"/>
      <c r="X160" s="120"/>
      <c r="Y160" s="120"/>
      <c r="Z160" s="120"/>
    </row>
    <row r="161" ht="12.75" customHeight="1">
      <c r="A161" s="120"/>
      <c r="B161" s="120"/>
      <c r="C161" s="120"/>
      <c r="D161" s="120"/>
      <c r="E161" s="120"/>
      <c r="F161" s="120"/>
      <c r="G161" s="120"/>
      <c r="H161" s="120"/>
      <c r="I161" s="120"/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 ht="12.75" customHeight="1">
      <c r="A162" s="120"/>
      <c r="B162" s="120"/>
      <c r="C162" s="120"/>
      <c r="D162" s="120"/>
      <c r="E162" s="120"/>
      <c r="F162" s="120"/>
      <c r="G162" s="120"/>
      <c r="H162" s="120"/>
      <c r="I162" s="120"/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 ht="12.75" customHeight="1">
      <c r="A163" s="120"/>
      <c r="B163" s="120"/>
      <c r="C163" s="120"/>
      <c r="D163" s="120"/>
      <c r="E163" s="120"/>
      <c r="F163" s="120"/>
      <c r="G163" s="120"/>
      <c r="H163" s="120"/>
      <c r="I163" s="120"/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 ht="12.75" customHeight="1">
      <c r="A164" s="120"/>
      <c r="B164" s="120"/>
      <c r="C164" s="120"/>
      <c r="D164" s="120"/>
      <c r="E164" s="120"/>
      <c r="F164" s="120"/>
      <c r="G164" s="120"/>
      <c r="H164" s="120"/>
      <c r="I164" s="120"/>
      <c r="J164" s="120"/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W164" s="120"/>
      <c r="X164" s="120"/>
      <c r="Y164" s="120"/>
      <c r="Z164" s="120"/>
    </row>
    <row r="165" ht="12.75" customHeight="1">
      <c r="A165" s="120"/>
      <c r="B165" s="120"/>
      <c r="C165" s="120"/>
      <c r="D165" s="120"/>
      <c r="E165" s="120"/>
      <c r="F165" s="120"/>
      <c r="G165" s="120"/>
      <c r="H165" s="120"/>
      <c r="I165" s="120"/>
      <c r="J165" s="120"/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 ht="12.75" customHeight="1">
      <c r="A166" s="120"/>
      <c r="B166" s="120"/>
      <c r="C166" s="120"/>
      <c r="D166" s="120"/>
      <c r="E166" s="120"/>
      <c r="F166" s="120"/>
      <c r="G166" s="120"/>
      <c r="H166" s="120"/>
      <c r="I166" s="120"/>
      <c r="J166" s="120"/>
      <c r="K166" s="120"/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 ht="12.75" customHeight="1">
      <c r="A167" s="120"/>
      <c r="B167" s="120"/>
      <c r="C167" s="120"/>
      <c r="D167" s="120"/>
      <c r="E167" s="120"/>
      <c r="F167" s="120"/>
      <c r="G167" s="120"/>
      <c r="H167" s="120"/>
      <c r="I167" s="120"/>
      <c r="J167" s="120"/>
      <c r="K167" s="120"/>
      <c r="L167" s="120"/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W167" s="120"/>
      <c r="X167" s="120"/>
      <c r="Y167" s="120"/>
      <c r="Z167" s="120"/>
    </row>
    <row r="168" ht="12.75" customHeight="1">
      <c r="A168" s="120"/>
      <c r="B168" s="120"/>
      <c r="C168" s="120"/>
      <c r="D168" s="120"/>
      <c r="E168" s="120"/>
      <c r="F168" s="120"/>
      <c r="G168" s="120"/>
      <c r="H168" s="120"/>
      <c r="I168" s="120"/>
      <c r="J168" s="120"/>
      <c r="K168" s="120"/>
      <c r="L168" s="120"/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 ht="12.75" customHeight="1">
      <c r="A169" s="120"/>
      <c r="B169" s="120"/>
      <c r="C169" s="120"/>
      <c r="D169" s="120"/>
      <c r="E169" s="120"/>
      <c r="F169" s="120"/>
      <c r="G169" s="120"/>
      <c r="H169" s="120"/>
      <c r="I169" s="120"/>
      <c r="J169" s="120"/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 ht="12.75" customHeight="1">
      <c r="A170" s="120"/>
      <c r="B170" s="120"/>
      <c r="C170" s="120"/>
      <c r="D170" s="120"/>
      <c r="E170" s="120"/>
      <c r="F170" s="120"/>
      <c r="G170" s="120"/>
      <c r="H170" s="120"/>
      <c r="I170" s="120"/>
      <c r="J170" s="120"/>
      <c r="K170" s="120"/>
      <c r="L170" s="120"/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W170" s="120"/>
      <c r="X170" s="120"/>
      <c r="Y170" s="120"/>
      <c r="Z170" s="120"/>
    </row>
    <row r="171" ht="12.75" customHeight="1">
      <c r="A171" s="120"/>
      <c r="B171" s="120"/>
      <c r="C171" s="120"/>
      <c r="D171" s="120"/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 ht="12.75" customHeight="1">
      <c r="A172" s="120"/>
      <c r="B172" s="120"/>
      <c r="C172" s="120"/>
      <c r="D172" s="120"/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 ht="12.75" customHeight="1">
      <c r="A173" s="120"/>
      <c r="B173" s="120"/>
      <c r="C173" s="120"/>
      <c r="D173" s="120"/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 ht="12.75" customHeight="1">
      <c r="A174" s="120"/>
      <c r="B174" s="120"/>
      <c r="C174" s="120"/>
      <c r="D174" s="120"/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 ht="12.75" customHeight="1">
      <c r="A175" s="120"/>
      <c r="B175" s="120"/>
      <c r="C175" s="120"/>
      <c r="D175" s="120"/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 ht="12.75" customHeight="1">
      <c r="A176" s="120"/>
      <c r="B176" s="120"/>
      <c r="C176" s="120"/>
      <c r="D176" s="120"/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 ht="12.75" customHeight="1">
      <c r="A177" s="120"/>
      <c r="B177" s="120"/>
      <c r="C177" s="120"/>
      <c r="D177" s="120"/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 ht="12.75" customHeight="1">
      <c r="A178" s="120"/>
      <c r="B178" s="120"/>
      <c r="C178" s="120"/>
      <c r="D178" s="120"/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 ht="12.75" customHeight="1">
      <c r="A179" s="120"/>
      <c r="B179" s="120"/>
      <c r="C179" s="120"/>
      <c r="D179" s="120"/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 ht="12.75" customHeight="1">
      <c r="A180" s="120"/>
      <c r="B180" s="120"/>
      <c r="C180" s="120"/>
      <c r="D180" s="120"/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 ht="12.75" customHeight="1">
      <c r="A181" s="120"/>
      <c r="B181" s="120"/>
      <c r="C181" s="120"/>
      <c r="D181" s="120"/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 ht="12.75" customHeight="1">
      <c r="A182" s="120"/>
      <c r="B182" s="120"/>
      <c r="C182" s="120"/>
      <c r="D182" s="120"/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 ht="12.75" customHeight="1">
      <c r="A183" s="120"/>
      <c r="B183" s="120"/>
      <c r="C183" s="120"/>
      <c r="D183" s="120"/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 ht="12.75" customHeight="1">
      <c r="A184" s="120"/>
      <c r="B184" s="120"/>
      <c r="C184" s="120"/>
      <c r="D184" s="120"/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 ht="12.75" customHeight="1">
      <c r="A185" s="120"/>
      <c r="B185" s="120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 ht="12.75" customHeight="1">
      <c r="A186" s="120"/>
      <c r="B186" s="120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 ht="12.75" customHeight="1">
      <c r="A187" s="120"/>
      <c r="B187" s="120"/>
      <c r="C187" s="120"/>
      <c r="D187" s="120"/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 ht="12.75" customHeight="1">
      <c r="A188" s="120"/>
      <c r="B188" s="120"/>
      <c r="C188" s="120"/>
      <c r="D188" s="120"/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 ht="12.75" customHeight="1">
      <c r="A189" s="120"/>
      <c r="B189" s="120"/>
      <c r="C189" s="120"/>
      <c r="D189" s="120"/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 ht="12.75" customHeight="1">
      <c r="A190" s="120"/>
      <c r="B190" s="120"/>
      <c r="C190" s="120"/>
      <c r="D190" s="120"/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 ht="12.75" customHeight="1">
      <c r="A191" s="120"/>
      <c r="B191" s="120"/>
      <c r="C191" s="120"/>
      <c r="D191" s="120"/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 ht="12.75" customHeight="1">
      <c r="A192" s="120"/>
      <c r="B192" s="120"/>
      <c r="C192" s="120"/>
      <c r="D192" s="120"/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 ht="12.75" customHeight="1">
      <c r="A193" s="120"/>
      <c r="B193" s="120"/>
      <c r="C193" s="120"/>
      <c r="D193" s="120"/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 ht="12.75" customHeight="1">
      <c r="A194" s="120"/>
      <c r="B194" s="120"/>
      <c r="C194" s="120"/>
      <c r="D194" s="120"/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 ht="12.75" customHeight="1">
      <c r="A195" s="120"/>
      <c r="B195" s="120"/>
      <c r="C195" s="120"/>
      <c r="D195" s="120"/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 ht="12.75" customHeight="1">
      <c r="A196" s="120"/>
      <c r="B196" s="120"/>
      <c r="C196" s="120"/>
      <c r="D196" s="120"/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 ht="12.75" customHeight="1">
      <c r="A197" s="120"/>
      <c r="B197" s="120"/>
      <c r="C197" s="120"/>
      <c r="D197" s="120"/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 ht="12.75" customHeight="1">
      <c r="A198" s="120"/>
      <c r="B198" s="120"/>
      <c r="C198" s="120"/>
      <c r="D198" s="120"/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 ht="12.75" customHeight="1">
      <c r="A199" s="120"/>
      <c r="B199" s="120"/>
      <c r="C199" s="120"/>
      <c r="D199" s="120"/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 ht="12.75" customHeight="1">
      <c r="A200" s="120"/>
      <c r="B200" s="120"/>
      <c r="C200" s="120"/>
      <c r="D200" s="120"/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 ht="12.75" customHeight="1">
      <c r="A201" s="120"/>
      <c r="B201" s="120"/>
      <c r="C201" s="120"/>
      <c r="D201" s="120"/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 ht="12.75" customHeight="1">
      <c r="A202" s="120"/>
      <c r="B202" s="120"/>
      <c r="C202" s="120"/>
      <c r="D202" s="120"/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 ht="12.75" customHeight="1">
      <c r="A203" s="120"/>
      <c r="B203" s="120"/>
      <c r="C203" s="120"/>
      <c r="D203" s="120"/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 ht="12.75" customHeight="1">
      <c r="A204" s="120"/>
      <c r="B204" s="120"/>
      <c r="C204" s="120"/>
      <c r="D204" s="120"/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 ht="12.75" customHeight="1">
      <c r="A205" s="120"/>
      <c r="B205" s="120"/>
      <c r="C205" s="120"/>
      <c r="D205" s="120"/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 ht="12.75" customHeight="1">
      <c r="A206" s="120"/>
      <c r="B206" s="120"/>
      <c r="C206" s="120"/>
      <c r="D206" s="120"/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 ht="12.75" customHeight="1">
      <c r="A207" s="120"/>
      <c r="B207" s="120"/>
      <c r="C207" s="120"/>
      <c r="D207" s="120"/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 ht="12.75" customHeight="1">
      <c r="A208" s="120"/>
      <c r="B208" s="120"/>
      <c r="C208" s="120"/>
      <c r="D208" s="120"/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 ht="12.75" customHeight="1">
      <c r="A209" s="120"/>
      <c r="B209" s="120"/>
      <c r="C209" s="120"/>
      <c r="D209" s="120"/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 ht="12.75" customHeight="1">
      <c r="A210" s="120"/>
      <c r="B210" s="120"/>
      <c r="C210" s="120"/>
      <c r="D210" s="120"/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 ht="12.75" customHeight="1">
      <c r="A211" s="120"/>
      <c r="B211" s="120"/>
      <c r="C211" s="120"/>
      <c r="D211" s="120"/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 ht="12.75" customHeight="1">
      <c r="A212" s="120"/>
      <c r="B212" s="120"/>
      <c r="C212" s="120"/>
      <c r="D212" s="120"/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 ht="12.75" customHeight="1">
      <c r="A213" s="120"/>
      <c r="B213" s="120"/>
      <c r="C213" s="120"/>
      <c r="D213" s="120"/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 ht="12.75" customHeight="1">
      <c r="A214" s="120"/>
      <c r="B214" s="120"/>
      <c r="C214" s="120"/>
      <c r="D214" s="120"/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 ht="12.75" customHeight="1">
      <c r="A215" s="120"/>
      <c r="B215" s="120"/>
      <c r="C215" s="120"/>
      <c r="D215" s="120"/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 ht="12.75" customHeight="1">
      <c r="A216" s="120"/>
      <c r="B216" s="120"/>
      <c r="C216" s="120"/>
      <c r="D216" s="120"/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 ht="12.75" customHeight="1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 ht="12.75" customHeight="1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 ht="12.75" customHeight="1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 ht="12.75" customHeight="1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 ht="12.75" customHeight="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 ht="12.75" customHeight="1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 ht="12.75" customHeight="1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 ht="12.75" customHeight="1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 ht="12.75" customHeight="1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 ht="12.75" customHeight="1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 ht="12.75" customHeight="1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 ht="12.75" customHeight="1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 ht="12.75" customHeight="1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 ht="12.75" customHeight="1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 ht="12.75" customHeight="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 ht="12.75" customHeight="1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 ht="12.75" customHeight="1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 ht="12.75" customHeight="1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 ht="12.75" customHeight="1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 ht="12.75" customHeight="1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 ht="12.75" customHeight="1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 ht="12.75" customHeight="1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 ht="12.75" customHeight="1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 ht="12.75" customHeight="1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 ht="12.75" customHeight="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 ht="12.75" customHeight="1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 ht="12.75" customHeight="1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 ht="12.75" customHeight="1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 ht="12.75" customHeight="1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 ht="12.75" customHeight="1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 ht="12.75" customHeight="1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 ht="12.75" customHeight="1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 ht="12.75" customHeight="1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 ht="12.75" customHeight="1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 ht="12.75" customHeight="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 ht="12.75" customHeight="1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 ht="12.75" customHeight="1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 ht="12.75" customHeight="1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 ht="12.75" customHeight="1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 ht="12.75" customHeight="1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 ht="12.75" customHeight="1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 ht="12.75" customHeight="1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 ht="12.75" customHeight="1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 ht="12.75" customHeight="1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 ht="12.75" customHeight="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 ht="12.75" customHeight="1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 ht="12.75" customHeight="1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 ht="12.75" customHeight="1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 ht="12.75" customHeight="1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 ht="12.75" customHeight="1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 ht="12.75" customHeight="1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 ht="12.75" customHeight="1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 ht="12.75" customHeight="1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 ht="12.75" customHeight="1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 ht="12.75" customHeight="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 ht="12.75" customHeight="1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 ht="12.75" customHeight="1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 ht="12.75" customHeight="1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 ht="12.75" customHeight="1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 ht="12.75" customHeight="1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 ht="12.75" customHeight="1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 ht="12.75" customHeight="1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 ht="12.75" customHeight="1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 ht="12.75" customHeight="1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 ht="12.75" customHeight="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 ht="12.75" customHeight="1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 ht="12.75" customHeight="1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 ht="12.75" customHeight="1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 ht="12.75" customHeight="1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 ht="12.75" customHeight="1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 ht="12.75" customHeight="1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 ht="12.75" customHeight="1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 ht="12.75" customHeight="1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 ht="12.75" customHeight="1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 ht="12.75" customHeight="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 ht="12.75" customHeight="1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 ht="12.75" customHeight="1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 ht="12.75" customHeight="1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 ht="12.75" customHeight="1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 ht="12.75" customHeight="1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 ht="12.75" customHeight="1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 ht="12.75" customHeight="1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 ht="12.75" customHeight="1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 ht="12.75" customHeight="1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 ht="12.75" customHeight="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 ht="12.75" customHeight="1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 ht="12.75" customHeight="1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 ht="12.75" customHeight="1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 ht="12.75" customHeight="1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 ht="12.75" customHeight="1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 ht="12.75" customHeight="1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 ht="12.75" customHeight="1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 ht="12.75" customHeight="1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 ht="12.75" customHeight="1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 ht="12.75" customHeight="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 ht="12.75" customHeight="1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 ht="12.75" customHeight="1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 ht="12.75" customHeight="1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 ht="12.75" customHeight="1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 ht="12.75" customHeight="1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 ht="12.75" customHeight="1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 ht="12.75" customHeight="1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 ht="12.75" customHeight="1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 ht="12.75" customHeight="1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 ht="12.75" customHeight="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 ht="12.75" customHeight="1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 ht="12.75" customHeight="1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 ht="12.75" customHeight="1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 ht="12.75" customHeight="1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 ht="12.75" customHeight="1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 ht="12.75" customHeight="1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 ht="12.75" customHeight="1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 ht="12.75" customHeight="1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 ht="12.75" customHeight="1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 ht="12.75" customHeight="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 ht="12.75" customHeight="1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 ht="12.75" customHeight="1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 ht="12.75" customHeight="1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 ht="12.75" customHeight="1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 ht="12.75" customHeight="1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 ht="12.75" customHeight="1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 ht="12.75" customHeight="1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 ht="12.75" customHeight="1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 ht="12.75" customHeight="1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 ht="12.75" customHeight="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 ht="12.75" customHeight="1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 ht="12.75" customHeight="1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 ht="12.75" customHeight="1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 ht="12.75" customHeight="1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 ht="12.75" customHeight="1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 ht="12.75" customHeight="1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 ht="12.75" customHeight="1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 ht="12.75" customHeight="1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 ht="12.75" customHeight="1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 ht="12.75" customHeight="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 ht="12.75" customHeight="1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 ht="12.75" customHeight="1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 ht="12.75" customHeight="1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 ht="12.75" customHeight="1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 ht="12.75" customHeight="1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 ht="12.75" customHeight="1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 ht="12.75" customHeight="1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 ht="12.75" customHeight="1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 ht="12.75" customHeight="1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 ht="12.75" customHeight="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 ht="12.75" customHeight="1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 ht="12.75" customHeight="1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 ht="12.75" customHeight="1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 ht="12.75" customHeight="1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 ht="12.75" customHeight="1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 ht="12.75" customHeight="1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 ht="12.75" customHeight="1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 ht="12.75" customHeight="1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 ht="12.75" customHeight="1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 ht="12.75" customHeight="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 ht="12.75" customHeight="1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 ht="12.75" customHeight="1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 ht="12.75" customHeight="1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 ht="12.75" customHeight="1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 ht="12.75" customHeight="1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 ht="12.75" customHeight="1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 ht="12.75" customHeight="1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 ht="12.75" customHeight="1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 ht="12.75" customHeight="1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 ht="12.75" customHeight="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 ht="12.75" customHeight="1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 ht="12.75" customHeight="1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 ht="12.75" customHeight="1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 ht="12.75" customHeight="1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 ht="12.75" customHeight="1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 ht="12.75" customHeight="1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 ht="12.75" customHeight="1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 ht="12.75" customHeight="1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 ht="12.75" customHeight="1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 ht="12.75" customHeight="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 ht="12.75" customHeight="1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 ht="12.75" customHeight="1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 ht="12.75" customHeight="1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 ht="12.75" customHeight="1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 ht="12.75" customHeight="1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 ht="12.75" customHeight="1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 ht="12.75" customHeight="1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 ht="12.75" customHeight="1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 ht="12.75" customHeight="1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 ht="12.75" customHeight="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 ht="12.75" customHeight="1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 ht="12.75" customHeight="1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 ht="12.75" customHeight="1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 ht="12.75" customHeight="1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 ht="12.75" customHeight="1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 ht="12.75" customHeight="1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 ht="12.75" customHeight="1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 ht="12.75" customHeight="1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 ht="12.75" customHeight="1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 ht="12.75" customHeight="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 ht="12.75" customHeight="1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 ht="12.75" customHeight="1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 ht="12.75" customHeight="1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 ht="12.75" customHeight="1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 ht="12.75" customHeight="1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 ht="12.75" customHeight="1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 ht="12.75" customHeight="1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 ht="12.75" customHeight="1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 ht="12.75" customHeight="1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 ht="12.75" customHeight="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 ht="12.75" customHeight="1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 ht="12.75" customHeight="1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 ht="12.75" customHeight="1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 ht="12.75" customHeight="1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 ht="12.75" customHeight="1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 ht="12.75" customHeight="1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 ht="12.75" customHeight="1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 ht="12.75" customHeight="1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 ht="12.75" customHeight="1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 ht="12.75" customHeight="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 ht="12.75" customHeight="1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 ht="12.75" customHeight="1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 ht="12.75" customHeight="1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 ht="12.75" customHeight="1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 ht="12.75" customHeight="1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 ht="12.75" customHeight="1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 ht="12.75" customHeight="1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 ht="12.75" customHeight="1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 ht="12.75" customHeight="1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 ht="12.75" customHeight="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 ht="12.75" customHeight="1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 ht="12.75" customHeight="1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 ht="12.75" customHeight="1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 ht="12.75" customHeight="1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 ht="12.75" customHeight="1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 ht="12.75" customHeight="1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 ht="12.75" customHeight="1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 ht="12.75" customHeight="1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 ht="12.75" customHeight="1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 ht="12.75" customHeight="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 ht="12.75" customHeight="1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 ht="12.75" customHeight="1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 ht="12.75" customHeight="1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 ht="12.75" customHeight="1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 ht="12.75" customHeight="1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 ht="12.75" customHeight="1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 ht="12.75" customHeight="1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 ht="12.75" customHeight="1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 ht="12.75" customHeight="1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 ht="12.75" customHeight="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 ht="12.75" customHeight="1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 ht="12.75" customHeight="1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 ht="12.75" customHeight="1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 ht="12.75" customHeight="1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 ht="12.75" customHeight="1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 ht="12.75" customHeight="1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 ht="12.75" customHeight="1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 ht="12.75" customHeight="1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 ht="12.75" customHeight="1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 ht="12.75" customHeight="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 ht="12.75" customHeight="1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 ht="12.75" customHeight="1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 ht="12.75" customHeight="1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 ht="12.75" customHeight="1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 ht="12.75" customHeight="1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 ht="12.75" customHeight="1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 ht="12.75" customHeight="1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 ht="12.75" customHeight="1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 ht="12.75" customHeight="1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 ht="12.75" customHeight="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 ht="12.75" customHeight="1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 ht="12.75" customHeight="1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 ht="12.75" customHeight="1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 ht="12.75" customHeight="1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 ht="12.75" customHeight="1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 ht="12.75" customHeight="1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 ht="12.75" customHeight="1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 ht="12.75" customHeight="1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 ht="12.75" customHeight="1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 ht="12.75" customHeight="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 ht="12.75" customHeight="1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 ht="12.75" customHeight="1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 ht="12.75" customHeight="1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 ht="12.75" customHeight="1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 ht="12.75" customHeight="1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 ht="12.75" customHeight="1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 ht="12.75" customHeight="1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 ht="12.75" customHeight="1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 ht="12.75" customHeight="1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 ht="12.75" customHeight="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 ht="12.75" customHeight="1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  <row r="503" ht="12.75" customHeight="1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</row>
    <row r="504" ht="12.75" customHeight="1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</row>
    <row r="505" ht="12.75" customHeight="1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</row>
    <row r="506" ht="12.75" customHeight="1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</row>
    <row r="507" ht="12.75" customHeight="1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</row>
    <row r="508" ht="12.75" customHeight="1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</row>
    <row r="509" ht="12.75" customHeight="1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</row>
    <row r="510" ht="12.75" customHeight="1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</row>
    <row r="511" ht="12.75" customHeight="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</row>
    <row r="512" ht="12.75" customHeight="1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</row>
    <row r="513" ht="12.75" customHeight="1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</row>
    <row r="514" ht="12.75" customHeight="1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</row>
    <row r="515" ht="12.75" customHeight="1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</row>
    <row r="516" ht="12.75" customHeight="1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</row>
    <row r="517" ht="12.75" customHeight="1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</row>
    <row r="518" ht="12.75" customHeight="1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</row>
    <row r="519" ht="12.75" customHeight="1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</row>
    <row r="520" ht="12.75" customHeight="1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</row>
    <row r="521" ht="12.75" customHeight="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</row>
    <row r="522" ht="12.75" customHeight="1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</row>
    <row r="523" ht="12.75" customHeight="1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</row>
    <row r="524" ht="12.75" customHeight="1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</row>
    <row r="525" ht="12.75" customHeight="1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</row>
    <row r="526" ht="12.75" customHeight="1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</row>
    <row r="527" ht="12.75" customHeight="1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</row>
    <row r="528" ht="12.75" customHeight="1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</row>
    <row r="529" ht="12.75" customHeight="1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</row>
    <row r="530" ht="12.75" customHeight="1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</row>
    <row r="531" ht="12.75" customHeight="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</row>
    <row r="532" ht="12.75" customHeight="1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</row>
    <row r="533" ht="12.75" customHeight="1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</row>
    <row r="534" ht="12.75" customHeight="1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</row>
    <row r="535" ht="12.75" customHeight="1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</row>
    <row r="536" ht="12.75" customHeight="1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</row>
    <row r="537" ht="12.75" customHeight="1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</row>
    <row r="538" ht="12.75" customHeight="1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</row>
    <row r="539" ht="12.75" customHeight="1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</row>
    <row r="540" ht="12.75" customHeight="1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</row>
    <row r="541" ht="12.75" customHeight="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</row>
    <row r="542" ht="12.75" customHeight="1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</row>
    <row r="543" ht="12.75" customHeight="1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</row>
    <row r="544" ht="12.75" customHeight="1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</row>
    <row r="545" ht="12.75" customHeight="1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</row>
    <row r="546" ht="12.75" customHeight="1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</row>
    <row r="547" ht="12.75" customHeight="1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</row>
    <row r="548" ht="12.75" customHeight="1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</row>
    <row r="549" ht="12.75" customHeight="1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</row>
    <row r="550" ht="12.75" customHeight="1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</row>
    <row r="551" ht="12.75" customHeight="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</row>
    <row r="552" ht="12.75" customHeight="1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</row>
    <row r="553" ht="12.75" customHeight="1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</row>
    <row r="554" ht="12.75" customHeight="1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</row>
    <row r="555" ht="12.75" customHeight="1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</row>
    <row r="556" ht="12.75" customHeight="1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</row>
    <row r="557" ht="12.75" customHeight="1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</row>
    <row r="558" ht="12.75" customHeight="1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</row>
    <row r="559" ht="12.75" customHeight="1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</row>
    <row r="560" ht="12.75" customHeight="1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</row>
    <row r="561" ht="12.75" customHeight="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</row>
    <row r="562" ht="12.75" customHeight="1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</row>
    <row r="563" ht="12.75" customHeight="1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</row>
    <row r="564" ht="12.75" customHeight="1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</row>
    <row r="565" ht="12.75" customHeight="1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</row>
    <row r="566" ht="12.75" customHeight="1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</row>
    <row r="567" ht="12.75" customHeight="1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</row>
    <row r="568" ht="12.75" customHeight="1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</row>
    <row r="569" ht="12.75" customHeight="1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</row>
    <row r="570" ht="12.75" customHeight="1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</row>
    <row r="571" ht="12.75" customHeight="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</row>
    <row r="572" ht="12.75" customHeight="1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</row>
    <row r="573" ht="12.75" customHeight="1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</row>
    <row r="574" ht="12.75" customHeight="1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</row>
    <row r="575" ht="12.75" customHeight="1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</row>
    <row r="576" ht="12.75" customHeight="1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</row>
    <row r="577" ht="12.75" customHeight="1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</row>
    <row r="578" ht="12.75" customHeight="1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</row>
    <row r="579" ht="12.75" customHeight="1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</row>
    <row r="580" ht="12.75" customHeight="1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</row>
    <row r="581" ht="12.75" customHeight="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</row>
    <row r="582" ht="12.75" customHeight="1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</row>
    <row r="583" ht="12.75" customHeight="1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</row>
    <row r="584" ht="12.75" customHeight="1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</row>
    <row r="585" ht="12.75" customHeight="1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</row>
    <row r="586" ht="12.75" customHeight="1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</row>
    <row r="587" ht="12.75" customHeight="1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</row>
    <row r="588" ht="12.75" customHeight="1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</row>
    <row r="589" ht="12.75" customHeight="1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</row>
    <row r="590" ht="12.75" customHeight="1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</row>
    <row r="591" ht="12.75" customHeight="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</row>
    <row r="592" ht="12.75" customHeight="1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</row>
    <row r="593" ht="12.75" customHeight="1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</row>
    <row r="594" ht="12.75" customHeight="1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</row>
    <row r="595" ht="12.75" customHeight="1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</row>
    <row r="596" ht="12.75" customHeight="1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</row>
    <row r="597" ht="12.75" customHeight="1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</row>
    <row r="598" ht="12.75" customHeight="1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</row>
    <row r="599" ht="12.75" customHeight="1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</row>
    <row r="600" ht="12.75" customHeight="1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</row>
    <row r="601" ht="12.75" customHeight="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</row>
    <row r="602" ht="12.75" customHeight="1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</row>
    <row r="603" ht="12.75" customHeight="1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</row>
    <row r="604" ht="12.75" customHeight="1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</row>
    <row r="605" ht="12.75" customHeight="1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</row>
    <row r="606" ht="12.75" customHeight="1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</row>
    <row r="607" ht="12.75" customHeight="1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</row>
    <row r="608" ht="12.75" customHeight="1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</row>
    <row r="609" ht="12.75" customHeight="1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</row>
    <row r="610" ht="12.75" customHeight="1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</row>
    <row r="611" ht="12.75" customHeight="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</row>
    <row r="612" ht="12.75" customHeight="1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</row>
    <row r="613" ht="12.75" customHeight="1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</row>
    <row r="614" ht="12.75" customHeight="1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</row>
    <row r="615" ht="12.75" customHeight="1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</row>
    <row r="616" ht="12.75" customHeight="1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</row>
    <row r="617" ht="12.75" customHeight="1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</row>
    <row r="618" ht="12.75" customHeight="1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</row>
    <row r="619" ht="12.75" customHeight="1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</row>
    <row r="620" ht="12.75" customHeight="1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</row>
    <row r="621" ht="12.75" customHeight="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</row>
    <row r="622" ht="12.75" customHeight="1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</row>
    <row r="623" ht="12.75" customHeight="1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</row>
    <row r="624" ht="12.75" customHeight="1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</row>
    <row r="625" ht="12.75" customHeight="1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</row>
    <row r="626" ht="12.75" customHeight="1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</row>
    <row r="627" ht="12.75" customHeight="1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</row>
    <row r="628" ht="12.75" customHeight="1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</row>
    <row r="629" ht="12.75" customHeight="1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</row>
    <row r="630" ht="12.75" customHeight="1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</row>
    <row r="631" ht="12.75" customHeight="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</row>
    <row r="632" ht="12.75" customHeight="1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</row>
    <row r="633" ht="12.75" customHeight="1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</row>
    <row r="634" ht="12.75" customHeight="1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</row>
    <row r="635" ht="12.75" customHeight="1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</row>
    <row r="636" ht="12.75" customHeight="1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</row>
    <row r="637" ht="12.75" customHeight="1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</row>
    <row r="638" ht="12.75" customHeight="1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</row>
    <row r="639" ht="12.75" customHeight="1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</row>
    <row r="640" ht="12.75" customHeight="1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</row>
    <row r="641" ht="12.75" customHeight="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</row>
    <row r="642" ht="12.75" customHeight="1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</row>
    <row r="643" ht="12.75" customHeight="1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</row>
    <row r="644" ht="12.75" customHeight="1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</row>
    <row r="645" ht="12.75" customHeight="1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</row>
    <row r="646" ht="12.75" customHeight="1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</row>
    <row r="647" ht="12.75" customHeight="1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</row>
    <row r="648" ht="12.75" customHeight="1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</row>
    <row r="649" ht="12.75" customHeight="1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</row>
    <row r="650" ht="12.75" customHeight="1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</row>
    <row r="651" ht="12.75" customHeight="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</row>
    <row r="652" ht="12.75" customHeight="1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</row>
    <row r="653" ht="12.75" customHeight="1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</row>
    <row r="654" ht="12.75" customHeight="1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</row>
    <row r="655" ht="12.75" customHeight="1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</row>
    <row r="656" ht="12.75" customHeight="1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</row>
    <row r="657" ht="12.75" customHeight="1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</row>
    <row r="658" ht="12.75" customHeight="1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</row>
    <row r="659" ht="12.75" customHeight="1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</row>
    <row r="660" ht="12.75" customHeight="1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</row>
    <row r="661" ht="12.75" customHeight="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</row>
    <row r="662" ht="12.75" customHeight="1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</row>
    <row r="663" ht="12.75" customHeight="1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</row>
    <row r="664" ht="12.75" customHeight="1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</row>
    <row r="665" ht="12.75" customHeight="1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</row>
    <row r="666" ht="12.75" customHeight="1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</row>
    <row r="667" ht="12.75" customHeight="1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</row>
    <row r="668" ht="12.75" customHeight="1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</row>
    <row r="669" ht="12.75" customHeight="1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</row>
    <row r="670" ht="12.75" customHeight="1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</row>
    <row r="671" ht="12.75" customHeight="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</row>
    <row r="672" ht="12.75" customHeight="1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</row>
    <row r="673" ht="12.75" customHeight="1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</row>
    <row r="674" ht="12.75" customHeight="1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</row>
    <row r="675" ht="12.75" customHeight="1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</row>
    <row r="676" ht="12.75" customHeight="1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</row>
    <row r="677" ht="12.75" customHeight="1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</row>
    <row r="678" ht="12.75" customHeight="1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</row>
    <row r="679" ht="12.75" customHeight="1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</row>
    <row r="680" ht="12.75" customHeight="1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</row>
    <row r="681" ht="12.75" customHeight="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</row>
    <row r="682" ht="12.75" customHeight="1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</row>
    <row r="683" ht="12.75" customHeight="1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</row>
    <row r="684" ht="12.75" customHeight="1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</row>
    <row r="685" ht="12.75" customHeight="1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</row>
    <row r="686" ht="12.75" customHeight="1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</row>
    <row r="687" ht="12.75" customHeight="1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</row>
    <row r="688" ht="12.75" customHeight="1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</row>
    <row r="689" ht="12.75" customHeight="1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</row>
    <row r="690" ht="12.75" customHeight="1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</row>
    <row r="691" ht="12.75" customHeight="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</row>
    <row r="692" ht="12.75" customHeight="1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</row>
    <row r="693" ht="12.75" customHeight="1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</row>
    <row r="694" ht="12.75" customHeight="1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</row>
    <row r="695" ht="12.75" customHeight="1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</row>
    <row r="696" ht="12.75" customHeight="1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</row>
    <row r="697" ht="12.75" customHeight="1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</row>
    <row r="698" ht="12.75" customHeight="1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</row>
    <row r="699" ht="12.75" customHeight="1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</row>
    <row r="700" ht="12.75" customHeight="1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</row>
    <row r="701" ht="12.75" customHeight="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</row>
    <row r="702" ht="12.75" customHeight="1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</row>
    <row r="703" ht="12.75" customHeight="1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</row>
    <row r="704" ht="12.75" customHeight="1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</row>
    <row r="705" ht="12.75" customHeight="1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</row>
    <row r="706" ht="12.75" customHeight="1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</row>
    <row r="707" ht="12.75" customHeight="1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</row>
    <row r="708" ht="12.75" customHeight="1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</row>
    <row r="709" ht="12.75" customHeight="1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</row>
    <row r="710" ht="12.75" customHeight="1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</row>
    <row r="711" ht="12.75" customHeight="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</row>
    <row r="712" ht="12.75" customHeight="1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</row>
    <row r="713" ht="12.75" customHeight="1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</row>
    <row r="714" ht="12.75" customHeight="1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</row>
    <row r="715" ht="12.75" customHeight="1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</row>
    <row r="716" ht="12.75" customHeight="1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</row>
    <row r="717" ht="12.75" customHeight="1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</row>
    <row r="718" ht="12.75" customHeight="1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</row>
    <row r="719" ht="12.75" customHeight="1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</row>
    <row r="720" ht="12.75" customHeight="1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</row>
    <row r="721" ht="12.75" customHeight="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</row>
    <row r="722" ht="12.75" customHeight="1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</row>
    <row r="723" ht="12.75" customHeight="1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</row>
    <row r="724" ht="12.75" customHeight="1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</row>
    <row r="725" ht="12.75" customHeight="1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</row>
    <row r="726" ht="12.75" customHeight="1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</row>
    <row r="727" ht="12.75" customHeight="1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</row>
    <row r="728" ht="12.75" customHeight="1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</row>
    <row r="729" ht="12.75" customHeight="1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</row>
    <row r="730" ht="12.75" customHeight="1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</row>
    <row r="731" ht="12.75" customHeight="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</row>
    <row r="732" ht="12.75" customHeight="1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</row>
    <row r="733" ht="12.75" customHeight="1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</row>
    <row r="734" ht="12.75" customHeight="1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</row>
    <row r="735" ht="12.75" customHeight="1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</row>
    <row r="736" ht="12.75" customHeight="1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</row>
    <row r="737" ht="12.75" customHeight="1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</row>
    <row r="738" ht="12.75" customHeight="1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</row>
    <row r="739" ht="12.75" customHeight="1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</row>
    <row r="740" ht="12.75" customHeight="1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</row>
    <row r="741" ht="12.75" customHeight="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</row>
    <row r="742" ht="12.75" customHeight="1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</row>
    <row r="743" ht="12.75" customHeight="1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</row>
    <row r="744" ht="12.75" customHeight="1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</row>
    <row r="745" ht="12.75" customHeight="1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</row>
    <row r="746" ht="12.75" customHeight="1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</row>
    <row r="747" ht="12.75" customHeight="1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</row>
    <row r="748" ht="12.75" customHeight="1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</row>
    <row r="749" ht="12.75" customHeight="1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</row>
    <row r="750" ht="12.75" customHeight="1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</row>
    <row r="751" ht="12.75" customHeight="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</row>
    <row r="752" ht="12.75" customHeight="1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</row>
    <row r="753" ht="12.75" customHeight="1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</row>
    <row r="754" ht="12.75" customHeight="1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</row>
    <row r="755" ht="12.75" customHeight="1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</row>
    <row r="756" ht="12.75" customHeight="1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</row>
    <row r="757" ht="12.75" customHeight="1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</row>
    <row r="758" ht="12.75" customHeight="1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</row>
    <row r="759" ht="12.75" customHeight="1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</row>
    <row r="760" ht="12.75" customHeight="1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</row>
    <row r="761" ht="12.75" customHeight="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</row>
    <row r="762" ht="12.75" customHeight="1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</row>
    <row r="763" ht="12.75" customHeight="1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</row>
    <row r="764" ht="12.75" customHeight="1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</row>
    <row r="765" ht="12.75" customHeight="1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</row>
    <row r="766" ht="12.75" customHeight="1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</row>
    <row r="767" ht="12.75" customHeight="1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</row>
    <row r="768" ht="12.75" customHeight="1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</row>
    <row r="769" ht="12.75" customHeight="1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</row>
    <row r="770" ht="12.75" customHeight="1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</row>
    <row r="771" ht="12.75" customHeight="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</row>
    <row r="772" ht="12.75" customHeight="1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</row>
    <row r="773" ht="12.75" customHeight="1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</row>
    <row r="774" ht="12.75" customHeight="1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</row>
    <row r="775" ht="12.75" customHeight="1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</row>
    <row r="776" ht="12.75" customHeight="1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</row>
    <row r="777" ht="12.75" customHeight="1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</row>
    <row r="778" ht="12.75" customHeight="1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</row>
    <row r="779" ht="12.75" customHeight="1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</row>
    <row r="780" ht="12.75" customHeight="1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</row>
    <row r="781" ht="12.75" customHeight="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</row>
    <row r="782" ht="12.75" customHeight="1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</row>
    <row r="783" ht="12.75" customHeight="1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</row>
    <row r="784" ht="12.75" customHeight="1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</row>
    <row r="785" ht="12.75" customHeight="1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</row>
    <row r="786" ht="12.75" customHeight="1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</row>
    <row r="787" ht="12.75" customHeight="1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</row>
    <row r="788" ht="12.75" customHeight="1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</row>
    <row r="789" ht="12.75" customHeight="1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</row>
    <row r="790" ht="12.75" customHeight="1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</row>
    <row r="791" ht="12.75" customHeight="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</row>
    <row r="792" ht="12.75" customHeight="1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</row>
    <row r="793" ht="12.75" customHeight="1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</row>
    <row r="794" ht="12.75" customHeight="1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</row>
    <row r="795" ht="12.75" customHeight="1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</row>
    <row r="796" ht="12.75" customHeight="1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</row>
    <row r="797" ht="12.75" customHeight="1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</row>
    <row r="798" ht="12.75" customHeight="1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</row>
    <row r="799" ht="12.75" customHeight="1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</row>
    <row r="800" ht="12.75" customHeight="1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</row>
    <row r="801" ht="12.75" customHeight="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</row>
    <row r="802" ht="12.75" customHeight="1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</row>
    <row r="803" ht="12.75" customHeight="1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</row>
    <row r="804" ht="12.75" customHeight="1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</row>
    <row r="805" ht="12.75" customHeight="1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</row>
    <row r="806" ht="12.75" customHeight="1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</row>
    <row r="807" ht="12.75" customHeight="1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</row>
    <row r="808" ht="12.75" customHeight="1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</row>
    <row r="809" ht="12.75" customHeight="1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</row>
    <row r="810" ht="12.75" customHeight="1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</row>
    <row r="811" ht="12.75" customHeight="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</row>
    <row r="812" ht="12.75" customHeight="1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</row>
    <row r="813" ht="12.75" customHeight="1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</row>
    <row r="814" ht="12.75" customHeight="1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</row>
    <row r="815" ht="12.75" customHeight="1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</row>
    <row r="816" ht="12.75" customHeight="1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</row>
    <row r="817" ht="12.75" customHeight="1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</row>
    <row r="818" ht="12.75" customHeight="1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</row>
    <row r="819" ht="12.75" customHeight="1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</row>
    <row r="820" ht="12.75" customHeight="1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</row>
    <row r="821" ht="12.75" customHeight="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</row>
    <row r="822" ht="12.75" customHeight="1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</row>
    <row r="823" ht="12.75" customHeight="1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</row>
    <row r="824" ht="12.75" customHeight="1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</row>
    <row r="825" ht="12.75" customHeight="1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</row>
    <row r="826" ht="12.75" customHeight="1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</row>
    <row r="827" ht="12.75" customHeight="1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</row>
    <row r="828" ht="12.75" customHeight="1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</row>
    <row r="829" ht="12.75" customHeight="1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</row>
    <row r="830" ht="12.75" customHeight="1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</row>
    <row r="831" ht="12.75" customHeight="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</row>
    <row r="832" ht="12.75" customHeight="1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</row>
    <row r="833" ht="12.75" customHeight="1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</row>
    <row r="834" ht="12.75" customHeight="1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</row>
    <row r="835" ht="12.75" customHeight="1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</row>
    <row r="836" ht="12.75" customHeight="1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</row>
    <row r="837" ht="12.75" customHeight="1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</row>
    <row r="838" ht="12.75" customHeight="1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</row>
    <row r="839" ht="12.75" customHeight="1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</row>
    <row r="840" ht="12.75" customHeight="1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</row>
    <row r="841" ht="12.75" customHeight="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</row>
    <row r="842" ht="12.75" customHeight="1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</row>
    <row r="843" ht="12.75" customHeight="1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</row>
    <row r="844" ht="12.75" customHeight="1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</row>
    <row r="845" ht="12.75" customHeight="1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</row>
    <row r="846" ht="12.75" customHeight="1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</row>
    <row r="847" ht="12.75" customHeight="1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</row>
    <row r="848" ht="12.75" customHeight="1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</row>
    <row r="849" ht="12.75" customHeight="1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</row>
    <row r="850" ht="12.75" customHeight="1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</row>
    <row r="851" ht="12.75" customHeight="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</row>
    <row r="852" ht="12.75" customHeight="1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</row>
    <row r="853" ht="12.75" customHeight="1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</row>
    <row r="854" ht="12.75" customHeight="1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</row>
    <row r="855" ht="12.75" customHeight="1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</row>
    <row r="856" ht="12.75" customHeight="1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</row>
    <row r="857" ht="12.75" customHeight="1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</row>
    <row r="858" ht="12.75" customHeight="1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</row>
    <row r="859" ht="12.75" customHeight="1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</row>
    <row r="860" ht="12.75" customHeight="1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</row>
    <row r="861" ht="12.75" customHeight="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</row>
    <row r="862" ht="12.75" customHeight="1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</row>
    <row r="863" ht="12.75" customHeight="1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</row>
    <row r="864" ht="12.75" customHeight="1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</row>
    <row r="865" ht="12.75" customHeight="1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</row>
    <row r="866" ht="12.75" customHeight="1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</row>
    <row r="867" ht="12.75" customHeight="1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</row>
    <row r="868" ht="12.75" customHeight="1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</row>
    <row r="869" ht="12.75" customHeight="1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</row>
    <row r="870" ht="12.75" customHeight="1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</row>
    <row r="871" ht="12.75" customHeight="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</row>
    <row r="872" ht="12.75" customHeight="1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</row>
    <row r="873" ht="12.75" customHeight="1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</row>
    <row r="874" ht="12.75" customHeight="1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</row>
    <row r="875" ht="12.75" customHeight="1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</row>
    <row r="876" ht="12.75" customHeight="1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</row>
    <row r="877" ht="12.75" customHeight="1">
      <c r="A877" s="120"/>
      <c r="B877" s="120"/>
      <c r="C877" s="120"/>
      <c r="D877" s="120"/>
      <c r="E877" s="120"/>
      <c r="F877" s="120"/>
      <c r="G877" s="120"/>
      <c r="H877" s="120"/>
      <c r="I877" s="120"/>
      <c r="J877" s="120"/>
      <c r="K877" s="120"/>
      <c r="L877" s="120"/>
      <c r="M877" s="120"/>
      <c r="N877" s="120"/>
      <c r="O877" s="120"/>
      <c r="P877" s="120"/>
      <c r="Q877" s="120"/>
      <c r="R877" s="120"/>
      <c r="S877" s="120"/>
      <c r="T877" s="120"/>
      <c r="U877" s="120"/>
      <c r="V877" s="120"/>
      <c r="W877" s="120"/>
      <c r="X877" s="120"/>
      <c r="Y877" s="120"/>
      <c r="Z877" s="120"/>
    </row>
    <row r="878" ht="12.75" customHeight="1">
      <c r="A878" s="120"/>
      <c r="B878" s="120"/>
      <c r="C878" s="120"/>
      <c r="D878" s="120"/>
      <c r="E878" s="120"/>
      <c r="F878" s="120"/>
      <c r="G878" s="120"/>
      <c r="H878" s="120"/>
      <c r="I878" s="120"/>
      <c r="J878" s="120"/>
      <c r="K878" s="120"/>
      <c r="L878" s="120"/>
      <c r="M878" s="120"/>
      <c r="N878" s="120"/>
      <c r="O878" s="120"/>
      <c r="P878" s="120"/>
      <c r="Q878" s="120"/>
      <c r="R878" s="120"/>
      <c r="S878" s="120"/>
      <c r="T878" s="120"/>
      <c r="U878" s="120"/>
      <c r="V878" s="120"/>
      <c r="W878" s="120"/>
      <c r="X878" s="120"/>
      <c r="Y878" s="120"/>
      <c r="Z878" s="120"/>
    </row>
    <row r="879" ht="12.75" customHeight="1">
      <c r="A879" s="120"/>
      <c r="B879" s="120"/>
      <c r="C879" s="120"/>
      <c r="D879" s="120"/>
      <c r="E879" s="120"/>
      <c r="F879" s="120"/>
      <c r="G879" s="120"/>
      <c r="H879" s="12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20"/>
      <c r="V879" s="120"/>
      <c r="W879" s="120"/>
      <c r="X879" s="120"/>
      <c r="Y879" s="120"/>
      <c r="Z879" s="120"/>
    </row>
    <row r="880" ht="12.75" customHeight="1">
      <c r="A880" s="120"/>
      <c r="B880" s="120"/>
      <c r="C880" s="120"/>
      <c r="D880" s="120"/>
      <c r="E880" s="120"/>
      <c r="F880" s="120"/>
      <c r="G880" s="120"/>
      <c r="H880" s="120"/>
      <c r="I880" s="120"/>
      <c r="J880" s="120"/>
      <c r="K880" s="120"/>
      <c r="L880" s="120"/>
      <c r="M880" s="120"/>
      <c r="N880" s="120"/>
      <c r="O880" s="120"/>
      <c r="P880" s="120"/>
      <c r="Q880" s="120"/>
      <c r="R880" s="120"/>
      <c r="S880" s="120"/>
      <c r="T880" s="120"/>
      <c r="U880" s="120"/>
      <c r="V880" s="120"/>
      <c r="W880" s="120"/>
      <c r="X880" s="120"/>
      <c r="Y880" s="120"/>
      <c r="Z880" s="120"/>
    </row>
    <row r="881" ht="12.75" customHeight="1">
      <c r="A881" s="120"/>
      <c r="B881" s="120"/>
      <c r="C881" s="120"/>
      <c r="D881" s="120"/>
      <c r="E881" s="120"/>
      <c r="F881" s="120"/>
      <c r="G881" s="120"/>
      <c r="H881" s="12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20"/>
      <c r="V881" s="120"/>
      <c r="W881" s="120"/>
      <c r="X881" s="120"/>
      <c r="Y881" s="120"/>
      <c r="Z881" s="120"/>
    </row>
    <row r="882" ht="12.75" customHeight="1">
      <c r="A882" s="120"/>
      <c r="B882" s="120"/>
      <c r="C882" s="120"/>
      <c r="D882" s="120"/>
      <c r="E882" s="120"/>
      <c r="F882" s="120"/>
      <c r="G882" s="120"/>
      <c r="H882" s="120"/>
      <c r="I882" s="120"/>
      <c r="J882" s="120"/>
      <c r="K882" s="120"/>
      <c r="L882" s="120"/>
      <c r="M882" s="120"/>
      <c r="N882" s="120"/>
      <c r="O882" s="120"/>
      <c r="P882" s="120"/>
      <c r="Q882" s="120"/>
      <c r="R882" s="120"/>
      <c r="S882" s="120"/>
      <c r="T882" s="120"/>
      <c r="U882" s="120"/>
      <c r="V882" s="120"/>
      <c r="W882" s="120"/>
      <c r="X882" s="120"/>
      <c r="Y882" s="120"/>
      <c r="Z882" s="120"/>
    </row>
    <row r="883" ht="12.75" customHeight="1">
      <c r="A883" s="120"/>
      <c r="B883" s="120"/>
      <c r="C883" s="120"/>
      <c r="D883" s="120"/>
      <c r="E883" s="120"/>
      <c r="F883" s="120"/>
      <c r="G883" s="120"/>
      <c r="H883" s="120"/>
      <c r="I883" s="120"/>
      <c r="J883" s="120"/>
      <c r="K883" s="120"/>
      <c r="L883" s="120"/>
      <c r="M883" s="120"/>
      <c r="N883" s="120"/>
      <c r="O883" s="120"/>
      <c r="P883" s="120"/>
      <c r="Q883" s="120"/>
      <c r="R883" s="120"/>
      <c r="S883" s="120"/>
      <c r="T883" s="120"/>
      <c r="U883" s="120"/>
      <c r="V883" s="120"/>
      <c r="W883" s="120"/>
      <c r="X883" s="120"/>
      <c r="Y883" s="120"/>
      <c r="Z883" s="120"/>
    </row>
    <row r="884" ht="12.75" customHeight="1">
      <c r="A884" s="120"/>
      <c r="B884" s="120"/>
      <c r="C884" s="120"/>
      <c r="D884" s="120"/>
      <c r="E884" s="120"/>
      <c r="F884" s="120"/>
      <c r="G884" s="120"/>
      <c r="H884" s="120"/>
      <c r="I884" s="120"/>
      <c r="J884" s="120"/>
      <c r="K884" s="120"/>
      <c r="L884" s="120"/>
      <c r="M884" s="120"/>
      <c r="N884" s="120"/>
      <c r="O884" s="120"/>
      <c r="P884" s="120"/>
      <c r="Q884" s="120"/>
      <c r="R884" s="120"/>
      <c r="S884" s="120"/>
      <c r="T884" s="120"/>
      <c r="U884" s="120"/>
      <c r="V884" s="120"/>
      <c r="W884" s="120"/>
      <c r="X884" s="120"/>
      <c r="Y884" s="120"/>
      <c r="Z884" s="120"/>
    </row>
    <row r="885" ht="12.75" customHeight="1">
      <c r="A885" s="120"/>
      <c r="B885" s="120"/>
      <c r="C885" s="120"/>
      <c r="D885" s="120"/>
      <c r="E885" s="120"/>
      <c r="F885" s="120"/>
      <c r="G885" s="120"/>
      <c r="H885" s="120"/>
      <c r="I885" s="120"/>
      <c r="J885" s="120"/>
      <c r="K885" s="120"/>
      <c r="L885" s="120"/>
      <c r="M885" s="120"/>
      <c r="N885" s="120"/>
      <c r="O885" s="120"/>
      <c r="P885" s="120"/>
      <c r="Q885" s="120"/>
      <c r="R885" s="120"/>
      <c r="S885" s="120"/>
      <c r="T885" s="120"/>
      <c r="U885" s="120"/>
      <c r="V885" s="120"/>
      <c r="W885" s="120"/>
      <c r="X885" s="120"/>
      <c r="Y885" s="120"/>
      <c r="Z885" s="120"/>
    </row>
    <row r="886" ht="12.75" customHeight="1">
      <c r="A886" s="120"/>
      <c r="B886" s="120"/>
      <c r="C886" s="120"/>
      <c r="D886" s="120"/>
      <c r="E886" s="120"/>
      <c r="F886" s="120"/>
      <c r="G886" s="120"/>
      <c r="H886" s="120"/>
      <c r="I886" s="120"/>
      <c r="J886" s="120"/>
      <c r="K886" s="120"/>
      <c r="L886" s="120"/>
      <c r="M886" s="120"/>
      <c r="N886" s="120"/>
      <c r="O886" s="120"/>
      <c r="P886" s="120"/>
      <c r="Q886" s="120"/>
      <c r="R886" s="120"/>
      <c r="S886" s="120"/>
      <c r="T886" s="120"/>
      <c r="U886" s="120"/>
      <c r="V886" s="120"/>
      <c r="W886" s="120"/>
      <c r="X886" s="120"/>
      <c r="Y886" s="120"/>
      <c r="Z886" s="120"/>
    </row>
    <row r="887" ht="12.75" customHeight="1">
      <c r="A887" s="120"/>
      <c r="B887" s="120"/>
      <c r="C887" s="120"/>
      <c r="D887" s="120"/>
      <c r="E887" s="120"/>
      <c r="F887" s="120"/>
      <c r="G887" s="120"/>
      <c r="H887" s="120"/>
      <c r="I887" s="120"/>
      <c r="J887" s="120"/>
      <c r="K887" s="120"/>
      <c r="L887" s="120"/>
      <c r="M887" s="120"/>
      <c r="N887" s="120"/>
      <c r="O887" s="120"/>
      <c r="P887" s="120"/>
      <c r="Q887" s="120"/>
      <c r="R887" s="120"/>
      <c r="S887" s="120"/>
      <c r="T887" s="120"/>
      <c r="U887" s="120"/>
      <c r="V887" s="120"/>
      <c r="W887" s="120"/>
      <c r="X887" s="120"/>
      <c r="Y887" s="120"/>
      <c r="Z887" s="120"/>
    </row>
    <row r="888" ht="12.75" customHeight="1">
      <c r="A888" s="120"/>
      <c r="B888" s="120"/>
      <c r="C888" s="120"/>
      <c r="D888" s="120"/>
      <c r="E888" s="120"/>
      <c r="F888" s="120"/>
      <c r="G888" s="120"/>
      <c r="H888" s="120"/>
      <c r="I888" s="120"/>
      <c r="J888" s="120"/>
      <c r="K888" s="120"/>
      <c r="L888" s="120"/>
      <c r="M888" s="120"/>
      <c r="N888" s="120"/>
      <c r="O888" s="120"/>
      <c r="P888" s="120"/>
      <c r="Q888" s="120"/>
      <c r="R888" s="120"/>
      <c r="S888" s="120"/>
      <c r="T888" s="120"/>
      <c r="U888" s="120"/>
      <c r="V888" s="120"/>
      <c r="W888" s="120"/>
      <c r="X888" s="120"/>
      <c r="Y888" s="120"/>
      <c r="Z888" s="120"/>
    </row>
    <row r="889" ht="12.75" customHeight="1">
      <c r="A889" s="120"/>
      <c r="B889" s="120"/>
      <c r="C889" s="120"/>
      <c r="D889" s="120"/>
      <c r="E889" s="120"/>
      <c r="F889" s="120"/>
      <c r="G889" s="120"/>
      <c r="H889" s="120"/>
      <c r="I889" s="120"/>
      <c r="J889" s="120"/>
      <c r="K889" s="120"/>
      <c r="L889" s="120"/>
      <c r="M889" s="120"/>
      <c r="N889" s="120"/>
      <c r="O889" s="120"/>
      <c r="P889" s="120"/>
      <c r="Q889" s="120"/>
      <c r="R889" s="120"/>
      <c r="S889" s="120"/>
      <c r="T889" s="120"/>
      <c r="U889" s="120"/>
      <c r="V889" s="120"/>
      <c r="W889" s="120"/>
      <c r="X889" s="120"/>
      <c r="Y889" s="120"/>
      <c r="Z889" s="120"/>
    </row>
    <row r="890" ht="12.75" customHeight="1">
      <c r="A890" s="120"/>
      <c r="B890" s="120"/>
      <c r="C890" s="120"/>
      <c r="D890" s="120"/>
      <c r="E890" s="120"/>
      <c r="F890" s="120"/>
      <c r="G890" s="120"/>
      <c r="H890" s="120"/>
      <c r="I890" s="120"/>
      <c r="J890" s="120"/>
      <c r="K890" s="120"/>
      <c r="L890" s="120"/>
      <c r="M890" s="120"/>
      <c r="N890" s="120"/>
      <c r="O890" s="120"/>
      <c r="P890" s="120"/>
      <c r="Q890" s="120"/>
      <c r="R890" s="120"/>
      <c r="S890" s="120"/>
      <c r="T890" s="120"/>
      <c r="U890" s="120"/>
      <c r="V890" s="120"/>
      <c r="W890" s="120"/>
      <c r="X890" s="120"/>
      <c r="Y890" s="120"/>
      <c r="Z890" s="120"/>
    </row>
    <row r="891" ht="12.75" customHeight="1">
      <c r="A891" s="120"/>
      <c r="B891" s="120"/>
      <c r="C891" s="120"/>
      <c r="D891" s="120"/>
      <c r="E891" s="120"/>
      <c r="F891" s="120"/>
      <c r="G891" s="120"/>
      <c r="H891" s="120"/>
      <c r="I891" s="120"/>
      <c r="J891" s="120"/>
      <c r="K891" s="120"/>
      <c r="L891" s="120"/>
      <c r="M891" s="120"/>
      <c r="N891" s="120"/>
      <c r="O891" s="120"/>
      <c r="P891" s="120"/>
      <c r="Q891" s="120"/>
      <c r="R891" s="120"/>
      <c r="S891" s="120"/>
      <c r="T891" s="120"/>
      <c r="U891" s="120"/>
      <c r="V891" s="120"/>
      <c r="W891" s="120"/>
      <c r="X891" s="120"/>
      <c r="Y891" s="120"/>
      <c r="Z891" s="120"/>
    </row>
    <row r="892" ht="12.75" customHeight="1">
      <c r="A892" s="120"/>
      <c r="B892" s="120"/>
      <c r="C892" s="120"/>
      <c r="D892" s="120"/>
      <c r="E892" s="120"/>
      <c r="F892" s="120"/>
      <c r="G892" s="120"/>
      <c r="H892" s="120"/>
      <c r="I892" s="120"/>
      <c r="J892" s="120"/>
      <c r="K892" s="120"/>
      <c r="L892" s="120"/>
      <c r="M892" s="120"/>
      <c r="N892" s="120"/>
      <c r="O892" s="120"/>
      <c r="P892" s="120"/>
      <c r="Q892" s="120"/>
      <c r="R892" s="120"/>
      <c r="S892" s="120"/>
      <c r="T892" s="120"/>
      <c r="U892" s="120"/>
      <c r="V892" s="120"/>
      <c r="W892" s="120"/>
      <c r="X892" s="120"/>
      <c r="Y892" s="120"/>
      <c r="Z892" s="120"/>
    </row>
    <row r="893" ht="12.75" customHeight="1">
      <c r="A893" s="120"/>
      <c r="B893" s="120"/>
      <c r="C893" s="120"/>
      <c r="D893" s="120"/>
      <c r="E893" s="120"/>
      <c r="F893" s="120"/>
      <c r="G893" s="120"/>
      <c r="H893" s="12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20"/>
      <c r="V893" s="120"/>
      <c r="W893" s="120"/>
      <c r="X893" s="120"/>
      <c r="Y893" s="120"/>
      <c r="Z893" s="120"/>
    </row>
    <row r="894" ht="12.75" customHeight="1">
      <c r="A894" s="120"/>
      <c r="B894" s="120"/>
      <c r="C894" s="120"/>
      <c r="D894" s="120"/>
      <c r="E894" s="120"/>
      <c r="F894" s="120"/>
      <c r="G894" s="120"/>
      <c r="H894" s="12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20"/>
      <c r="V894" s="120"/>
      <c r="W894" s="120"/>
      <c r="X894" s="120"/>
      <c r="Y894" s="120"/>
      <c r="Z894" s="120"/>
    </row>
    <row r="895" ht="12.75" customHeight="1">
      <c r="A895" s="120"/>
      <c r="B895" s="120"/>
      <c r="C895" s="120"/>
      <c r="D895" s="120"/>
      <c r="E895" s="120"/>
      <c r="F895" s="120"/>
      <c r="G895" s="120"/>
      <c r="H895" s="120"/>
      <c r="I895" s="120"/>
      <c r="J895" s="120"/>
      <c r="K895" s="120"/>
      <c r="L895" s="120"/>
      <c r="M895" s="120"/>
      <c r="N895" s="120"/>
      <c r="O895" s="120"/>
      <c r="P895" s="120"/>
      <c r="Q895" s="120"/>
      <c r="R895" s="120"/>
      <c r="S895" s="120"/>
      <c r="T895" s="120"/>
      <c r="U895" s="120"/>
      <c r="V895" s="120"/>
      <c r="W895" s="120"/>
      <c r="X895" s="120"/>
      <c r="Y895" s="120"/>
      <c r="Z895" s="120"/>
    </row>
    <row r="896" ht="12.75" customHeight="1">
      <c r="A896" s="120"/>
      <c r="B896" s="120"/>
      <c r="C896" s="120"/>
      <c r="D896" s="120"/>
      <c r="E896" s="120"/>
      <c r="F896" s="120"/>
      <c r="G896" s="120"/>
      <c r="H896" s="12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20"/>
      <c r="V896" s="120"/>
      <c r="W896" s="120"/>
      <c r="X896" s="120"/>
      <c r="Y896" s="120"/>
      <c r="Z896" s="120"/>
    </row>
    <row r="897" ht="12.75" customHeight="1">
      <c r="A897" s="120"/>
      <c r="B897" s="120"/>
      <c r="C897" s="120"/>
      <c r="D897" s="120"/>
      <c r="E897" s="120"/>
      <c r="F897" s="120"/>
      <c r="G897" s="120"/>
      <c r="H897" s="12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20"/>
      <c r="V897" s="120"/>
      <c r="W897" s="120"/>
      <c r="X897" s="120"/>
      <c r="Y897" s="120"/>
      <c r="Z897" s="120"/>
    </row>
    <row r="898" ht="12.75" customHeight="1">
      <c r="A898" s="120"/>
      <c r="B898" s="120"/>
      <c r="C898" s="120"/>
      <c r="D898" s="120"/>
      <c r="E898" s="120"/>
      <c r="F898" s="120"/>
      <c r="G898" s="120"/>
      <c r="H898" s="120"/>
      <c r="I898" s="120"/>
      <c r="J898" s="120"/>
      <c r="K898" s="120"/>
      <c r="L898" s="120"/>
      <c r="M898" s="120"/>
      <c r="N898" s="120"/>
      <c r="O898" s="120"/>
      <c r="P898" s="120"/>
      <c r="Q898" s="120"/>
      <c r="R898" s="120"/>
      <c r="S898" s="120"/>
      <c r="T898" s="120"/>
      <c r="U898" s="120"/>
      <c r="V898" s="120"/>
      <c r="W898" s="120"/>
      <c r="X898" s="120"/>
      <c r="Y898" s="120"/>
      <c r="Z898" s="120"/>
    </row>
    <row r="899" ht="12.75" customHeight="1">
      <c r="A899" s="120"/>
      <c r="B899" s="120"/>
      <c r="C899" s="120"/>
      <c r="D899" s="120"/>
      <c r="E899" s="120"/>
      <c r="F899" s="120"/>
      <c r="G899" s="120"/>
      <c r="H899" s="12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20"/>
      <c r="V899" s="120"/>
      <c r="W899" s="120"/>
      <c r="X899" s="120"/>
      <c r="Y899" s="120"/>
      <c r="Z899" s="120"/>
    </row>
    <row r="900" ht="12.75" customHeight="1">
      <c r="A900" s="120"/>
      <c r="B900" s="120"/>
      <c r="C900" s="120"/>
      <c r="D900" s="120"/>
      <c r="E900" s="120"/>
      <c r="F900" s="120"/>
      <c r="G900" s="120"/>
      <c r="H900" s="120"/>
      <c r="I900" s="120"/>
      <c r="J900" s="120"/>
      <c r="K900" s="120"/>
      <c r="L900" s="120"/>
      <c r="M900" s="120"/>
      <c r="N900" s="120"/>
      <c r="O900" s="120"/>
      <c r="P900" s="120"/>
      <c r="Q900" s="120"/>
      <c r="R900" s="120"/>
      <c r="S900" s="120"/>
      <c r="T900" s="120"/>
      <c r="U900" s="120"/>
      <c r="V900" s="120"/>
      <c r="W900" s="120"/>
      <c r="X900" s="120"/>
      <c r="Y900" s="120"/>
      <c r="Z900" s="120"/>
    </row>
    <row r="901" ht="12.75" customHeight="1">
      <c r="A901" s="120"/>
      <c r="B901" s="120"/>
      <c r="C901" s="120"/>
      <c r="D901" s="120"/>
      <c r="E901" s="120"/>
      <c r="F901" s="120"/>
      <c r="G901" s="120"/>
      <c r="H901" s="120"/>
      <c r="I901" s="120"/>
      <c r="J901" s="120"/>
      <c r="K901" s="120"/>
      <c r="L901" s="120"/>
      <c r="M901" s="120"/>
      <c r="N901" s="120"/>
      <c r="O901" s="120"/>
      <c r="P901" s="120"/>
      <c r="Q901" s="120"/>
      <c r="R901" s="120"/>
      <c r="S901" s="120"/>
      <c r="T901" s="120"/>
      <c r="U901" s="120"/>
      <c r="V901" s="120"/>
      <c r="W901" s="120"/>
      <c r="X901" s="120"/>
      <c r="Y901" s="120"/>
      <c r="Z901" s="120"/>
    </row>
    <row r="902" ht="12.75" customHeight="1">
      <c r="A902" s="120"/>
      <c r="B902" s="120"/>
      <c r="C902" s="120"/>
      <c r="D902" s="120"/>
      <c r="E902" s="120"/>
      <c r="F902" s="120"/>
      <c r="G902" s="120"/>
      <c r="H902" s="120"/>
      <c r="I902" s="120"/>
      <c r="J902" s="120"/>
      <c r="K902" s="120"/>
      <c r="L902" s="120"/>
      <c r="M902" s="120"/>
      <c r="N902" s="120"/>
      <c r="O902" s="120"/>
      <c r="P902" s="120"/>
      <c r="Q902" s="120"/>
      <c r="R902" s="120"/>
      <c r="S902" s="120"/>
      <c r="T902" s="120"/>
      <c r="U902" s="120"/>
      <c r="V902" s="120"/>
      <c r="W902" s="120"/>
      <c r="X902" s="120"/>
      <c r="Y902" s="120"/>
      <c r="Z902" s="120"/>
    </row>
    <row r="903" ht="12.75" customHeight="1">
      <c r="A903" s="120"/>
      <c r="B903" s="120"/>
      <c r="C903" s="120"/>
      <c r="D903" s="120"/>
      <c r="E903" s="120"/>
      <c r="F903" s="120"/>
      <c r="G903" s="120"/>
      <c r="H903" s="12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20"/>
      <c r="V903" s="120"/>
      <c r="W903" s="120"/>
      <c r="X903" s="120"/>
      <c r="Y903" s="120"/>
      <c r="Z903" s="120"/>
    </row>
    <row r="904" ht="12.75" customHeight="1">
      <c r="A904" s="120"/>
      <c r="B904" s="120"/>
      <c r="C904" s="120"/>
      <c r="D904" s="120"/>
      <c r="E904" s="120"/>
      <c r="F904" s="120"/>
      <c r="G904" s="120"/>
      <c r="H904" s="12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20"/>
      <c r="V904" s="120"/>
      <c r="W904" s="120"/>
      <c r="X904" s="120"/>
      <c r="Y904" s="120"/>
      <c r="Z904" s="120"/>
    </row>
    <row r="905" ht="12.75" customHeight="1">
      <c r="A905" s="120"/>
      <c r="B905" s="120"/>
      <c r="C905" s="120"/>
      <c r="D905" s="120"/>
      <c r="E905" s="120"/>
      <c r="F905" s="120"/>
      <c r="G905" s="120"/>
      <c r="H905" s="120"/>
      <c r="I905" s="120"/>
      <c r="J905" s="120"/>
      <c r="K905" s="120"/>
      <c r="L905" s="120"/>
      <c r="M905" s="120"/>
      <c r="N905" s="120"/>
      <c r="O905" s="120"/>
      <c r="P905" s="120"/>
      <c r="Q905" s="120"/>
      <c r="R905" s="120"/>
      <c r="S905" s="120"/>
      <c r="T905" s="120"/>
      <c r="U905" s="120"/>
      <c r="V905" s="120"/>
      <c r="W905" s="120"/>
      <c r="X905" s="120"/>
      <c r="Y905" s="120"/>
      <c r="Z905" s="120"/>
    </row>
    <row r="906" ht="12.75" customHeight="1">
      <c r="A906" s="120"/>
      <c r="B906" s="120"/>
      <c r="C906" s="120"/>
      <c r="D906" s="120"/>
      <c r="E906" s="120"/>
      <c r="F906" s="120"/>
      <c r="G906" s="120"/>
      <c r="H906" s="120"/>
      <c r="I906" s="120"/>
      <c r="J906" s="120"/>
      <c r="K906" s="120"/>
      <c r="L906" s="120"/>
      <c r="M906" s="120"/>
      <c r="N906" s="120"/>
      <c r="O906" s="120"/>
      <c r="P906" s="120"/>
      <c r="Q906" s="120"/>
      <c r="R906" s="120"/>
      <c r="S906" s="120"/>
      <c r="T906" s="120"/>
      <c r="U906" s="120"/>
      <c r="V906" s="120"/>
      <c r="W906" s="120"/>
      <c r="X906" s="120"/>
      <c r="Y906" s="120"/>
      <c r="Z906" s="120"/>
    </row>
    <row r="907" ht="12.75" customHeight="1">
      <c r="A907" s="120"/>
      <c r="B907" s="120"/>
      <c r="C907" s="120"/>
      <c r="D907" s="120"/>
      <c r="E907" s="120"/>
      <c r="F907" s="120"/>
      <c r="G907" s="120"/>
      <c r="H907" s="120"/>
      <c r="I907" s="120"/>
      <c r="J907" s="120"/>
      <c r="K907" s="120"/>
      <c r="L907" s="120"/>
      <c r="M907" s="120"/>
      <c r="N907" s="120"/>
      <c r="O907" s="120"/>
      <c r="P907" s="120"/>
      <c r="Q907" s="120"/>
      <c r="R907" s="120"/>
      <c r="S907" s="120"/>
      <c r="T907" s="120"/>
      <c r="U907" s="120"/>
      <c r="V907" s="120"/>
      <c r="W907" s="120"/>
      <c r="X907" s="120"/>
      <c r="Y907" s="120"/>
      <c r="Z907" s="120"/>
    </row>
    <row r="908" ht="12.75" customHeight="1">
      <c r="A908" s="120"/>
      <c r="B908" s="120"/>
      <c r="C908" s="120"/>
      <c r="D908" s="120"/>
      <c r="E908" s="120"/>
      <c r="F908" s="120"/>
      <c r="G908" s="120"/>
      <c r="H908" s="120"/>
      <c r="I908" s="120"/>
      <c r="J908" s="120"/>
      <c r="K908" s="120"/>
      <c r="L908" s="120"/>
      <c r="M908" s="120"/>
      <c r="N908" s="120"/>
      <c r="O908" s="120"/>
      <c r="P908" s="120"/>
      <c r="Q908" s="120"/>
      <c r="R908" s="120"/>
      <c r="S908" s="120"/>
      <c r="T908" s="120"/>
      <c r="U908" s="120"/>
      <c r="V908" s="120"/>
      <c r="W908" s="120"/>
      <c r="X908" s="120"/>
      <c r="Y908" s="120"/>
      <c r="Z908" s="120"/>
    </row>
    <row r="909" ht="12.75" customHeight="1">
      <c r="A909" s="120"/>
      <c r="B909" s="120"/>
      <c r="C909" s="120"/>
      <c r="D909" s="120"/>
      <c r="E909" s="120"/>
      <c r="F909" s="120"/>
      <c r="G909" s="120"/>
      <c r="H909" s="120"/>
      <c r="I909" s="120"/>
      <c r="J909" s="120"/>
      <c r="K909" s="120"/>
      <c r="L909" s="120"/>
      <c r="M909" s="120"/>
      <c r="N909" s="120"/>
      <c r="O909" s="120"/>
      <c r="P909" s="120"/>
      <c r="Q909" s="120"/>
      <c r="R909" s="120"/>
      <c r="S909" s="120"/>
      <c r="T909" s="120"/>
      <c r="U909" s="120"/>
      <c r="V909" s="120"/>
      <c r="W909" s="120"/>
      <c r="X909" s="120"/>
      <c r="Y909" s="120"/>
      <c r="Z909" s="120"/>
    </row>
    <row r="910" ht="12.75" customHeight="1">
      <c r="A910" s="120"/>
      <c r="B910" s="120"/>
      <c r="C910" s="120"/>
      <c r="D910" s="120"/>
      <c r="E910" s="120"/>
      <c r="F910" s="120"/>
      <c r="G910" s="120"/>
      <c r="H910" s="120"/>
      <c r="I910" s="120"/>
      <c r="J910" s="120"/>
      <c r="K910" s="120"/>
      <c r="L910" s="120"/>
      <c r="M910" s="120"/>
      <c r="N910" s="120"/>
      <c r="O910" s="120"/>
      <c r="P910" s="120"/>
      <c r="Q910" s="120"/>
      <c r="R910" s="120"/>
      <c r="S910" s="120"/>
      <c r="T910" s="120"/>
      <c r="U910" s="120"/>
      <c r="V910" s="120"/>
      <c r="W910" s="120"/>
      <c r="X910" s="120"/>
      <c r="Y910" s="120"/>
      <c r="Z910" s="120"/>
    </row>
    <row r="911" ht="12.75" customHeight="1">
      <c r="A911" s="120"/>
      <c r="B911" s="120"/>
      <c r="C911" s="120"/>
      <c r="D911" s="120"/>
      <c r="E911" s="120"/>
      <c r="F911" s="120"/>
      <c r="G911" s="120"/>
      <c r="H911" s="120"/>
      <c r="I911" s="120"/>
      <c r="J911" s="120"/>
      <c r="K911" s="120"/>
      <c r="L911" s="120"/>
      <c r="M911" s="120"/>
      <c r="N911" s="120"/>
      <c r="O911" s="120"/>
      <c r="P911" s="120"/>
      <c r="Q911" s="120"/>
      <c r="R911" s="120"/>
      <c r="S911" s="120"/>
      <c r="T911" s="120"/>
      <c r="U911" s="120"/>
      <c r="V911" s="120"/>
      <c r="W911" s="120"/>
      <c r="X911" s="120"/>
      <c r="Y911" s="120"/>
      <c r="Z911" s="120"/>
    </row>
    <row r="912" ht="12.75" customHeight="1">
      <c r="A912" s="120"/>
      <c r="B912" s="120"/>
      <c r="C912" s="120"/>
      <c r="D912" s="120"/>
      <c r="E912" s="120"/>
      <c r="F912" s="120"/>
      <c r="G912" s="120"/>
      <c r="H912" s="120"/>
      <c r="I912" s="120"/>
      <c r="J912" s="120"/>
      <c r="K912" s="120"/>
      <c r="L912" s="120"/>
      <c r="M912" s="120"/>
      <c r="N912" s="120"/>
      <c r="O912" s="120"/>
      <c r="P912" s="120"/>
      <c r="Q912" s="120"/>
      <c r="R912" s="120"/>
      <c r="S912" s="120"/>
      <c r="T912" s="120"/>
      <c r="U912" s="120"/>
      <c r="V912" s="120"/>
      <c r="W912" s="120"/>
      <c r="X912" s="120"/>
      <c r="Y912" s="120"/>
      <c r="Z912" s="120"/>
    </row>
    <row r="913" ht="12.75" customHeight="1">
      <c r="A913" s="120"/>
      <c r="B913" s="120"/>
      <c r="C913" s="120"/>
      <c r="D913" s="120"/>
      <c r="E913" s="120"/>
      <c r="F913" s="120"/>
      <c r="G913" s="120"/>
      <c r="H913" s="120"/>
      <c r="I913" s="120"/>
      <c r="J913" s="120"/>
      <c r="K913" s="120"/>
      <c r="L913" s="120"/>
      <c r="M913" s="120"/>
      <c r="N913" s="120"/>
      <c r="O913" s="120"/>
      <c r="P913" s="120"/>
      <c r="Q913" s="120"/>
      <c r="R913" s="120"/>
      <c r="S913" s="120"/>
      <c r="T913" s="120"/>
      <c r="U913" s="120"/>
      <c r="V913" s="120"/>
      <c r="W913" s="120"/>
      <c r="X913" s="120"/>
      <c r="Y913" s="120"/>
      <c r="Z913" s="120"/>
    </row>
    <row r="914" ht="12.75" customHeight="1">
      <c r="A914" s="120"/>
      <c r="B914" s="120"/>
      <c r="C914" s="120"/>
      <c r="D914" s="120"/>
      <c r="E914" s="120"/>
      <c r="F914" s="120"/>
      <c r="G914" s="120"/>
      <c r="H914" s="12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20"/>
      <c r="V914" s="120"/>
      <c r="W914" s="120"/>
      <c r="X914" s="120"/>
      <c r="Y914" s="120"/>
      <c r="Z914" s="120"/>
    </row>
    <row r="915" ht="12.75" customHeight="1">
      <c r="A915" s="120"/>
      <c r="B915" s="120"/>
      <c r="C915" s="120"/>
      <c r="D915" s="120"/>
      <c r="E915" s="120"/>
      <c r="F915" s="120"/>
      <c r="G915" s="120"/>
      <c r="H915" s="120"/>
      <c r="I915" s="120"/>
      <c r="J915" s="120"/>
      <c r="K915" s="120"/>
      <c r="L915" s="120"/>
      <c r="M915" s="120"/>
      <c r="N915" s="120"/>
      <c r="O915" s="120"/>
      <c r="P915" s="120"/>
      <c r="Q915" s="120"/>
      <c r="R915" s="120"/>
      <c r="S915" s="120"/>
      <c r="T915" s="120"/>
      <c r="U915" s="120"/>
      <c r="V915" s="120"/>
      <c r="W915" s="120"/>
      <c r="X915" s="120"/>
      <c r="Y915" s="120"/>
      <c r="Z915" s="120"/>
    </row>
    <row r="916" ht="12.75" customHeight="1">
      <c r="A916" s="120"/>
      <c r="B916" s="120"/>
      <c r="C916" s="120"/>
      <c r="D916" s="120"/>
      <c r="E916" s="120"/>
      <c r="F916" s="120"/>
      <c r="G916" s="120"/>
      <c r="H916" s="120"/>
      <c r="I916" s="120"/>
      <c r="J916" s="120"/>
      <c r="K916" s="120"/>
      <c r="L916" s="120"/>
      <c r="M916" s="120"/>
      <c r="N916" s="120"/>
      <c r="O916" s="120"/>
      <c r="P916" s="120"/>
      <c r="Q916" s="120"/>
      <c r="R916" s="120"/>
      <c r="S916" s="120"/>
      <c r="T916" s="120"/>
      <c r="U916" s="120"/>
      <c r="V916" s="120"/>
      <c r="W916" s="120"/>
      <c r="X916" s="120"/>
      <c r="Y916" s="120"/>
      <c r="Z916" s="120"/>
    </row>
    <row r="917" ht="12.75" customHeight="1">
      <c r="A917" s="120"/>
      <c r="B917" s="120"/>
      <c r="C917" s="120"/>
      <c r="D917" s="120"/>
      <c r="E917" s="120"/>
      <c r="F917" s="120"/>
      <c r="G917" s="120"/>
      <c r="H917" s="120"/>
      <c r="I917" s="120"/>
      <c r="J917" s="120"/>
      <c r="K917" s="120"/>
      <c r="L917" s="120"/>
      <c r="M917" s="120"/>
      <c r="N917" s="120"/>
      <c r="O917" s="120"/>
      <c r="P917" s="120"/>
      <c r="Q917" s="120"/>
      <c r="R917" s="120"/>
      <c r="S917" s="120"/>
      <c r="T917" s="120"/>
      <c r="U917" s="120"/>
      <c r="V917" s="120"/>
      <c r="W917" s="120"/>
      <c r="X917" s="120"/>
      <c r="Y917" s="120"/>
      <c r="Z917" s="120"/>
    </row>
    <row r="918" ht="12.75" customHeight="1">
      <c r="A918" s="120"/>
      <c r="B918" s="120"/>
      <c r="C918" s="120"/>
      <c r="D918" s="120"/>
      <c r="E918" s="120"/>
      <c r="F918" s="120"/>
      <c r="G918" s="120"/>
      <c r="H918" s="120"/>
      <c r="I918" s="120"/>
      <c r="J918" s="120"/>
      <c r="K918" s="120"/>
      <c r="L918" s="120"/>
      <c r="M918" s="120"/>
      <c r="N918" s="120"/>
      <c r="O918" s="120"/>
      <c r="P918" s="120"/>
      <c r="Q918" s="120"/>
      <c r="R918" s="120"/>
      <c r="S918" s="120"/>
      <c r="T918" s="120"/>
      <c r="U918" s="120"/>
      <c r="V918" s="120"/>
      <c r="W918" s="120"/>
      <c r="X918" s="120"/>
      <c r="Y918" s="120"/>
      <c r="Z918" s="120"/>
    </row>
    <row r="919" ht="12.75" customHeight="1">
      <c r="A919" s="120"/>
      <c r="B919" s="120"/>
      <c r="C919" s="120"/>
      <c r="D919" s="120"/>
      <c r="E919" s="120"/>
      <c r="F919" s="120"/>
      <c r="G919" s="120"/>
      <c r="H919" s="120"/>
      <c r="I919" s="120"/>
      <c r="J919" s="120"/>
      <c r="K919" s="120"/>
      <c r="L919" s="120"/>
      <c r="M919" s="120"/>
      <c r="N919" s="120"/>
      <c r="O919" s="120"/>
      <c r="P919" s="120"/>
      <c r="Q919" s="120"/>
      <c r="R919" s="120"/>
      <c r="S919" s="120"/>
      <c r="T919" s="120"/>
      <c r="U919" s="120"/>
      <c r="V919" s="120"/>
      <c r="W919" s="120"/>
      <c r="X919" s="120"/>
      <c r="Y919" s="120"/>
      <c r="Z919" s="120"/>
    </row>
    <row r="920" ht="12.75" customHeight="1">
      <c r="A920" s="120"/>
      <c r="B920" s="120"/>
      <c r="C920" s="120"/>
      <c r="D920" s="120"/>
      <c r="E920" s="120"/>
      <c r="F920" s="120"/>
      <c r="G920" s="120"/>
      <c r="H920" s="120"/>
      <c r="I920" s="120"/>
      <c r="J920" s="120"/>
      <c r="K920" s="120"/>
      <c r="L920" s="120"/>
      <c r="M920" s="120"/>
      <c r="N920" s="120"/>
      <c r="O920" s="120"/>
      <c r="P920" s="120"/>
      <c r="Q920" s="120"/>
      <c r="R920" s="120"/>
      <c r="S920" s="120"/>
      <c r="T920" s="120"/>
      <c r="U920" s="120"/>
      <c r="V920" s="120"/>
      <c r="W920" s="120"/>
      <c r="X920" s="120"/>
      <c r="Y920" s="120"/>
      <c r="Z920" s="120"/>
    </row>
    <row r="921" ht="12.75" customHeight="1">
      <c r="A921" s="120"/>
      <c r="B921" s="120"/>
      <c r="C921" s="120"/>
      <c r="D921" s="120"/>
      <c r="E921" s="120"/>
      <c r="F921" s="120"/>
      <c r="G921" s="120"/>
      <c r="H921" s="120"/>
      <c r="I921" s="120"/>
      <c r="J921" s="120"/>
      <c r="K921" s="120"/>
      <c r="L921" s="120"/>
      <c r="M921" s="120"/>
      <c r="N921" s="120"/>
      <c r="O921" s="120"/>
      <c r="P921" s="120"/>
      <c r="Q921" s="120"/>
      <c r="R921" s="120"/>
      <c r="S921" s="120"/>
      <c r="T921" s="120"/>
      <c r="U921" s="120"/>
      <c r="V921" s="120"/>
      <c r="W921" s="120"/>
      <c r="X921" s="120"/>
      <c r="Y921" s="120"/>
      <c r="Z921" s="120"/>
    </row>
    <row r="922" ht="12.75" customHeight="1">
      <c r="A922" s="120"/>
      <c r="B922" s="120"/>
      <c r="C922" s="120"/>
      <c r="D922" s="120"/>
      <c r="E922" s="120"/>
      <c r="F922" s="120"/>
      <c r="G922" s="120"/>
      <c r="H922" s="12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20"/>
      <c r="V922" s="120"/>
      <c r="W922" s="120"/>
      <c r="X922" s="120"/>
      <c r="Y922" s="120"/>
      <c r="Z922" s="120"/>
    </row>
    <row r="923" ht="12.75" customHeight="1">
      <c r="A923" s="120"/>
      <c r="B923" s="120"/>
      <c r="C923" s="120"/>
      <c r="D923" s="120"/>
      <c r="E923" s="120"/>
      <c r="F923" s="120"/>
      <c r="G923" s="120"/>
      <c r="H923" s="12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20"/>
      <c r="V923" s="120"/>
      <c r="W923" s="120"/>
      <c r="X923" s="120"/>
      <c r="Y923" s="120"/>
      <c r="Z923" s="120"/>
    </row>
    <row r="924" ht="12.75" customHeight="1">
      <c r="A924" s="120"/>
      <c r="B924" s="120"/>
      <c r="C924" s="120"/>
      <c r="D924" s="120"/>
      <c r="E924" s="120"/>
      <c r="F924" s="120"/>
      <c r="G924" s="120"/>
      <c r="H924" s="120"/>
      <c r="I924" s="120"/>
      <c r="J924" s="120"/>
      <c r="K924" s="120"/>
      <c r="L924" s="120"/>
      <c r="M924" s="120"/>
      <c r="N924" s="120"/>
      <c r="O924" s="120"/>
      <c r="P924" s="120"/>
      <c r="Q924" s="120"/>
      <c r="R924" s="120"/>
      <c r="S924" s="120"/>
      <c r="T924" s="120"/>
      <c r="U924" s="120"/>
      <c r="V924" s="120"/>
      <c r="W924" s="120"/>
      <c r="X924" s="120"/>
      <c r="Y924" s="120"/>
      <c r="Z924" s="120"/>
    </row>
    <row r="925" ht="12.75" customHeight="1">
      <c r="A925" s="120"/>
      <c r="B925" s="120"/>
      <c r="C925" s="120"/>
      <c r="D925" s="120"/>
      <c r="E925" s="120"/>
      <c r="F925" s="120"/>
      <c r="G925" s="120"/>
      <c r="H925" s="120"/>
      <c r="I925" s="120"/>
      <c r="J925" s="120"/>
      <c r="K925" s="120"/>
      <c r="L925" s="120"/>
      <c r="M925" s="120"/>
      <c r="N925" s="120"/>
      <c r="O925" s="120"/>
      <c r="P925" s="120"/>
      <c r="Q925" s="120"/>
      <c r="R925" s="120"/>
      <c r="S925" s="120"/>
      <c r="T925" s="120"/>
      <c r="U925" s="120"/>
      <c r="V925" s="120"/>
      <c r="W925" s="120"/>
      <c r="X925" s="120"/>
      <c r="Y925" s="120"/>
      <c r="Z925" s="120"/>
    </row>
    <row r="926" ht="12.75" customHeight="1">
      <c r="A926" s="120"/>
      <c r="B926" s="120"/>
      <c r="C926" s="120"/>
      <c r="D926" s="120"/>
      <c r="E926" s="120"/>
      <c r="F926" s="120"/>
      <c r="G926" s="120"/>
      <c r="H926" s="12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20"/>
      <c r="V926" s="120"/>
      <c r="W926" s="120"/>
      <c r="X926" s="120"/>
      <c r="Y926" s="120"/>
      <c r="Z926" s="120"/>
    </row>
    <row r="927" ht="12.75" customHeight="1">
      <c r="A927" s="120"/>
      <c r="B927" s="120"/>
      <c r="C927" s="120"/>
      <c r="D927" s="120"/>
      <c r="E927" s="120"/>
      <c r="F927" s="120"/>
      <c r="G927" s="120"/>
      <c r="H927" s="120"/>
      <c r="I927" s="120"/>
      <c r="J927" s="120"/>
      <c r="K927" s="120"/>
      <c r="L927" s="120"/>
      <c r="M927" s="120"/>
      <c r="N927" s="120"/>
      <c r="O927" s="120"/>
      <c r="P927" s="120"/>
      <c r="Q927" s="120"/>
      <c r="R927" s="120"/>
      <c r="S927" s="120"/>
      <c r="T927" s="120"/>
      <c r="U927" s="120"/>
      <c r="V927" s="120"/>
      <c r="W927" s="120"/>
      <c r="X927" s="120"/>
      <c r="Y927" s="120"/>
      <c r="Z927" s="120"/>
    </row>
    <row r="928" ht="12.75" customHeight="1">
      <c r="A928" s="120"/>
      <c r="B928" s="120"/>
      <c r="C928" s="120"/>
      <c r="D928" s="120"/>
      <c r="E928" s="120"/>
      <c r="F928" s="120"/>
      <c r="G928" s="120"/>
      <c r="H928" s="120"/>
      <c r="I928" s="120"/>
      <c r="J928" s="120"/>
      <c r="K928" s="120"/>
      <c r="L928" s="120"/>
      <c r="M928" s="120"/>
      <c r="N928" s="120"/>
      <c r="O928" s="120"/>
      <c r="P928" s="120"/>
      <c r="Q928" s="120"/>
      <c r="R928" s="120"/>
      <c r="S928" s="120"/>
      <c r="T928" s="120"/>
      <c r="U928" s="120"/>
      <c r="V928" s="120"/>
      <c r="W928" s="120"/>
      <c r="X928" s="120"/>
      <c r="Y928" s="120"/>
      <c r="Z928" s="120"/>
    </row>
    <row r="929" ht="12.75" customHeight="1">
      <c r="A929" s="120"/>
      <c r="B929" s="120"/>
      <c r="C929" s="120"/>
      <c r="D929" s="120"/>
      <c r="E929" s="120"/>
      <c r="F929" s="120"/>
      <c r="G929" s="120"/>
      <c r="H929" s="12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20"/>
      <c r="V929" s="120"/>
      <c r="W929" s="120"/>
      <c r="X929" s="120"/>
      <c r="Y929" s="120"/>
      <c r="Z929" s="120"/>
    </row>
    <row r="930" ht="12.75" customHeight="1">
      <c r="A930" s="120"/>
      <c r="B930" s="120"/>
      <c r="C930" s="120"/>
      <c r="D930" s="120"/>
      <c r="E930" s="120"/>
      <c r="F930" s="120"/>
      <c r="G930" s="120"/>
      <c r="H930" s="120"/>
      <c r="I930" s="120"/>
      <c r="J930" s="120"/>
      <c r="K930" s="120"/>
      <c r="L930" s="120"/>
      <c r="M930" s="120"/>
      <c r="N930" s="120"/>
      <c r="O930" s="120"/>
      <c r="P930" s="120"/>
      <c r="Q930" s="120"/>
      <c r="R930" s="120"/>
      <c r="S930" s="120"/>
      <c r="T930" s="120"/>
      <c r="U930" s="120"/>
      <c r="V930" s="120"/>
      <c r="W930" s="120"/>
      <c r="X930" s="120"/>
      <c r="Y930" s="120"/>
      <c r="Z930" s="120"/>
    </row>
    <row r="931" ht="12.75" customHeight="1">
      <c r="A931" s="120"/>
      <c r="B931" s="120"/>
      <c r="C931" s="120"/>
      <c r="D931" s="120"/>
      <c r="E931" s="120"/>
      <c r="F931" s="120"/>
      <c r="G931" s="120"/>
      <c r="H931" s="12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20"/>
      <c r="V931" s="120"/>
      <c r="W931" s="120"/>
      <c r="X931" s="120"/>
      <c r="Y931" s="120"/>
      <c r="Z931" s="120"/>
    </row>
    <row r="932" ht="12.75" customHeight="1">
      <c r="A932" s="120"/>
      <c r="B932" s="120"/>
      <c r="C932" s="120"/>
      <c r="D932" s="120"/>
      <c r="E932" s="120"/>
      <c r="F932" s="120"/>
      <c r="G932" s="120"/>
      <c r="H932" s="12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20"/>
      <c r="V932" s="120"/>
      <c r="W932" s="120"/>
      <c r="X932" s="120"/>
      <c r="Y932" s="120"/>
      <c r="Z932" s="120"/>
    </row>
    <row r="933" ht="12.75" customHeight="1">
      <c r="A933" s="120"/>
      <c r="B933" s="120"/>
      <c r="C933" s="120"/>
      <c r="D933" s="120"/>
      <c r="E933" s="120"/>
      <c r="F933" s="120"/>
      <c r="G933" s="120"/>
      <c r="H933" s="120"/>
      <c r="I933" s="120"/>
      <c r="J933" s="120"/>
      <c r="K933" s="120"/>
      <c r="L933" s="120"/>
      <c r="M933" s="120"/>
      <c r="N933" s="120"/>
      <c r="O933" s="120"/>
      <c r="P933" s="120"/>
      <c r="Q933" s="120"/>
      <c r="R933" s="120"/>
      <c r="S933" s="120"/>
      <c r="T933" s="120"/>
      <c r="U933" s="120"/>
      <c r="V933" s="120"/>
      <c r="W933" s="120"/>
      <c r="X933" s="120"/>
      <c r="Y933" s="120"/>
      <c r="Z933" s="120"/>
    </row>
    <row r="934" ht="12.75" customHeight="1">
      <c r="A934" s="120"/>
      <c r="B934" s="120"/>
      <c r="C934" s="120"/>
      <c r="D934" s="120"/>
      <c r="E934" s="120"/>
      <c r="F934" s="120"/>
      <c r="G934" s="120"/>
      <c r="H934" s="120"/>
      <c r="I934" s="120"/>
      <c r="J934" s="120"/>
      <c r="K934" s="120"/>
      <c r="L934" s="120"/>
      <c r="M934" s="120"/>
      <c r="N934" s="120"/>
      <c r="O934" s="120"/>
      <c r="P934" s="120"/>
      <c r="Q934" s="120"/>
      <c r="R934" s="120"/>
      <c r="S934" s="120"/>
      <c r="T934" s="120"/>
      <c r="U934" s="120"/>
      <c r="V934" s="120"/>
      <c r="W934" s="120"/>
      <c r="X934" s="120"/>
      <c r="Y934" s="120"/>
      <c r="Z934" s="120"/>
    </row>
    <row r="935" ht="12.75" customHeight="1">
      <c r="A935" s="120"/>
      <c r="B935" s="120"/>
      <c r="C935" s="120"/>
      <c r="D935" s="120"/>
      <c r="E935" s="120"/>
      <c r="F935" s="120"/>
      <c r="G935" s="120"/>
      <c r="H935" s="12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20"/>
      <c r="V935" s="120"/>
      <c r="W935" s="120"/>
      <c r="X935" s="120"/>
      <c r="Y935" s="120"/>
      <c r="Z935" s="120"/>
    </row>
    <row r="936" ht="12.75" customHeight="1">
      <c r="A936" s="120"/>
      <c r="B936" s="120"/>
      <c r="C936" s="120"/>
      <c r="D936" s="120"/>
      <c r="E936" s="120"/>
      <c r="F936" s="120"/>
      <c r="G936" s="120"/>
      <c r="H936" s="120"/>
      <c r="I936" s="120"/>
      <c r="J936" s="120"/>
      <c r="K936" s="120"/>
      <c r="L936" s="120"/>
      <c r="M936" s="120"/>
      <c r="N936" s="120"/>
      <c r="O936" s="120"/>
      <c r="P936" s="120"/>
      <c r="Q936" s="120"/>
      <c r="R936" s="120"/>
      <c r="S936" s="120"/>
      <c r="T936" s="120"/>
      <c r="U936" s="120"/>
      <c r="V936" s="120"/>
      <c r="W936" s="120"/>
      <c r="X936" s="120"/>
      <c r="Y936" s="120"/>
      <c r="Z936" s="120"/>
    </row>
    <row r="937" ht="12.75" customHeight="1">
      <c r="A937" s="120"/>
      <c r="B937" s="120"/>
      <c r="C937" s="120"/>
      <c r="D937" s="120"/>
      <c r="E937" s="120"/>
      <c r="F937" s="120"/>
      <c r="G937" s="120"/>
      <c r="H937" s="120"/>
      <c r="I937" s="120"/>
      <c r="J937" s="120"/>
      <c r="K937" s="120"/>
      <c r="L937" s="120"/>
      <c r="M937" s="120"/>
      <c r="N937" s="120"/>
      <c r="O937" s="120"/>
      <c r="P937" s="120"/>
      <c r="Q937" s="120"/>
      <c r="R937" s="120"/>
      <c r="S937" s="120"/>
      <c r="T937" s="120"/>
      <c r="U937" s="120"/>
      <c r="V937" s="120"/>
      <c r="W937" s="120"/>
      <c r="X937" s="120"/>
      <c r="Y937" s="120"/>
      <c r="Z937" s="120"/>
    </row>
    <row r="938" ht="12.75" customHeight="1">
      <c r="A938" s="120"/>
      <c r="B938" s="120"/>
      <c r="C938" s="120"/>
      <c r="D938" s="120"/>
      <c r="E938" s="120"/>
      <c r="F938" s="120"/>
      <c r="G938" s="120"/>
      <c r="H938" s="120"/>
      <c r="I938" s="120"/>
      <c r="J938" s="120"/>
      <c r="K938" s="120"/>
      <c r="L938" s="120"/>
      <c r="M938" s="120"/>
      <c r="N938" s="120"/>
      <c r="O938" s="120"/>
      <c r="P938" s="120"/>
      <c r="Q938" s="120"/>
      <c r="R938" s="120"/>
      <c r="S938" s="120"/>
      <c r="T938" s="120"/>
      <c r="U938" s="120"/>
      <c r="V938" s="120"/>
      <c r="W938" s="120"/>
      <c r="X938" s="120"/>
      <c r="Y938" s="120"/>
      <c r="Z938" s="120"/>
    </row>
    <row r="939" ht="12.75" customHeight="1">
      <c r="A939" s="120"/>
      <c r="B939" s="120"/>
      <c r="C939" s="120"/>
      <c r="D939" s="120"/>
      <c r="E939" s="120"/>
      <c r="F939" s="120"/>
      <c r="G939" s="120"/>
      <c r="H939" s="120"/>
      <c r="I939" s="120"/>
      <c r="J939" s="120"/>
      <c r="K939" s="120"/>
      <c r="L939" s="120"/>
      <c r="M939" s="120"/>
      <c r="N939" s="120"/>
      <c r="O939" s="120"/>
      <c r="P939" s="120"/>
      <c r="Q939" s="120"/>
      <c r="R939" s="120"/>
      <c r="S939" s="120"/>
      <c r="T939" s="120"/>
      <c r="U939" s="120"/>
      <c r="V939" s="120"/>
      <c r="W939" s="120"/>
      <c r="X939" s="120"/>
      <c r="Y939" s="120"/>
      <c r="Z939" s="120"/>
    </row>
    <row r="940" ht="12.75" customHeight="1">
      <c r="A940" s="120"/>
      <c r="B940" s="120"/>
      <c r="C940" s="120"/>
      <c r="D940" s="120"/>
      <c r="E940" s="120"/>
      <c r="F940" s="120"/>
      <c r="G940" s="120"/>
      <c r="H940" s="120"/>
      <c r="I940" s="120"/>
      <c r="J940" s="120"/>
      <c r="K940" s="120"/>
      <c r="L940" s="120"/>
      <c r="M940" s="120"/>
      <c r="N940" s="120"/>
      <c r="O940" s="120"/>
      <c r="P940" s="120"/>
      <c r="Q940" s="120"/>
      <c r="R940" s="120"/>
      <c r="S940" s="120"/>
      <c r="T940" s="120"/>
      <c r="U940" s="120"/>
      <c r="V940" s="120"/>
      <c r="W940" s="120"/>
      <c r="X940" s="120"/>
      <c r="Y940" s="120"/>
      <c r="Z940" s="120"/>
    </row>
    <row r="941" ht="12.75" customHeight="1">
      <c r="A941" s="120"/>
      <c r="B941" s="120"/>
      <c r="C941" s="120"/>
      <c r="D941" s="120"/>
      <c r="E941" s="120"/>
      <c r="F941" s="120"/>
      <c r="G941" s="120"/>
      <c r="H941" s="12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20"/>
      <c r="V941" s="120"/>
      <c r="W941" s="120"/>
      <c r="X941" s="120"/>
      <c r="Y941" s="120"/>
      <c r="Z941" s="120"/>
    </row>
    <row r="942" ht="12.75" customHeight="1">
      <c r="A942" s="120"/>
      <c r="B942" s="120"/>
      <c r="C942" s="120"/>
      <c r="D942" s="120"/>
      <c r="E942" s="120"/>
      <c r="F942" s="120"/>
      <c r="G942" s="120"/>
      <c r="H942" s="120"/>
      <c r="I942" s="120"/>
      <c r="J942" s="120"/>
      <c r="K942" s="120"/>
      <c r="L942" s="120"/>
      <c r="M942" s="120"/>
      <c r="N942" s="120"/>
      <c r="O942" s="120"/>
      <c r="P942" s="120"/>
      <c r="Q942" s="120"/>
      <c r="R942" s="120"/>
      <c r="S942" s="120"/>
      <c r="T942" s="120"/>
      <c r="U942" s="120"/>
      <c r="V942" s="120"/>
      <c r="W942" s="120"/>
      <c r="X942" s="120"/>
      <c r="Y942" s="120"/>
      <c r="Z942" s="120"/>
    </row>
    <row r="943" ht="12.75" customHeight="1">
      <c r="A943" s="120"/>
      <c r="B943" s="120"/>
      <c r="C943" s="120"/>
      <c r="D943" s="120"/>
      <c r="E943" s="120"/>
      <c r="F943" s="120"/>
      <c r="G943" s="120"/>
      <c r="H943" s="12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20"/>
      <c r="V943" s="120"/>
      <c r="W943" s="120"/>
      <c r="X943" s="120"/>
      <c r="Y943" s="120"/>
      <c r="Z943" s="120"/>
    </row>
    <row r="944" ht="12.75" customHeight="1">
      <c r="A944" s="120"/>
      <c r="B944" s="120"/>
      <c r="C944" s="120"/>
      <c r="D944" s="120"/>
      <c r="E944" s="120"/>
      <c r="F944" s="120"/>
      <c r="G944" s="120"/>
      <c r="H944" s="12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20"/>
      <c r="V944" s="120"/>
      <c r="W944" s="120"/>
      <c r="X944" s="120"/>
      <c r="Y944" s="120"/>
      <c r="Z944" s="120"/>
    </row>
    <row r="945" ht="12.75" customHeight="1">
      <c r="A945" s="120"/>
      <c r="B945" s="120"/>
      <c r="C945" s="120"/>
      <c r="D945" s="120"/>
      <c r="E945" s="120"/>
      <c r="F945" s="120"/>
      <c r="G945" s="120"/>
      <c r="H945" s="120"/>
      <c r="I945" s="120"/>
      <c r="J945" s="120"/>
      <c r="K945" s="120"/>
      <c r="L945" s="120"/>
      <c r="M945" s="120"/>
      <c r="N945" s="120"/>
      <c r="O945" s="120"/>
      <c r="P945" s="120"/>
      <c r="Q945" s="120"/>
      <c r="R945" s="120"/>
      <c r="S945" s="120"/>
      <c r="T945" s="120"/>
      <c r="U945" s="120"/>
      <c r="V945" s="120"/>
      <c r="W945" s="120"/>
      <c r="X945" s="120"/>
      <c r="Y945" s="120"/>
      <c r="Z945" s="120"/>
    </row>
    <row r="946" ht="12.75" customHeight="1">
      <c r="A946" s="120"/>
      <c r="B946" s="120"/>
      <c r="C946" s="120"/>
      <c r="D946" s="120"/>
      <c r="E946" s="120"/>
      <c r="F946" s="120"/>
      <c r="G946" s="120"/>
      <c r="H946" s="120"/>
      <c r="I946" s="120"/>
      <c r="J946" s="120"/>
      <c r="K946" s="120"/>
      <c r="L946" s="120"/>
      <c r="M946" s="120"/>
      <c r="N946" s="120"/>
      <c r="O946" s="120"/>
      <c r="P946" s="120"/>
      <c r="Q946" s="120"/>
      <c r="R946" s="120"/>
      <c r="S946" s="120"/>
      <c r="T946" s="120"/>
      <c r="U946" s="120"/>
      <c r="V946" s="120"/>
      <c r="W946" s="120"/>
      <c r="X946" s="120"/>
      <c r="Y946" s="120"/>
      <c r="Z946" s="120"/>
    </row>
    <row r="947" ht="12.75" customHeight="1">
      <c r="A947" s="120"/>
      <c r="B947" s="120"/>
      <c r="C947" s="120"/>
      <c r="D947" s="120"/>
      <c r="E947" s="120"/>
      <c r="F947" s="120"/>
      <c r="G947" s="120"/>
      <c r="H947" s="120"/>
      <c r="I947" s="120"/>
      <c r="J947" s="120"/>
      <c r="K947" s="120"/>
      <c r="L947" s="120"/>
      <c r="M947" s="120"/>
      <c r="N947" s="120"/>
      <c r="O947" s="120"/>
      <c r="P947" s="120"/>
      <c r="Q947" s="120"/>
      <c r="R947" s="120"/>
      <c r="S947" s="120"/>
      <c r="T947" s="120"/>
      <c r="U947" s="120"/>
      <c r="V947" s="120"/>
      <c r="W947" s="120"/>
      <c r="X947" s="120"/>
      <c r="Y947" s="120"/>
      <c r="Z947" s="120"/>
    </row>
    <row r="948" ht="12.75" customHeight="1">
      <c r="A948" s="120"/>
      <c r="B948" s="120"/>
      <c r="C948" s="120"/>
      <c r="D948" s="120"/>
      <c r="E948" s="120"/>
      <c r="F948" s="120"/>
      <c r="G948" s="120"/>
      <c r="H948" s="12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20"/>
      <c r="V948" s="120"/>
      <c r="W948" s="120"/>
      <c r="X948" s="120"/>
      <c r="Y948" s="120"/>
      <c r="Z948" s="120"/>
    </row>
    <row r="949" ht="12.75" customHeight="1">
      <c r="A949" s="120"/>
      <c r="B949" s="120"/>
      <c r="C949" s="120"/>
      <c r="D949" s="120"/>
      <c r="E949" s="120"/>
      <c r="F949" s="120"/>
      <c r="G949" s="120"/>
      <c r="H949" s="12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20"/>
      <c r="V949" s="120"/>
      <c r="W949" s="120"/>
      <c r="X949" s="120"/>
      <c r="Y949" s="120"/>
      <c r="Z949" s="120"/>
    </row>
    <row r="950" ht="12.75" customHeight="1">
      <c r="A950" s="120"/>
      <c r="B950" s="120"/>
      <c r="C950" s="120"/>
      <c r="D950" s="120"/>
      <c r="E950" s="120"/>
      <c r="F950" s="120"/>
      <c r="G950" s="120"/>
      <c r="H950" s="120"/>
      <c r="I950" s="120"/>
      <c r="J950" s="120"/>
      <c r="K950" s="120"/>
      <c r="L950" s="120"/>
      <c r="M950" s="120"/>
      <c r="N950" s="120"/>
      <c r="O950" s="120"/>
      <c r="P950" s="120"/>
      <c r="Q950" s="120"/>
      <c r="R950" s="120"/>
      <c r="S950" s="120"/>
      <c r="T950" s="120"/>
      <c r="U950" s="120"/>
      <c r="V950" s="120"/>
      <c r="W950" s="120"/>
      <c r="X950" s="120"/>
      <c r="Y950" s="120"/>
      <c r="Z950" s="120"/>
    </row>
    <row r="951" ht="12.75" customHeight="1">
      <c r="A951" s="120"/>
      <c r="B951" s="120"/>
      <c r="C951" s="120"/>
      <c r="D951" s="120"/>
      <c r="E951" s="120"/>
      <c r="F951" s="120"/>
      <c r="G951" s="120"/>
      <c r="H951" s="120"/>
      <c r="I951" s="120"/>
      <c r="J951" s="120"/>
      <c r="K951" s="120"/>
      <c r="L951" s="120"/>
      <c r="M951" s="120"/>
      <c r="N951" s="120"/>
      <c r="O951" s="120"/>
      <c r="P951" s="120"/>
      <c r="Q951" s="120"/>
      <c r="R951" s="120"/>
      <c r="S951" s="120"/>
      <c r="T951" s="120"/>
      <c r="U951" s="120"/>
      <c r="V951" s="120"/>
      <c r="W951" s="120"/>
      <c r="X951" s="120"/>
      <c r="Y951" s="120"/>
      <c r="Z951" s="120"/>
    </row>
    <row r="952" ht="12.75" customHeight="1">
      <c r="A952" s="120"/>
      <c r="B952" s="120"/>
      <c r="C952" s="120"/>
      <c r="D952" s="120"/>
      <c r="E952" s="120"/>
      <c r="F952" s="120"/>
      <c r="G952" s="120"/>
      <c r="H952" s="12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20"/>
      <c r="V952" s="120"/>
      <c r="W952" s="120"/>
      <c r="X952" s="120"/>
      <c r="Y952" s="120"/>
      <c r="Z952" s="120"/>
    </row>
    <row r="953" ht="12.75" customHeight="1">
      <c r="A953" s="120"/>
      <c r="B953" s="120"/>
      <c r="C953" s="120"/>
      <c r="D953" s="120"/>
      <c r="E953" s="120"/>
      <c r="F953" s="120"/>
      <c r="G953" s="120"/>
      <c r="H953" s="12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20"/>
      <c r="V953" s="120"/>
      <c r="W953" s="120"/>
      <c r="X953" s="120"/>
      <c r="Y953" s="120"/>
      <c r="Z953" s="120"/>
    </row>
    <row r="954" ht="12.75" customHeight="1">
      <c r="A954" s="120"/>
      <c r="B954" s="120"/>
      <c r="C954" s="120"/>
      <c r="D954" s="120"/>
      <c r="E954" s="120"/>
      <c r="F954" s="120"/>
      <c r="G954" s="120"/>
      <c r="H954" s="120"/>
      <c r="I954" s="120"/>
      <c r="J954" s="120"/>
      <c r="K954" s="120"/>
      <c r="L954" s="120"/>
      <c r="M954" s="120"/>
      <c r="N954" s="120"/>
      <c r="O954" s="120"/>
      <c r="P954" s="120"/>
      <c r="Q954" s="120"/>
      <c r="R954" s="120"/>
      <c r="S954" s="120"/>
      <c r="T954" s="120"/>
      <c r="U954" s="120"/>
      <c r="V954" s="120"/>
      <c r="W954" s="120"/>
      <c r="X954" s="120"/>
      <c r="Y954" s="120"/>
      <c r="Z954" s="120"/>
    </row>
    <row r="955" ht="12.75" customHeight="1">
      <c r="A955" s="120"/>
      <c r="B955" s="120"/>
      <c r="C955" s="120"/>
      <c r="D955" s="120"/>
      <c r="E955" s="120"/>
      <c r="F955" s="120"/>
      <c r="G955" s="120"/>
      <c r="H955" s="120"/>
      <c r="I955" s="120"/>
      <c r="J955" s="120"/>
      <c r="K955" s="120"/>
      <c r="L955" s="120"/>
      <c r="M955" s="120"/>
      <c r="N955" s="120"/>
      <c r="O955" s="120"/>
      <c r="P955" s="120"/>
      <c r="Q955" s="120"/>
      <c r="R955" s="120"/>
      <c r="S955" s="120"/>
      <c r="T955" s="120"/>
      <c r="U955" s="120"/>
      <c r="V955" s="120"/>
      <c r="W955" s="120"/>
      <c r="X955" s="120"/>
      <c r="Y955" s="120"/>
      <c r="Z955" s="120"/>
    </row>
    <row r="956" ht="12.75" customHeight="1">
      <c r="A956" s="120"/>
      <c r="B956" s="120"/>
      <c r="C956" s="120"/>
      <c r="D956" s="120"/>
      <c r="E956" s="120"/>
      <c r="F956" s="120"/>
      <c r="G956" s="120"/>
      <c r="H956" s="12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20"/>
      <c r="V956" s="120"/>
      <c r="W956" s="120"/>
      <c r="X956" s="120"/>
      <c r="Y956" s="120"/>
      <c r="Z956" s="120"/>
    </row>
    <row r="957" ht="12.75" customHeight="1">
      <c r="A957" s="120"/>
      <c r="B957" s="120"/>
      <c r="C957" s="120"/>
      <c r="D957" s="120"/>
      <c r="E957" s="120"/>
      <c r="F957" s="120"/>
      <c r="G957" s="120"/>
      <c r="H957" s="12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20"/>
      <c r="V957" s="120"/>
      <c r="W957" s="120"/>
      <c r="X957" s="120"/>
      <c r="Y957" s="120"/>
      <c r="Z957" s="120"/>
    </row>
    <row r="958" ht="12.75" customHeight="1">
      <c r="A958" s="120"/>
      <c r="B958" s="120"/>
      <c r="C958" s="120"/>
      <c r="D958" s="120"/>
      <c r="E958" s="120"/>
      <c r="F958" s="120"/>
      <c r="G958" s="120"/>
      <c r="H958" s="12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20"/>
      <c r="V958" s="120"/>
      <c r="W958" s="120"/>
      <c r="X958" s="120"/>
      <c r="Y958" s="120"/>
      <c r="Z958" s="120"/>
    </row>
    <row r="959" ht="12.75" customHeight="1">
      <c r="A959" s="120"/>
      <c r="B959" s="120"/>
      <c r="C959" s="120"/>
      <c r="D959" s="120"/>
      <c r="E959" s="120"/>
      <c r="F959" s="120"/>
      <c r="G959" s="120"/>
      <c r="H959" s="120"/>
      <c r="I959" s="120"/>
      <c r="J959" s="120"/>
      <c r="K959" s="120"/>
      <c r="L959" s="120"/>
      <c r="M959" s="120"/>
      <c r="N959" s="120"/>
      <c r="O959" s="120"/>
      <c r="P959" s="120"/>
      <c r="Q959" s="120"/>
      <c r="R959" s="120"/>
      <c r="S959" s="120"/>
      <c r="T959" s="120"/>
      <c r="U959" s="120"/>
      <c r="V959" s="120"/>
      <c r="W959" s="120"/>
      <c r="X959" s="120"/>
      <c r="Y959" s="120"/>
      <c r="Z959" s="120"/>
    </row>
    <row r="960" ht="12.75" customHeight="1">
      <c r="A960" s="120"/>
      <c r="B960" s="120"/>
      <c r="C960" s="120"/>
      <c r="D960" s="120"/>
      <c r="E960" s="120"/>
      <c r="F960" s="120"/>
      <c r="G960" s="120"/>
      <c r="H960" s="12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20"/>
      <c r="V960" s="120"/>
      <c r="W960" s="120"/>
      <c r="X960" s="120"/>
      <c r="Y960" s="120"/>
      <c r="Z960" s="120"/>
    </row>
    <row r="961" ht="12.75" customHeight="1">
      <c r="A961" s="120"/>
      <c r="B961" s="120"/>
      <c r="C961" s="120"/>
      <c r="D961" s="120"/>
      <c r="E961" s="120"/>
      <c r="F961" s="120"/>
      <c r="G961" s="120"/>
      <c r="H961" s="120"/>
      <c r="I961" s="120"/>
      <c r="J961" s="120"/>
      <c r="K961" s="120"/>
      <c r="L961" s="120"/>
      <c r="M961" s="120"/>
      <c r="N961" s="120"/>
      <c r="O961" s="120"/>
      <c r="P961" s="120"/>
      <c r="Q961" s="120"/>
      <c r="R961" s="120"/>
      <c r="S961" s="120"/>
      <c r="T961" s="120"/>
      <c r="U961" s="120"/>
      <c r="V961" s="120"/>
      <c r="W961" s="120"/>
      <c r="X961" s="120"/>
      <c r="Y961" s="120"/>
      <c r="Z961" s="120"/>
    </row>
    <row r="962" ht="12.75" customHeight="1">
      <c r="A962" s="120"/>
      <c r="B962" s="120"/>
      <c r="C962" s="120"/>
      <c r="D962" s="120"/>
      <c r="E962" s="120"/>
      <c r="F962" s="120"/>
      <c r="G962" s="120"/>
      <c r="H962" s="12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20"/>
      <c r="V962" s="120"/>
      <c r="W962" s="120"/>
      <c r="X962" s="120"/>
      <c r="Y962" s="120"/>
      <c r="Z962" s="120"/>
    </row>
    <row r="963" ht="12.75" customHeight="1">
      <c r="A963" s="120"/>
      <c r="B963" s="120"/>
      <c r="C963" s="120"/>
      <c r="D963" s="120"/>
      <c r="E963" s="120"/>
      <c r="F963" s="120"/>
      <c r="G963" s="120"/>
      <c r="H963" s="120"/>
      <c r="I963" s="120"/>
      <c r="J963" s="120"/>
      <c r="K963" s="120"/>
      <c r="L963" s="120"/>
      <c r="M963" s="120"/>
      <c r="N963" s="120"/>
      <c r="O963" s="120"/>
      <c r="P963" s="120"/>
      <c r="Q963" s="120"/>
      <c r="R963" s="120"/>
      <c r="S963" s="120"/>
      <c r="T963" s="120"/>
      <c r="U963" s="120"/>
      <c r="V963" s="120"/>
      <c r="W963" s="120"/>
      <c r="X963" s="120"/>
      <c r="Y963" s="120"/>
      <c r="Z963" s="120"/>
    </row>
    <row r="964" ht="12.75" customHeight="1">
      <c r="A964" s="120"/>
      <c r="B964" s="120"/>
      <c r="C964" s="120"/>
      <c r="D964" s="120"/>
      <c r="E964" s="120"/>
      <c r="F964" s="120"/>
      <c r="G964" s="120"/>
      <c r="H964" s="12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20"/>
      <c r="V964" s="120"/>
      <c r="W964" s="120"/>
      <c r="X964" s="120"/>
      <c r="Y964" s="120"/>
      <c r="Z964" s="120"/>
    </row>
    <row r="965" ht="12.75" customHeight="1">
      <c r="A965" s="120"/>
      <c r="B965" s="120"/>
      <c r="C965" s="120"/>
      <c r="D965" s="120"/>
      <c r="E965" s="120"/>
      <c r="F965" s="120"/>
      <c r="G965" s="120"/>
      <c r="H965" s="12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20"/>
      <c r="V965" s="120"/>
      <c r="W965" s="120"/>
      <c r="X965" s="120"/>
      <c r="Y965" s="120"/>
      <c r="Z965" s="120"/>
    </row>
    <row r="966" ht="12.75" customHeight="1">
      <c r="A966" s="120"/>
      <c r="B966" s="120"/>
      <c r="C966" s="120"/>
      <c r="D966" s="120"/>
      <c r="E966" s="120"/>
      <c r="F966" s="120"/>
      <c r="G966" s="120"/>
      <c r="H966" s="120"/>
      <c r="I966" s="120"/>
      <c r="J966" s="120"/>
      <c r="K966" s="120"/>
      <c r="L966" s="120"/>
      <c r="M966" s="120"/>
      <c r="N966" s="120"/>
      <c r="O966" s="120"/>
      <c r="P966" s="120"/>
      <c r="Q966" s="120"/>
      <c r="R966" s="120"/>
      <c r="S966" s="120"/>
      <c r="T966" s="120"/>
      <c r="U966" s="120"/>
      <c r="V966" s="120"/>
      <c r="W966" s="120"/>
      <c r="X966" s="120"/>
      <c r="Y966" s="120"/>
      <c r="Z966" s="120"/>
    </row>
    <row r="967" ht="12.75" customHeight="1">
      <c r="A967" s="120"/>
      <c r="B967" s="120"/>
      <c r="C967" s="120"/>
      <c r="D967" s="120"/>
      <c r="E967" s="120"/>
      <c r="F967" s="120"/>
      <c r="G967" s="120"/>
      <c r="H967" s="12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20"/>
      <c r="V967" s="120"/>
      <c r="W967" s="120"/>
      <c r="X967" s="120"/>
      <c r="Y967" s="120"/>
      <c r="Z967" s="120"/>
    </row>
    <row r="968" ht="12.75" customHeight="1">
      <c r="A968" s="120"/>
      <c r="B968" s="120"/>
      <c r="C968" s="120"/>
      <c r="D968" s="120"/>
      <c r="E968" s="120"/>
      <c r="F968" s="120"/>
      <c r="G968" s="120"/>
      <c r="H968" s="120"/>
      <c r="I968" s="120"/>
      <c r="J968" s="120"/>
      <c r="K968" s="120"/>
      <c r="L968" s="120"/>
      <c r="M968" s="120"/>
      <c r="N968" s="120"/>
      <c r="O968" s="120"/>
      <c r="P968" s="120"/>
      <c r="Q968" s="120"/>
      <c r="R968" s="120"/>
      <c r="S968" s="120"/>
      <c r="T968" s="120"/>
      <c r="U968" s="120"/>
      <c r="V968" s="120"/>
      <c r="W968" s="120"/>
      <c r="X968" s="120"/>
      <c r="Y968" s="120"/>
      <c r="Z968" s="120"/>
    </row>
    <row r="969" ht="12.75" customHeight="1">
      <c r="A969" s="120"/>
      <c r="B969" s="120"/>
      <c r="C969" s="120"/>
      <c r="D969" s="120"/>
      <c r="E969" s="120"/>
      <c r="F969" s="120"/>
      <c r="G969" s="120"/>
      <c r="H969" s="12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20"/>
      <c r="V969" s="120"/>
      <c r="W969" s="120"/>
      <c r="X969" s="120"/>
      <c r="Y969" s="120"/>
      <c r="Z969" s="120"/>
    </row>
    <row r="970" ht="12.75" customHeight="1">
      <c r="A970" s="120"/>
      <c r="B970" s="120"/>
      <c r="C970" s="120"/>
      <c r="D970" s="120"/>
      <c r="E970" s="120"/>
      <c r="F970" s="120"/>
      <c r="G970" s="120"/>
      <c r="H970" s="120"/>
      <c r="I970" s="120"/>
      <c r="J970" s="120"/>
      <c r="K970" s="120"/>
      <c r="L970" s="120"/>
      <c r="M970" s="120"/>
      <c r="N970" s="120"/>
      <c r="O970" s="120"/>
      <c r="P970" s="120"/>
      <c r="Q970" s="120"/>
      <c r="R970" s="120"/>
      <c r="S970" s="120"/>
      <c r="T970" s="120"/>
      <c r="U970" s="120"/>
      <c r="V970" s="120"/>
      <c r="W970" s="120"/>
      <c r="X970" s="120"/>
      <c r="Y970" s="120"/>
      <c r="Z970" s="120"/>
    </row>
    <row r="971" ht="12.75" customHeight="1">
      <c r="A971" s="120"/>
      <c r="B971" s="120"/>
      <c r="C971" s="120"/>
      <c r="D971" s="120"/>
      <c r="E971" s="120"/>
      <c r="F971" s="120"/>
      <c r="G971" s="120"/>
      <c r="H971" s="120"/>
      <c r="I971" s="120"/>
      <c r="J971" s="120"/>
      <c r="K971" s="120"/>
      <c r="L971" s="120"/>
      <c r="M971" s="120"/>
      <c r="N971" s="120"/>
      <c r="O971" s="120"/>
      <c r="P971" s="120"/>
      <c r="Q971" s="120"/>
      <c r="R971" s="120"/>
      <c r="S971" s="120"/>
      <c r="T971" s="120"/>
      <c r="U971" s="120"/>
      <c r="V971" s="120"/>
      <c r="W971" s="120"/>
      <c r="X971" s="120"/>
      <c r="Y971" s="120"/>
      <c r="Z971" s="120"/>
    </row>
    <row r="972" ht="12.75" customHeight="1">
      <c r="A972" s="120"/>
      <c r="B972" s="120"/>
      <c r="C972" s="120"/>
      <c r="D972" s="120"/>
      <c r="E972" s="120"/>
      <c r="F972" s="120"/>
      <c r="G972" s="120"/>
      <c r="H972" s="120"/>
      <c r="I972" s="120"/>
      <c r="J972" s="120"/>
      <c r="K972" s="120"/>
      <c r="L972" s="120"/>
      <c r="M972" s="120"/>
      <c r="N972" s="120"/>
      <c r="O972" s="120"/>
      <c r="P972" s="120"/>
      <c r="Q972" s="120"/>
      <c r="R972" s="120"/>
      <c r="S972" s="120"/>
      <c r="T972" s="120"/>
      <c r="U972" s="120"/>
      <c r="V972" s="120"/>
      <c r="W972" s="120"/>
      <c r="X972" s="120"/>
      <c r="Y972" s="120"/>
      <c r="Z972" s="120"/>
    </row>
    <row r="973" ht="12.75" customHeight="1">
      <c r="A973" s="120"/>
      <c r="B973" s="120"/>
      <c r="C973" s="120"/>
      <c r="D973" s="120"/>
      <c r="E973" s="120"/>
      <c r="F973" s="120"/>
      <c r="G973" s="120"/>
      <c r="H973" s="120"/>
      <c r="I973" s="120"/>
      <c r="J973" s="120"/>
      <c r="K973" s="120"/>
      <c r="L973" s="120"/>
      <c r="M973" s="120"/>
      <c r="N973" s="120"/>
      <c r="O973" s="120"/>
      <c r="P973" s="120"/>
      <c r="Q973" s="120"/>
      <c r="R973" s="120"/>
      <c r="S973" s="120"/>
      <c r="T973" s="120"/>
      <c r="U973" s="120"/>
      <c r="V973" s="120"/>
      <c r="W973" s="120"/>
      <c r="X973" s="120"/>
      <c r="Y973" s="120"/>
      <c r="Z973" s="120"/>
    </row>
    <row r="974" ht="12.75" customHeight="1">
      <c r="A974" s="120"/>
      <c r="B974" s="120"/>
      <c r="C974" s="120"/>
      <c r="D974" s="120"/>
      <c r="E974" s="120"/>
      <c r="F974" s="120"/>
      <c r="G974" s="120"/>
      <c r="H974" s="120"/>
      <c r="I974" s="120"/>
      <c r="J974" s="120"/>
      <c r="K974" s="120"/>
      <c r="L974" s="120"/>
      <c r="M974" s="120"/>
      <c r="N974" s="120"/>
      <c r="O974" s="120"/>
      <c r="P974" s="120"/>
      <c r="Q974" s="120"/>
      <c r="R974" s="120"/>
      <c r="S974" s="120"/>
      <c r="T974" s="120"/>
      <c r="U974" s="120"/>
      <c r="V974" s="120"/>
      <c r="W974" s="120"/>
      <c r="X974" s="120"/>
      <c r="Y974" s="120"/>
      <c r="Z974" s="120"/>
    </row>
    <row r="975" ht="12.75" customHeight="1">
      <c r="A975" s="120"/>
      <c r="B975" s="120"/>
      <c r="C975" s="120"/>
      <c r="D975" s="120"/>
      <c r="E975" s="120"/>
      <c r="F975" s="120"/>
      <c r="G975" s="120"/>
      <c r="H975" s="120"/>
      <c r="I975" s="120"/>
      <c r="J975" s="120"/>
      <c r="K975" s="120"/>
      <c r="L975" s="120"/>
      <c r="M975" s="120"/>
      <c r="N975" s="120"/>
      <c r="O975" s="120"/>
      <c r="P975" s="120"/>
      <c r="Q975" s="120"/>
      <c r="R975" s="120"/>
      <c r="S975" s="120"/>
      <c r="T975" s="120"/>
      <c r="U975" s="120"/>
      <c r="V975" s="120"/>
      <c r="W975" s="120"/>
      <c r="X975" s="120"/>
      <c r="Y975" s="120"/>
      <c r="Z975" s="120"/>
    </row>
    <row r="976" ht="12.75" customHeight="1">
      <c r="A976" s="120"/>
      <c r="B976" s="120"/>
      <c r="C976" s="120"/>
      <c r="D976" s="120"/>
      <c r="E976" s="120"/>
      <c r="F976" s="120"/>
      <c r="G976" s="120"/>
      <c r="H976" s="12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20"/>
      <c r="V976" s="120"/>
      <c r="W976" s="120"/>
      <c r="X976" s="120"/>
      <c r="Y976" s="120"/>
      <c r="Z976" s="120"/>
    </row>
    <row r="977" ht="12.75" customHeight="1">
      <c r="A977" s="120"/>
      <c r="B977" s="120"/>
      <c r="C977" s="120"/>
      <c r="D977" s="120"/>
      <c r="E977" s="120"/>
      <c r="F977" s="120"/>
      <c r="G977" s="120"/>
      <c r="H977" s="120"/>
      <c r="I977" s="120"/>
      <c r="J977" s="120"/>
      <c r="K977" s="120"/>
      <c r="L977" s="120"/>
      <c r="M977" s="120"/>
      <c r="N977" s="120"/>
      <c r="O977" s="120"/>
      <c r="P977" s="120"/>
      <c r="Q977" s="120"/>
      <c r="R977" s="120"/>
      <c r="S977" s="120"/>
      <c r="T977" s="120"/>
      <c r="U977" s="120"/>
      <c r="V977" s="120"/>
      <c r="W977" s="120"/>
      <c r="X977" s="120"/>
      <c r="Y977" s="120"/>
      <c r="Z977" s="120"/>
    </row>
    <row r="978" ht="12.75" customHeight="1">
      <c r="A978" s="120"/>
      <c r="B978" s="120"/>
      <c r="C978" s="120"/>
      <c r="D978" s="120"/>
      <c r="E978" s="120"/>
      <c r="F978" s="120"/>
      <c r="G978" s="120"/>
      <c r="H978" s="120"/>
      <c r="I978" s="120"/>
      <c r="J978" s="120"/>
      <c r="K978" s="120"/>
      <c r="L978" s="120"/>
      <c r="M978" s="120"/>
      <c r="N978" s="120"/>
      <c r="O978" s="120"/>
      <c r="P978" s="120"/>
      <c r="Q978" s="120"/>
      <c r="R978" s="120"/>
      <c r="S978" s="120"/>
      <c r="T978" s="120"/>
      <c r="U978" s="120"/>
      <c r="V978" s="120"/>
      <c r="W978" s="120"/>
      <c r="X978" s="120"/>
      <c r="Y978" s="120"/>
      <c r="Z978" s="120"/>
    </row>
    <row r="979" ht="12.75" customHeight="1">
      <c r="A979" s="120"/>
      <c r="B979" s="120"/>
      <c r="C979" s="120"/>
      <c r="D979" s="120"/>
      <c r="E979" s="120"/>
      <c r="F979" s="120"/>
      <c r="G979" s="120"/>
      <c r="H979" s="120"/>
      <c r="I979" s="120"/>
      <c r="J979" s="120"/>
      <c r="K979" s="120"/>
      <c r="L979" s="120"/>
      <c r="M979" s="120"/>
      <c r="N979" s="120"/>
      <c r="O979" s="120"/>
      <c r="P979" s="120"/>
      <c r="Q979" s="120"/>
      <c r="R979" s="120"/>
      <c r="S979" s="120"/>
      <c r="T979" s="120"/>
      <c r="U979" s="120"/>
      <c r="V979" s="120"/>
      <c r="W979" s="120"/>
      <c r="X979" s="120"/>
      <c r="Y979" s="120"/>
      <c r="Z979" s="120"/>
    </row>
    <row r="980" ht="12.75" customHeight="1">
      <c r="A980" s="120"/>
      <c r="B980" s="120"/>
      <c r="C980" s="120"/>
      <c r="D980" s="120"/>
      <c r="E980" s="120"/>
      <c r="F980" s="120"/>
      <c r="G980" s="120"/>
      <c r="H980" s="12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20"/>
      <c r="V980" s="120"/>
      <c r="W980" s="120"/>
      <c r="X980" s="120"/>
      <c r="Y980" s="120"/>
      <c r="Z980" s="120"/>
    </row>
    <row r="981" ht="12.75" customHeight="1">
      <c r="A981" s="120"/>
      <c r="B981" s="120"/>
      <c r="C981" s="120"/>
      <c r="D981" s="120"/>
      <c r="E981" s="120"/>
      <c r="F981" s="120"/>
      <c r="G981" s="120"/>
      <c r="H981" s="120"/>
      <c r="I981" s="120"/>
      <c r="J981" s="120"/>
      <c r="K981" s="120"/>
      <c r="L981" s="120"/>
      <c r="M981" s="120"/>
      <c r="N981" s="120"/>
      <c r="O981" s="120"/>
      <c r="P981" s="120"/>
      <c r="Q981" s="120"/>
      <c r="R981" s="120"/>
      <c r="S981" s="120"/>
      <c r="T981" s="120"/>
      <c r="U981" s="120"/>
      <c r="V981" s="120"/>
      <c r="W981" s="120"/>
      <c r="X981" s="120"/>
      <c r="Y981" s="120"/>
      <c r="Z981" s="120"/>
    </row>
    <row r="982" ht="12.75" customHeight="1">
      <c r="A982" s="120"/>
      <c r="B982" s="120"/>
      <c r="C982" s="120"/>
      <c r="D982" s="120"/>
      <c r="E982" s="120"/>
      <c r="F982" s="120"/>
      <c r="G982" s="120"/>
      <c r="H982" s="12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20"/>
      <c r="V982" s="120"/>
      <c r="W982" s="120"/>
      <c r="X982" s="120"/>
      <c r="Y982" s="120"/>
      <c r="Z982" s="120"/>
    </row>
    <row r="983" ht="12.75" customHeight="1">
      <c r="A983" s="120"/>
      <c r="B983" s="120"/>
      <c r="C983" s="120"/>
      <c r="D983" s="120"/>
      <c r="E983" s="120"/>
      <c r="F983" s="120"/>
      <c r="G983" s="120"/>
      <c r="H983" s="12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20"/>
      <c r="V983" s="120"/>
      <c r="W983" s="120"/>
      <c r="X983" s="120"/>
      <c r="Y983" s="120"/>
      <c r="Z983" s="120"/>
    </row>
    <row r="984" ht="12.75" customHeight="1">
      <c r="A984" s="120"/>
      <c r="B984" s="120"/>
      <c r="C984" s="120"/>
      <c r="D984" s="120"/>
      <c r="E984" s="120"/>
      <c r="F984" s="120"/>
      <c r="G984" s="120"/>
      <c r="H984" s="120"/>
      <c r="I984" s="120"/>
      <c r="J984" s="120"/>
      <c r="K984" s="120"/>
      <c r="L984" s="120"/>
      <c r="M984" s="120"/>
      <c r="N984" s="120"/>
      <c r="O984" s="120"/>
      <c r="P984" s="120"/>
      <c r="Q984" s="120"/>
      <c r="R984" s="120"/>
      <c r="S984" s="120"/>
      <c r="T984" s="120"/>
      <c r="U984" s="120"/>
      <c r="V984" s="120"/>
      <c r="W984" s="120"/>
      <c r="X984" s="120"/>
      <c r="Y984" s="120"/>
      <c r="Z984" s="120"/>
    </row>
    <row r="985" ht="12.75" customHeight="1">
      <c r="A985" s="120"/>
      <c r="B985" s="120"/>
      <c r="C985" s="120"/>
      <c r="D985" s="120"/>
      <c r="E985" s="120"/>
      <c r="F985" s="120"/>
      <c r="G985" s="120"/>
      <c r="H985" s="120"/>
      <c r="I985" s="120"/>
      <c r="J985" s="120"/>
      <c r="K985" s="120"/>
      <c r="L985" s="120"/>
      <c r="M985" s="120"/>
      <c r="N985" s="120"/>
      <c r="O985" s="120"/>
      <c r="P985" s="120"/>
      <c r="Q985" s="120"/>
      <c r="R985" s="120"/>
      <c r="S985" s="120"/>
      <c r="T985" s="120"/>
      <c r="U985" s="120"/>
      <c r="V985" s="120"/>
      <c r="W985" s="120"/>
      <c r="X985" s="120"/>
      <c r="Y985" s="120"/>
      <c r="Z985" s="120"/>
    </row>
    <row r="986" ht="12.75" customHeight="1">
      <c r="A986" s="120"/>
      <c r="B986" s="120"/>
      <c r="C986" s="120"/>
      <c r="D986" s="120"/>
      <c r="E986" s="120"/>
      <c r="F986" s="120"/>
      <c r="G986" s="120"/>
      <c r="H986" s="12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20"/>
      <c r="V986" s="120"/>
      <c r="W986" s="120"/>
      <c r="X986" s="120"/>
      <c r="Y986" s="120"/>
      <c r="Z986" s="120"/>
    </row>
    <row r="987" ht="12.75" customHeight="1">
      <c r="A987" s="120"/>
      <c r="B987" s="120"/>
      <c r="C987" s="120"/>
      <c r="D987" s="120"/>
      <c r="E987" s="120"/>
      <c r="F987" s="120"/>
      <c r="G987" s="120"/>
      <c r="H987" s="12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20"/>
      <c r="V987" s="120"/>
      <c r="W987" s="120"/>
      <c r="X987" s="120"/>
      <c r="Y987" s="120"/>
      <c r="Z987" s="120"/>
    </row>
    <row r="988" ht="12.75" customHeight="1">
      <c r="A988" s="120"/>
      <c r="B988" s="120"/>
      <c r="C988" s="120"/>
      <c r="D988" s="120"/>
      <c r="E988" s="120"/>
      <c r="F988" s="120"/>
      <c r="G988" s="120"/>
      <c r="H988" s="120"/>
      <c r="I988" s="120"/>
      <c r="J988" s="120"/>
      <c r="K988" s="120"/>
      <c r="L988" s="120"/>
      <c r="M988" s="120"/>
      <c r="N988" s="120"/>
      <c r="O988" s="120"/>
      <c r="P988" s="120"/>
      <c r="Q988" s="120"/>
      <c r="R988" s="120"/>
      <c r="S988" s="120"/>
      <c r="T988" s="120"/>
      <c r="U988" s="120"/>
      <c r="V988" s="120"/>
      <c r="W988" s="120"/>
      <c r="X988" s="120"/>
      <c r="Y988" s="120"/>
      <c r="Z988" s="120"/>
    </row>
    <row r="989" ht="12.75" customHeight="1">
      <c r="A989" s="120"/>
      <c r="B989" s="120"/>
      <c r="C989" s="120"/>
      <c r="D989" s="120"/>
      <c r="E989" s="120"/>
      <c r="F989" s="120"/>
      <c r="G989" s="120"/>
      <c r="H989" s="120"/>
      <c r="I989" s="120"/>
      <c r="J989" s="120"/>
      <c r="K989" s="120"/>
      <c r="L989" s="120"/>
      <c r="M989" s="120"/>
      <c r="N989" s="120"/>
      <c r="O989" s="120"/>
      <c r="P989" s="120"/>
      <c r="Q989" s="120"/>
      <c r="R989" s="120"/>
      <c r="S989" s="120"/>
      <c r="T989" s="120"/>
      <c r="U989" s="120"/>
      <c r="V989" s="120"/>
      <c r="W989" s="120"/>
      <c r="X989" s="120"/>
      <c r="Y989" s="120"/>
      <c r="Z989" s="120"/>
    </row>
    <row r="990" ht="12.75" customHeight="1">
      <c r="A990" s="120"/>
      <c r="B990" s="120"/>
      <c r="C990" s="120"/>
      <c r="D990" s="120"/>
      <c r="E990" s="120"/>
      <c r="F990" s="120"/>
      <c r="G990" s="120"/>
      <c r="H990" s="120"/>
      <c r="I990" s="120"/>
      <c r="J990" s="120"/>
      <c r="K990" s="120"/>
      <c r="L990" s="120"/>
      <c r="M990" s="120"/>
      <c r="N990" s="120"/>
      <c r="O990" s="120"/>
      <c r="P990" s="120"/>
      <c r="Q990" s="120"/>
      <c r="R990" s="120"/>
      <c r="S990" s="120"/>
      <c r="T990" s="120"/>
      <c r="U990" s="120"/>
      <c r="V990" s="120"/>
      <c r="W990" s="120"/>
      <c r="X990" s="120"/>
      <c r="Y990" s="120"/>
      <c r="Z990" s="120"/>
    </row>
    <row r="991" ht="12.75" customHeight="1">
      <c r="A991" s="120"/>
      <c r="B991" s="120"/>
      <c r="C991" s="120"/>
      <c r="D991" s="120"/>
      <c r="E991" s="120"/>
      <c r="F991" s="120"/>
      <c r="G991" s="120"/>
      <c r="H991" s="120"/>
      <c r="I991" s="120"/>
      <c r="J991" s="120"/>
      <c r="K991" s="120"/>
      <c r="L991" s="120"/>
      <c r="M991" s="120"/>
      <c r="N991" s="120"/>
      <c r="O991" s="120"/>
      <c r="P991" s="120"/>
      <c r="Q991" s="120"/>
      <c r="R991" s="120"/>
      <c r="S991" s="120"/>
      <c r="T991" s="120"/>
      <c r="U991" s="120"/>
      <c r="V991" s="120"/>
      <c r="W991" s="120"/>
      <c r="X991" s="120"/>
      <c r="Y991" s="120"/>
      <c r="Z991" s="120"/>
    </row>
    <row r="992" ht="12.75" customHeight="1">
      <c r="A992" s="120"/>
      <c r="B992" s="120"/>
      <c r="C992" s="120"/>
      <c r="D992" s="120"/>
      <c r="E992" s="120"/>
      <c r="F992" s="120"/>
      <c r="G992" s="120"/>
      <c r="H992" s="120"/>
      <c r="I992" s="120"/>
      <c r="J992" s="120"/>
      <c r="K992" s="120"/>
      <c r="L992" s="120"/>
      <c r="M992" s="120"/>
      <c r="N992" s="120"/>
      <c r="O992" s="120"/>
      <c r="P992" s="120"/>
      <c r="Q992" s="120"/>
      <c r="R992" s="120"/>
      <c r="S992" s="120"/>
      <c r="T992" s="120"/>
      <c r="U992" s="120"/>
      <c r="V992" s="120"/>
      <c r="W992" s="120"/>
      <c r="X992" s="120"/>
      <c r="Y992" s="120"/>
      <c r="Z992" s="120"/>
    </row>
    <row r="993" ht="12.75" customHeight="1">
      <c r="A993" s="120"/>
      <c r="B993" s="120"/>
      <c r="C993" s="120"/>
      <c r="D993" s="120"/>
      <c r="E993" s="120"/>
      <c r="F993" s="120"/>
      <c r="G993" s="120"/>
      <c r="H993" s="120"/>
      <c r="I993" s="120"/>
      <c r="J993" s="120"/>
      <c r="K993" s="120"/>
      <c r="L993" s="120"/>
      <c r="M993" s="120"/>
      <c r="N993" s="120"/>
      <c r="O993" s="120"/>
      <c r="P993" s="120"/>
      <c r="Q993" s="120"/>
      <c r="R993" s="120"/>
      <c r="S993" s="120"/>
      <c r="T993" s="120"/>
      <c r="U993" s="120"/>
      <c r="V993" s="120"/>
      <c r="W993" s="120"/>
      <c r="X993" s="120"/>
      <c r="Y993" s="120"/>
      <c r="Z993" s="120"/>
    </row>
    <row r="994" ht="12.75" customHeight="1">
      <c r="A994" s="120"/>
      <c r="B994" s="120"/>
      <c r="C994" s="120"/>
      <c r="D994" s="120"/>
      <c r="E994" s="120"/>
      <c r="F994" s="120"/>
      <c r="G994" s="120"/>
      <c r="H994" s="120"/>
      <c r="I994" s="120"/>
      <c r="J994" s="120"/>
      <c r="K994" s="120"/>
      <c r="L994" s="120"/>
      <c r="M994" s="120"/>
      <c r="N994" s="120"/>
      <c r="O994" s="120"/>
      <c r="P994" s="120"/>
      <c r="Q994" s="120"/>
      <c r="R994" s="120"/>
      <c r="S994" s="120"/>
      <c r="T994" s="120"/>
      <c r="U994" s="120"/>
      <c r="V994" s="120"/>
      <c r="W994" s="120"/>
      <c r="X994" s="120"/>
      <c r="Y994" s="120"/>
      <c r="Z994" s="120"/>
    </row>
    <row r="995" ht="12.75" customHeight="1">
      <c r="A995" s="120"/>
      <c r="B995" s="120"/>
      <c r="C995" s="120"/>
      <c r="D995" s="120"/>
      <c r="E995" s="120"/>
      <c r="F995" s="120"/>
      <c r="G995" s="120"/>
      <c r="H995" s="120"/>
      <c r="I995" s="120"/>
      <c r="J995" s="120"/>
      <c r="K995" s="120"/>
      <c r="L995" s="120"/>
      <c r="M995" s="120"/>
      <c r="N995" s="120"/>
      <c r="O995" s="120"/>
      <c r="P995" s="120"/>
      <c r="Q995" s="120"/>
      <c r="R995" s="120"/>
      <c r="S995" s="120"/>
      <c r="T995" s="120"/>
      <c r="U995" s="120"/>
      <c r="V995" s="120"/>
      <c r="W995" s="120"/>
      <c r="X995" s="120"/>
      <c r="Y995" s="120"/>
      <c r="Z995" s="120"/>
    </row>
    <row r="996" ht="12.75" customHeight="1">
      <c r="A996" s="120"/>
      <c r="B996" s="120"/>
      <c r="C996" s="120"/>
      <c r="D996" s="120"/>
      <c r="E996" s="120"/>
      <c r="F996" s="120"/>
      <c r="G996" s="120"/>
      <c r="H996" s="120"/>
      <c r="I996" s="120"/>
      <c r="J996" s="120"/>
      <c r="K996" s="120"/>
      <c r="L996" s="120"/>
      <c r="M996" s="120"/>
      <c r="N996" s="120"/>
      <c r="O996" s="120"/>
      <c r="P996" s="120"/>
      <c r="Q996" s="120"/>
      <c r="R996" s="120"/>
      <c r="S996" s="120"/>
      <c r="T996" s="120"/>
      <c r="U996" s="120"/>
      <c r="V996" s="120"/>
      <c r="W996" s="120"/>
      <c r="X996" s="120"/>
      <c r="Y996" s="120"/>
      <c r="Z996" s="120"/>
    </row>
    <row r="997" ht="12.75" customHeight="1">
      <c r="A997" s="120"/>
      <c r="B997" s="120"/>
      <c r="C997" s="120"/>
      <c r="D997" s="120"/>
      <c r="E997" s="120"/>
      <c r="F997" s="120"/>
      <c r="G997" s="120"/>
      <c r="H997" s="120"/>
      <c r="I997" s="120"/>
      <c r="J997" s="120"/>
      <c r="K997" s="120"/>
      <c r="L997" s="120"/>
      <c r="M997" s="120"/>
      <c r="N997" s="120"/>
      <c r="O997" s="120"/>
      <c r="P997" s="120"/>
      <c r="Q997" s="120"/>
      <c r="R997" s="120"/>
      <c r="S997" s="120"/>
      <c r="T997" s="120"/>
      <c r="U997" s="120"/>
      <c r="V997" s="120"/>
      <c r="W997" s="120"/>
      <c r="X997" s="120"/>
      <c r="Y997" s="120"/>
      <c r="Z997" s="120"/>
    </row>
  </sheetData>
  <mergeCells count="90">
    <mergeCell ref="L19:L20"/>
    <mergeCell ref="M19:M20"/>
    <mergeCell ref="D19:D20"/>
    <mergeCell ref="E19:E20"/>
    <mergeCell ref="F19:F20"/>
    <mergeCell ref="G19:G20"/>
    <mergeCell ref="H19:H20"/>
    <mergeCell ref="I19:I20"/>
    <mergeCell ref="C21:M21"/>
    <mergeCell ref="I22:I23"/>
    <mergeCell ref="C24:M24"/>
    <mergeCell ref="C19:C20"/>
    <mergeCell ref="C22:C23"/>
    <mergeCell ref="D22:D23"/>
    <mergeCell ref="E22:E23"/>
    <mergeCell ref="F22:F23"/>
    <mergeCell ref="G22:G23"/>
    <mergeCell ref="H22:H23"/>
    <mergeCell ref="L25:L26"/>
    <mergeCell ref="M25:M26"/>
    <mergeCell ref="D25:D26"/>
    <mergeCell ref="E25:E26"/>
    <mergeCell ref="F25:F26"/>
    <mergeCell ref="G25:G26"/>
    <mergeCell ref="H25:H26"/>
    <mergeCell ref="I25:I26"/>
    <mergeCell ref="C27:M27"/>
    <mergeCell ref="I28:I29"/>
    <mergeCell ref="C30:M30"/>
    <mergeCell ref="C25:C26"/>
    <mergeCell ref="C28:C29"/>
    <mergeCell ref="D28:D29"/>
    <mergeCell ref="E28:E29"/>
    <mergeCell ref="F28:F29"/>
    <mergeCell ref="G28:G29"/>
    <mergeCell ref="H28:H29"/>
    <mergeCell ref="L31:L32"/>
    <mergeCell ref="M31:M32"/>
    <mergeCell ref="C31:C32"/>
    <mergeCell ref="D31:D32"/>
    <mergeCell ref="E31:E32"/>
    <mergeCell ref="F31:F32"/>
    <mergeCell ref="G31:G32"/>
    <mergeCell ref="H31:H32"/>
    <mergeCell ref="I31:I32"/>
    <mergeCell ref="L34:L35"/>
    <mergeCell ref="M34:M35"/>
    <mergeCell ref="C34:C35"/>
    <mergeCell ref="D34:D35"/>
    <mergeCell ref="E34:E35"/>
    <mergeCell ref="F34:F35"/>
    <mergeCell ref="G34:G35"/>
    <mergeCell ref="H34:H35"/>
    <mergeCell ref="I34:I35"/>
    <mergeCell ref="C1:M3"/>
    <mergeCell ref="C6:M6"/>
    <mergeCell ref="C7:M8"/>
    <mergeCell ref="C9:M10"/>
    <mergeCell ref="E11:F11"/>
    <mergeCell ref="H11:I11"/>
    <mergeCell ref="J11:K11"/>
    <mergeCell ref="H13:H14"/>
    <mergeCell ref="I13:I14"/>
    <mergeCell ref="L13:L14"/>
    <mergeCell ref="M13:M14"/>
    <mergeCell ref="L16:L17"/>
    <mergeCell ref="M16:M17"/>
    <mergeCell ref="L22:L23"/>
    <mergeCell ref="M22:M23"/>
    <mergeCell ref="L28:L29"/>
    <mergeCell ref="M28:M29"/>
    <mergeCell ref="L11:M11"/>
    <mergeCell ref="C12:M12"/>
    <mergeCell ref="D13:D14"/>
    <mergeCell ref="E13:E14"/>
    <mergeCell ref="F13:F14"/>
    <mergeCell ref="G13:G14"/>
    <mergeCell ref="C15:M15"/>
    <mergeCell ref="I16:I17"/>
    <mergeCell ref="C18:M18"/>
    <mergeCell ref="C13:C14"/>
    <mergeCell ref="C16:C17"/>
    <mergeCell ref="D16:D17"/>
    <mergeCell ref="E16:E17"/>
    <mergeCell ref="F16:F17"/>
    <mergeCell ref="G16:G17"/>
    <mergeCell ref="H16:H17"/>
    <mergeCell ref="C36:M36"/>
    <mergeCell ref="C37:I37"/>
    <mergeCell ref="C38:M38"/>
  </mergeCells>
  <printOptions/>
  <pageMargins bottom="0.75" footer="0.0" header="0.0" left="0.7" right="0.7" top="0.75"/>
  <pageSetup orientation="landscape"/>
  <drawing r:id="rId1"/>
</worksheet>
</file>