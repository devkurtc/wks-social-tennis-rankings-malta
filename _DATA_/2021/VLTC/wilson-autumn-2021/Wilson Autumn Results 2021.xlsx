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urnament\Google Drive\Wilson\Autumn\"/>
    </mc:Choice>
  </mc:AlternateContent>
  <bookViews>
    <workbookView xWindow="0" yWindow="0" windowWidth="20490" windowHeight="7755" firstSheet="2" activeTab="9"/>
  </bookViews>
  <sheets>
    <sheet name="Team Selection" sheetId="1" r:id="rId1"/>
    <sheet name="Standings" sheetId="2" r:id="rId2"/>
    <sheet name="Encounters played" sheetId="3" r:id="rId3"/>
    <sheet name="Day 1" sheetId="4" r:id="rId4"/>
    <sheet name="Day 2" sheetId="5" r:id="rId5"/>
    <sheet name="Day 3" sheetId="6" r:id="rId6"/>
    <sheet name="Day 4" sheetId="7" r:id="rId7"/>
    <sheet name="Day 5" sheetId="8" r:id="rId8"/>
    <sheet name="Semi Final" sheetId="9" r:id="rId9"/>
    <sheet name="Final" sheetId="10" r:id="rId10"/>
  </sheets>
  <calcPr calcId="152511"/>
  <extLst>
    <ext uri="GoogleSheetsCustomDataVersion1">
      <go:sheetsCustomData xmlns:go="http://customooxmlschemas.google.com/" r:id="rId14" roundtripDataSignature="AMtx7mjzJAVNlPVMcCcUmglb9v9mi+j5Fg=="/>
    </ext>
  </extLst>
</workbook>
</file>

<file path=xl/calcChain.xml><?xml version="1.0" encoding="utf-8"?>
<calcChain xmlns="http://schemas.openxmlformats.org/spreadsheetml/2006/main">
  <c r="K33" i="10" l="1"/>
  <c r="J33" i="10"/>
  <c r="M30" i="10"/>
  <c r="L30" i="10"/>
  <c r="M27" i="10"/>
  <c r="L27" i="10"/>
  <c r="M24" i="10"/>
  <c r="L24" i="10"/>
  <c r="M21" i="10"/>
  <c r="L21" i="10"/>
  <c r="M18" i="10"/>
  <c r="L18" i="10"/>
  <c r="M15" i="10"/>
  <c r="L15" i="10"/>
  <c r="M12" i="10"/>
  <c r="L12" i="10"/>
  <c r="M9" i="10"/>
  <c r="L9" i="10"/>
  <c r="K69" i="9"/>
  <c r="J69" i="9"/>
  <c r="M66" i="9"/>
  <c r="L66" i="9"/>
  <c r="M63" i="9"/>
  <c r="L63" i="9"/>
  <c r="M60" i="9"/>
  <c r="L60" i="9"/>
  <c r="L69" i="9" s="1"/>
  <c r="M57" i="9"/>
  <c r="L57" i="9"/>
  <c r="K55" i="9"/>
  <c r="J55" i="9"/>
  <c r="M52" i="9"/>
  <c r="L52" i="9"/>
  <c r="M49" i="9"/>
  <c r="L49" i="9"/>
  <c r="M46" i="9"/>
  <c r="L46" i="9"/>
  <c r="M43" i="9"/>
  <c r="L43" i="9"/>
  <c r="K36" i="9"/>
  <c r="J36" i="9"/>
  <c r="M33" i="9"/>
  <c r="L33" i="9"/>
  <c r="M30" i="9"/>
  <c r="L30" i="9"/>
  <c r="M27" i="9"/>
  <c r="L27" i="9"/>
  <c r="M24" i="9"/>
  <c r="L24" i="9"/>
  <c r="K22" i="9"/>
  <c r="J22" i="9"/>
  <c r="M19" i="9"/>
  <c r="L19" i="9"/>
  <c r="M16" i="9"/>
  <c r="L16" i="9"/>
  <c r="M13" i="9"/>
  <c r="L13" i="9"/>
  <c r="M10" i="9"/>
  <c r="L10" i="9"/>
  <c r="K101" i="8"/>
  <c r="J101" i="8"/>
  <c r="M98" i="8"/>
  <c r="L98" i="8"/>
  <c r="M95" i="8"/>
  <c r="L95" i="8"/>
  <c r="M92" i="8"/>
  <c r="L92" i="8"/>
  <c r="L101" i="8" s="1"/>
  <c r="M89" i="8"/>
  <c r="L89" i="8"/>
  <c r="K87" i="8"/>
  <c r="J87" i="8"/>
  <c r="X11" i="2" s="1"/>
  <c r="Z11" i="2" s="1"/>
  <c r="M84" i="8"/>
  <c r="L84" i="8"/>
  <c r="M81" i="8"/>
  <c r="L81" i="8"/>
  <c r="M78" i="8"/>
  <c r="L78" i="8"/>
  <c r="M75" i="8"/>
  <c r="L75" i="8"/>
  <c r="K68" i="8"/>
  <c r="J68" i="8"/>
  <c r="M65" i="8"/>
  <c r="L65" i="8"/>
  <c r="M62" i="8"/>
  <c r="L62" i="8"/>
  <c r="M59" i="8"/>
  <c r="L59" i="8"/>
  <c r="L68" i="8" s="1"/>
  <c r="M56" i="8"/>
  <c r="L56" i="8"/>
  <c r="K54" i="8"/>
  <c r="X23" i="2" s="1"/>
  <c r="J54" i="8"/>
  <c r="X20" i="2" s="1"/>
  <c r="Z20" i="2" s="1"/>
  <c r="M51" i="8"/>
  <c r="L51" i="8"/>
  <c r="M48" i="8"/>
  <c r="L48" i="8"/>
  <c r="M45" i="8"/>
  <c r="L45" i="8"/>
  <c r="M42" i="8"/>
  <c r="L42" i="8"/>
  <c r="K35" i="8"/>
  <c r="J35" i="8"/>
  <c r="M32" i="8"/>
  <c r="L32" i="8"/>
  <c r="M29" i="8"/>
  <c r="L29" i="8"/>
  <c r="M26" i="8"/>
  <c r="M35" i="8" s="1"/>
  <c r="L26" i="8"/>
  <c r="L35" i="8" s="1"/>
  <c r="M23" i="8"/>
  <c r="L23" i="8"/>
  <c r="K21" i="8"/>
  <c r="J21" i="8"/>
  <c r="X17" i="2" s="1"/>
  <c r="M18" i="8"/>
  <c r="L18" i="8"/>
  <c r="M15" i="8"/>
  <c r="L15" i="8"/>
  <c r="M12" i="8"/>
  <c r="L12" i="8"/>
  <c r="M9" i="8"/>
  <c r="L9" i="8"/>
  <c r="K102" i="7"/>
  <c r="J102" i="7"/>
  <c r="M99" i="7"/>
  <c r="L99" i="7"/>
  <c r="M96" i="7"/>
  <c r="L96" i="7"/>
  <c r="M93" i="7"/>
  <c r="L93" i="7"/>
  <c r="L102" i="7" s="1"/>
  <c r="M90" i="7"/>
  <c r="L90" i="7"/>
  <c r="K88" i="7"/>
  <c r="J88" i="7"/>
  <c r="S14" i="2" s="1"/>
  <c r="M85" i="7"/>
  <c r="L85" i="7"/>
  <c r="M82" i="7"/>
  <c r="L82" i="7"/>
  <c r="M79" i="7"/>
  <c r="L79" i="7"/>
  <c r="M76" i="7"/>
  <c r="L76" i="7"/>
  <c r="K69" i="7"/>
  <c r="S24" i="2" s="1"/>
  <c r="J69" i="7"/>
  <c r="M66" i="7"/>
  <c r="L66" i="7"/>
  <c r="M63" i="7"/>
  <c r="L63" i="7"/>
  <c r="M60" i="7"/>
  <c r="L60" i="7"/>
  <c r="L69" i="7" s="1"/>
  <c r="M57" i="7"/>
  <c r="L57" i="7"/>
  <c r="K55" i="7"/>
  <c r="J55" i="7"/>
  <c r="S11" i="2" s="1"/>
  <c r="M52" i="7"/>
  <c r="L52" i="7"/>
  <c r="M49" i="7"/>
  <c r="L49" i="7"/>
  <c r="M46" i="7"/>
  <c r="L46" i="7"/>
  <c r="M43" i="7"/>
  <c r="L43" i="7"/>
  <c r="K36" i="7"/>
  <c r="S21" i="2" s="1"/>
  <c r="J36" i="7"/>
  <c r="M33" i="7"/>
  <c r="L33" i="7"/>
  <c r="M30" i="7"/>
  <c r="L30" i="7"/>
  <c r="M27" i="7"/>
  <c r="L27" i="7"/>
  <c r="L36" i="7" s="1"/>
  <c r="M24" i="7"/>
  <c r="L24" i="7"/>
  <c r="K22" i="7"/>
  <c r="S20" i="2" s="1"/>
  <c r="J22" i="7"/>
  <c r="S17" i="2" s="1"/>
  <c r="M19" i="7"/>
  <c r="L19" i="7"/>
  <c r="M16" i="7"/>
  <c r="L16" i="7"/>
  <c r="M13" i="7"/>
  <c r="L13" i="7"/>
  <c r="M10" i="7"/>
  <c r="L10" i="7"/>
  <c r="K102" i="6"/>
  <c r="J102" i="6"/>
  <c r="M99" i="6"/>
  <c r="L99" i="6"/>
  <c r="M96" i="6"/>
  <c r="L96" i="6"/>
  <c r="M93" i="6"/>
  <c r="L93" i="6"/>
  <c r="L102" i="6" s="1"/>
  <c r="M90" i="6"/>
  <c r="L90" i="6"/>
  <c r="K88" i="6"/>
  <c r="N20" i="2" s="1"/>
  <c r="J88" i="6"/>
  <c r="N11" i="2" s="1"/>
  <c r="M85" i="6"/>
  <c r="L85" i="6"/>
  <c r="M82" i="6"/>
  <c r="L82" i="6"/>
  <c r="M79" i="6"/>
  <c r="L79" i="6"/>
  <c r="M76" i="6"/>
  <c r="L76" i="6"/>
  <c r="K69" i="6"/>
  <c r="J69" i="6"/>
  <c r="M66" i="6"/>
  <c r="L66" i="6"/>
  <c r="M63" i="6"/>
  <c r="L63" i="6"/>
  <c r="M60" i="6"/>
  <c r="L60" i="6"/>
  <c r="L69" i="6" s="1"/>
  <c r="M57" i="6"/>
  <c r="L57" i="6"/>
  <c r="K55" i="6"/>
  <c r="N17" i="2" s="1"/>
  <c r="J55" i="6"/>
  <c r="N14" i="2" s="1"/>
  <c r="M52" i="6"/>
  <c r="L52" i="6"/>
  <c r="M49" i="6"/>
  <c r="L49" i="6"/>
  <c r="M46" i="6"/>
  <c r="L46" i="6"/>
  <c r="M43" i="6"/>
  <c r="L43" i="6"/>
  <c r="K36" i="6"/>
  <c r="N27" i="2" s="1"/>
  <c r="J36" i="6"/>
  <c r="N24" i="2" s="1"/>
  <c r="M33" i="6"/>
  <c r="L33" i="6"/>
  <c r="M30" i="6"/>
  <c r="L30" i="6"/>
  <c r="M27" i="6"/>
  <c r="L27" i="6"/>
  <c r="L36" i="6" s="1"/>
  <c r="M24" i="6"/>
  <c r="L24" i="6"/>
  <c r="K22" i="6"/>
  <c r="N26" i="2" s="1"/>
  <c r="J22" i="6"/>
  <c r="N23" i="2" s="1"/>
  <c r="M19" i="6"/>
  <c r="L19" i="6"/>
  <c r="M16" i="6"/>
  <c r="L16" i="6"/>
  <c r="L13" i="6"/>
  <c r="M10" i="6"/>
  <c r="L10" i="6"/>
  <c r="K104" i="5"/>
  <c r="K102" i="5"/>
  <c r="J102" i="5"/>
  <c r="M99" i="5"/>
  <c r="L99" i="5"/>
  <c r="M96" i="5"/>
  <c r="L96" i="5"/>
  <c r="M93" i="5"/>
  <c r="L93" i="5"/>
  <c r="L102" i="5" s="1"/>
  <c r="M90" i="5"/>
  <c r="L90" i="5"/>
  <c r="K88" i="5"/>
  <c r="I23" i="2" s="1"/>
  <c r="J88" i="5"/>
  <c r="I17" i="2" s="1"/>
  <c r="K17" i="2" s="1"/>
  <c r="M85" i="5"/>
  <c r="L85" i="5"/>
  <c r="M82" i="5"/>
  <c r="L82" i="5"/>
  <c r="M79" i="5"/>
  <c r="L79" i="5"/>
  <c r="M76" i="5"/>
  <c r="M88" i="5" s="1"/>
  <c r="J23" i="2" s="1"/>
  <c r="L76" i="5"/>
  <c r="K69" i="5"/>
  <c r="J69" i="5"/>
  <c r="M66" i="5"/>
  <c r="L66" i="5"/>
  <c r="M63" i="5"/>
  <c r="L63" i="5"/>
  <c r="M60" i="5"/>
  <c r="L60" i="5"/>
  <c r="M57" i="5"/>
  <c r="L57" i="5"/>
  <c r="K55" i="5"/>
  <c r="I26" i="2" s="1"/>
  <c r="J55" i="5"/>
  <c r="I11" i="2" s="1"/>
  <c r="M52" i="5"/>
  <c r="L52" i="5"/>
  <c r="M49" i="5"/>
  <c r="L49" i="5"/>
  <c r="M46" i="5"/>
  <c r="L46" i="5"/>
  <c r="M43" i="5"/>
  <c r="L43" i="5"/>
  <c r="K36" i="5"/>
  <c r="J36" i="5"/>
  <c r="I15" i="2" s="1"/>
  <c r="M33" i="5"/>
  <c r="L33" i="5"/>
  <c r="M30" i="5"/>
  <c r="L30" i="5"/>
  <c r="M27" i="5"/>
  <c r="L27" i="5"/>
  <c r="M24" i="5"/>
  <c r="L24" i="5"/>
  <c r="K22" i="5"/>
  <c r="I20" i="2" s="1"/>
  <c r="J22" i="5"/>
  <c r="I14" i="2" s="1"/>
  <c r="M19" i="5"/>
  <c r="L19" i="5"/>
  <c r="M16" i="5"/>
  <c r="L16" i="5"/>
  <c r="M13" i="5"/>
  <c r="L13" i="5"/>
  <c r="M10" i="5"/>
  <c r="L10" i="5"/>
  <c r="K104" i="4"/>
  <c r="D27" i="2" s="1"/>
  <c r="J104" i="4"/>
  <c r="M100" i="4"/>
  <c r="L100" i="4"/>
  <c r="M97" i="4"/>
  <c r="L97" i="4"/>
  <c r="M94" i="4"/>
  <c r="L94" i="4"/>
  <c r="L104" i="4" s="1"/>
  <c r="M91" i="4"/>
  <c r="M104" i="4" s="1"/>
  <c r="L91" i="4"/>
  <c r="K89" i="4"/>
  <c r="J89" i="4"/>
  <c r="M86" i="4"/>
  <c r="L86" i="4"/>
  <c r="M83" i="4"/>
  <c r="L83" i="4"/>
  <c r="M80" i="4"/>
  <c r="L80" i="4"/>
  <c r="M77" i="4"/>
  <c r="L77" i="4"/>
  <c r="K72" i="4"/>
  <c r="K70" i="4"/>
  <c r="D24" i="2" s="1"/>
  <c r="J70" i="4"/>
  <c r="M67" i="4"/>
  <c r="L67" i="4"/>
  <c r="M64" i="4"/>
  <c r="L64" i="4"/>
  <c r="M61" i="4"/>
  <c r="L61" i="4"/>
  <c r="L70" i="4" s="1"/>
  <c r="M58" i="4"/>
  <c r="M70" i="4" s="1"/>
  <c r="L58" i="4"/>
  <c r="K56" i="4"/>
  <c r="J56" i="4"/>
  <c r="J72" i="4" s="1"/>
  <c r="M53" i="4"/>
  <c r="L53" i="4"/>
  <c r="M50" i="4"/>
  <c r="L50" i="4"/>
  <c r="M47" i="4"/>
  <c r="L47" i="4"/>
  <c r="M44" i="4"/>
  <c r="L44" i="4"/>
  <c r="K37" i="4"/>
  <c r="D18" i="2" s="1"/>
  <c r="J37" i="4"/>
  <c r="M34" i="4"/>
  <c r="L34" i="4"/>
  <c r="M31" i="4"/>
  <c r="L31" i="4"/>
  <c r="M28" i="4"/>
  <c r="L28" i="4"/>
  <c r="L37" i="4" s="1"/>
  <c r="M25" i="4"/>
  <c r="L25" i="4"/>
  <c r="K23" i="4"/>
  <c r="D17" i="2" s="1"/>
  <c r="F17" i="2" s="1"/>
  <c r="J23" i="4"/>
  <c r="M20" i="4"/>
  <c r="L20" i="4"/>
  <c r="M17" i="4"/>
  <c r="L17" i="4"/>
  <c r="M14" i="4"/>
  <c r="L14" i="4"/>
  <c r="M11" i="4"/>
  <c r="M23" i="4" s="1"/>
  <c r="E17" i="2" s="1"/>
  <c r="L11" i="4"/>
  <c r="P103" i="3"/>
  <c r="H103" i="3"/>
  <c r="P102" i="3"/>
  <c r="H102" i="3"/>
  <c r="P101" i="3"/>
  <c r="H101" i="3"/>
  <c r="P100" i="3"/>
  <c r="H100" i="3"/>
  <c r="P99" i="3"/>
  <c r="H99" i="3"/>
  <c r="P98" i="3"/>
  <c r="H98" i="3"/>
  <c r="P97" i="3"/>
  <c r="H97" i="3"/>
  <c r="P96" i="3"/>
  <c r="H96" i="3"/>
  <c r="P95" i="3"/>
  <c r="H95" i="3"/>
  <c r="P94" i="3"/>
  <c r="H94" i="3"/>
  <c r="P92" i="3"/>
  <c r="H92" i="3"/>
  <c r="P91" i="3"/>
  <c r="H91" i="3"/>
  <c r="P90" i="3"/>
  <c r="H90" i="3"/>
  <c r="P89" i="3"/>
  <c r="H89" i="3"/>
  <c r="P88" i="3"/>
  <c r="H88" i="3"/>
  <c r="P87" i="3"/>
  <c r="H87" i="3"/>
  <c r="P86" i="3"/>
  <c r="H86" i="3"/>
  <c r="P85" i="3"/>
  <c r="H85" i="3"/>
  <c r="P84" i="3"/>
  <c r="H84" i="3"/>
  <c r="P83" i="3"/>
  <c r="H83" i="3"/>
  <c r="P82" i="3"/>
  <c r="H82" i="3"/>
  <c r="P81" i="3"/>
  <c r="H81" i="3"/>
  <c r="P80" i="3"/>
  <c r="H80" i="3"/>
  <c r="P67" i="3"/>
  <c r="H67" i="3"/>
  <c r="P66" i="3"/>
  <c r="H66" i="3"/>
  <c r="P65" i="3"/>
  <c r="H65" i="3"/>
  <c r="P64" i="3"/>
  <c r="H64" i="3"/>
  <c r="P63" i="3"/>
  <c r="H63" i="3"/>
  <c r="P62" i="3"/>
  <c r="H62" i="3"/>
  <c r="P61" i="3"/>
  <c r="H61" i="3"/>
  <c r="P60" i="3"/>
  <c r="H60" i="3"/>
  <c r="P59" i="3"/>
  <c r="H59" i="3"/>
  <c r="P58" i="3"/>
  <c r="H58" i="3"/>
  <c r="P56" i="3"/>
  <c r="H56" i="3"/>
  <c r="P55" i="3"/>
  <c r="H55" i="3"/>
  <c r="P54" i="3"/>
  <c r="H54" i="3"/>
  <c r="P53" i="3"/>
  <c r="H53" i="3"/>
  <c r="P52" i="3"/>
  <c r="H52" i="3"/>
  <c r="P51" i="3"/>
  <c r="H51" i="3"/>
  <c r="P50" i="3"/>
  <c r="H50" i="3"/>
  <c r="P49" i="3"/>
  <c r="H49" i="3"/>
  <c r="P48" i="3"/>
  <c r="H48" i="3"/>
  <c r="P47" i="3"/>
  <c r="H47" i="3"/>
  <c r="P46" i="3"/>
  <c r="H46" i="3"/>
  <c r="P45" i="3"/>
  <c r="H45" i="3"/>
  <c r="P44" i="3"/>
  <c r="H44" i="3"/>
  <c r="P30" i="3"/>
  <c r="H30" i="3"/>
  <c r="P29" i="3"/>
  <c r="H29" i="3"/>
  <c r="P28" i="3"/>
  <c r="H28" i="3"/>
  <c r="P27" i="3"/>
  <c r="H27" i="3"/>
  <c r="P26" i="3"/>
  <c r="H26" i="3"/>
  <c r="P25" i="3"/>
  <c r="H25" i="3"/>
  <c r="P24" i="3"/>
  <c r="H24" i="3"/>
  <c r="P23" i="3"/>
  <c r="H23" i="3"/>
  <c r="P22" i="3"/>
  <c r="H22" i="3"/>
  <c r="P21" i="3"/>
  <c r="H21" i="3"/>
  <c r="P19" i="3"/>
  <c r="H19" i="3"/>
  <c r="P18" i="3"/>
  <c r="H18" i="3"/>
  <c r="P17" i="3"/>
  <c r="H17" i="3"/>
  <c r="P16" i="3"/>
  <c r="H16" i="3"/>
  <c r="P15" i="3"/>
  <c r="H15" i="3"/>
  <c r="P14" i="3"/>
  <c r="H14" i="3"/>
  <c r="P13" i="3"/>
  <c r="H13" i="3"/>
  <c r="P12" i="3"/>
  <c r="H12" i="3"/>
  <c r="P11" i="3"/>
  <c r="H11" i="3"/>
  <c r="P10" i="3"/>
  <c r="H10" i="3"/>
  <c r="P9" i="3"/>
  <c r="H9" i="3"/>
  <c r="P8" i="3"/>
  <c r="H8" i="3"/>
  <c r="P7" i="3"/>
  <c r="H7" i="3"/>
  <c r="X27" i="2"/>
  <c r="S27" i="2"/>
  <c r="E27" i="2"/>
  <c r="X26" i="2"/>
  <c r="S26" i="2"/>
  <c r="D26" i="2"/>
  <c r="X24" i="2"/>
  <c r="I24" i="2"/>
  <c r="E24" i="2"/>
  <c r="S23" i="2"/>
  <c r="D23" i="2"/>
  <c r="F23" i="2" s="1"/>
  <c r="X21" i="2"/>
  <c r="N21" i="2"/>
  <c r="I21" i="2"/>
  <c r="D21" i="2"/>
  <c r="D20" i="2"/>
  <c r="X18" i="2"/>
  <c r="S18" i="2"/>
  <c r="I18" i="2"/>
  <c r="X15" i="2"/>
  <c r="S15" i="2"/>
  <c r="N15" i="2"/>
  <c r="D15" i="2"/>
  <c r="X14" i="2"/>
  <c r="Z14" i="2" s="1"/>
  <c r="D14" i="2"/>
  <c r="F14" i="2" s="1"/>
  <c r="X12" i="2"/>
  <c r="S12" i="2"/>
  <c r="N12" i="2"/>
  <c r="I12" i="2"/>
  <c r="D12" i="2"/>
  <c r="D11" i="2"/>
  <c r="F11" i="2" s="1"/>
  <c r="M33" i="10" l="1"/>
  <c r="L33" i="10"/>
  <c r="L36" i="9"/>
  <c r="M36" i="9"/>
  <c r="M69" i="9"/>
  <c r="M71" i="9" s="1"/>
  <c r="L22" i="9"/>
  <c r="L38" i="9" s="1"/>
  <c r="J38" i="9"/>
  <c r="L55" i="9"/>
  <c r="L71" i="9" s="1"/>
  <c r="J71" i="9"/>
  <c r="M22" i="9"/>
  <c r="K38" i="9"/>
  <c r="M55" i="9"/>
  <c r="K71" i="9"/>
  <c r="M68" i="8"/>
  <c r="Y24" i="2" s="1"/>
  <c r="M101" i="8"/>
  <c r="Z23" i="2"/>
  <c r="Z17" i="2"/>
  <c r="Z26" i="2"/>
  <c r="L21" i="8"/>
  <c r="Y17" i="2" s="1"/>
  <c r="J37" i="8"/>
  <c r="L54" i="8"/>
  <c r="Y20" i="2" s="1"/>
  <c r="J70" i="8"/>
  <c r="L87" i="8"/>
  <c r="Y11" i="2" s="1"/>
  <c r="J103" i="8"/>
  <c r="M21" i="8"/>
  <c r="Y26" i="2" s="1"/>
  <c r="K37" i="8"/>
  <c r="M54" i="8"/>
  <c r="Y23" i="2" s="1"/>
  <c r="AA23" i="2" s="1"/>
  <c r="K70" i="8"/>
  <c r="M87" i="8"/>
  <c r="Y14" i="2" s="1"/>
  <c r="K103" i="8"/>
  <c r="U17" i="2"/>
  <c r="U26" i="2"/>
  <c r="M36" i="7"/>
  <c r="M69" i="7"/>
  <c r="T24" i="2" s="1"/>
  <c r="M102" i="7"/>
  <c r="T27" i="2" s="1"/>
  <c r="L22" i="7"/>
  <c r="T17" i="2" s="1"/>
  <c r="J38" i="7"/>
  <c r="L55" i="7"/>
  <c r="T11" i="2" s="1"/>
  <c r="J71" i="7"/>
  <c r="L88" i="7"/>
  <c r="T14" i="2" s="1"/>
  <c r="J104" i="7"/>
  <c r="M22" i="7"/>
  <c r="T20" i="2" s="1"/>
  <c r="K38" i="7"/>
  <c r="M55" i="7"/>
  <c r="T23" i="2" s="1"/>
  <c r="K71" i="7"/>
  <c r="M88" i="7"/>
  <c r="T26" i="2" s="1"/>
  <c r="K104" i="7"/>
  <c r="P11" i="2"/>
  <c r="P20" i="2"/>
  <c r="P23" i="2"/>
  <c r="P14" i="2"/>
  <c r="L22" i="6"/>
  <c r="O23" i="2" s="1"/>
  <c r="M22" i="6"/>
  <c r="O26" i="2" s="1"/>
  <c r="M55" i="6"/>
  <c r="O17" i="2" s="1"/>
  <c r="K71" i="6"/>
  <c r="M88" i="6"/>
  <c r="O20" i="2" s="1"/>
  <c r="P26" i="2"/>
  <c r="M36" i="6"/>
  <c r="O27" i="2" s="1"/>
  <c r="M69" i="6"/>
  <c r="O18" i="2" s="1"/>
  <c r="M102" i="6"/>
  <c r="O21" i="2" s="1"/>
  <c r="Q20" i="2" s="1"/>
  <c r="N18" i="2"/>
  <c r="P17" i="2" s="1"/>
  <c r="L55" i="6"/>
  <c r="O14" i="2" s="1"/>
  <c r="J71" i="6"/>
  <c r="L88" i="6"/>
  <c r="O11" i="2" s="1"/>
  <c r="J104" i="6"/>
  <c r="K104" i="6"/>
  <c r="J38" i="6"/>
  <c r="K38" i="6"/>
  <c r="K38" i="5"/>
  <c r="L22" i="5"/>
  <c r="J14" i="2" s="1"/>
  <c r="J38" i="5"/>
  <c r="M55" i="5"/>
  <c r="J26" i="2" s="1"/>
  <c r="M36" i="5"/>
  <c r="L55" i="5"/>
  <c r="J11" i="2" s="1"/>
  <c r="J71" i="5"/>
  <c r="K71" i="5"/>
  <c r="K11" i="2"/>
  <c r="K20" i="2"/>
  <c r="L36" i="5"/>
  <c r="J15" i="2" s="1"/>
  <c r="L14" i="2" s="1"/>
  <c r="M69" i="5"/>
  <c r="J27" i="2" s="1"/>
  <c r="L26" i="2" s="1"/>
  <c r="L88" i="5"/>
  <c r="J17" i="2" s="1"/>
  <c r="J104" i="5"/>
  <c r="I27" i="2"/>
  <c r="K26" i="2" s="1"/>
  <c r="M22" i="5"/>
  <c r="J20" i="2" s="1"/>
  <c r="L69" i="5"/>
  <c r="L71" i="5" s="1"/>
  <c r="M102" i="5"/>
  <c r="F20" i="2"/>
  <c r="L23" i="4"/>
  <c r="E11" i="2" s="1"/>
  <c r="J39" i="4"/>
  <c r="M56" i="4"/>
  <c r="E23" i="2" s="1"/>
  <c r="G23" i="2" s="1"/>
  <c r="K106" i="4"/>
  <c r="M37" i="4"/>
  <c r="E18" i="2" s="1"/>
  <c r="G17" i="2" s="1"/>
  <c r="L56" i="4"/>
  <c r="E14" i="2" s="1"/>
  <c r="M89" i="4"/>
  <c r="E26" i="2" s="1"/>
  <c r="G26" i="2" s="1"/>
  <c r="F26" i="2"/>
  <c r="K39" i="4"/>
  <c r="L89" i="4"/>
  <c r="E20" i="2" s="1"/>
  <c r="G20" i="2" s="1"/>
  <c r="J106" i="4"/>
  <c r="E15" i="2"/>
  <c r="L72" i="4"/>
  <c r="J18" i="2"/>
  <c r="O24" i="2"/>
  <c r="O15" i="2"/>
  <c r="Q14" i="2" s="1"/>
  <c r="O12" i="2"/>
  <c r="T18" i="2"/>
  <c r="T12" i="2"/>
  <c r="T15" i="2"/>
  <c r="Y18" i="2"/>
  <c r="Y21" i="2"/>
  <c r="Y12" i="2"/>
  <c r="E21" i="2"/>
  <c r="L106" i="4"/>
  <c r="M38" i="6"/>
  <c r="T21" i="2"/>
  <c r="Y27" i="2"/>
  <c r="G14" i="2"/>
  <c r="L39" i="4"/>
  <c r="E12" i="2"/>
  <c r="G11" i="2" s="1"/>
  <c r="K14" i="2"/>
  <c r="U14" i="2"/>
  <c r="Y15" i="2"/>
  <c r="AA14" i="2" s="1"/>
  <c r="K23" i="2"/>
  <c r="U23" i="2"/>
  <c r="M39" i="4"/>
  <c r="M72" i="4"/>
  <c r="M106" i="4"/>
  <c r="M71" i="5"/>
  <c r="M104" i="5"/>
  <c r="J24" i="2"/>
  <c r="L23" i="2" s="1"/>
  <c r="U11" i="2"/>
  <c r="U20" i="2"/>
  <c r="M38" i="9" l="1"/>
  <c r="AA26" i="2"/>
  <c r="M37" i="8"/>
  <c r="M70" i="8"/>
  <c r="AA17" i="2"/>
  <c r="M103" i="8"/>
  <c r="AA20" i="2"/>
  <c r="AD20" i="2" s="1"/>
  <c r="L37" i="8"/>
  <c r="L103" i="8"/>
  <c r="AA11" i="2"/>
  <c r="AD11" i="2" s="1"/>
  <c r="L70" i="8"/>
  <c r="V20" i="2"/>
  <c r="AC17" i="2"/>
  <c r="M38" i="7"/>
  <c r="L71" i="7"/>
  <c r="V11" i="2"/>
  <c r="V17" i="2"/>
  <c r="V26" i="2"/>
  <c r="M104" i="7"/>
  <c r="V23" i="2"/>
  <c r="V14" i="2"/>
  <c r="AD14" i="2" s="1"/>
  <c r="M71" i="7"/>
  <c r="L104" i="7"/>
  <c r="L38" i="7"/>
  <c r="AC23" i="2"/>
  <c r="AC14" i="2"/>
  <c r="Q11" i="2"/>
  <c r="L38" i="6"/>
  <c r="Q23" i="2"/>
  <c r="L104" i="6"/>
  <c r="M104" i="6"/>
  <c r="Q26" i="2"/>
  <c r="Q17" i="2"/>
  <c r="AC26" i="2"/>
  <c r="M71" i="6"/>
  <c r="L71" i="6"/>
  <c r="M38" i="5"/>
  <c r="J12" i="2"/>
  <c r="L11" i="2" s="1"/>
  <c r="J21" i="2"/>
  <c r="L20" i="2" s="1"/>
  <c r="AC11" i="2"/>
  <c r="L104" i="5"/>
  <c r="L17" i="2"/>
  <c r="L38" i="5"/>
  <c r="AC20" i="2"/>
  <c r="AD26" i="2" l="1"/>
  <c r="AD23" i="2"/>
  <c r="AD17" i="2"/>
</calcChain>
</file>

<file path=xl/sharedStrings.xml><?xml version="1.0" encoding="utf-8"?>
<sst xmlns="http://schemas.openxmlformats.org/spreadsheetml/2006/main" count="1780" uniqueCount="309">
  <si>
    <t>VITTORIOSA LAWN TENNIS CLUB</t>
  </si>
  <si>
    <t>WILSON AUTUMN TEAM TOURNAMENT 2021</t>
  </si>
  <si>
    <t>A</t>
  </si>
  <si>
    <t>B</t>
  </si>
  <si>
    <t>C</t>
  </si>
  <si>
    <t>D</t>
  </si>
  <si>
    <t>E</t>
  </si>
  <si>
    <t>F</t>
  </si>
  <si>
    <t>CAPTAIN</t>
  </si>
  <si>
    <t>Darrell Pace</t>
  </si>
  <si>
    <t>Roberto Murdocco</t>
  </si>
  <si>
    <t>Olivia Belli</t>
  </si>
  <si>
    <t>Lonia Carabott</t>
  </si>
  <si>
    <t>Diane Debono</t>
  </si>
  <si>
    <t>Christine Scerri</t>
  </si>
  <si>
    <t>MEN</t>
  </si>
  <si>
    <t>A1</t>
  </si>
  <si>
    <t>Marc Vella Bonnici</t>
  </si>
  <si>
    <t>Marcelo Villanueva</t>
  </si>
  <si>
    <t>Jesmond Pule</t>
  </si>
  <si>
    <t>Kurt Carabott</t>
  </si>
  <si>
    <t>Clyde Grech</t>
  </si>
  <si>
    <t>Adrian Chetcuti</t>
  </si>
  <si>
    <t>A2</t>
  </si>
  <si>
    <t>Trevor Rutter</t>
  </si>
  <si>
    <t>Andrew Spiteri Willets</t>
  </si>
  <si>
    <t>Nicolai Belli</t>
  </si>
  <si>
    <t>Kurt Sapiano</t>
  </si>
  <si>
    <t>Norbert Coleiro</t>
  </si>
  <si>
    <t>Nicholas Gollcher</t>
  </si>
  <si>
    <t>A3</t>
  </si>
  <si>
    <t>Clive Borg</t>
  </si>
  <si>
    <t>David Schembri</t>
  </si>
  <si>
    <t>Marco Mercieca</t>
  </si>
  <si>
    <t>Reuben Borg</t>
  </si>
  <si>
    <t>John Azzopardi</t>
  </si>
  <si>
    <t>Keith Micallef</t>
  </si>
  <si>
    <t>B1</t>
  </si>
  <si>
    <t>George Grech</t>
  </si>
  <si>
    <t>Duncan D'Alessandro</t>
  </si>
  <si>
    <t>Luigi Porto</t>
  </si>
  <si>
    <t>Albert Pace Asciak</t>
  </si>
  <si>
    <t>Melchior Farrugia</t>
  </si>
  <si>
    <t>Andrew Pule</t>
  </si>
  <si>
    <t>B2</t>
  </si>
  <si>
    <t>James Farrugia</t>
  </si>
  <si>
    <t>Roderick Spiteri</t>
  </si>
  <si>
    <t>Richard Byrne</t>
  </si>
  <si>
    <t>Willem Steenkamer</t>
  </si>
  <si>
    <t>Ivan Cachia</t>
  </si>
  <si>
    <t>Eric Roca</t>
  </si>
  <si>
    <t>B3</t>
  </si>
  <si>
    <t>Gabriel Pace</t>
  </si>
  <si>
    <t>Marco Borg</t>
  </si>
  <si>
    <t>Stephen Belli</t>
  </si>
  <si>
    <t>Tobias Kristensen</t>
  </si>
  <si>
    <t>Neville Sciriha</t>
  </si>
  <si>
    <t>Earvin Grech Meli</t>
  </si>
  <si>
    <t>C1</t>
  </si>
  <si>
    <t>Eric Micallef</t>
  </si>
  <si>
    <t>ROBERTO MURDOCCO</t>
  </si>
  <si>
    <t>Maurice Borg</t>
  </si>
  <si>
    <t>Joe Carabott</t>
  </si>
  <si>
    <t>Keith Tanti</t>
  </si>
  <si>
    <t>Kevin Formosa</t>
  </si>
  <si>
    <t>C2</t>
  </si>
  <si>
    <t>Jonathan Vella</t>
  </si>
  <si>
    <t>Gene Zammit</t>
  </si>
  <si>
    <t>Ryan Mizzi</t>
  </si>
  <si>
    <t>Mavric Sawyer</t>
  </si>
  <si>
    <t>Frans Ellul</t>
  </si>
  <si>
    <t>Stefan Licari</t>
  </si>
  <si>
    <t>C3</t>
  </si>
  <si>
    <t>James Brincat</t>
  </si>
  <si>
    <t>Clint Agius</t>
  </si>
  <si>
    <t>John Sciberras</t>
  </si>
  <si>
    <t>Max Anastasi</t>
  </si>
  <si>
    <t>Victor Rutter</t>
  </si>
  <si>
    <t>Matthew Schembri</t>
  </si>
  <si>
    <t>C4</t>
  </si>
  <si>
    <t>DARRELL PACE</t>
  </si>
  <si>
    <t>Manuel Mifsud</t>
  </si>
  <si>
    <t>Ray Ciantar</t>
  </si>
  <si>
    <t>Julian Esposito</t>
  </si>
  <si>
    <t>Alain Frendo</t>
  </si>
  <si>
    <t>Juan Debono</t>
  </si>
  <si>
    <t>D1</t>
  </si>
  <si>
    <t>Jake Gatt</t>
  </si>
  <si>
    <t>Charles Sacco</t>
  </si>
  <si>
    <t>Mario Abdilla</t>
  </si>
  <si>
    <t>Kenneth Caruana</t>
  </si>
  <si>
    <t>Aaron Micallef Piccone</t>
  </si>
  <si>
    <t>Jesmond Cachia</t>
  </si>
  <si>
    <t>D2</t>
  </si>
  <si>
    <t>Ahmed Eln Akroud</t>
  </si>
  <si>
    <t>Anthony Pule'</t>
  </si>
  <si>
    <t>Isaac Joseph Zammit</t>
  </si>
  <si>
    <t>Ralf Bahmuller</t>
  </si>
  <si>
    <t>Shawn Roderick Sciberras</t>
  </si>
  <si>
    <t>Charles Borg Grech</t>
  </si>
  <si>
    <t>D3</t>
  </si>
  <si>
    <t>Kristen Cachia</t>
  </si>
  <si>
    <t>Joseph Randich</t>
  </si>
  <si>
    <t>Ryan Ebejer</t>
  </si>
  <si>
    <t>Max Anastasi Jr</t>
  </si>
  <si>
    <t>Franco Montesin</t>
  </si>
  <si>
    <t>Matthew Napier</t>
  </si>
  <si>
    <t>LADIES</t>
  </si>
  <si>
    <t>Nicole Fava</t>
  </si>
  <si>
    <t>Erica Azzopardi</t>
  </si>
  <si>
    <t>Kim Fava</t>
  </si>
  <si>
    <t>Alexia Spiteri Willets</t>
  </si>
  <si>
    <t>Martina Cuschieri</t>
  </si>
  <si>
    <t>Christine Schembri</t>
  </si>
  <si>
    <t>Sharon Mizzi</t>
  </si>
  <si>
    <t>Amanda Falzon</t>
  </si>
  <si>
    <t>OLIVIA BELLI</t>
  </si>
  <si>
    <t>Rebecca Pace</t>
  </si>
  <si>
    <t>Elaine Grech</t>
  </si>
  <si>
    <t>Yanika Pace</t>
  </si>
  <si>
    <t>Alison Muscat</t>
  </si>
  <si>
    <t>Doriana Portelli</t>
  </si>
  <si>
    <t>Sarah Vella</t>
  </si>
  <si>
    <t>Anthea Gauci</t>
  </si>
  <si>
    <t>Kirsty Mercieca</t>
  </si>
  <si>
    <t>Audrey Friggieri</t>
  </si>
  <si>
    <t>Silvana Portelli</t>
  </si>
  <si>
    <t>Annabelle Abela</t>
  </si>
  <si>
    <t>Romina Gauci</t>
  </si>
  <si>
    <t>Julia Barbara</t>
  </si>
  <si>
    <t>Tiziana Anastasi</t>
  </si>
  <si>
    <t>Yasmine Hefny</t>
  </si>
  <si>
    <t>Brenda Baldacchino</t>
  </si>
  <si>
    <t>Nancy Wong</t>
  </si>
  <si>
    <t>Mariska Steenkamer</t>
  </si>
  <si>
    <t>Marcette Sciriha</t>
  </si>
  <si>
    <t>Dominique Francica</t>
  </si>
  <si>
    <t>Rowena Caruana</t>
  </si>
  <si>
    <t>Monica Muscat</t>
  </si>
  <si>
    <t>Deborah Farrugia</t>
  </si>
  <si>
    <t>Alexia Gouder</t>
  </si>
  <si>
    <t>Monique Attard</t>
  </si>
  <si>
    <t>Tanya Cassar</t>
  </si>
  <si>
    <t>Carmen Difesa</t>
  </si>
  <si>
    <t>B4</t>
  </si>
  <si>
    <t>Anabele Borg</t>
  </si>
  <si>
    <t>Andrea Mifsud</t>
  </si>
  <si>
    <t>Ceridwen Scerri</t>
  </si>
  <si>
    <t>LONIA CARABOTT</t>
  </si>
  <si>
    <t>DIANE DEBONO</t>
  </si>
  <si>
    <t>Jennifer Mifsud</t>
  </si>
  <si>
    <t>Ruth Micallef</t>
  </si>
  <si>
    <t>Jennifer Roca</t>
  </si>
  <si>
    <t>Yvonne Borg Cardona</t>
  </si>
  <si>
    <t>Josette D'Alessandro</t>
  </si>
  <si>
    <t>Christine Seychell</t>
  </si>
  <si>
    <t>Anna Buhagiar</t>
  </si>
  <si>
    <t>Nicole Lia</t>
  </si>
  <si>
    <t>Josette Cassar</t>
  </si>
  <si>
    <t>Helga Azzopardi</t>
  </si>
  <si>
    <t>Mary Borg</t>
  </si>
  <si>
    <t>Michelle Mahoney</t>
  </si>
  <si>
    <t>CHRISTINE SCERRI</t>
  </si>
  <si>
    <t>Kristina Briffa</t>
  </si>
  <si>
    <t>Joyce Scerri</t>
  </si>
  <si>
    <t>Bernardette Fenech</t>
  </si>
  <si>
    <t>Claire Genovese</t>
  </si>
  <si>
    <t>Mary Ciantar</t>
  </si>
  <si>
    <t>Yvette Rutter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</si>
  <si>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</si>
  <si>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</si>
  <si>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</si>
  <si>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</si>
  <si>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</si>
  <si>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</si>
  <si>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</si>
  <si>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</si>
  <si>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</si>
  <si>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</si>
  <si>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</si>
  <si>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</si>
  <si>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</si>
  <si>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</si>
  <si>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 xml:space="preserve">TEAM A:  Darrell Pace </t>
  </si>
  <si>
    <t>Wednesday</t>
  </si>
  <si>
    <t>Friday</t>
  </si>
  <si>
    <t>TEAM B:     Roberto Murdocco</t>
  </si>
  <si>
    <t>TEAM C:     Olivia Belli</t>
  </si>
  <si>
    <t>TEAM D:    Lonia Carabott</t>
  </si>
  <si>
    <t>TEAM E:    Diane Debono</t>
  </si>
  <si>
    <t>TEAM F:  Christine Scerri</t>
  </si>
  <si>
    <t>Winners:</t>
  </si>
  <si>
    <t>Runners Up:</t>
  </si>
  <si>
    <t>Day</t>
  </si>
  <si>
    <t>Total</t>
  </si>
  <si>
    <t>Anabel Borg</t>
  </si>
  <si>
    <t>Nikolai Bell</t>
  </si>
  <si>
    <t>Arthur Napier</t>
  </si>
  <si>
    <t>Tiziana Borg Anastasi</t>
  </si>
  <si>
    <t>Wilson Team Tournament 2021</t>
  </si>
  <si>
    <t>DAY 1 - 3/11/2021 &amp; 5/11/2021</t>
  </si>
  <si>
    <t>Court 1</t>
  </si>
  <si>
    <t>Time</t>
  </si>
  <si>
    <t>Rubber</t>
  </si>
  <si>
    <t>Team A: Darrell Pace</t>
  </si>
  <si>
    <t>vs</t>
  </si>
  <si>
    <t>Team C: Olivia Belli</t>
  </si>
  <si>
    <t>Games</t>
  </si>
  <si>
    <t>Sets</t>
  </si>
  <si>
    <t>6.30 pm</t>
  </si>
  <si>
    <t>Lad C</t>
  </si>
  <si>
    <t>7.45 pm</t>
  </si>
  <si>
    <t>Men C</t>
  </si>
  <si>
    <t>9.00 pm</t>
  </si>
  <si>
    <t>Men B</t>
  </si>
  <si>
    <t>Lad B</t>
  </si>
  <si>
    <t>Total Day 1 A</t>
  </si>
  <si>
    <t>Men D</t>
  </si>
  <si>
    <t>Kirsten Cachia</t>
  </si>
  <si>
    <t>Ryan Ebjer</t>
  </si>
  <si>
    <t>Lad A</t>
  </si>
  <si>
    <t>Jesmond Pule'</t>
  </si>
  <si>
    <t>Nikolai Belli</t>
  </si>
  <si>
    <t>MXD CB</t>
  </si>
  <si>
    <t xml:space="preserve"> Brenda Baldacchino</t>
  </si>
  <si>
    <t>Total Day 1B</t>
  </si>
  <si>
    <t xml:space="preserve">Total Day 1 </t>
  </si>
  <si>
    <t>Court 2</t>
  </si>
  <si>
    <t>Team B: Roberto Murdocco</t>
  </si>
  <si>
    <t>Team E: Diane Debono</t>
  </si>
  <si>
    <t xml:space="preserve">7.45 pm </t>
  </si>
  <si>
    <t>Men c</t>
  </si>
  <si>
    <t>Duncan D'alessandro</t>
  </si>
  <si>
    <t>Aaron Micallef Piccione</t>
  </si>
  <si>
    <t>Men A</t>
  </si>
  <si>
    <t>Erika Azzopardi</t>
  </si>
  <si>
    <t>Court 4</t>
  </si>
  <si>
    <t>Team D: Lonia Carabott</t>
  </si>
  <si>
    <t>Team F: Christine Scerri</t>
  </si>
  <si>
    <t>Josette D'alessandro</t>
  </si>
  <si>
    <t>Anne Buhagiar</t>
  </si>
  <si>
    <t>7.15pm</t>
  </si>
  <si>
    <t>MXD</t>
  </si>
  <si>
    <t xml:space="preserve"> </t>
  </si>
  <si>
    <t>Day 2 10/11-2021 - 12/11/2021</t>
  </si>
  <si>
    <t xml:space="preserve">Men A </t>
  </si>
  <si>
    <t>Total Day 2 A</t>
  </si>
  <si>
    <t xml:space="preserve">6.30 pm </t>
  </si>
  <si>
    <t>Total Day 2 B</t>
  </si>
  <si>
    <t xml:space="preserve">Total Day 2 </t>
  </si>
  <si>
    <t>Andrew Pule'</t>
  </si>
  <si>
    <t>7.45pm</t>
  </si>
  <si>
    <t>Ahmed Elnakroud</t>
  </si>
  <si>
    <t>ret.</t>
  </si>
  <si>
    <t>John Azzopard</t>
  </si>
  <si>
    <t>Helga Azzoapardi</t>
  </si>
  <si>
    <t>Domenique Francica</t>
  </si>
  <si>
    <t>Day 3 - 17/11/2021 &amp; 19/11/2021</t>
  </si>
  <si>
    <t>Total Day 3 A</t>
  </si>
  <si>
    <t>6.30pm</t>
  </si>
  <si>
    <t>Total Day 3 B</t>
  </si>
  <si>
    <t xml:space="preserve">Total Day 3 </t>
  </si>
  <si>
    <t>Sarah vella</t>
  </si>
  <si>
    <t>Rueben Borg</t>
  </si>
  <si>
    <t>9.00pm</t>
  </si>
  <si>
    <t>Day 4 - 24/11/2021 &amp; 26/11/2021</t>
  </si>
  <si>
    <t>Total Day 4 A</t>
  </si>
  <si>
    <t xml:space="preserve"> vs</t>
  </si>
  <si>
    <t>Total Day 4 B</t>
  </si>
  <si>
    <t xml:space="preserve">Total Day 4 </t>
  </si>
  <si>
    <t>Mxd CB</t>
  </si>
  <si>
    <t>Total Day 5 A</t>
  </si>
  <si>
    <t xml:space="preserve">Lad C </t>
  </si>
  <si>
    <t>Total Day 5B</t>
  </si>
  <si>
    <t xml:space="preserve">Total Day 5 </t>
  </si>
  <si>
    <t>Shawn Roaderick Sciberras</t>
  </si>
  <si>
    <t>Team B: Roberto Moeducco</t>
  </si>
  <si>
    <t>Charles Sacco (pro) Roberto Murdocca</t>
  </si>
  <si>
    <t>Eric Micallef (Pro George Grech)</t>
  </si>
  <si>
    <t>Kristen Cachia (Pro Ahmed Elnakroud)</t>
  </si>
  <si>
    <t>Total Day 5 B</t>
  </si>
  <si>
    <t>Semi Final - 21/1/22</t>
  </si>
  <si>
    <t>Team E : Diane Debono</t>
  </si>
  <si>
    <t xml:space="preserve">Team D : Lonia Carabott </t>
  </si>
  <si>
    <t>Albert Pace Axiaq</t>
  </si>
  <si>
    <t>Willem Steenamer</t>
  </si>
  <si>
    <t>Max Junior Anastasi</t>
  </si>
  <si>
    <t>T/B 7-3</t>
  </si>
  <si>
    <t>Total Day 2B</t>
  </si>
  <si>
    <t>Team B: Darrell Pace</t>
  </si>
  <si>
    <t>Richard Bryne</t>
  </si>
  <si>
    <t>Isaac Zammit</t>
  </si>
  <si>
    <t xml:space="preserve">Ruth Micallef </t>
  </si>
  <si>
    <t xml:space="preserve">John Sciberras </t>
  </si>
  <si>
    <t>Alexia Gauci</t>
  </si>
  <si>
    <t>T/B 7-4</t>
  </si>
  <si>
    <t>FINAL</t>
  </si>
  <si>
    <t>Team C : Olivia Belli</t>
  </si>
  <si>
    <t>Team D : Lonia Carabott</t>
  </si>
  <si>
    <t>6.30 pm
crt 2</t>
  </si>
  <si>
    <t>6.30 pm
crt 1</t>
  </si>
  <si>
    <t>T/B 7-5</t>
  </si>
  <si>
    <t>6.30 pm
crt 3</t>
  </si>
  <si>
    <t>6.30 pm
crt 4</t>
  </si>
  <si>
    <t>8.00 pm
crt 2</t>
  </si>
  <si>
    <t>8.00 pm
crt 4</t>
  </si>
  <si>
    <t>8.00 pm
crt 3</t>
  </si>
  <si>
    <t>8.00 pm
crt 1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</si>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</sst>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color rgb="FF000000"/>
      <name val="Arial"/>
    </font>
    <font>
      <b/>
      <sz val="18"/>
      <color theme="1"/>
      <name val="Arial"/>
    </font>
    <font>
      <sz val="11"/>
      <color theme="1"/>
      <name val="Calibri"/>
    </font>
    <font>
      <b/>
      <sz val="16"/>
      <color theme="1"/>
      <name val="Tahoma"/>
    </font>
    <font>
      <sz val="10"/>
      <color theme="1"/>
      <name val="Arial"/>
    </font>
    <font>
      <b/>
      <sz val="12"/>
      <color theme="1"/>
      <name val="Tahoma"/>
    </font>
    <font>
      <b/>
      <sz val="14"/>
      <color theme="1"/>
      <name val="Tahoma"/>
    </font>
    <font>
      <sz val="10"/>
      <name val="Arial"/>
    </font>
    <font>
      <b/>
      <sz val="14"/>
      <color rgb="FF000000"/>
      <name val="Tahoma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000000"/>
      <name val="Arial"/>
    </font>
    <font>
      <b/>
      <sz val="14"/>
      <color rgb="FF000000"/>
      <name val="Arial"/>
    </font>
    <font>
      <sz val="12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theme="1"/>
      <name val="Tahoma"/>
    </font>
    <font>
      <b/>
      <sz val="16"/>
      <color rgb="FF000080"/>
      <name val="Garamond"/>
    </font>
    <font>
      <b/>
      <sz val="12"/>
      <color rgb="FF000080"/>
      <name val="Arial"/>
    </font>
    <font>
      <b/>
      <sz val="11"/>
      <color rgb="FF000080"/>
      <name val="Arial"/>
    </font>
    <font>
      <b/>
      <sz val="11"/>
      <color rgb="FF008000"/>
      <name val="Arial"/>
    </font>
    <font>
      <b/>
      <sz val="11"/>
      <color rgb="FF800000"/>
      <name val="Arial"/>
    </font>
    <font>
      <b/>
      <sz val="12"/>
      <color rgb="FFFF0000"/>
      <name val="Arial"/>
    </font>
    <font>
      <b/>
      <sz val="14"/>
      <color rgb="FF008000"/>
      <name val="Arial"/>
    </font>
    <font>
      <b/>
      <sz val="14"/>
      <color rgb="FF800000"/>
      <name val="Arial"/>
    </font>
    <font>
      <b/>
      <sz val="12"/>
      <color rgb="FF800000"/>
      <name val="Arial"/>
    </font>
    <font>
      <b/>
      <sz val="12"/>
      <color rgb="FF008000"/>
      <name val="Arial"/>
    </font>
    <font>
      <sz val="16"/>
      <color theme="1"/>
      <name val="Arial"/>
    </font>
    <font>
      <b/>
      <sz val="16"/>
      <color theme="1"/>
      <name val="Arial"/>
    </font>
    <font>
      <b/>
      <sz val="14"/>
      <color rgb="FF3366FF"/>
      <name val="Arial"/>
    </font>
    <font>
      <sz val="11"/>
      <color rgb="FF3366FF"/>
      <name val="Arial"/>
    </font>
    <font>
      <b/>
      <sz val="14"/>
      <color theme="1"/>
      <name val="Arial"/>
    </font>
    <font>
      <strike/>
      <sz val="10"/>
      <color theme="1"/>
      <name val="Arial"/>
    </font>
    <font>
      <sz val="14"/>
      <color theme="1"/>
      <name val="Arial"/>
    </font>
    <font>
      <sz val="10"/>
      <color theme="1"/>
      <name val="Tahoma"/>
    </font>
    <font>
      <b/>
      <sz val="9"/>
      <color theme="1"/>
      <name val="Tahoma"/>
    </font>
    <font>
      <sz val="9"/>
      <color theme="1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3366F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3366FF"/>
      </bottom>
      <diagonal/>
    </border>
    <border>
      <left style="medium">
        <color rgb="FF000000"/>
      </left>
      <right style="thin">
        <color rgb="FF3366FF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 style="hair">
        <color rgb="FF3366FF"/>
      </bottom>
      <diagonal/>
    </border>
    <border>
      <left/>
      <right style="hair">
        <color rgb="FF3366FF"/>
      </right>
      <top/>
      <bottom style="thin">
        <color rgb="FF000000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  <diagonal/>
    </border>
    <border>
      <left style="hair">
        <color rgb="FF3366FF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hair">
        <color rgb="FF3366FF"/>
      </right>
      <top style="thin">
        <color rgb="FF000000"/>
      </top>
      <bottom/>
      <diagonal/>
    </border>
    <border>
      <left/>
      <right style="hair">
        <color rgb="FF3366FF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3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3" borderId="19" xfId="0" applyFont="1" applyFill="1" applyBorder="1"/>
    <xf numFmtId="0" fontId="9" fillId="3" borderId="17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0" fontId="16" fillId="3" borderId="23" xfId="0" applyFont="1" applyFill="1" applyBorder="1" applyAlignment="1">
      <alignment horizontal="left"/>
    </xf>
    <xf numFmtId="0" fontId="14" fillId="3" borderId="27" xfId="0" applyFont="1" applyFill="1" applyBorder="1" applyAlignment="1">
      <alignment horizontal="left"/>
    </xf>
    <xf numFmtId="0" fontId="18" fillId="0" borderId="0" xfId="0" applyFont="1"/>
    <xf numFmtId="0" fontId="18" fillId="3" borderId="27" xfId="0" applyFont="1" applyFill="1" applyBorder="1" applyAlignment="1">
      <alignment horizontal="left"/>
    </xf>
    <xf numFmtId="0" fontId="19" fillId="3" borderId="19" xfId="0" applyFont="1" applyFill="1" applyBorder="1" applyAlignment="1">
      <alignment horizontal="center"/>
    </xf>
    <xf numFmtId="0" fontId="10" fillId="0" borderId="0" xfId="0" applyFont="1"/>
    <xf numFmtId="0" fontId="9" fillId="3" borderId="27" xfId="0" applyFont="1" applyFill="1" applyBorder="1" applyAlignment="1">
      <alignment horizontal="left"/>
    </xf>
    <xf numFmtId="0" fontId="15" fillId="3" borderId="19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3" borderId="12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/>
    </xf>
    <xf numFmtId="0" fontId="9" fillId="3" borderId="32" xfId="0" applyFont="1" applyFill="1" applyBorder="1" applyAlignment="1">
      <alignment horizontal="left"/>
    </xf>
    <xf numFmtId="0" fontId="22" fillId="3" borderId="19" xfId="0" applyFont="1" applyFill="1" applyBorder="1"/>
    <xf numFmtId="0" fontId="22" fillId="3" borderId="27" xfId="0" applyFont="1" applyFill="1" applyBorder="1"/>
    <xf numFmtId="0" fontId="22" fillId="3" borderId="33" xfId="0" applyFont="1" applyFill="1" applyBorder="1"/>
    <xf numFmtId="1" fontId="23" fillId="0" borderId="12" xfId="0" applyNumberFormat="1" applyFont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9" fillId="3" borderId="27" xfId="0" applyFont="1" applyFill="1" applyBorder="1" applyAlignment="1">
      <alignment horizontal="left" vertical="center"/>
    </xf>
    <xf numFmtId="0" fontId="15" fillId="3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31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3" borderId="37" xfId="0" applyFont="1" applyFill="1" applyBorder="1" applyAlignment="1">
      <alignment horizontal="left" vertical="center"/>
    </xf>
    <xf numFmtId="0" fontId="30" fillId="3" borderId="38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vertical="center"/>
    </xf>
    <xf numFmtId="0" fontId="26" fillId="3" borderId="38" xfId="0" applyFont="1" applyFill="1" applyBorder="1" applyAlignment="1">
      <alignment vertical="center"/>
    </xf>
    <xf numFmtId="0" fontId="25" fillId="3" borderId="39" xfId="0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/>
    <xf numFmtId="0" fontId="3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5" borderId="19" xfId="0" applyFont="1" applyFill="1" applyBorder="1"/>
    <xf numFmtId="0" fontId="14" fillId="5" borderId="12" xfId="0" applyFont="1" applyFill="1" applyBorder="1"/>
    <xf numFmtId="0" fontId="14" fillId="5" borderId="12" xfId="0" applyFont="1" applyFill="1" applyBorder="1" applyAlignment="1">
      <alignment horizontal="center"/>
    </xf>
    <xf numFmtId="0" fontId="14" fillId="5" borderId="19" xfId="0" applyFont="1" applyFill="1" applyBorder="1"/>
    <xf numFmtId="0" fontId="31" fillId="6" borderId="12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4" fillId="7" borderId="12" xfId="0" applyFont="1" applyFill="1" applyBorder="1"/>
    <xf numFmtId="0" fontId="6" fillId="7" borderId="40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/>
    </xf>
    <xf numFmtId="0" fontId="14" fillId="7" borderId="40" xfId="0" applyFont="1" applyFill="1" applyBorder="1" applyAlignment="1">
      <alignment horizontal="center"/>
    </xf>
    <xf numFmtId="0" fontId="31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0" fillId="3" borderId="12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4" fillId="0" borderId="0" xfId="0" applyFont="1"/>
    <xf numFmtId="0" fontId="31" fillId="8" borderId="4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4" fillId="0" borderId="0" xfId="0" applyFont="1"/>
    <xf numFmtId="0" fontId="34" fillId="0" borderId="34" xfId="0" applyFont="1" applyBorder="1"/>
    <xf numFmtId="0" fontId="34" fillId="0" borderId="43" xfId="0" applyFont="1" applyBorder="1"/>
    <xf numFmtId="0" fontId="16" fillId="0" borderId="4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" fontId="34" fillId="0" borderId="51" xfId="0" applyNumberFormat="1" applyFont="1" applyBorder="1" applyAlignment="1">
      <alignment horizontal="center" vertical="center" wrapText="1"/>
    </xf>
    <xf numFmtId="1" fontId="34" fillId="0" borderId="52" xfId="0" applyNumberFormat="1" applyFont="1" applyBorder="1" applyAlignment="1">
      <alignment horizontal="center" vertical="center" wrapText="1"/>
    </xf>
    <xf numFmtId="1" fontId="34" fillId="0" borderId="54" xfId="0" applyNumberFormat="1" applyFont="1" applyBorder="1" applyAlignment="1">
      <alignment horizontal="center" vertical="center" wrapText="1"/>
    </xf>
    <xf numFmtId="1" fontId="34" fillId="0" borderId="55" xfId="0" applyNumberFormat="1" applyFont="1" applyBorder="1" applyAlignment="1">
      <alignment horizontal="center" vertical="center" wrapText="1"/>
    </xf>
    <xf numFmtId="1" fontId="16" fillId="3" borderId="9" xfId="0" applyNumberFormat="1" applyFont="1" applyFill="1" applyBorder="1" applyAlignment="1">
      <alignment horizontal="center" vertical="center"/>
    </xf>
    <xf numFmtId="1" fontId="16" fillId="3" borderId="10" xfId="0" applyNumberFormat="1" applyFont="1" applyFill="1" applyBorder="1" applyAlignment="1">
      <alignment horizontal="center" vertical="center"/>
    </xf>
    <xf numFmtId="1" fontId="16" fillId="3" borderId="48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1" fontId="34" fillId="0" borderId="56" xfId="0" applyNumberFormat="1" applyFont="1" applyBorder="1" applyAlignment="1">
      <alignment horizontal="center" vertical="center" wrapText="1"/>
    </xf>
    <xf numFmtId="1" fontId="34" fillId="0" borderId="11" xfId="0" applyNumberFormat="1" applyFont="1" applyBorder="1" applyAlignment="1">
      <alignment horizontal="center" vertical="center" wrapText="1"/>
    </xf>
    <xf numFmtId="1" fontId="34" fillId="0" borderId="57" xfId="0" applyNumberFormat="1" applyFont="1" applyBorder="1" applyAlignment="1">
      <alignment horizontal="center" vertical="center" wrapText="1"/>
    </xf>
    <xf numFmtId="1" fontId="34" fillId="0" borderId="58" xfId="0" applyNumberFormat="1" applyFont="1" applyBorder="1" applyAlignment="1">
      <alignment horizontal="center" vertical="center" wrapText="1"/>
    </xf>
    <xf numFmtId="1" fontId="16" fillId="0" borderId="13" xfId="0" applyNumberFormat="1" applyFont="1" applyBorder="1" applyAlignment="1">
      <alignment horizontal="center" vertical="center" wrapText="1"/>
    </xf>
    <xf numFmtId="1" fontId="16" fillId="0" borderId="59" xfId="0" applyNumberFormat="1" applyFont="1" applyBorder="1" applyAlignment="1">
      <alignment horizontal="center" vertical="center" wrapText="1"/>
    </xf>
    <xf numFmtId="1" fontId="16" fillId="0" borderId="56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34" fillId="0" borderId="63" xfId="0" applyNumberFormat="1" applyFont="1" applyBorder="1" applyAlignment="1">
      <alignment horizontal="center" vertical="center" wrapText="1"/>
    </xf>
    <xf numFmtId="1" fontId="34" fillId="0" borderId="64" xfId="0" applyNumberFormat="1" applyFont="1" applyBorder="1" applyAlignment="1">
      <alignment horizontal="center" vertical="center" wrapText="1"/>
    </xf>
    <xf numFmtId="1" fontId="34" fillId="0" borderId="48" xfId="0" applyNumberFormat="1" applyFont="1" applyBorder="1" applyAlignment="1">
      <alignment horizontal="center" vertical="center" wrapText="1"/>
    </xf>
    <xf numFmtId="1" fontId="34" fillId="0" borderId="65" xfId="0" applyNumberFormat="1" applyFont="1" applyBorder="1" applyAlignment="1">
      <alignment horizontal="center" vertical="center" wrapText="1"/>
    </xf>
    <xf numFmtId="1" fontId="34" fillId="0" borderId="14" xfId="0" applyNumberFormat="1" applyFont="1" applyBorder="1" applyAlignment="1">
      <alignment horizontal="center" vertical="center" wrapText="1"/>
    </xf>
    <xf numFmtId="2" fontId="16" fillId="0" borderId="41" xfId="0" applyNumberFormat="1" applyFont="1" applyBorder="1" applyAlignment="1">
      <alignment horizontal="center" vertical="center" wrapText="1"/>
    </xf>
    <xf numFmtId="1" fontId="34" fillId="0" borderId="69" xfId="0" applyNumberFormat="1" applyFont="1" applyBorder="1" applyAlignment="1">
      <alignment horizontal="center" vertical="center" wrapText="1"/>
    </xf>
    <xf numFmtId="1" fontId="34" fillId="0" borderId="60" xfId="0" applyNumberFormat="1" applyFont="1" applyBorder="1" applyAlignment="1">
      <alignment horizontal="center" vertical="center" wrapText="1"/>
    </xf>
    <xf numFmtId="1" fontId="34" fillId="0" borderId="70" xfId="0" applyNumberFormat="1" applyFont="1" applyBorder="1" applyAlignment="1">
      <alignment horizontal="center" vertical="center" wrapText="1"/>
    </xf>
    <xf numFmtId="1" fontId="34" fillId="0" borderId="71" xfId="0" applyNumberFormat="1" applyFont="1" applyBorder="1" applyAlignment="1">
      <alignment horizontal="center" vertical="center" wrapText="1"/>
    </xf>
    <xf numFmtId="1" fontId="34" fillId="0" borderId="12" xfId="0" applyNumberFormat="1" applyFont="1" applyBorder="1" applyAlignment="1">
      <alignment horizontal="center" vertical="center" wrapText="1"/>
    </xf>
    <xf numFmtId="1" fontId="34" fillId="0" borderId="12" xfId="0" applyNumberFormat="1" applyFont="1" applyBorder="1" applyAlignment="1">
      <alignment horizontal="center" vertical="center" wrapText="1"/>
    </xf>
    <xf numFmtId="1" fontId="16" fillId="3" borderId="14" xfId="0" applyNumberFormat="1" applyFont="1" applyFill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 wrapText="1"/>
    </xf>
    <xf numFmtId="0" fontId="16" fillId="0" borderId="0" xfId="0" applyFont="1"/>
    <xf numFmtId="0" fontId="34" fillId="0" borderId="0" xfId="0" applyFont="1" applyAlignment="1"/>
    <xf numFmtId="2" fontId="16" fillId="0" borderId="12" xfId="0" applyNumberFormat="1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16" fontId="16" fillId="0" borderId="0" xfId="0" applyNumberFormat="1" applyFont="1"/>
    <xf numFmtId="16" fontId="34" fillId="0" borderId="0" xfId="0" applyNumberFormat="1" applyFont="1"/>
    <xf numFmtId="1" fontId="34" fillId="0" borderId="51" xfId="0" applyNumberFormat="1" applyFont="1" applyBorder="1" applyAlignment="1">
      <alignment horizontal="center" vertical="center" wrapText="1"/>
    </xf>
    <xf numFmtId="1" fontId="34" fillId="0" borderId="52" xfId="0" applyNumberFormat="1" applyFont="1" applyBorder="1" applyAlignment="1">
      <alignment horizontal="center" vertical="center" wrapText="1"/>
    </xf>
    <xf numFmtId="1" fontId="34" fillId="0" borderId="54" xfId="0" applyNumberFormat="1" applyFont="1" applyBorder="1" applyAlignment="1">
      <alignment horizontal="center" vertical="center" wrapText="1"/>
    </xf>
    <xf numFmtId="1" fontId="34" fillId="0" borderId="55" xfId="0" applyNumberFormat="1" applyFont="1" applyBorder="1" applyAlignment="1">
      <alignment horizontal="center" vertical="center" wrapText="1"/>
    </xf>
    <xf numFmtId="1" fontId="34" fillId="9" borderId="76" xfId="0" applyNumberFormat="1" applyFont="1" applyFill="1" applyBorder="1" applyAlignment="1">
      <alignment horizontal="center" vertical="center"/>
    </xf>
    <xf numFmtId="1" fontId="34" fillId="9" borderId="77" xfId="0" applyNumberFormat="1" applyFont="1" applyFill="1" applyBorder="1" applyAlignment="1">
      <alignment horizontal="center" vertical="center"/>
    </xf>
    <xf numFmtId="1" fontId="34" fillId="9" borderId="79" xfId="0" applyNumberFormat="1" applyFont="1" applyFill="1" applyBorder="1" applyAlignment="1">
      <alignment horizontal="center" vertical="center"/>
    </xf>
    <xf numFmtId="1" fontId="34" fillId="9" borderId="80" xfId="0" applyNumberFormat="1" applyFont="1" applyFill="1" applyBorder="1" applyAlignment="1">
      <alignment horizontal="center" vertical="center"/>
    </xf>
    <xf numFmtId="1" fontId="16" fillId="3" borderId="41" xfId="0" applyNumberFormat="1" applyFont="1" applyFill="1" applyBorder="1" applyAlignment="1">
      <alignment horizontal="center" vertical="center"/>
    </xf>
    <xf numFmtId="1" fontId="16" fillId="3" borderId="12" xfId="0" applyNumberFormat="1" applyFont="1" applyFill="1" applyBorder="1" applyAlignment="1">
      <alignment horizontal="center" vertical="center"/>
    </xf>
    <xf numFmtId="1" fontId="16" fillId="3" borderId="81" xfId="0" applyNumberFormat="1" applyFont="1" applyFill="1" applyBorder="1" applyAlignment="1">
      <alignment horizontal="center" vertical="center"/>
    </xf>
    <xf numFmtId="1" fontId="16" fillId="3" borderId="82" xfId="0" applyNumberFormat="1" applyFont="1" applyFill="1" applyBorder="1" applyAlignment="1">
      <alignment horizontal="center" vertical="center"/>
    </xf>
    <xf numFmtId="1" fontId="16" fillId="3" borderId="31" xfId="0" applyNumberFormat="1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4" xfId="0" applyFont="1" applyBorder="1"/>
    <xf numFmtId="0" fontId="9" fillId="3" borderId="20" xfId="0" applyFont="1" applyFill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0" borderId="11" xfId="0" applyFont="1" applyBorder="1"/>
    <xf numFmtId="0" fontId="8" fillId="0" borderId="9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1" fontId="26" fillId="0" borderId="15" xfId="0" applyNumberFormat="1" applyFont="1" applyBorder="1" applyAlignment="1">
      <alignment horizontal="center" vertical="center"/>
    </xf>
    <xf numFmtId="0" fontId="7" fillId="0" borderId="7" xfId="0" applyFont="1" applyBorder="1"/>
    <xf numFmtId="1" fontId="25" fillId="0" borderId="15" xfId="0" applyNumberFormat="1" applyFont="1" applyBorder="1" applyAlignment="1">
      <alignment horizontal="center" vertical="center"/>
    </xf>
    <xf numFmtId="0" fontId="17" fillId="3" borderId="24" xfId="0" applyFont="1" applyFill="1" applyBorder="1" applyAlignment="1">
      <alignment horizontal="center"/>
    </xf>
    <xf numFmtId="0" fontId="7" fillId="0" borderId="25" xfId="0" applyFont="1" applyBorder="1"/>
    <xf numFmtId="0" fontId="7" fillId="0" borderId="26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1" fontId="25" fillId="0" borderId="35" xfId="0" applyNumberFormat="1" applyFont="1" applyBorder="1" applyAlignment="1">
      <alignment horizontal="center" vertical="center"/>
    </xf>
    <xf numFmtId="0" fontId="7" fillId="0" borderId="8" xfId="0" applyFont="1" applyBorder="1"/>
    <xf numFmtId="0" fontId="27" fillId="0" borderId="0" xfId="0" applyFont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7" fillId="0" borderId="34" xfId="0" applyFont="1" applyBorder="1"/>
    <xf numFmtId="0" fontId="31" fillId="0" borderId="0" xfId="0" applyFont="1" applyAlignment="1">
      <alignment horizontal="left"/>
    </xf>
    <xf numFmtId="0" fontId="7" fillId="0" borderId="36" xfId="0" applyFont="1" applyBorder="1"/>
    <xf numFmtId="0" fontId="34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" fontId="34" fillId="0" borderId="35" xfId="0" applyNumberFormat="1" applyFont="1" applyBorder="1" applyAlignment="1">
      <alignment horizontal="center" vertical="center" wrapText="1"/>
    </xf>
    <xf numFmtId="1" fontId="16" fillId="3" borderId="66" xfId="0" applyNumberFormat="1" applyFont="1" applyFill="1" applyBorder="1" applyAlignment="1">
      <alignment horizontal="center" vertical="center"/>
    </xf>
    <xf numFmtId="0" fontId="7" fillId="0" borderId="67" xfId="0" applyFont="1" applyBorder="1"/>
    <xf numFmtId="0" fontId="7" fillId="0" borderId="68" xfId="0" applyFont="1" applyBorder="1"/>
    <xf numFmtId="1" fontId="16" fillId="0" borderId="9" xfId="0" applyNumberFormat="1" applyFont="1" applyBorder="1" applyAlignment="1">
      <alignment horizontal="center" vertical="center"/>
    </xf>
    <xf numFmtId="1" fontId="16" fillId="3" borderId="9" xfId="0" applyNumberFormat="1" applyFont="1" applyFill="1" applyBorder="1" applyAlignment="1">
      <alignment horizontal="center" vertical="center"/>
    </xf>
    <xf numFmtId="2" fontId="16" fillId="0" borderId="50" xfId="0" applyNumberFormat="1" applyFont="1" applyBorder="1" applyAlignment="1">
      <alignment horizontal="center" vertical="center"/>
    </xf>
    <xf numFmtId="0" fontId="7" fillId="0" borderId="53" xfId="0" applyFont="1" applyBorder="1"/>
    <xf numFmtId="1" fontId="35" fillId="0" borderId="15" xfId="0" applyNumberFormat="1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7" fillId="0" borderId="55" xfId="0" applyFont="1" applyBorder="1"/>
    <xf numFmtId="0" fontId="16" fillId="0" borderId="13" xfId="0" applyFont="1" applyBorder="1" applyAlignment="1">
      <alignment horizontal="center" vertical="center" wrapText="1"/>
    </xf>
    <xf numFmtId="1" fontId="16" fillId="0" borderId="15" xfId="0" applyNumberFormat="1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 wrapText="1"/>
    </xf>
    <xf numFmtId="0" fontId="7" fillId="0" borderId="62" xfId="0" applyFont="1" applyBorder="1"/>
    <xf numFmtId="1" fontId="34" fillId="0" borderId="9" xfId="0" applyNumberFormat="1" applyFont="1" applyBorder="1" applyAlignment="1">
      <alignment horizontal="center" vertical="center"/>
    </xf>
    <xf numFmtId="0" fontId="7" fillId="0" borderId="73" xfId="0" applyFont="1" applyBorder="1"/>
    <xf numFmtId="1" fontId="34" fillId="0" borderId="70" xfId="0" applyNumberFormat="1" applyFont="1" applyBorder="1" applyAlignment="1">
      <alignment horizontal="center" vertical="center" wrapText="1"/>
    </xf>
    <xf numFmtId="0" fontId="7" fillId="0" borderId="58" xfId="0" applyFont="1" applyBorder="1"/>
    <xf numFmtId="1" fontId="34" fillId="0" borderId="71" xfId="0" applyNumberFormat="1" applyFont="1" applyBorder="1" applyAlignment="1">
      <alignment horizontal="center" vertical="center" wrapText="1"/>
    </xf>
    <xf numFmtId="0" fontId="7" fillId="0" borderId="72" xfId="0" applyFont="1" applyBorder="1"/>
    <xf numFmtId="1" fontId="16" fillId="0" borderId="15" xfId="0" applyNumberFormat="1" applyFont="1" applyBorder="1" applyAlignment="1">
      <alignment horizontal="center" vertical="center"/>
    </xf>
    <xf numFmtId="0" fontId="7" fillId="0" borderId="71" xfId="0" applyFont="1" applyBorder="1"/>
    <xf numFmtId="0" fontId="7" fillId="0" borderId="74" xfId="0" applyFont="1" applyBorder="1"/>
    <xf numFmtId="0" fontId="6" fillId="0" borderId="44" xfId="0" applyFont="1" applyBorder="1" applyAlignment="1">
      <alignment horizontal="center" vertical="center"/>
    </xf>
    <xf numFmtId="0" fontId="7" fillId="0" borderId="45" xfId="0" applyFont="1" applyBorder="1"/>
    <xf numFmtId="0" fontId="7" fillId="0" borderId="46" xfId="0" applyFont="1" applyBorder="1"/>
    <xf numFmtId="0" fontId="7" fillId="0" borderId="47" xfId="0" applyFont="1" applyBorder="1"/>
    <xf numFmtId="0" fontId="7" fillId="0" borderId="48" xfId="0" applyFont="1" applyBorder="1"/>
    <xf numFmtId="0" fontId="7" fillId="0" borderId="49" xfId="0" applyFont="1" applyBorder="1"/>
    <xf numFmtId="1" fontId="16" fillId="3" borderId="20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7" fillId="0" borderId="43" xfId="0" applyFont="1" applyBorder="1"/>
    <xf numFmtId="0" fontId="3" fillId="0" borderId="13" xfId="0" applyFont="1" applyBorder="1" applyAlignment="1">
      <alignment horizontal="center" vertical="center"/>
    </xf>
    <xf numFmtId="0" fontId="34" fillId="3" borderId="44" xfId="0" applyFont="1" applyFill="1" applyBorder="1" applyAlignment="1">
      <alignment horizontal="center"/>
    </xf>
    <xf numFmtId="1" fontId="36" fillId="0" borderId="15" xfId="0" applyNumberFormat="1" applyFont="1" applyBorder="1" applyAlignment="1">
      <alignment horizontal="center" vertical="center" wrapText="1"/>
    </xf>
    <xf numFmtId="2" fontId="16" fillId="0" borderId="15" xfId="0" applyNumberFormat="1" applyFont="1" applyBorder="1" applyAlignment="1">
      <alignment horizontal="center" vertical="center"/>
    </xf>
    <xf numFmtId="1" fontId="16" fillId="3" borderId="13" xfId="0" applyNumberFormat="1" applyFont="1" applyFill="1" applyBorder="1" applyAlignment="1">
      <alignment horizontal="center" vertical="center"/>
    </xf>
    <xf numFmtId="1" fontId="34" fillId="0" borderId="13" xfId="0" applyNumberFormat="1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6" fillId="0" borderId="61" xfId="0" applyFont="1" applyBorder="1" applyAlignment="1">
      <alignment horizontal="center" vertical="center"/>
    </xf>
    <xf numFmtId="0" fontId="7" fillId="0" borderId="60" xfId="0" applyFont="1" applyBorder="1"/>
    <xf numFmtId="1" fontId="3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4" fillId="3" borderId="61" xfId="0" applyFont="1" applyFill="1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1" fontId="16" fillId="9" borderId="15" xfId="0" applyNumberFormat="1" applyFont="1" applyFill="1" applyBorder="1" applyAlignment="1">
      <alignment horizontal="center" vertical="center"/>
    </xf>
    <xf numFmtId="1" fontId="34" fillId="9" borderId="15" xfId="0" applyNumberFormat="1" applyFont="1" applyFill="1" applyBorder="1" applyAlignment="1">
      <alignment horizontal="center" vertical="center"/>
    </xf>
    <xf numFmtId="1" fontId="34" fillId="9" borderId="75" xfId="0" applyNumberFormat="1" applyFont="1" applyFill="1" applyBorder="1" applyAlignment="1">
      <alignment horizontal="center" vertical="center"/>
    </xf>
    <xf numFmtId="0" fontId="7" fillId="0" borderId="78" xfId="0" applyFont="1" applyBorder="1"/>
    <xf numFmtId="1" fontId="5" fillId="0" borderId="9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" fontId="16" fillId="3" borderId="16" xfId="0" applyNumberFormat="1" applyFont="1" applyFill="1" applyBorder="1" applyAlignment="1">
      <alignment horizontal="center" vertical="center"/>
    </xf>
    <xf numFmtId="1" fontId="16" fillId="3" borderId="17" xfId="0" applyNumberFormat="1" applyFont="1" applyFill="1" applyBorder="1" applyAlignment="1">
      <alignment horizontal="center" vertical="center"/>
    </xf>
    <xf numFmtId="1" fontId="16" fillId="3" borderId="18" xfId="0" applyNumberFormat="1" applyFont="1" applyFill="1" applyBorder="1" applyAlignment="1">
      <alignment horizontal="center" vertical="center"/>
    </xf>
    <xf numFmtId="2" fontId="16" fillId="0" borderId="5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0</xdr:row>
      <xdr:rowOff>76200</xdr:rowOff>
    </xdr:from>
    <xdr:ext cx="695325" cy="6381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1171575</xdr:colOff>
      <xdr:row>0</xdr:row>
      <xdr:rowOff>133350</xdr:rowOff>
    </xdr:from>
    <xdr:ext cx="1609725" cy="51435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95250</xdr:rowOff>
    </xdr:from>
    <xdr:ext cx="781050" cy="723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295275</xdr:colOff>
      <xdr:row>1</xdr:row>
      <xdr:rowOff>0</xdr:rowOff>
    </xdr:from>
    <xdr:ext cx="2000250" cy="542925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66675</xdr:rowOff>
    </xdr:from>
    <xdr:ext cx="714375" cy="7524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1</xdr:row>
      <xdr:rowOff>19050</xdr:rowOff>
    </xdr:from>
    <xdr:ext cx="2066925" cy="352425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657225</xdr:colOff>
      <xdr:row>0</xdr:row>
      <xdr:rowOff>47625</xdr:rowOff>
    </xdr:from>
    <xdr:ext cx="2219325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0</xdr:row>
      <xdr:rowOff>57150</xdr:rowOff>
    </xdr:from>
    <xdr:ext cx="742950" cy="723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57150"/>
          <a:ext cx="7429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714375</xdr:colOff>
      <xdr:row>0</xdr:row>
      <xdr:rowOff>28575</xdr:rowOff>
    </xdr:from>
    <xdr:ext cx="2019300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43575" y="28575"/>
          <a:ext cx="2019300" cy="647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0</xdr:row>
      <xdr:rowOff>0</xdr:rowOff>
    </xdr:from>
    <xdr:ext cx="647700" cy="6572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6477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0</xdr:row>
      <xdr:rowOff>38100</xdr:rowOff>
    </xdr:from>
    <xdr:ext cx="2190750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48375" y="38100"/>
          <a:ext cx="2190750" cy="647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9526</xdr:rowOff>
    </xdr:from>
    <xdr:ext cx="581025" cy="5715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9526"/>
          <a:ext cx="5810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0</xdr:row>
      <xdr:rowOff>47625</xdr:rowOff>
    </xdr:from>
    <xdr:ext cx="2019300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48375" y="47625"/>
          <a:ext cx="2019300" cy="647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28574</xdr:colOff>
      <xdr:row>0</xdr:row>
      <xdr:rowOff>9525</xdr:rowOff>
    </xdr:from>
    <xdr:ext cx="561975" cy="6096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49" y="9525"/>
          <a:ext cx="5619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0</xdr:row>
      <xdr:rowOff>0</xdr:rowOff>
    </xdr:from>
    <xdr:ext cx="2019300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43600" y="0"/>
          <a:ext cx="2019300" cy="647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0</xdr:row>
      <xdr:rowOff>28575</xdr:rowOff>
    </xdr:from>
    <xdr:ext cx="2019300" cy="647700"/>
    <xdr:pic>
      <xdr:nvPicPr>
        <xdr:cNvPr id="4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57900" y="28575"/>
          <a:ext cx="20193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47625</xdr:rowOff>
    </xdr:from>
    <xdr:ext cx="676275" cy="714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47625"/>
          <a:ext cx="6762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0</xdr:row>
      <xdr:rowOff>57150</xdr:rowOff>
    </xdr:from>
    <xdr:ext cx="2019300" cy="64770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00" y="57150"/>
          <a:ext cx="2019300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workbookViewId="0">
      <selection sqref="A1:G1"/>
    </sheetView>
  </sheetViews>
  <sheetFormatPr defaultColWidth="14.42578125" defaultRowHeight="15" customHeight="1" x14ac:dyDescent="0.2"/>
  <cols>
    <col min="1" max="1" width="12.5703125" customWidth="1"/>
    <col min="2" max="2" width="24.140625" customWidth="1"/>
    <col min="3" max="3" width="26.85546875" customWidth="1"/>
    <col min="4" max="4" width="24.140625" customWidth="1"/>
    <col min="5" max="5" width="29.140625" customWidth="1"/>
    <col min="6" max="6" width="28.140625" customWidth="1"/>
    <col min="7" max="7" width="24.140625" customWidth="1"/>
    <col min="8" max="26" width="8" customWidth="1"/>
  </cols>
  <sheetData>
    <row r="1" spans="1:26" ht="23.25" customHeight="1" x14ac:dyDescent="0.35">
      <c r="A1" s="156" t="s">
        <v>0</v>
      </c>
      <c r="B1" s="157"/>
      <c r="C1" s="157"/>
      <c r="D1" s="157"/>
      <c r="E1" s="157"/>
      <c r="F1" s="157"/>
      <c r="G1" s="15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25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8.25" customHeight="1" x14ac:dyDescent="0.25">
      <c r="A3" s="158" t="s">
        <v>1</v>
      </c>
      <c r="B3" s="157"/>
      <c r="C3" s="157"/>
      <c r="D3" s="157"/>
      <c r="E3" s="157"/>
      <c r="F3" s="157"/>
      <c r="G3" s="15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3"/>
      <c r="B4" s="4" t="s">
        <v>2</v>
      </c>
      <c r="C4" s="5" t="s">
        <v>3</v>
      </c>
      <c r="D4" s="6" t="s">
        <v>4</v>
      </c>
      <c r="E4" s="7" t="s">
        <v>5</v>
      </c>
      <c r="F4" s="7" t="s">
        <v>6</v>
      </c>
      <c r="G4" s="5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 t="s">
        <v>14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.5" customHeight="1" x14ac:dyDescent="0.25">
      <c r="A6" s="159"/>
      <c r="B6" s="151"/>
      <c r="C6" s="151"/>
      <c r="D6" s="151"/>
      <c r="E6" s="151"/>
      <c r="F6" s="151"/>
      <c r="G6" s="16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161" t="s">
        <v>15</v>
      </c>
      <c r="B7" s="151"/>
      <c r="C7" s="151"/>
      <c r="D7" s="151"/>
      <c r="E7" s="151"/>
      <c r="F7" s="151"/>
      <c r="G7" s="16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25">
      <c r="A8" s="11" t="s">
        <v>16</v>
      </c>
      <c r="B8" s="12" t="s">
        <v>17</v>
      </c>
      <c r="C8" s="12" t="s">
        <v>18</v>
      </c>
      <c r="D8" s="12" t="s">
        <v>19</v>
      </c>
      <c r="E8" s="12" t="s">
        <v>20</v>
      </c>
      <c r="F8" s="12" t="s">
        <v>21</v>
      </c>
      <c r="G8" s="12" t="s">
        <v>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25">
      <c r="A9" s="11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 x14ac:dyDescent="0.25">
      <c r="A10" s="11" t="s">
        <v>30</v>
      </c>
      <c r="B10" s="12" t="s">
        <v>31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" customHeight="1" x14ac:dyDescent="0.25">
      <c r="A11" s="162"/>
      <c r="B11" s="151"/>
      <c r="C11" s="151"/>
      <c r="D11" s="151"/>
      <c r="E11" s="151"/>
      <c r="F11" s="151"/>
      <c r="G11" s="15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25">
      <c r="A12" s="11" t="s">
        <v>37</v>
      </c>
      <c r="B12" s="13" t="s">
        <v>38</v>
      </c>
      <c r="C12" s="12" t="s">
        <v>39</v>
      </c>
      <c r="D12" s="12" t="s">
        <v>40</v>
      </c>
      <c r="E12" s="12" t="s">
        <v>41</v>
      </c>
      <c r="F12" s="12" t="s">
        <v>42</v>
      </c>
      <c r="G12" s="12" t="s">
        <v>43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25" customHeight="1" x14ac:dyDescent="0.25">
      <c r="A13" s="11" t="s">
        <v>44</v>
      </c>
      <c r="B13" s="14" t="s">
        <v>45</v>
      </c>
      <c r="C13" s="12" t="s">
        <v>46</v>
      </c>
      <c r="D13" s="12" t="s">
        <v>47</v>
      </c>
      <c r="E13" s="12" t="s">
        <v>48</v>
      </c>
      <c r="F13" s="12" t="s">
        <v>49</v>
      </c>
      <c r="G13" s="12" t="s">
        <v>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25">
      <c r="A14" s="11" t="s">
        <v>51</v>
      </c>
      <c r="B14" s="13" t="s">
        <v>52</v>
      </c>
      <c r="C14" s="12" t="s">
        <v>53</v>
      </c>
      <c r="D14" s="12" t="s">
        <v>54</v>
      </c>
      <c r="E14" s="12" t="s">
        <v>55</v>
      </c>
      <c r="F14" s="12" t="s">
        <v>56</v>
      </c>
      <c r="G14" s="14" t="s">
        <v>57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.25" customHeight="1" x14ac:dyDescent="0.25">
      <c r="A15" s="162"/>
      <c r="B15" s="151"/>
      <c r="C15" s="151"/>
      <c r="D15" s="151"/>
      <c r="E15" s="151"/>
      <c r="F15" s="151"/>
      <c r="G15" s="15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11" t="s">
        <v>58</v>
      </c>
      <c r="B16" s="12" t="s">
        <v>59</v>
      </c>
      <c r="C16" s="15" t="s">
        <v>60</v>
      </c>
      <c r="D16" s="12" t="s">
        <v>61</v>
      </c>
      <c r="E16" s="12" t="s">
        <v>62</v>
      </c>
      <c r="F16" s="12" t="s">
        <v>63</v>
      </c>
      <c r="G16" s="12" t="s">
        <v>64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25">
      <c r="A17" s="11" t="s">
        <v>65</v>
      </c>
      <c r="B17" s="12" t="s">
        <v>66</v>
      </c>
      <c r="C17" s="12" t="s">
        <v>67</v>
      </c>
      <c r="D17" s="12" t="s">
        <v>68</v>
      </c>
      <c r="E17" s="12" t="s">
        <v>69</v>
      </c>
      <c r="F17" s="12" t="s">
        <v>70</v>
      </c>
      <c r="G17" s="12" t="s">
        <v>71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25">
      <c r="A18" s="11" t="s">
        <v>72</v>
      </c>
      <c r="B18" s="12" t="s">
        <v>73</v>
      </c>
      <c r="C18" s="16" t="s">
        <v>74</v>
      </c>
      <c r="D18" s="16" t="s">
        <v>75</v>
      </c>
      <c r="E18" s="16" t="s">
        <v>76</v>
      </c>
      <c r="F18" s="16" t="s">
        <v>77</v>
      </c>
      <c r="G18" s="16" t="s">
        <v>78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25">
      <c r="A19" s="11" t="s">
        <v>79</v>
      </c>
      <c r="B19" s="17" t="s">
        <v>80</v>
      </c>
      <c r="C19" s="16" t="s">
        <v>81</v>
      </c>
      <c r="D19" s="16" t="s">
        <v>82</v>
      </c>
      <c r="E19" s="16" t="s">
        <v>83</v>
      </c>
      <c r="F19" s="16" t="s">
        <v>84</v>
      </c>
      <c r="G19" s="16" t="s">
        <v>85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25">
      <c r="A20" s="18"/>
      <c r="B20" s="19"/>
      <c r="C20" s="19"/>
      <c r="D20" s="20"/>
      <c r="E20" s="20"/>
      <c r="F20" s="20"/>
      <c r="G20" s="2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1" t="s">
        <v>86</v>
      </c>
      <c r="B21" s="12" t="s">
        <v>87</v>
      </c>
      <c r="C21" s="22" t="s">
        <v>88</v>
      </c>
      <c r="D21" s="22" t="s">
        <v>89</v>
      </c>
      <c r="E21" s="22" t="s">
        <v>90</v>
      </c>
      <c r="F21" s="22" t="s">
        <v>91</v>
      </c>
      <c r="G21" s="22" t="s">
        <v>92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1" t="s">
        <v>93</v>
      </c>
      <c r="B22" s="12" t="s">
        <v>94</v>
      </c>
      <c r="C22" s="12" t="s">
        <v>95</v>
      </c>
      <c r="D22" s="12" t="s">
        <v>96</v>
      </c>
      <c r="E22" s="14" t="s">
        <v>97</v>
      </c>
      <c r="F22" s="12" t="s">
        <v>98</v>
      </c>
      <c r="G22" s="12" t="s">
        <v>99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1" t="s">
        <v>100</v>
      </c>
      <c r="B23" s="12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6" t="s">
        <v>106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23"/>
      <c r="B24" s="19"/>
      <c r="C24" s="19"/>
      <c r="D24" s="20"/>
      <c r="E24" s="24"/>
      <c r="F24" s="20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63" t="s">
        <v>107</v>
      </c>
      <c r="B25" s="151"/>
      <c r="C25" s="151"/>
      <c r="D25" s="151"/>
      <c r="E25" s="151"/>
      <c r="F25" s="151"/>
      <c r="G25" s="15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1" t="s">
        <v>16</v>
      </c>
      <c r="B26" s="12" t="s">
        <v>108</v>
      </c>
      <c r="C26" s="12" t="s">
        <v>109</v>
      </c>
      <c r="D26" s="12" t="s">
        <v>110</v>
      </c>
      <c r="E26" s="12" t="s">
        <v>111</v>
      </c>
      <c r="F26" s="12" t="s">
        <v>112</v>
      </c>
      <c r="G26" s="12" t="s">
        <v>113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25">
      <c r="A27" s="11" t="s">
        <v>23</v>
      </c>
      <c r="B27" s="12" t="s">
        <v>114</v>
      </c>
      <c r="C27" s="12" t="s">
        <v>115</v>
      </c>
      <c r="D27" s="15" t="s">
        <v>116</v>
      </c>
      <c r="E27" s="12" t="s">
        <v>117</v>
      </c>
      <c r="F27" s="12" t="s">
        <v>118</v>
      </c>
      <c r="G27" s="12" t="s">
        <v>119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 x14ac:dyDescent="0.25">
      <c r="A28" s="11" t="s">
        <v>30</v>
      </c>
      <c r="B28" s="12" t="s">
        <v>120</v>
      </c>
      <c r="C28" s="12" t="s">
        <v>121</v>
      </c>
      <c r="D28" s="12" t="s">
        <v>122</v>
      </c>
      <c r="E28" s="12" t="s">
        <v>123</v>
      </c>
      <c r="F28" s="12" t="s">
        <v>124</v>
      </c>
      <c r="G28" s="12" t="s">
        <v>125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8.25" customHeight="1" x14ac:dyDescent="0.25">
      <c r="A29" s="150"/>
      <c r="B29" s="151"/>
      <c r="C29" s="151"/>
      <c r="D29" s="151"/>
      <c r="E29" s="151"/>
      <c r="F29" s="151"/>
      <c r="G29" s="15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25">
      <c r="A30" s="11" t="s">
        <v>37</v>
      </c>
      <c r="B30" s="12" t="s">
        <v>126</v>
      </c>
      <c r="C30" s="12" t="s">
        <v>127</v>
      </c>
      <c r="D30" s="12" t="s">
        <v>128</v>
      </c>
      <c r="E30" s="12" t="s">
        <v>129</v>
      </c>
      <c r="F30" s="12" t="s">
        <v>130</v>
      </c>
      <c r="G30" s="12" t="s">
        <v>131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25">
      <c r="A31" s="11" t="s">
        <v>44</v>
      </c>
      <c r="B31" s="12" t="s">
        <v>132</v>
      </c>
      <c r="C31" s="12" t="s">
        <v>133</v>
      </c>
      <c r="D31" s="12" t="s">
        <v>134</v>
      </c>
      <c r="E31" s="12" t="s">
        <v>135</v>
      </c>
      <c r="F31" s="12" t="s">
        <v>136</v>
      </c>
      <c r="G31" s="14" t="s">
        <v>137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25">
      <c r="A32" s="11" t="s">
        <v>51</v>
      </c>
      <c r="B32" s="12" t="s">
        <v>138</v>
      </c>
      <c r="C32" s="12" t="s">
        <v>139</v>
      </c>
      <c r="D32" s="12" t="s">
        <v>140</v>
      </c>
      <c r="E32" s="12" t="s">
        <v>141</v>
      </c>
      <c r="F32" s="25" t="s">
        <v>142</v>
      </c>
      <c r="G32" s="12" t="s">
        <v>143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11" t="s">
        <v>144</v>
      </c>
      <c r="B33" s="12" t="s">
        <v>145</v>
      </c>
      <c r="C33" s="12" t="s">
        <v>146</v>
      </c>
      <c r="D33" s="12" t="s">
        <v>147</v>
      </c>
      <c r="E33" s="15" t="s">
        <v>148</v>
      </c>
      <c r="F33" s="26" t="s">
        <v>149</v>
      </c>
      <c r="G33" s="12" t="s">
        <v>150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5">
      <c r="A34" s="150"/>
      <c r="B34" s="151"/>
      <c r="C34" s="151"/>
      <c r="D34" s="151"/>
      <c r="E34" s="151"/>
      <c r="F34" s="151"/>
      <c r="G34" s="15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 x14ac:dyDescent="0.25">
      <c r="A35" s="11" t="s">
        <v>58</v>
      </c>
      <c r="B35" s="12" t="s">
        <v>151</v>
      </c>
      <c r="C35" s="12" t="s">
        <v>152</v>
      </c>
      <c r="D35" s="12" t="s">
        <v>153</v>
      </c>
      <c r="E35" s="14" t="s">
        <v>154</v>
      </c>
      <c r="F35" s="12" t="s">
        <v>155</v>
      </c>
      <c r="G35" s="12" t="s">
        <v>156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 x14ac:dyDescent="0.25">
      <c r="A36" s="11" t="s">
        <v>65</v>
      </c>
      <c r="B36" s="12" t="s">
        <v>157</v>
      </c>
      <c r="C36" s="12" t="s">
        <v>158</v>
      </c>
      <c r="D36" s="12" t="s">
        <v>159</v>
      </c>
      <c r="E36" s="12" t="s">
        <v>160</v>
      </c>
      <c r="F36" s="12" t="s">
        <v>161</v>
      </c>
      <c r="G36" s="15" t="s">
        <v>162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 x14ac:dyDescent="0.25">
      <c r="A37" s="11" t="s">
        <v>72</v>
      </c>
      <c r="B37" s="12" t="s">
        <v>163</v>
      </c>
      <c r="C37" s="12" t="s">
        <v>164</v>
      </c>
      <c r="D37" s="12" t="s">
        <v>165</v>
      </c>
      <c r="E37" s="12" t="s">
        <v>166</v>
      </c>
      <c r="F37" s="12" t="s">
        <v>167</v>
      </c>
      <c r="G37" s="12" t="s">
        <v>168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5">
      <c r="A38" s="153"/>
      <c r="B38" s="154"/>
      <c r="C38" s="154"/>
      <c r="D38" s="154"/>
      <c r="E38" s="154"/>
      <c r="F38" s="154"/>
      <c r="G38" s="15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0">
    <mergeCell ref="A29:G29"/>
    <mergeCell ref="A34:G34"/>
    <mergeCell ref="A38:G38"/>
    <mergeCell ref="A1:G1"/>
    <mergeCell ref="A3:G3"/>
    <mergeCell ref="A6:G6"/>
    <mergeCell ref="A7:G7"/>
    <mergeCell ref="A11:G11"/>
    <mergeCell ref="A15:G15"/>
    <mergeCell ref="A25:G25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/>
  </sheetViews>
  <sheetFormatPr defaultColWidth="14.42578125" defaultRowHeight="15" customHeight="1" x14ac:dyDescent="0.2"/>
  <cols>
    <col min="1" max="1" width="5" customWidth="1"/>
    <col min="2" max="2" width="35.140625" customWidth="1"/>
    <col min="3" max="3" width="14" customWidth="1"/>
    <col min="4" max="7" width="7" customWidth="1"/>
    <col min="8" max="8" width="0.85546875" customWidth="1"/>
    <col min="9" max="12" width="7" customWidth="1"/>
    <col min="13" max="13" width="0.85546875" customWidth="1"/>
    <col min="14" max="17" width="7" customWidth="1"/>
    <col min="18" max="18" width="0.85546875" customWidth="1"/>
    <col min="19" max="22" width="7" customWidth="1"/>
    <col min="23" max="23" width="0.85546875" customWidth="1"/>
    <col min="24" max="27" width="7" customWidth="1"/>
    <col min="28" max="28" width="0.85546875" customWidth="1"/>
    <col min="29" max="29" width="10.7109375" customWidth="1"/>
    <col min="30" max="30" width="9.42578125" customWidth="1"/>
    <col min="31" max="32" width="7.7109375" customWidth="1"/>
  </cols>
  <sheetData>
    <row r="1" spans="1:32" ht="14.25" customHeight="1" x14ac:dyDescent="0.2">
      <c r="B1" s="27"/>
      <c r="C1" s="28"/>
    </row>
    <row r="2" spans="1:32" ht="23.25" customHeight="1" x14ac:dyDescent="0.35">
      <c r="B2" s="156" t="s">
        <v>0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</row>
    <row r="3" spans="1:32" ht="19.5" customHeight="1" x14ac:dyDescent="0.2">
      <c r="B3" s="158" t="s">
        <v>1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</row>
    <row r="4" spans="1:32" ht="14.25" customHeight="1" x14ac:dyDescent="0.2">
      <c r="B4" s="27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AE4" s="30"/>
    </row>
    <row r="5" spans="1:32" ht="15" customHeight="1" x14ac:dyDescent="0.2">
      <c r="B5" s="27"/>
      <c r="C5" s="28"/>
      <c r="AE5" s="30"/>
    </row>
    <row r="6" spans="1:32" ht="12.75" customHeight="1" x14ac:dyDescent="0.2">
      <c r="B6" s="31"/>
      <c r="C6" s="168" t="s">
        <v>169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70"/>
    </row>
    <row r="7" spans="1:32" ht="12.75" customHeight="1" x14ac:dyDescent="0.2">
      <c r="B7" s="32"/>
      <c r="C7" s="171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3"/>
      <c r="AE7" s="30"/>
    </row>
    <row r="8" spans="1:32" ht="23.25" customHeight="1" x14ac:dyDescent="0.25">
      <c r="A8" s="33"/>
      <c r="B8" s="34"/>
      <c r="C8" s="35"/>
      <c r="D8" s="164" t="s">
        <v>170</v>
      </c>
      <c r="E8" s="152"/>
      <c r="F8" s="164" t="s">
        <v>171</v>
      </c>
      <c r="G8" s="152"/>
      <c r="H8" s="18"/>
      <c r="I8" s="164" t="s">
        <v>172</v>
      </c>
      <c r="J8" s="152"/>
      <c r="K8" s="164" t="s">
        <v>173</v>
      </c>
      <c r="L8" s="152"/>
      <c r="M8" s="18"/>
      <c r="N8" s="164" t="s">
        <v>174</v>
      </c>
      <c r="O8" s="152"/>
      <c r="P8" s="164" t="s">
        <v>175</v>
      </c>
      <c r="Q8" s="152"/>
      <c r="R8" s="18"/>
      <c r="S8" s="164" t="s">
        <v>176</v>
      </c>
      <c r="T8" s="152"/>
      <c r="U8" s="164" t="s">
        <v>177</v>
      </c>
      <c r="V8" s="152"/>
      <c r="W8" s="18"/>
      <c r="X8" s="164" t="s">
        <v>178</v>
      </c>
      <c r="Y8" s="152"/>
      <c r="Z8" s="164" t="s">
        <v>179</v>
      </c>
      <c r="AA8" s="152"/>
      <c r="AB8" s="18"/>
      <c r="AC8" s="164" t="s">
        <v>180</v>
      </c>
      <c r="AD8" s="160"/>
      <c r="AE8" s="33"/>
      <c r="AF8" s="33"/>
    </row>
    <row r="9" spans="1:32" ht="15.75" customHeight="1" x14ac:dyDescent="0.25">
      <c r="A9" s="36"/>
      <c r="B9" s="37"/>
      <c r="C9" s="38"/>
      <c r="D9" s="39" t="s">
        <v>181</v>
      </c>
      <c r="E9" s="40" t="s">
        <v>182</v>
      </c>
      <c r="F9" s="39" t="s">
        <v>181</v>
      </c>
      <c r="G9" s="40" t="s">
        <v>182</v>
      </c>
      <c r="H9" s="41"/>
      <c r="I9" s="39" t="s">
        <v>181</v>
      </c>
      <c r="J9" s="40" t="s">
        <v>182</v>
      </c>
      <c r="K9" s="39" t="s">
        <v>181</v>
      </c>
      <c r="L9" s="40" t="s">
        <v>182</v>
      </c>
      <c r="M9" s="41"/>
      <c r="N9" s="39" t="s">
        <v>181</v>
      </c>
      <c r="O9" s="40" t="s">
        <v>182</v>
      </c>
      <c r="P9" s="39" t="s">
        <v>181</v>
      </c>
      <c r="Q9" s="40" t="s">
        <v>182</v>
      </c>
      <c r="R9" s="41"/>
      <c r="S9" s="39" t="s">
        <v>181</v>
      </c>
      <c r="T9" s="40" t="s">
        <v>182</v>
      </c>
      <c r="U9" s="39" t="s">
        <v>181</v>
      </c>
      <c r="V9" s="40" t="s">
        <v>182</v>
      </c>
      <c r="W9" s="41"/>
      <c r="X9" s="39" t="s">
        <v>181</v>
      </c>
      <c r="Y9" s="40" t="s">
        <v>182</v>
      </c>
      <c r="Z9" s="39" t="s">
        <v>181</v>
      </c>
      <c r="AA9" s="40" t="s">
        <v>182</v>
      </c>
      <c r="AB9" s="41"/>
      <c r="AC9" s="39" t="s">
        <v>181</v>
      </c>
      <c r="AD9" s="42" t="s">
        <v>182</v>
      </c>
      <c r="AE9" s="36"/>
      <c r="AF9" s="36"/>
    </row>
    <row r="10" spans="1:32" ht="7.5" customHeight="1" x14ac:dyDescent="0.25">
      <c r="A10" s="36"/>
      <c r="B10" s="43"/>
      <c r="C10" s="38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5"/>
      <c r="AD10" s="46"/>
      <c r="AE10" s="36"/>
      <c r="AF10" s="36"/>
    </row>
    <row r="11" spans="1:32" ht="36" customHeight="1" x14ac:dyDescent="0.2">
      <c r="A11" s="36"/>
      <c r="B11" s="179" t="s">
        <v>183</v>
      </c>
      <c r="C11" s="12" t="s">
        <v>184</v>
      </c>
      <c r="D11" s="47">
        <f>SUM('Day 1'!J23)</f>
        <v>30</v>
      </c>
      <c r="E11" s="47">
        <f>SUM('Day 1'!L23)</f>
        <v>2</v>
      </c>
      <c r="F11" s="177">
        <f t="shared" ref="F11:G11" si="0">D11+D12</f>
        <v>74</v>
      </c>
      <c r="G11" s="178">
        <f t="shared" si="0"/>
        <v>9</v>
      </c>
      <c r="H11" s="48"/>
      <c r="I11" s="47">
        <f>SUM('Day 2'!J55)</f>
        <v>39</v>
      </c>
      <c r="J11" s="47">
        <f>SUM('Day 2'!L55)</f>
        <v>6</v>
      </c>
      <c r="K11" s="177">
        <f>I11+I12</f>
        <v>78</v>
      </c>
      <c r="L11" s="167">
        <f>SUM(J11+J12)</f>
        <v>10</v>
      </c>
      <c r="M11" s="48"/>
      <c r="N11" s="47">
        <f>SUM('Day 3'!J88)</f>
        <v>38</v>
      </c>
      <c r="O11" s="47">
        <f>SUM('Day 3'!L88)</f>
        <v>4</v>
      </c>
      <c r="P11" s="177">
        <f t="shared" ref="P11:Q11" si="1">N11+N12</f>
        <v>81</v>
      </c>
      <c r="Q11" s="178">
        <f t="shared" si="1"/>
        <v>8</v>
      </c>
      <c r="R11" s="48"/>
      <c r="S11" s="47">
        <f>SUM('Day 4'!J55)</f>
        <v>22</v>
      </c>
      <c r="T11" s="47">
        <f>SUM('Day 4'!L55)</f>
        <v>2</v>
      </c>
      <c r="U11" s="165">
        <f t="shared" ref="U11:V11" si="2">S11+S12</f>
        <v>61</v>
      </c>
      <c r="V11" s="167">
        <f t="shared" si="2"/>
        <v>5</v>
      </c>
      <c r="W11" s="48"/>
      <c r="X11" s="47">
        <f>SUM('Day 5'!J87)</f>
        <v>40</v>
      </c>
      <c r="Y11" s="47">
        <f>SUM('Day 5'!L87)</f>
        <v>5</v>
      </c>
      <c r="Z11" s="177">
        <f t="shared" ref="Z11:AA11" si="3">X11+X12</f>
        <v>80</v>
      </c>
      <c r="AA11" s="178">
        <f t="shared" si="3"/>
        <v>11</v>
      </c>
      <c r="AB11" s="48"/>
      <c r="AC11" s="165">
        <f t="shared" ref="AC11:AD11" si="4">+F11+K11+P11+U11+Z11</f>
        <v>374</v>
      </c>
      <c r="AD11" s="174">
        <f t="shared" si="4"/>
        <v>43</v>
      </c>
      <c r="AE11" s="176"/>
      <c r="AF11" s="36"/>
    </row>
    <row r="12" spans="1:32" ht="36" customHeight="1" x14ac:dyDescent="0.2">
      <c r="A12" s="36"/>
      <c r="B12" s="180"/>
      <c r="C12" s="12" t="s">
        <v>185</v>
      </c>
      <c r="D12" s="47">
        <f>SUM('Day 1'!J37)</f>
        <v>44</v>
      </c>
      <c r="E12" s="47">
        <f>SUM('Day 1'!L37)</f>
        <v>7</v>
      </c>
      <c r="F12" s="166"/>
      <c r="G12" s="166"/>
      <c r="H12" s="48"/>
      <c r="I12" s="47">
        <f>SUM('Day 2'!J69)</f>
        <v>39</v>
      </c>
      <c r="J12" s="47">
        <f>SUM('Day 2'!L69)</f>
        <v>4</v>
      </c>
      <c r="K12" s="166"/>
      <c r="L12" s="166"/>
      <c r="M12" s="48"/>
      <c r="N12" s="47">
        <f>SUM('Day 3'!J102)</f>
        <v>43</v>
      </c>
      <c r="O12" s="47">
        <f>SUM('Day 3'!L102)</f>
        <v>4</v>
      </c>
      <c r="P12" s="166"/>
      <c r="Q12" s="166"/>
      <c r="R12" s="48"/>
      <c r="S12" s="47">
        <f>SUM('Day 4'!J69)</f>
        <v>39</v>
      </c>
      <c r="T12" s="47">
        <f>SUM('Day 4'!L69)</f>
        <v>3</v>
      </c>
      <c r="U12" s="166"/>
      <c r="V12" s="166"/>
      <c r="W12" s="48"/>
      <c r="X12" s="47">
        <f>SUM('Day 5'!J101)</f>
        <v>40</v>
      </c>
      <c r="Y12" s="47">
        <f>SUM('Day 5'!L101)</f>
        <v>6</v>
      </c>
      <c r="Z12" s="166"/>
      <c r="AA12" s="166"/>
      <c r="AB12" s="48"/>
      <c r="AC12" s="166"/>
      <c r="AD12" s="175"/>
      <c r="AE12" s="157"/>
      <c r="AF12" s="36"/>
    </row>
    <row r="13" spans="1:32" ht="12.75" customHeight="1" x14ac:dyDescent="0.3">
      <c r="A13" s="36"/>
      <c r="B13" s="50"/>
      <c r="C13" s="51"/>
      <c r="D13" s="52"/>
      <c r="E13" s="53"/>
      <c r="F13" s="52"/>
      <c r="G13" s="53"/>
      <c r="H13" s="53"/>
      <c r="I13" s="52"/>
      <c r="J13" s="53"/>
      <c r="K13" s="52"/>
      <c r="L13" s="53"/>
      <c r="M13" s="53"/>
      <c r="N13" s="52"/>
      <c r="O13" s="53"/>
      <c r="P13" s="52"/>
      <c r="Q13" s="53"/>
      <c r="R13" s="53"/>
      <c r="S13" s="52"/>
      <c r="T13" s="53"/>
      <c r="U13" s="52"/>
      <c r="V13" s="53"/>
      <c r="W13" s="53"/>
      <c r="X13" s="52"/>
      <c r="Y13" s="53"/>
      <c r="Z13" s="52"/>
      <c r="AA13" s="53"/>
      <c r="AB13" s="53"/>
      <c r="AC13" s="52"/>
      <c r="AD13" s="54"/>
      <c r="AE13" s="55"/>
      <c r="AF13" s="36"/>
    </row>
    <row r="14" spans="1:32" ht="36" customHeight="1" x14ac:dyDescent="0.3">
      <c r="A14" s="36"/>
      <c r="B14" s="179" t="s">
        <v>186</v>
      </c>
      <c r="C14" s="12" t="s">
        <v>184</v>
      </c>
      <c r="D14" s="47">
        <f>SUM('Day 1'!J56)</f>
        <v>30</v>
      </c>
      <c r="E14" s="47">
        <f>SUM('Day 1'!L56)</f>
        <v>2</v>
      </c>
      <c r="F14" s="165">
        <f t="shared" ref="F14:G14" si="5">D14+D15</f>
        <v>76</v>
      </c>
      <c r="G14" s="167">
        <f t="shared" si="5"/>
        <v>9</v>
      </c>
      <c r="H14" s="53"/>
      <c r="I14" s="47">
        <f>SUM('Day 2'!J22)</f>
        <v>34</v>
      </c>
      <c r="J14" s="47">
        <f>SUM('Day 2'!L22)</f>
        <v>2</v>
      </c>
      <c r="K14" s="177">
        <f>I14+I15</f>
        <v>70</v>
      </c>
      <c r="L14" s="167">
        <f>SUM(J14+J15)</f>
        <v>7</v>
      </c>
      <c r="M14" s="53"/>
      <c r="N14" s="47">
        <f>SUM('Day 3'!J55)</f>
        <v>32</v>
      </c>
      <c r="O14" s="47">
        <f>SUM('Day 3'!L55)</f>
        <v>3</v>
      </c>
      <c r="P14" s="165">
        <f t="shared" ref="P14:Q14" si="6">N14+N15</f>
        <v>72</v>
      </c>
      <c r="Q14" s="167">
        <f t="shared" si="6"/>
        <v>9</v>
      </c>
      <c r="R14" s="53"/>
      <c r="S14" s="47">
        <f>SUM('Day 4'!J88)</f>
        <v>28</v>
      </c>
      <c r="T14" s="47">
        <f>SUM('Day 4'!L88)</f>
        <v>3</v>
      </c>
      <c r="U14" s="165">
        <f t="shared" ref="U14:V14" si="7">S14+S15</f>
        <v>67</v>
      </c>
      <c r="V14" s="167">
        <f t="shared" si="7"/>
        <v>8</v>
      </c>
      <c r="W14" s="53"/>
      <c r="X14" s="47">
        <f>SUM('Day 5'!K87)</f>
        <v>30</v>
      </c>
      <c r="Y14" s="47">
        <f>SUM('Day 5'!M87)</f>
        <v>3</v>
      </c>
      <c r="Z14" s="165">
        <f t="shared" ref="Z14:AA14" si="8">X14+X15</f>
        <v>52</v>
      </c>
      <c r="AA14" s="167">
        <f t="shared" si="8"/>
        <v>5</v>
      </c>
      <c r="AB14" s="53"/>
      <c r="AC14" s="165">
        <f t="shared" ref="AC14:AD14" si="9">+F14+K14+P14+U14+Z14</f>
        <v>337</v>
      </c>
      <c r="AD14" s="174">
        <f t="shared" si="9"/>
        <v>38</v>
      </c>
      <c r="AE14" s="55"/>
      <c r="AF14" s="36"/>
    </row>
    <row r="15" spans="1:32" ht="36" customHeight="1" x14ac:dyDescent="0.3">
      <c r="A15" s="36"/>
      <c r="B15" s="180"/>
      <c r="C15" s="12" t="s">
        <v>185</v>
      </c>
      <c r="D15" s="47">
        <f>SUM('Day 1'!J70)</f>
        <v>46</v>
      </c>
      <c r="E15" s="47">
        <f>SUM('Day 1'!L70)</f>
        <v>7</v>
      </c>
      <c r="F15" s="166"/>
      <c r="G15" s="166"/>
      <c r="H15" s="53"/>
      <c r="I15" s="47">
        <f>SUM('Day 2'!J36)</f>
        <v>36</v>
      </c>
      <c r="J15" s="47">
        <f>SUM('Day 2'!L36)</f>
        <v>5</v>
      </c>
      <c r="K15" s="166"/>
      <c r="L15" s="166"/>
      <c r="M15" s="53"/>
      <c r="N15" s="47">
        <f>SUM('Day 3'!J69)</f>
        <v>40</v>
      </c>
      <c r="O15" s="47">
        <f>SUM('Day 3'!L69)</f>
        <v>6</v>
      </c>
      <c r="P15" s="166"/>
      <c r="Q15" s="166"/>
      <c r="R15" s="53"/>
      <c r="S15" s="47">
        <f>SUM('Day 4'!J102)</f>
        <v>39</v>
      </c>
      <c r="T15" s="47">
        <f>SUM('Day 4'!L102)</f>
        <v>5</v>
      </c>
      <c r="U15" s="166"/>
      <c r="V15" s="166"/>
      <c r="W15" s="53"/>
      <c r="X15" s="47">
        <f>SUM('Day 5'!K101)</f>
        <v>22</v>
      </c>
      <c r="Y15" s="47">
        <f>SUM('Day 5'!M101)</f>
        <v>2</v>
      </c>
      <c r="Z15" s="166"/>
      <c r="AA15" s="166"/>
      <c r="AB15" s="53"/>
      <c r="AC15" s="166"/>
      <c r="AD15" s="175"/>
      <c r="AE15" s="56"/>
      <c r="AF15" s="36"/>
    </row>
    <row r="16" spans="1:32" ht="12.75" customHeight="1" x14ac:dyDescent="0.3">
      <c r="A16" s="36"/>
      <c r="B16" s="50"/>
      <c r="C16" s="51"/>
      <c r="D16" s="52"/>
      <c r="E16" s="53"/>
      <c r="F16" s="52"/>
      <c r="G16" s="53"/>
      <c r="H16" s="53"/>
      <c r="I16" s="52"/>
      <c r="J16" s="53"/>
      <c r="K16" s="52"/>
      <c r="L16" s="53"/>
      <c r="M16" s="53"/>
      <c r="N16" s="52"/>
      <c r="O16" s="53"/>
      <c r="P16" s="52"/>
      <c r="Q16" s="53"/>
      <c r="R16" s="53"/>
      <c r="S16" s="52"/>
      <c r="T16" s="53"/>
      <c r="U16" s="52"/>
      <c r="V16" s="53"/>
      <c r="W16" s="53"/>
      <c r="X16" s="52"/>
      <c r="Y16" s="53"/>
      <c r="Z16" s="52"/>
      <c r="AA16" s="53"/>
      <c r="AB16" s="53"/>
      <c r="AC16" s="52"/>
      <c r="AD16" s="54"/>
      <c r="AE16" s="55"/>
      <c r="AF16" s="36"/>
    </row>
    <row r="17" spans="1:32" ht="36" customHeight="1" x14ac:dyDescent="0.3">
      <c r="A17" s="36"/>
      <c r="B17" s="179" t="s">
        <v>187</v>
      </c>
      <c r="C17" s="12" t="s">
        <v>184</v>
      </c>
      <c r="D17" s="47">
        <f>SUM('Day 1'!K23)</f>
        <v>44</v>
      </c>
      <c r="E17" s="47">
        <f>SUM('Day 1'!M23)</f>
        <v>6</v>
      </c>
      <c r="F17" s="165">
        <f t="shared" ref="F17:G17" si="10">D17+D18</f>
        <v>69</v>
      </c>
      <c r="G17" s="167">
        <f t="shared" si="10"/>
        <v>7</v>
      </c>
      <c r="H17" s="53"/>
      <c r="I17" s="47">
        <f>SUM('Day 2'!J88)</f>
        <v>34</v>
      </c>
      <c r="J17" s="47">
        <f>SUM('Day 2'!L88)</f>
        <v>3</v>
      </c>
      <c r="K17" s="177">
        <f>I17+I18</f>
        <v>71</v>
      </c>
      <c r="L17" s="167">
        <f>SUM(J17+J18)</f>
        <v>8</v>
      </c>
      <c r="M17" s="53"/>
      <c r="N17" s="47">
        <f>SUM('Day 3'!K55)</f>
        <v>39</v>
      </c>
      <c r="O17" s="47">
        <f>SUM('Day 3'!M55)</f>
        <v>5</v>
      </c>
      <c r="P17" s="165">
        <f t="shared" ref="P17:Q17" si="11">N17+N18</f>
        <v>78</v>
      </c>
      <c r="Q17" s="167">
        <f t="shared" si="11"/>
        <v>7</v>
      </c>
      <c r="R17" s="53"/>
      <c r="S17" s="47">
        <f>SUM('Day 4'!J22)</f>
        <v>41</v>
      </c>
      <c r="T17" s="47">
        <f>SUM('Day 4'!L22)</f>
        <v>5</v>
      </c>
      <c r="U17" s="165">
        <f t="shared" ref="U17:V17" si="12">S17+S18</f>
        <v>87</v>
      </c>
      <c r="V17" s="167">
        <f t="shared" si="12"/>
        <v>11</v>
      </c>
      <c r="W17" s="53"/>
      <c r="X17" s="47">
        <f>SUM('Day 5'!J21)</f>
        <v>36</v>
      </c>
      <c r="Y17" s="47">
        <f>SUM('Day 5'!L21)</f>
        <v>4</v>
      </c>
      <c r="Z17" s="165">
        <f t="shared" ref="Z17:AA17" si="13">X17+X18</f>
        <v>70</v>
      </c>
      <c r="AA17" s="167">
        <f t="shared" si="13"/>
        <v>8</v>
      </c>
      <c r="AB17" s="53"/>
      <c r="AC17" s="165">
        <f t="shared" ref="AC17:AD17" si="14">+F17+K17+P17+U17+Z17</f>
        <v>375</v>
      </c>
      <c r="AD17" s="174">
        <f t="shared" si="14"/>
        <v>41</v>
      </c>
      <c r="AE17" s="55"/>
      <c r="AF17" s="36"/>
    </row>
    <row r="18" spans="1:32" ht="36" customHeight="1" x14ac:dyDescent="0.3">
      <c r="A18" s="36"/>
      <c r="B18" s="180"/>
      <c r="C18" s="12" t="s">
        <v>185</v>
      </c>
      <c r="D18" s="47">
        <f>SUM('Day 1'!K37)</f>
        <v>25</v>
      </c>
      <c r="E18" s="47">
        <f>SUM('Day 1'!M37)</f>
        <v>1</v>
      </c>
      <c r="F18" s="166"/>
      <c r="G18" s="166"/>
      <c r="H18" s="53"/>
      <c r="I18" s="47">
        <f>SUM('Day 2'!J102)</f>
        <v>37</v>
      </c>
      <c r="J18" s="47">
        <f>SUM('Day 2'!L102)</f>
        <v>5</v>
      </c>
      <c r="K18" s="166"/>
      <c r="L18" s="166"/>
      <c r="M18" s="53"/>
      <c r="N18" s="47">
        <f>SUM('Day 3'!K69)</f>
        <v>39</v>
      </c>
      <c r="O18" s="47">
        <f>SUM('Day 3'!M69)</f>
        <v>2</v>
      </c>
      <c r="P18" s="166"/>
      <c r="Q18" s="166"/>
      <c r="R18" s="53"/>
      <c r="S18" s="47">
        <f>SUM('Day 4'!J36)</f>
        <v>46</v>
      </c>
      <c r="T18" s="47">
        <f>SUM('Day 4'!L36)</f>
        <v>6</v>
      </c>
      <c r="U18" s="166"/>
      <c r="V18" s="166"/>
      <c r="W18" s="53"/>
      <c r="X18" s="47">
        <f>SUM('Day 5'!J35)</f>
        <v>34</v>
      </c>
      <c r="Y18" s="47">
        <f>SUM('Day 5'!L35)</f>
        <v>4</v>
      </c>
      <c r="Z18" s="166"/>
      <c r="AA18" s="166"/>
      <c r="AB18" s="53"/>
      <c r="AC18" s="166"/>
      <c r="AD18" s="175"/>
      <c r="AE18" s="56"/>
      <c r="AF18" s="36"/>
    </row>
    <row r="19" spans="1:32" ht="12.75" customHeight="1" x14ac:dyDescent="0.3">
      <c r="A19" s="36"/>
      <c r="B19" s="50"/>
      <c r="C19" s="51"/>
      <c r="D19" s="52"/>
      <c r="E19" s="53"/>
      <c r="F19" s="52"/>
      <c r="G19" s="53"/>
      <c r="H19" s="53"/>
      <c r="I19" s="52"/>
      <c r="J19" s="53"/>
      <c r="K19" s="52"/>
      <c r="L19" s="53"/>
      <c r="M19" s="53"/>
      <c r="N19" s="52"/>
      <c r="O19" s="53"/>
      <c r="P19" s="52"/>
      <c r="Q19" s="53"/>
      <c r="R19" s="53"/>
      <c r="S19" s="52"/>
      <c r="T19" s="53"/>
      <c r="U19" s="52"/>
      <c r="V19" s="53"/>
      <c r="W19" s="53"/>
      <c r="X19" s="52"/>
      <c r="Y19" s="53"/>
      <c r="Z19" s="52"/>
      <c r="AA19" s="53"/>
      <c r="AB19" s="53"/>
      <c r="AC19" s="52"/>
      <c r="AD19" s="54"/>
      <c r="AE19" s="55"/>
      <c r="AF19" s="36"/>
    </row>
    <row r="20" spans="1:32" ht="36" customHeight="1" x14ac:dyDescent="0.2">
      <c r="A20" s="36"/>
      <c r="B20" s="179" t="s">
        <v>188</v>
      </c>
      <c r="C20" s="12" t="s">
        <v>184</v>
      </c>
      <c r="D20" s="47">
        <f>SUM('Day 1'!J89)</f>
        <v>38</v>
      </c>
      <c r="E20" s="47">
        <f>SUM('Day 1'!L89)</f>
        <v>5</v>
      </c>
      <c r="F20" s="165">
        <f t="shared" ref="F20:G20" si="15">D20+D21</f>
        <v>81</v>
      </c>
      <c r="G20" s="167">
        <f t="shared" si="15"/>
        <v>11</v>
      </c>
      <c r="H20" s="53"/>
      <c r="I20" s="47">
        <f>SUM('Day 2'!K22)</f>
        <v>44</v>
      </c>
      <c r="J20" s="47">
        <f>SUM('Day 2'!M22)</f>
        <v>6</v>
      </c>
      <c r="K20" s="177">
        <f>I20+I21</f>
        <v>73</v>
      </c>
      <c r="L20" s="167">
        <f>SUM(J20+J21)</f>
        <v>9</v>
      </c>
      <c r="M20" s="53"/>
      <c r="N20" s="47">
        <f>SUM('Day 3'!K88)</f>
        <v>30</v>
      </c>
      <c r="O20" s="47">
        <f>SUM('Day 3'!M88)</f>
        <v>4</v>
      </c>
      <c r="P20" s="165">
        <f t="shared" ref="P20:Q20" si="16">N20+N21</f>
        <v>70</v>
      </c>
      <c r="Q20" s="167">
        <f t="shared" si="16"/>
        <v>8</v>
      </c>
      <c r="R20" s="53"/>
      <c r="S20" s="47">
        <f>SUM('Day 4'!K22)</f>
        <v>33</v>
      </c>
      <c r="T20" s="47">
        <f>SUM('Day 4'!M22)</f>
        <v>3</v>
      </c>
      <c r="U20" s="165">
        <f t="shared" ref="U20:V20" si="17">S20+S21</f>
        <v>62</v>
      </c>
      <c r="V20" s="167">
        <f t="shared" si="17"/>
        <v>5</v>
      </c>
      <c r="W20" s="53"/>
      <c r="X20" s="47">
        <f>SUM('Day 5'!J54)</f>
        <v>40</v>
      </c>
      <c r="Y20" s="47">
        <f>SUM('Day 5'!L54)</f>
        <v>5</v>
      </c>
      <c r="Z20" s="165">
        <f t="shared" ref="Z20:AA20" si="18">X20+X21</f>
        <v>77</v>
      </c>
      <c r="AA20" s="167">
        <f t="shared" si="18"/>
        <v>7</v>
      </c>
      <c r="AB20" s="53"/>
      <c r="AC20" s="165">
        <f t="shared" ref="AC20:AD20" si="19">+F20+K20+P20+U20+Z20</f>
        <v>363</v>
      </c>
      <c r="AD20" s="174">
        <f t="shared" si="19"/>
        <v>40</v>
      </c>
      <c r="AE20" s="176"/>
      <c r="AF20" s="36"/>
    </row>
    <row r="21" spans="1:32" ht="36" customHeight="1" x14ac:dyDescent="0.2">
      <c r="A21" s="36"/>
      <c r="B21" s="180"/>
      <c r="C21" s="12" t="s">
        <v>185</v>
      </c>
      <c r="D21" s="47">
        <f>SUM('Day 1'!J104)</f>
        <v>43</v>
      </c>
      <c r="E21" s="47">
        <f>SUM('Day 1'!L104)</f>
        <v>6</v>
      </c>
      <c r="F21" s="166"/>
      <c r="G21" s="166"/>
      <c r="H21" s="53"/>
      <c r="I21" s="47">
        <f>SUM('Day 2'!K36)</f>
        <v>29</v>
      </c>
      <c r="J21" s="47">
        <f>SUM('Day 2'!M36)</f>
        <v>3</v>
      </c>
      <c r="K21" s="166"/>
      <c r="L21" s="166"/>
      <c r="M21" s="53"/>
      <c r="N21" s="47">
        <f>SUM('Day 3'!K102)</f>
        <v>40</v>
      </c>
      <c r="O21" s="47">
        <f>SUM('Day 3'!M102)</f>
        <v>4</v>
      </c>
      <c r="P21" s="166"/>
      <c r="Q21" s="166"/>
      <c r="R21" s="53"/>
      <c r="S21" s="47">
        <f>SUM('Day 4'!K36)</f>
        <v>29</v>
      </c>
      <c r="T21" s="47">
        <f>SUM('Day 4'!M36)</f>
        <v>2</v>
      </c>
      <c r="U21" s="166"/>
      <c r="V21" s="166"/>
      <c r="W21" s="53"/>
      <c r="X21" s="47">
        <f>SUM('Day 5'!J68)</f>
        <v>37</v>
      </c>
      <c r="Y21" s="47">
        <f>SUM('Day 5'!L68)</f>
        <v>2</v>
      </c>
      <c r="Z21" s="166"/>
      <c r="AA21" s="166"/>
      <c r="AB21" s="53"/>
      <c r="AC21" s="166"/>
      <c r="AD21" s="175"/>
      <c r="AE21" s="157"/>
      <c r="AF21" s="36"/>
    </row>
    <row r="22" spans="1:32" ht="12.75" customHeight="1" x14ac:dyDescent="0.2">
      <c r="A22" s="36"/>
      <c r="B22" s="50"/>
      <c r="C22" s="51"/>
      <c r="D22" s="52"/>
      <c r="E22" s="53"/>
      <c r="F22" s="52"/>
      <c r="G22" s="53"/>
      <c r="H22" s="53"/>
      <c r="I22" s="52"/>
      <c r="J22" s="53"/>
      <c r="K22" s="52"/>
      <c r="L22" s="53"/>
      <c r="M22" s="53"/>
      <c r="N22" s="52"/>
      <c r="O22" s="53"/>
      <c r="P22" s="52"/>
      <c r="Q22" s="53"/>
      <c r="R22" s="53"/>
      <c r="S22" s="52"/>
      <c r="T22" s="53"/>
      <c r="U22" s="52"/>
      <c r="V22" s="53"/>
      <c r="W22" s="53"/>
      <c r="X22" s="52"/>
      <c r="Y22" s="53"/>
      <c r="Z22" s="52"/>
      <c r="AA22" s="53"/>
      <c r="AB22" s="53"/>
      <c r="AC22" s="52"/>
      <c r="AD22" s="54"/>
      <c r="AE22" s="49"/>
      <c r="AF22" s="36"/>
    </row>
    <row r="23" spans="1:32" ht="36" customHeight="1" x14ac:dyDescent="0.2">
      <c r="A23" s="36"/>
      <c r="B23" s="179" t="s">
        <v>189</v>
      </c>
      <c r="C23" s="12" t="s">
        <v>184</v>
      </c>
      <c r="D23" s="47">
        <f>SUM('Day 1'!K56)</f>
        <v>43</v>
      </c>
      <c r="E23" s="47">
        <f>SUM('Day 1'!M56)</f>
        <v>6</v>
      </c>
      <c r="F23" s="165">
        <f t="shared" ref="F23:G23" si="20">D23+D24</f>
        <v>76</v>
      </c>
      <c r="G23" s="167">
        <f t="shared" si="20"/>
        <v>7</v>
      </c>
      <c r="H23" s="53"/>
      <c r="I23" s="47">
        <f>SUM('Day 2'!K88)</f>
        <v>41</v>
      </c>
      <c r="J23" s="47">
        <f>SUM('Day 2'!M88)</f>
        <v>5</v>
      </c>
      <c r="K23" s="177">
        <f>I23+I24</f>
        <v>74</v>
      </c>
      <c r="L23" s="167">
        <f>SUM(J23+J24)</f>
        <v>8</v>
      </c>
      <c r="M23" s="53"/>
      <c r="N23" s="47">
        <f>SUM('Day 3'!J22)</f>
        <v>44</v>
      </c>
      <c r="O23" s="47">
        <f>SUM('Day 3'!L22)</f>
        <v>6</v>
      </c>
      <c r="P23" s="165">
        <f t="shared" ref="P23:Q23" si="21">N23+N24</f>
        <v>83</v>
      </c>
      <c r="Q23" s="167">
        <f t="shared" si="21"/>
        <v>10</v>
      </c>
      <c r="R23" s="53"/>
      <c r="S23" s="47">
        <f>SUM('Day 4'!K55)</f>
        <v>46</v>
      </c>
      <c r="T23" s="47">
        <f>SUM('Day 4'!M55)</f>
        <v>6</v>
      </c>
      <c r="U23" s="165">
        <f t="shared" ref="U23:V23" si="22">S23+S24</f>
        <v>93</v>
      </c>
      <c r="V23" s="167">
        <f t="shared" si="22"/>
        <v>11</v>
      </c>
      <c r="W23" s="53"/>
      <c r="X23" s="47">
        <f>SUM('Day 5'!K54)</f>
        <v>36</v>
      </c>
      <c r="Y23" s="47">
        <f>SUM('Day 5'!M54)</f>
        <v>3</v>
      </c>
      <c r="Z23" s="165">
        <f t="shared" ref="Z23:AA23" si="23">X23+X24</f>
        <v>84</v>
      </c>
      <c r="AA23" s="167">
        <f t="shared" si="23"/>
        <v>9</v>
      </c>
      <c r="AB23" s="53"/>
      <c r="AC23" s="165">
        <f t="shared" ref="AC23:AD23" si="24">+F23+K23+P23+U23+Z23</f>
        <v>410</v>
      </c>
      <c r="AD23" s="174">
        <f t="shared" si="24"/>
        <v>45</v>
      </c>
      <c r="AE23" s="176"/>
      <c r="AF23" s="36"/>
    </row>
    <row r="24" spans="1:32" ht="36" customHeight="1" x14ac:dyDescent="0.2">
      <c r="A24" s="36"/>
      <c r="B24" s="180"/>
      <c r="C24" s="12" t="s">
        <v>185</v>
      </c>
      <c r="D24" s="47">
        <f>SUM('Day 1'!K70)</f>
        <v>33</v>
      </c>
      <c r="E24" s="47">
        <f>SUM('Day 1'!M70)</f>
        <v>1</v>
      </c>
      <c r="F24" s="166"/>
      <c r="G24" s="166"/>
      <c r="H24" s="53"/>
      <c r="I24" s="47">
        <f>SUM('Day 2'!K102)</f>
        <v>33</v>
      </c>
      <c r="J24" s="47">
        <f>SUM('Day 2'!M102)</f>
        <v>3</v>
      </c>
      <c r="K24" s="166"/>
      <c r="L24" s="166"/>
      <c r="M24" s="53"/>
      <c r="N24" s="47">
        <f>SUM('Day 3'!J36)</f>
        <v>39</v>
      </c>
      <c r="O24" s="47">
        <f>SUM('Day 3'!L36)</f>
        <v>4</v>
      </c>
      <c r="P24" s="166"/>
      <c r="Q24" s="166"/>
      <c r="R24" s="53"/>
      <c r="S24" s="47">
        <f>SUM('Day 4'!K69)</f>
        <v>47</v>
      </c>
      <c r="T24" s="47">
        <f>SUM('Day 4'!M69)</f>
        <v>5</v>
      </c>
      <c r="U24" s="166"/>
      <c r="V24" s="166"/>
      <c r="W24" s="53"/>
      <c r="X24" s="47">
        <f>SUM('Day 5'!K68)</f>
        <v>48</v>
      </c>
      <c r="Y24" s="47">
        <f>SUM('Day 5'!M68)</f>
        <v>6</v>
      </c>
      <c r="Z24" s="166"/>
      <c r="AA24" s="166"/>
      <c r="AB24" s="53"/>
      <c r="AC24" s="166"/>
      <c r="AD24" s="175"/>
      <c r="AE24" s="157"/>
      <c r="AF24" s="36"/>
    </row>
    <row r="25" spans="1:32" ht="12.75" customHeight="1" x14ac:dyDescent="0.2">
      <c r="A25" s="36"/>
      <c r="B25" s="50"/>
      <c r="C25" s="51"/>
      <c r="D25" s="52"/>
      <c r="E25" s="53"/>
      <c r="F25" s="52"/>
      <c r="G25" s="53"/>
      <c r="H25" s="53"/>
      <c r="I25" s="52"/>
      <c r="J25" s="53"/>
      <c r="K25" s="52"/>
      <c r="L25" s="53"/>
      <c r="M25" s="53"/>
      <c r="N25" s="52"/>
      <c r="O25" s="53"/>
      <c r="P25" s="52"/>
      <c r="Q25" s="53"/>
      <c r="R25" s="53"/>
      <c r="S25" s="52"/>
      <c r="T25" s="53"/>
      <c r="U25" s="52"/>
      <c r="V25" s="53"/>
      <c r="W25" s="53"/>
      <c r="X25" s="52"/>
      <c r="Y25" s="53"/>
      <c r="Z25" s="52"/>
      <c r="AA25" s="53"/>
      <c r="AB25" s="53"/>
      <c r="AC25" s="52"/>
      <c r="AD25" s="54"/>
      <c r="AE25" s="49"/>
      <c r="AF25" s="36"/>
    </row>
    <row r="26" spans="1:32" ht="36" customHeight="1" x14ac:dyDescent="0.2">
      <c r="A26" s="36"/>
      <c r="B26" s="179" t="s">
        <v>190</v>
      </c>
      <c r="C26" s="12" t="s">
        <v>184</v>
      </c>
      <c r="D26" s="47">
        <f>SUM('Day 1'!K89)</f>
        <v>37</v>
      </c>
      <c r="E26" s="47">
        <f>SUM('Day 1'!M89)</f>
        <v>3</v>
      </c>
      <c r="F26" s="165">
        <f t="shared" ref="F26:G26" si="25">D26+D27</f>
        <v>61</v>
      </c>
      <c r="G26" s="167">
        <f t="shared" si="25"/>
        <v>5</v>
      </c>
      <c r="H26" s="53"/>
      <c r="I26" s="47">
        <f>SUM('Day 2'!K55)</f>
        <v>29</v>
      </c>
      <c r="J26" s="47">
        <f>SUM('Day 2'!M55)</f>
        <v>2</v>
      </c>
      <c r="K26" s="177">
        <f>I26+I27</f>
        <v>67</v>
      </c>
      <c r="L26" s="167">
        <f>SUM(J26+J27)</f>
        <v>6</v>
      </c>
      <c r="M26" s="53"/>
      <c r="N26" s="47">
        <f>SUM('Day 3'!K22)</f>
        <v>29</v>
      </c>
      <c r="O26" s="47">
        <f>SUM('Day 3'!M22)</f>
        <v>2</v>
      </c>
      <c r="P26" s="165">
        <f t="shared" ref="P26:Q26" si="26">N26+N27</f>
        <v>67</v>
      </c>
      <c r="Q26" s="167">
        <f t="shared" si="26"/>
        <v>6</v>
      </c>
      <c r="R26" s="53"/>
      <c r="S26" s="47">
        <f>SUM('Day 4'!K88)</f>
        <v>35</v>
      </c>
      <c r="T26" s="47">
        <f>SUM('Day 4'!M88)</f>
        <v>5</v>
      </c>
      <c r="U26" s="165">
        <f t="shared" ref="U26:V26" si="27">S26+S27</f>
        <v>74</v>
      </c>
      <c r="V26" s="167">
        <f t="shared" si="27"/>
        <v>8</v>
      </c>
      <c r="W26" s="53"/>
      <c r="X26" s="47">
        <f>SUM('Day 5'!K21)</f>
        <v>39</v>
      </c>
      <c r="Y26" s="47">
        <f>SUM('Day 5'!M21)</f>
        <v>4</v>
      </c>
      <c r="Z26" s="165">
        <f t="shared" ref="Z26:AA26" si="28">X26+X27</f>
        <v>75</v>
      </c>
      <c r="AA26" s="167">
        <f t="shared" si="28"/>
        <v>8</v>
      </c>
      <c r="AB26" s="53"/>
      <c r="AC26" s="165">
        <f t="shared" ref="AC26:AD26" si="29">+F26+K26+P26+U26+Z26</f>
        <v>344</v>
      </c>
      <c r="AD26" s="174">
        <f t="shared" si="29"/>
        <v>33</v>
      </c>
      <c r="AE26" s="176"/>
      <c r="AF26" s="36"/>
    </row>
    <row r="27" spans="1:32" ht="36" customHeight="1" x14ac:dyDescent="0.2">
      <c r="A27" s="36"/>
      <c r="B27" s="182"/>
      <c r="C27" s="12" t="s">
        <v>185</v>
      </c>
      <c r="D27" s="47">
        <f>SUM('Day 1'!K104)</f>
        <v>24</v>
      </c>
      <c r="E27" s="47">
        <f>SUM('Day 1'!M104)</f>
        <v>2</v>
      </c>
      <c r="F27" s="166"/>
      <c r="G27" s="166"/>
      <c r="H27" s="53"/>
      <c r="I27" s="47">
        <f>SUM('Day 2'!K69)</f>
        <v>38</v>
      </c>
      <c r="J27" s="47">
        <f>SUM('Day 2'!M69)</f>
        <v>4</v>
      </c>
      <c r="K27" s="166"/>
      <c r="L27" s="166"/>
      <c r="M27" s="53"/>
      <c r="N27" s="47">
        <f>SUM('Day 3'!K36)</f>
        <v>38</v>
      </c>
      <c r="O27" s="47">
        <f>SUM('Day 3'!M36)</f>
        <v>4</v>
      </c>
      <c r="P27" s="166"/>
      <c r="Q27" s="166"/>
      <c r="R27" s="53"/>
      <c r="S27" s="47">
        <f>SUM('Day 4'!K102)</f>
        <v>39</v>
      </c>
      <c r="T27" s="47">
        <f>SUM('Day 4'!M102)</f>
        <v>3</v>
      </c>
      <c r="U27" s="166"/>
      <c r="V27" s="166"/>
      <c r="W27" s="53"/>
      <c r="X27" s="47">
        <f>SUM('Day 5'!K35)</f>
        <v>36</v>
      </c>
      <c r="Y27" s="47">
        <f>SUM('Day 5'!M35)</f>
        <v>4</v>
      </c>
      <c r="Z27" s="166"/>
      <c r="AA27" s="166"/>
      <c r="AB27" s="53"/>
      <c r="AC27" s="166"/>
      <c r="AD27" s="175"/>
      <c r="AE27" s="157"/>
      <c r="AF27" s="36"/>
    </row>
    <row r="28" spans="1:32" ht="12.75" customHeight="1" x14ac:dyDescent="0.2">
      <c r="A28" s="36"/>
      <c r="B28" s="57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60"/>
      <c r="T28" s="59"/>
      <c r="U28" s="60"/>
      <c r="V28" s="59"/>
      <c r="W28" s="59"/>
      <c r="X28" s="60"/>
      <c r="Y28" s="59"/>
      <c r="Z28" s="59"/>
      <c r="AA28" s="59"/>
      <c r="AB28" s="59"/>
      <c r="AC28" s="60"/>
      <c r="AD28" s="61"/>
      <c r="AE28" s="36"/>
      <c r="AF28" s="36"/>
    </row>
    <row r="29" spans="1:32" ht="15" customHeight="1" x14ac:dyDescent="0.2">
      <c r="B29" s="62"/>
      <c r="C29" s="63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 spans="1:32" ht="14.25" customHeight="1" x14ac:dyDescent="0.2">
      <c r="B30" s="27"/>
      <c r="C30" s="28"/>
    </row>
    <row r="31" spans="1:32" ht="14.25" customHeight="1" x14ac:dyDescent="0.2">
      <c r="B31" s="27"/>
      <c r="C31" s="28"/>
      <c r="AA31" s="65"/>
    </row>
    <row r="32" spans="1:32" ht="18" customHeight="1" x14ac:dyDescent="0.25">
      <c r="B32" s="181"/>
      <c r="C32" s="157"/>
      <c r="D32" s="157"/>
      <c r="E32" s="157"/>
      <c r="F32" s="157"/>
      <c r="G32" s="157"/>
    </row>
    <row r="33" spans="2:3" ht="18" customHeight="1" x14ac:dyDescent="0.25">
      <c r="B33" s="66" t="s">
        <v>191</v>
      </c>
      <c r="C33" s="28"/>
    </row>
    <row r="34" spans="2:3" ht="18" customHeight="1" x14ac:dyDescent="0.25">
      <c r="B34" s="66"/>
      <c r="C34" s="28"/>
    </row>
    <row r="35" spans="2:3" ht="18" customHeight="1" x14ac:dyDescent="0.25">
      <c r="B35" s="66" t="s">
        <v>192</v>
      </c>
      <c r="C35" s="28"/>
    </row>
    <row r="36" spans="2:3" ht="14.25" customHeight="1" x14ac:dyDescent="0.2">
      <c r="B36" s="27"/>
      <c r="C36" s="28"/>
    </row>
    <row r="37" spans="2:3" ht="14.25" customHeight="1" x14ac:dyDescent="0.2">
      <c r="B37" s="27"/>
      <c r="C37" s="28"/>
    </row>
    <row r="38" spans="2:3" ht="18" customHeight="1" x14ac:dyDescent="0.25">
      <c r="B38" s="66"/>
      <c r="C38" s="28"/>
    </row>
    <row r="39" spans="2:3" ht="14.25" customHeight="1" x14ac:dyDescent="0.2">
      <c r="B39" s="27"/>
      <c r="C39" s="28"/>
    </row>
    <row r="40" spans="2:3" ht="14.25" customHeight="1" x14ac:dyDescent="0.2">
      <c r="B40" s="27"/>
      <c r="C40" s="28"/>
    </row>
    <row r="41" spans="2:3" ht="14.25" customHeight="1" x14ac:dyDescent="0.2">
      <c r="B41" s="27"/>
      <c r="C41" s="28"/>
    </row>
    <row r="42" spans="2:3" ht="14.25" customHeight="1" x14ac:dyDescent="0.2">
      <c r="B42" s="27"/>
      <c r="C42" s="28"/>
    </row>
    <row r="43" spans="2:3" ht="14.25" customHeight="1" x14ac:dyDescent="0.2">
      <c r="B43" s="27"/>
      <c r="C43" s="28"/>
    </row>
    <row r="44" spans="2:3" ht="14.25" customHeight="1" x14ac:dyDescent="0.2">
      <c r="B44" s="27"/>
      <c r="C44" s="28"/>
    </row>
    <row r="45" spans="2:3" ht="14.25" customHeight="1" x14ac:dyDescent="0.2">
      <c r="B45" s="27"/>
      <c r="C45" s="28"/>
    </row>
    <row r="46" spans="2:3" ht="14.25" customHeight="1" x14ac:dyDescent="0.2">
      <c r="B46" s="27"/>
      <c r="C46" s="28"/>
    </row>
    <row r="47" spans="2:3" ht="14.25" customHeight="1" x14ac:dyDescent="0.2">
      <c r="B47" s="27"/>
      <c r="C47" s="28"/>
    </row>
    <row r="48" spans="2:3" ht="14.25" customHeight="1" x14ac:dyDescent="0.2">
      <c r="B48" s="27"/>
      <c r="C48" s="28"/>
    </row>
    <row r="49" spans="2:3" ht="14.25" customHeight="1" x14ac:dyDescent="0.2">
      <c r="B49" s="27"/>
      <c r="C49" s="28"/>
    </row>
    <row r="50" spans="2:3" ht="14.25" customHeight="1" x14ac:dyDescent="0.2">
      <c r="B50" s="27"/>
      <c r="C50" s="28"/>
    </row>
    <row r="51" spans="2:3" ht="14.25" customHeight="1" x14ac:dyDescent="0.2">
      <c r="B51" s="27"/>
      <c r="C51" s="28"/>
    </row>
    <row r="52" spans="2:3" ht="14.25" customHeight="1" x14ac:dyDescent="0.2">
      <c r="B52" s="27"/>
      <c r="C52" s="28"/>
    </row>
    <row r="53" spans="2:3" ht="14.25" customHeight="1" x14ac:dyDescent="0.2">
      <c r="B53" s="27"/>
      <c r="C53" s="28"/>
    </row>
    <row r="54" spans="2:3" ht="14.25" customHeight="1" x14ac:dyDescent="0.2">
      <c r="B54" s="27"/>
      <c r="C54" s="28"/>
    </row>
    <row r="55" spans="2:3" ht="14.25" customHeight="1" x14ac:dyDescent="0.2">
      <c r="B55" s="27"/>
      <c r="C55" s="28"/>
    </row>
    <row r="56" spans="2:3" ht="14.25" customHeight="1" x14ac:dyDescent="0.2">
      <c r="B56" s="27"/>
      <c r="C56" s="28"/>
    </row>
    <row r="57" spans="2:3" ht="14.25" customHeight="1" x14ac:dyDescent="0.2">
      <c r="B57" s="27"/>
      <c r="C57" s="28"/>
    </row>
    <row r="58" spans="2:3" ht="14.25" customHeight="1" x14ac:dyDescent="0.2">
      <c r="B58" s="27"/>
      <c r="C58" s="28"/>
    </row>
    <row r="59" spans="2:3" ht="14.25" customHeight="1" x14ac:dyDescent="0.2">
      <c r="B59" s="27"/>
      <c r="C59" s="28"/>
    </row>
    <row r="60" spans="2:3" ht="14.25" customHeight="1" x14ac:dyDescent="0.2">
      <c r="B60" s="27"/>
      <c r="C60" s="28"/>
    </row>
    <row r="61" spans="2:3" ht="14.25" customHeight="1" x14ac:dyDescent="0.2">
      <c r="B61" s="27"/>
      <c r="C61" s="28"/>
    </row>
    <row r="62" spans="2:3" ht="14.25" customHeight="1" x14ac:dyDescent="0.2">
      <c r="B62" s="27"/>
      <c r="C62" s="28"/>
    </row>
    <row r="63" spans="2:3" ht="14.25" customHeight="1" x14ac:dyDescent="0.2">
      <c r="B63" s="27"/>
      <c r="C63" s="28"/>
    </row>
    <row r="64" spans="2:3" ht="14.25" customHeight="1" x14ac:dyDescent="0.2">
      <c r="B64" s="27"/>
      <c r="C64" s="28"/>
    </row>
    <row r="65" spans="2:3" ht="14.25" customHeight="1" x14ac:dyDescent="0.2">
      <c r="B65" s="27"/>
      <c r="C65" s="28"/>
    </row>
    <row r="66" spans="2:3" ht="14.25" customHeight="1" x14ac:dyDescent="0.2">
      <c r="B66" s="27"/>
      <c r="C66" s="28"/>
    </row>
    <row r="67" spans="2:3" ht="14.25" customHeight="1" x14ac:dyDescent="0.2">
      <c r="B67" s="27"/>
      <c r="C67" s="28"/>
    </row>
    <row r="68" spans="2:3" ht="14.25" customHeight="1" x14ac:dyDescent="0.2">
      <c r="B68" s="27"/>
      <c r="C68" s="28"/>
    </row>
    <row r="69" spans="2:3" ht="14.25" customHeight="1" x14ac:dyDescent="0.2">
      <c r="B69" s="27"/>
      <c r="C69" s="28"/>
    </row>
    <row r="70" spans="2:3" ht="14.25" customHeight="1" x14ac:dyDescent="0.2">
      <c r="B70" s="27"/>
      <c r="C70" s="28"/>
    </row>
    <row r="71" spans="2:3" ht="14.25" customHeight="1" x14ac:dyDescent="0.2">
      <c r="B71" s="27"/>
      <c r="C71" s="28"/>
    </row>
    <row r="72" spans="2:3" ht="14.25" customHeight="1" x14ac:dyDescent="0.2">
      <c r="B72" s="27"/>
      <c r="C72" s="28"/>
    </row>
    <row r="73" spans="2:3" ht="14.25" customHeight="1" x14ac:dyDescent="0.2">
      <c r="B73" s="27"/>
      <c r="C73" s="28"/>
    </row>
    <row r="74" spans="2:3" ht="14.25" customHeight="1" x14ac:dyDescent="0.2">
      <c r="B74" s="27"/>
      <c r="C74" s="28"/>
    </row>
    <row r="75" spans="2:3" ht="14.25" customHeight="1" x14ac:dyDescent="0.2">
      <c r="B75" s="27"/>
      <c r="C75" s="28"/>
    </row>
    <row r="76" spans="2:3" ht="14.25" customHeight="1" x14ac:dyDescent="0.2">
      <c r="B76" s="27"/>
      <c r="C76" s="28"/>
    </row>
    <row r="77" spans="2:3" ht="14.25" customHeight="1" x14ac:dyDescent="0.2">
      <c r="B77" s="27"/>
      <c r="C77" s="28"/>
    </row>
    <row r="78" spans="2:3" ht="14.25" customHeight="1" x14ac:dyDescent="0.2">
      <c r="B78" s="27"/>
      <c r="C78" s="28"/>
    </row>
    <row r="79" spans="2:3" ht="14.25" customHeight="1" x14ac:dyDescent="0.2">
      <c r="B79" s="27"/>
      <c r="C79" s="28"/>
    </row>
    <row r="80" spans="2:3" ht="14.25" customHeight="1" x14ac:dyDescent="0.2">
      <c r="B80" s="27"/>
      <c r="C80" s="28"/>
    </row>
    <row r="81" spans="2:3" ht="14.25" customHeight="1" x14ac:dyDescent="0.2">
      <c r="B81" s="27"/>
      <c r="C81" s="28"/>
    </row>
    <row r="82" spans="2:3" ht="14.25" customHeight="1" x14ac:dyDescent="0.2">
      <c r="B82" s="27"/>
      <c r="C82" s="28"/>
    </row>
    <row r="83" spans="2:3" ht="14.25" customHeight="1" x14ac:dyDescent="0.2">
      <c r="B83" s="27"/>
      <c r="C83" s="28"/>
    </row>
    <row r="84" spans="2:3" ht="14.25" customHeight="1" x14ac:dyDescent="0.2">
      <c r="B84" s="27"/>
      <c r="C84" s="28"/>
    </row>
    <row r="85" spans="2:3" ht="14.25" customHeight="1" x14ac:dyDescent="0.2">
      <c r="B85" s="27"/>
      <c r="C85" s="28"/>
    </row>
    <row r="86" spans="2:3" ht="14.25" customHeight="1" x14ac:dyDescent="0.2">
      <c r="B86" s="27"/>
      <c r="C86" s="28"/>
    </row>
    <row r="87" spans="2:3" ht="14.25" customHeight="1" x14ac:dyDescent="0.2">
      <c r="B87" s="27"/>
      <c r="C87" s="28"/>
    </row>
    <row r="88" spans="2:3" ht="14.25" customHeight="1" x14ac:dyDescent="0.2">
      <c r="B88" s="27"/>
      <c r="C88" s="28"/>
    </row>
    <row r="89" spans="2:3" ht="14.25" customHeight="1" x14ac:dyDescent="0.2">
      <c r="B89" s="27"/>
      <c r="C89" s="28"/>
    </row>
    <row r="90" spans="2:3" ht="14.25" customHeight="1" x14ac:dyDescent="0.2">
      <c r="B90" s="27"/>
      <c r="C90" s="28"/>
    </row>
    <row r="91" spans="2:3" ht="14.25" customHeight="1" x14ac:dyDescent="0.2">
      <c r="B91" s="27"/>
      <c r="C91" s="28"/>
    </row>
    <row r="92" spans="2:3" ht="14.25" customHeight="1" x14ac:dyDescent="0.2">
      <c r="B92" s="27"/>
      <c r="C92" s="28"/>
    </row>
    <row r="93" spans="2:3" ht="14.25" customHeight="1" x14ac:dyDescent="0.2">
      <c r="B93" s="27"/>
      <c r="C93" s="28"/>
    </row>
    <row r="94" spans="2:3" ht="14.25" customHeight="1" x14ac:dyDescent="0.2">
      <c r="B94" s="27"/>
      <c r="C94" s="28"/>
    </row>
    <row r="95" spans="2:3" ht="14.25" customHeight="1" x14ac:dyDescent="0.2">
      <c r="B95" s="27"/>
      <c r="C95" s="28"/>
    </row>
    <row r="96" spans="2:3" ht="14.25" customHeight="1" x14ac:dyDescent="0.2">
      <c r="B96" s="27"/>
      <c r="C96" s="28"/>
    </row>
    <row r="97" spans="2:3" ht="14.25" customHeight="1" x14ac:dyDescent="0.2">
      <c r="B97" s="27"/>
      <c r="C97" s="28"/>
    </row>
    <row r="98" spans="2:3" ht="14.25" customHeight="1" x14ac:dyDescent="0.2">
      <c r="B98" s="27"/>
      <c r="C98" s="28"/>
    </row>
    <row r="99" spans="2:3" ht="14.25" customHeight="1" x14ac:dyDescent="0.2">
      <c r="B99" s="27"/>
      <c r="C99" s="28"/>
    </row>
    <row r="100" spans="2:3" ht="14.25" customHeight="1" x14ac:dyDescent="0.2">
      <c r="B100" s="27"/>
      <c r="C100" s="28"/>
    </row>
    <row r="101" spans="2:3" ht="14.25" customHeight="1" x14ac:dyDescent="0.2">
      <c r="B101" s="27"/>
      <c r="C101" s="28"/>
    </row>
    <row r="102" spans="2:3" ht="14.25" customHeight="1" x14ac:dyDescent="0.2">
      <c r="B102" s="27"/>
      <c r="C102" s="28"/>
    </row>
    <row r="103" spans="2:3" ht="14.25" customHeight="1" x14ac:dyDescent="0.2">
      <c r="B103" s="27"/>
      <c r="C103" s="28"/>
    </row>
    <row r="104" spans="2:3" ht="14.25" customHeight="1" x14ac:dyDescent="0.2">
      <c r="B104" s="27"/>
      <c r="C104" s="28"/>
    </row>
    <row r="105" spans="2:3" ht="14.25" customHeight="1" x14ac:dyDescent="0.2">
      <c r="B105" s="27"/>
      <c r="C105" s="28"/>
    </row>
    <row r="106" spans="2:3" ht="14.25" customHeight="1" x14ac:dyDescent="0.2">
      <c r="B106" s="27"/>
      <c r="C106" s="28"/>
    </row>
    <row r="107" spans="2:3" ht="14.25" customHeight="1" x14ac:dyDescent="0.2">
      <c r="B107" s="27"/>
      <c r="C107" s="28"/>
    </row>
    <row r="108" spans="2:3" ht="14.25" customHeight="1" x14ac:dyDescent="0.2">
      <c r="B108" s="27"/>
      <c r="C108" s="28"/>
    </row>
    <row r="109" spans="2:3" ht="14.25" customHeight="1" x14ac:dyDescent="0.2">
      <c r="B109" s="27"/>
      <c r="C109" s="28"/>
    </row>
    <row r="110" spans="2:3" ht="14.25" customHeight="1" x14ac:dyDescent="0.2">
      <c r="B110" s="27"/>
      <c r="C110" s="28"/>
    </row>
    <row r="111" spans="2:3" ht="14.25" customHeight="1" x14ac:dyDescent="0.2">
      <c r="B111" s="27"/>
      <c r="C111" s="28"/>
    </row>
    <row r="112" spans="2:3" ht="14.25" customHeight="1" x14ac:dyDescent="0.2">
      <c r="B112" s="27"/>
      <c r="C112" s="28"/>
    </row>
    <row r="113" spans="2:3" ht="14.25" customHeight="1" x14ac:dyDescent="0.2">
      <c r="B113" s="27"/>
      <c r="C113" s="28"/>
    </row>
    <row r="114" spans="2:3" ht="14.25" customHeight="1" x14ac:dyDescent="0.2">
      <c r="B114" s="27"/>
      <c r="C114" s="28"/>
    </row>
    <row r="115" spans="2:3" ht="14.25" customHeight="1" x14ac:dyDescent="0.2">
      <c r="B115" s="27"/>
      <c r="C115" s="28"/>
    </row>
    <row r="116" spans="2:3" ht="14.25" customHeight="1" x14ac:dyDescent="0.2">
      <c r="B116" s="27"/>
      <c r="C116" s="28"/>
    </row>
    <row r="117" spans="2:3" ht="14.25" customHeight="1" x14ac:dyDescent="0.2">
      <c r="B117" s="27"/>
      <c r="C117" s="28"/>
    </row>
    <row r="118" spans="2:3" ht="14.25" customHeight="1" x14ac:dyDescent="0.2">
      <c r="B118" s="27"/>
      <c r="C118" s="28"/>
    </row>
    <row r="119" spans="2:3" ht="14.25" customHeight="1" x14ac:dyDescent="0.2">
      <c r="B119" s="27"/>
      <c r="C119" s="28"/>
    </row>
    <row r="120" spans="2:3" ht="14.25" customHeight="1" x14ac:dyDescent="0.2">
      <c r="B120" s="27"/>
      <c r="C120" s="28"/>
    </row>
    <row r="121" spans="2:3" ht="14.25" customHeight="1" x14ac:dyDescent="0.2">
      <c r="B121" s="27"/>
      <c r="C121" s="28"/>
    </row>
    <row r="122" spans="2:3" ht="14.25" customHeight="1" x14ac:dyDescent="0.2">
      <c r="B122" s="27"/>
      <c r="C122" s="28"/>
    </row>
    <row r="123" spans="2:3" ht="14.25" customHeight="1" x14ac:dyDescent="0.2">
      <c r="B123" s="27"/>
      <c r="C123" s="28"/>
    </row>
    <row r="124" spans="2:3" ht="14.25" customHeight="1" x14ac:dyDescent="0.2">
      <c r="B124" s="27"/>
      <c r="C124" s="28"/>
    </row>
    <row r="125" spans="2:3" ht="14.25" customHeight="1" x14ac:dyDescent="0.2">
      <c r="B125" s="27"/>
      <c r="C125" s="28"/>
    </row>
    <row r="126" spans="2:3" ht="14.25" customHeight="1" x14ac:dyDescent="0.2">
      <c r="B126" s="27"/>
      <c r="C126" s="28"/>
    </row>
    <row r="127" spans="2:3" ht="14.25" customHeight="1" x14ac:dyDescent="0.2">
      <c r="B127" s="27"/>
      <c r="C127" s="28"/>
    </row>
    <row r="128" spans="2:3" ht="14.25" customHeight="1" x14ac:dyDescent="0.2">
      <c r="B128" s="27"/>
      <c r="C128" s="28"/>
    </row>
    <row r="129" spans="2:3" ht="14.25" customHeight="1" x14ac:dyDescent="0.2">
      <c r="B129" s="27"/>
      <c r="C129" s="28"/>
    </row>
    <row r="130" spans="2:3" ht="14.25" customHeight="1" x14ac:dyDescent="0.2">
      <c r="B130" s="27"/>
      <c r="C130" s="28"/>
    </row>
    <row r="131" spans="2:3" ht="14.25" customHeight="1" x14ac:dyDescent="0.2">
      <c r="B131" s="27"/>
      <c r="C131" s="28"/>
    </row>
    <row r="132" spans="2:3" ht="14.25" customHeight="1" x14ac:dyDescent="0.2">
      <c r="B132" s="27"/>
      <c r="C132" s="28"/>
    </row>
    <row r="133" spans="2:3" ht="14.25" customHeight="1" x14ac:dyDescent="0.2">
      <c r="B133" s="27"/>
      <c r="C133" s="28"/>
    </row>
    <row r="134" spans="2:3" ht="14.25" customHeight="1" x14ac:dyDescent="0.2">
      <c r="B134" s="27"/>
      <c r="C134" s="28"/>
    </row>
    <row r="135" spans="2:3" ht="14.25" customHeight="1" x14ac:dyDescent="0.2">
      <c r="B135" s="27"/>
      <c r="C135" s="28"/>
    </row>
    <row r="136" spans="2:3" ht="14.25" customHeight="1" x14ac:dyDescent="0.2">
      <c r="B136" s="27"/>
      <c r="C136" s="28"/>
    </row>
    <row r="137" spans="2:3" ht="14.25" customHeight="1" x14ac:dyDescent="0.2">
      <c r="B137" s="27"/>
      <c r="C137" s="28"/>
    </row>
    <row r="138" spans="2:3" ht="14.25" customHeight="1" x14ac:dyDescent="0.2">
      <c r="B138" s="27"/>
      <c r="C138" s="28"/>
    </row>
    <row r="139" spans="2:3" ht="14.25" customHeight="1" x14ac:dyDescent="0.2">
      <c r="B139" s="27"/>
      <c r="C139" s="28"/>
    </row>
    <row r="140" spans="2:3" ht="14.25" customHeight="1" x14ac:dyDescent="0.2">
      <c r="B140" s="27"/>
      <c r="C140" s="28"/>
    </row>
    <row r="141" spans="2:3" ht="14.25" customHeight="1" x14ac:dyDescent="0.2">
      <c r="B141" s="27"/>
      <c r="C141" s="28"/>
    </row>
    <row r="142" spans="2:3" ht="14.25" customHeight="1" x14ac:dyDescent="0.2">
      <c r="B142" s="27"/>
      <c r="C142" s="28"/>
    </row>
    <row r="143" spans="2:3" ht="14.25" customHeight="1" x14ac:dyDescent="0.2">
      <c r="B143" s="27"/>
      <c r="C143" s="28"/>
    </row>
    <row r="144" spans="2:3" ht="14.25" customHeight="1" x14ac:dyDescent="0.2">
      <c r="B144" s="27"/>
      <c r="C144" s="28"/>
    </row>
    <row r="145" spans="2:3" ht="14.25" customHeight="1" x14ac:dyDescent="0.2">
      <c r="B145" s="27"/>
      <c r="C145" s="28"/>
    </row>
    <row r="146" spans="2:3" ht="14.25" customHeight="1" x14ac:dyDescent="0.2">
      <c r="B146" s="27"/>
      <c r="C146" s="28"/>
    </row>
    <row r="147" spans="2:3" ht="14.25" customHeight="1" x14ac:dyDescent="0.2">
      <c r="B147" s="27"/>
      <c r="C147" s="28"/>
    </row>
    <row r="148" spans="2:3" ht="14.25" customHeight="1" x14ac:dyDescent="0.2">
      <c r="B148" s="27"/>
      <c r="C148" s="28"/>
    </row>
    <row r="149" spans="2:3" ht="14.25" customHeight="1" x14ac:dyDescent="0.2">
      <c r="B149" s="27"/>
      <c r="C149" s="28"/>
    </row>
    <row r="150" spans="2:3" ht="14.25" customHeight="1" x14ac:dyDescent="0.2">
      <c r="B150" s="27"/>
      <c r="C150" s="28"/>
    </row>
    <row r="151" spans="2:3" ht="14.25" customHeight="1" x14ac:dyDescent="0.2">
      <c r="B151" s="27"/>
      <c r="C151" s="28"/>
    </row>
    <row r="152" spans="2:3" ht="14.25" customHeight="1" x14ac:dyDescent="0.2">
      <c r="B152" s="27"/>
      <c r="C152" s="28"/>
    </row>
    <row r="153" spans="2:3" ht="14.25" customHeight="1" x14ac:dyDescent="0.2">
      <c r="B153" s="27"/>
      <c r="C153" s="28"/>
    </row>
    <row r="154" spans="2:3" ht="14.25" customHeight="1" x14ac:dyDescent="0.2">
      <c r="B154" s="27"/>
      <c r="C154" s="28"/>
    </row>
    <row r="155" spans="2:3" ht="14.25" customHeight="1" x14ac:dyDescent="0.2">
      <c r="B155" s="27"/>
      <c r="C155" s="28"/>
    </row>
    <row r="156" spans="2:3" ht="14.25" customHeight="1" x14ac:dyDescent="0.2">
      <c r="B156" s="27"/>
      <c r="C156" s="28"/>
    </row>
    <row r="157" spans="2:3" ht="14.25" customHeight="1" x14ac:dyDescent="0.2">
      <c r="B157" s="27"/>
      <c r="C157" s="28"/>
    </row>
    <row r="158" spans="2:3" ht="14.25" customHeight="1" x14ac:dyDescent="0.2">
      <c r="B158" s="27"/>
      <c r="C158" s="28"/>
    </row>
    <row r="159" spans="2:3" ht="14.25" customHeight="1" x14ac:dyDescent="0.2">
      <c r="B159" s="27"/>
      <c r="C159" s="28"/>
    </row>
    <row r="160" spans="2:3" ht="14.25" customHeight="1" x14ac:dyDescent="0.2">
      <c r="B160" s="27"/>
      <c r="C160" s="28"/>
    </row>
    <row r="161" spans="2:3" ht="14.25" customHeight="1" x14ac:dyDescent="0.2">
      <c r="B161" s="27"/>
      <c r="C161" s="28"/>
    </row>
    <row r="162" spans="2:3" ht="14.25" customHeight="1" x14ac:dyDescent="0.2">
      <c r="B162" s="27"/>
      <c r="C162" s="28"/>
    </row>
    <row r="163" spans="2:3" ht="14.25" customHeight="1" x14ac:dyDescent="0.2">
      <c r="B163" s="27"/>
      <c r="C163" s="28"/>
    </row>
    <row r="164" spans="2:3" ht="14.25" customHeight="1" x14ac:dyDescent="0.2">
      <c r="B164" s="27"/>
      <c r="C164" s="28"/>
    </row>
    <row r="165" spans="2:3" ht="14.25" customHeight="1" x14ac:dyDescent="0.2">
      <c r="B165" s="27"/>
      <c r="C165" s="28"/>
    </row>
    <row r="166" spans="2:3" ht="14.25" customHeight="1" x14ac:dyDescent="0.2">
      <c r="B166" s="27"/>
      <c r="C166" s="28"/>
    </row>
    <row r="167" spans="2:3" ht="14.25" customHeight="1" x14ac:dyDescent="0.2">
      <c r="B167" s="27"/>
      <c r="C167" s="28"/>
    </row>
    <row r="168" spans="2:3" ht="14.25" customHeight="1" x14ac:dyDescent="0.2">
      <c r="B168" s="27"/>
      <c r="C168" s="28"/>
    </row>
    <row r="169" spans="2:3" ht="14.25" customHeight="1" x14ac:dyDescent="0.2">
      <c r="B169" s="27"/>
      <c r="C169" s="28"/>
    </row>
    <row r="170" spans="2:3" ht="14.25" customHeight="1" x14ac:dyDescent="0.2">
      <c r="B170" s="27"/>
      <c r="C170" s="28"/>
    </row>
    <row r="171" spans="2:3" ht="14.25" customHeight="1" x14ac:dyDescent="0.2">
      <c r="B171" s="27"/>
      <c r="C171" s="28"/>
    </row>
    <row r="172" spans="2:3" ht="14.25" customHeight="1" x14ac:dyDescent="0.2">
      <c r="B172" s="27"/>
      <c r="C172" s="28"/>
    </row>
    <row r="173" spans="2:3" ht="14.25" customHeight="1" x14ac:dyDescent="0.2">
      <c r="B173" s="27"/>
      <c r="C173" s="28"/>
    </row>
    <row r="174" spans="2:3" ht="14.25" customHeight="1" x14ac:dyDescent="0.2">
      <c r="B174" s="27"/>
      <c r="C174" s="28"/>
    </row>
    <row r="175" spans="2:3" ht="14.25" customHeight="1" x14ac:dyDescent="0.2">
      <c r="B175" s="27"/>
      <c r="C175" s="28"/>
    </row>
    <row r="176" spans="2:3" ht="14.25" customHeight="1" x14ac:dyDescent="0.2">
      <c r="B176" s="27"/>
      <c r="C176" s="28"/>
    </row>
    <row r="177" spans="2:3" ht="14.25" customHeight="1" x14ac:dyDescent="0.2">
      <c r="B177" s="27"/>
      <c r="C177" s="28"/>
    </row>
    <row r="178" spans="2:3" ht="14.25" customHeight="1" x14ac:dyDescent="0.2">
      <c r="B178" s="27"/>
      <c r="C178" s="28"/>
    </row>
    <row r="179" spans="2:3" ht="14.25" customHeight="1" x14ac:dyDescent="0.2">
      <c r="B179" s="27"/>
      <c r="C179" s="28"/>
    </row>
    <row r="180" spans="2:3" ht="14.25" customHeight="1" x14ac:dyDescent="0.2">
      <c r="B180" s="27"/>
      <c r="C180" s="28"/>
    </row>
    <row r="181" spans="2:3" ht="14.25" customHeight="1" x14ac:dyDescent="0.2">
      <c r="B181" s="27"/>
      <c r="C181" s="28"/>
    </row>
    <row r="182" spans="2:3" ht="14.25" customHeight="1" x14ac:dyDescent="0.2">
      <c r="B182" s="27"/>
      <c r="C182" s="28"/>
    </row>
    <row r="183" spans="2:3" ht="14.25" customHeight="1" x14ac:dyDescent="0.2">
      <c r="B183" s="27"/>
      <c r="C183" s="28"/>
    </row>
    <row r="184" spans="2:3" ht="14.25" customHeight="1" x14ac:dyDescent="0.2">
      <c r="B184" s="27"/>
      <c r="C184" s="28"/>
    </row>
    <row r="185" spans="2:3" ht="14.25" customHeight="1" x14ac:dyDescent="0.2">
      <c r="B185" s="27"/>
      <c r="C185" s="28"/>
    </row>
    <row r="186" spans="2:3" ht="14.25" customHeight="1" x14ac:dyDescent="0.2">
      <c r="B186" s="27"/>
      <c r="C186" s="28"/>
    </row>
    <row r="187" spans="2:3" ht="14.25" customHeight="1" x14ac:dyDescent="0.2">
      <c r="B187" s="27"/>
      <c r="C187" s="28"/>
    </row>
    <row r="188" spans="2:3" ht="14.25" customHeight="1" x14ac:dyDescent="0.2">
      <c r="B188" s="27"/>
      <c r="C188" s="28"/>
    </row>
    <row r="189" spans="2:3" ht="14.25" customHeight="1" x14ac:dyDescent="0.2">
      <c r="B189" s="27"/>
      <c r="C189" s="28"/>
    </row>
    <row r="190" spans="2:3" ht="14.25" customHeight="1" x14ac:dyDescent="0.2">
      <c r="B190" s="27"/>
      <c r="C190" s="28"/>
    </row>
    <row r="191" spans="2:3" ht="14.25" customHeight="1" x14ac:dyDescent="0.2">
      <c r="B191" s="27"/>
      <c r="C191" s="28"/>
    </row>
    <row r="192" spans="2:3" ht="14.25" customHeight="1" x14ac:dyDescent="0.2">
      <c r="B192" s="27"/>
      <c r="C192" s="28"/>
    </row>
    <row r="193" spans="2:3" ht="14.25" customHeight="1" x14ac:dyDescent="0.2">
      <c r="B193" s="27"/>
      <c r="C193" s="28"/>
    </row>
    <row r="194" spans="2:3" ht="14.25" customHeight="1" x14ac:dyDescent="0.2">
      <c r="B194" s="27"/>
      <c r="C194" s="28"/>
    </row>
    <row r="195" spans="2:3" ht="14.25" customHeight="1" x14ac:dyDescent="0.2">
      <c r="B195" s="27"/>
      <c r="C195" s="28"/>
    </row>
    <row r="196" spans="2:3" ht="14.25" customHeight="1" x14ac:dyDescent="0.2">
      <c r="B196" s="27"/>
      <c r="C196" s="28"/>
    </row>
    <row r="197" spans="2:3" ht="14.25" customHeight="1" x14ac:dyDescent="0.2">
      <c r="B197" s="27"/>
      <c r="C197" s="28"/>
    </row>
    <row r="198" spans="2:3" ht="14.25" customHeight="1" x14ac:dyDescent="0.2">
      <c r="B198" s="27"/>
      <c r="C198" s="28"/>
    </row>
    <row r="199" spans="2:3" ht="14.25" customHeight="1" x14ac:dyDescent="0.2">
      <c r="B199" s="27"/>
      <c r="C199" s="28"/>
    </row>
    <row r="200" spans="2:3" ht="14.25" customHeight="1" x14ac:dyDescent="0.2">
      <c r="B200" s="27"/>
      <c r="C200" s="28"/>
    </row>
    <row r="201" spans="2:3" ht="14.25" customHeight="1" x14ac:dyDescent="0.2">
      <c r="B201" s="27"/>
      <c r="C201" s="28"/>
    </row>
    <row r="202" spans="2:3" ht="14.25" customHeight="1" x14ac:dyDescent="0.2">
      <c r="B202" s="27"/>
      <c r="C202" s="28"/>
    </row>
    <row r="203" spans="2:3" ht="14.25" customHeight="1" x14ac:dyDescent="0.2">
      <c r="B203" s="27"/>
      <c r="C203" s="28"/>
    </row>
    <row r="204" spans="2:3" ht="14.25" customHeight="1" x14ac:dyDescent="0.2">
      <c r="B204" s="27"/>
      <c r="C204" s="28"/>
    </row>
    <row r="205" spans="2:3" ht="14.25" customHeight="1" x14ac:dyDescent="0.2">
      <c r="B205" s="27"/>
      <c r="C205" s="28"/>
    </row>
    <row r="206" spans="2:3" ht="14.25" customHeight="1" x14ac:dyDescent="0.2">
      <c r="B206" s="27"/>
      <c r="C206" s="28"/>
    </row>
    <row r="207" spans="2:3" ht="14.25" customHeight="1" x14ac:dyDescent="0.2">
      <c r="B207" s="27"/>
      <c r="C207" s="28"/>
    </row>
    <row r="208" spans="2:3" ht="14.25" customHeight="1" x14ac:dyDescent="0.2">
      <c r="B208" s="27"/>
      <c r="C208" s="28"/>
    </row>
    <row r="209" spans="2:3" ht="14.25" customHeight="1" x14ac:dyDescent="0.2">
      <c r="B209" s="27"/>
      <c r="C209" s="28"/>
    </row>
    <row r="210" spans="2:3" ht="14.25" customHeight="1" x14ac:dyDescent="0.2">
      <c r="B210" s="27"/>
      <c r="C210" s="28"/>
    </row>
    <row r="211" spans="2:3" ht="14.25" customHeight="1" x14ac:dyDescent="0.2">
      <c r="B211" s="27"/>
      <c r="C211" s="28"/>
    </row>
    <row r="212" spans="2:3" ht="14.25" customHeight="1" x14ac:dyDescent="0.2">
      <c r="B212" s="27"/>
      <c r="C212" s="28"/>
    </row>
    <row r="213" spans="2:3" ht="14.25" customHeight="1" x14ac:dyDescent="0.2">
      <c r="B213" s="27"/>
      <c r="C213" s="28"/>
    </row>
    <row r="214" spans="2:3" ht="14.25" customHeight="1" x14ac:dyDescent="0.2">
      <c r="B214" s="27"/>
      <c r="C214" s="28"/>
    </row>
    <row r="215" spans="2:3" ht="14.25" customHeight="1" x14ac:dyDescent="0.2">
      <c r="B215" s="27"/>
      <c r="C215" s="28"/>
    </row>
    <row r="216" spans="2:3" ht="14.25" customHeight="1" x14ac:dyDescent="0.2">
      <c r="B216" s="27"/>
      <c r="C216" s="28"/>
    </row>
    <row r="217" spans="2:3" ht="14.25" customHeight="1" x14ac:dyDescent="0.2">
      <c r="B217" s="27"/>
      <c r="C217" s="28"/>
    </row>
    <row r="218" spans="2:3" ht="14.25" customHeight="1" x14ac:dyDescent="0.2">
      <c r="B218" s="27"/>
      <c r="C218" s="28"/>
    </row>
    <row r="219" spans="2:3" ht="14.25" customHeight="1" x14ac:dyDescent="0.2">
      <c r="B219" s="27"/>
      <c r="C219" s="28"/>
    </row>
    <row r="220" spans="2:3" ht="14.25" customHeight="1" x14ac:dyDescent="0.2">
      <c r="B220" s="27"/>
      <c r="C220" s="28"/>
    </row>
    <row r="221" spans="2:3" ht="14.25" customHeight="1" x14ac:dyDescent="0.2">
      <c r="B221" s="27"/>
      <c r="C221" s="28"/>
    </row>
    <row r="222" spans="2:3" ht="14.25" customHeight="1" x14ac:dyDescent="0.2">
      <c r="B222" s="27"/>
      <c r="C222" s="28"/>
    </row>
    <row r="223" spans="2:3" ht="14.25" customHeight="1" x14ac:dyDescent="0.2">
      <c r="B223" s="27"/>
      <c r="C223" s="28"/>
    </row>
    <row r="224" spans="2:3" ht="14.25" customHeight="1" x14ac:dyDescent="0.2">
      <c r="B224" s="27"/>
      <c r="C224" s="28"/>
    </row>
    <row r="225" spans="2:3" ht="14.25" customHeight="1" x14ac:dyDescent="0.2">
      <c r="B225" s="27"/>
      <c r="C225" s="28"/>
    </row>
    <row r="226" spans="2:3" ht="14.25" customHeight="1" x14ac:dyDescent="0.2">
      <c r="B226" s="27"/>
      <c r="C226" s="28"/>
    </row>
    <row r="227" spans="2:3" ht="14.25" customHeight="1" x14ac:dyDescent="0.2">
      <c r="B227" s="27"/>
      <c r="C227" s="28"/>
    </row>
    <row r="228" spans="2:3" ht="14.25" customHeight="1" x14ac:dyDescent="0.2">
      <c r="B228" s="27"/>
      <c r="C228" s="28"/>
    </row>
    <row r="229" spans="2:3" ht="14.25" customHeight="1" x14ac:dyDescent="0.2">
      <c r="B229" s="27"/>
      <c r="C229" s="28"/>
    </row>
    <row r="230" spans="2:3" ht="14.25" customHeight="1" x14ac:dyDescent="0.2">
      <c r="B230" s="27"/>
      <c r="C230" s="28"/>
    </row>
    <row r="231" spans="2:3" ht="14.25" customHeight="1" x14ac:dyDescent="0.2">
      <c r="B231" s="27"/>
      <c r="C231" s="28"/>
    </row>
    <row r="232" spans="2:3" ht="14.25" customHeight="1" x14ac:dyDescent="0.2">
      <c r="B232" s="27"/>
      <c r="C232" s="28"/>
    </row>
    <row r="233" spans="2:3" ht="14.25" customHeight="1" x14ac:dyDescent="0.2">
      <c r="B233" s="27"/>
      <c r="C233" s="28"/>
    </row>
    <row r="234" spans="2:3" ht="14.25" customHeight="1" x14ac:dyDescent="0.2">
      <c r="B234" s="27"/>
      <c r="C234" s="28"/>
    </row>
    <row r="235" spans="2:3" ht="14.25" customHeight="1" x14ac:dyDescent="0.2">
      <c r="B235" s="27"/>
      <c r="C235" s="28"/>
    </row>
    <row r="236" spans="2:3" ht="14.25" customHeight="1" x14ac:dyDescent="0.2">
      <c r="B236" s="27"/>
      <c r="C236" s="28"/>
    </row>
    <row r="237" spans="2:3" ht="14.25" customHeight="1" x14ac:dyDescent="0.2">
      <c r="B237" s="27"/>
      <c r="C237" s="28"/>
    </row>
    <row r="238" spans="2:3" ht="14.25" customHeight="1" x14ac:dyDescent="0.2">
      <c r="B238" s="27"/>
      <c r="C238" s="28"/>
    </row>
    <row r="239" spans="2:3" ht="14.25" customHeight="1" x14ac:dyDescent="0.2">
      <c r="B239" s="27"/>
      <c r="C239" s="28"/>
    </row>
    <row r="240" spans="2:3" ht="14.25" customHeight="1" x14ac:dyDescent="0.2">
      <c r="B240" s="27"/>
      <c r="C240" s="28"/>
    </row>
    <row r="241" spans="2:3" ht="14.25" customHeight="1" x14ac:dyDescent="0.2">
      <c r="B241" s="27"/>
      <c r="C241" s="28"/>
    </row>
    <row r="242" spans="2:3" ht="14.25" customHeight="1" x14ac:dyDescent="0.2">
      <c r="B242" s="27"/>
      <c r="C242" s="28"/>
    </row>
    <row r="243" spans="2:3" ht="14.25" customHeight="1" x14ac:dyDescent="0.2">
      <c r="B243" s="27"/>
      <c r="C243" s="28"/>
    </row>
    <row r="244" spans="2:3" ht="14.25" customHeight="1" x14ac:dyDescent="0.2">
      <c r="B244" s="27"/>
      <c r="C244" s="28"/>
    </row>
    <row r="245" spans="2:3" ht="14.25" customHeight="1" x14ac:dyDescent="0.2">
      <c r="B245" s="27"/>
      <c r="C245" s="28"/>
    </row>
    <row r="246" spans="2:3" ht="14.25" customHeight="1" x14ac:dyDescent="0.2">
      <c r="B246" s="27"/>
      <c r="C246" s="28"/>
    </row>
    <row r="247" spans="2:3" ht="14.25" customHeight="1" x14ac:dyDescent="0.2">
      <c r="B247" s="27"/>
      <c r="C247" s="28"/>
    </row>
    <row r="248" spans="2:3" ht="14.25" customHeight="1" x14ac:dyDescent="0.2">
      <c r="B248" s="27"/>
      <c r="C248" s="28"/>
    </row>
    <row r="249" spans="2:3" ht="14.25" customHeight="1" x14ac:dyDescent="0.2">
      <c r="B249" s="27"/>
      <c r="C249" s="28"/>
    </row>
    <row r="250" spans="2:3" ht="14.25" customHeight="1" x14ac:dyDescent="0.2">
      <c r="B250" s="27"/>
      <c r="C250" s="28"/>
    </row>
    <row r="251" spans="2:3" ht="14.25" customHeight="1" x14ac:dyDescent="0.2">
      <c r="B251" s="27"/>
      <c r="C251" s="28"/>
    </row>
    <row r="252" spans="2:3" ht="14.25" customHeight="1" x14ac:dyDescent="0.2">
      <c r="B252" s="27"/>
      <c r="C252" s="28"/>
    </row>
    <row r="253" spans="2:3" ht="14.25" customHeight="1" x14ac:dyDescent="0.2">
      <c r="B253" s="27"/>
      <c r="C253" s="28"/>
    </row>
    <row r="254" spans="2:3" ht="14.25" customHeight="1" x14ac:dyDescent="0.2">
      <c r="B254" s="27"/>
      <c r="C254" s="28"/>
    </row>
    <row r="255" spans="2:3" ht="14.25" customHeight="1" x14ac:dyDescent="0.2">
      <c r="B255" s="27"/>
      <c r="C255" s="28"/>
    </row>
    <row r="256" spans="2:3" ht="14.25" customHeight="1" x14ac:dyDescent="0.2">
      <c r="B256" s="27"/>
      <c r="C256" s="28"/>
    </row>
    <row r="257" spans="2:3" ht="14.25" customHeight="1" x14ac:dyDescent="0.2">
      <c r="B257" s="27"/>
      <c r="C257" s="28"/>
    </row>
    <row r="258" spans="2:3" ht="14.25" customHeight="1" x14ac:dyDescent="0.2">
      <c r="B258" s="27"/>
      <c r="C258" s="28"/>
    </row>
    <row r="259" spans="2:3" ht="14.25" customHeight="1" x14ac:dyDescent="0.2">
      <c r="B259" s="27"/>
      <c r="C259" s="28"/>
    </row>
    <row r="260" spans="2:3" ht="14.25" customHeight="1" x14ac:dyDescent="0.2">
      <c r="B260" s="27"/>
      <c r="C260" s="28"/>
    </row>
    <row r="261" spans="2:3" ht="14.25" customHeight="1" x14ac:dyDescent="0.2">
      <c r="B261" s="27"/>
      <c r="C261" s="28"/>
    </row>
    <row r="262" spans="2:3" ht="14.25" customHeight="1" x14ac:dyDescent="0.2">
      <c r="B262" s="27"/>
      <c r="C262" s="28"/>
    </row>
    <row r="263" spans="2:3" ht="14.25" customHeight="1" x14ac:dyDescent="0.2">
      <c r="B263" s="27"/>
      <c r="C263" s="28"/>
    </row>
    <row r="264" spans="2:3" ht="14.25" customHeight="1" x14ac:dyDescent="0.2">
      <c r="B264" s="27"/>
      <c r="C264" s="28"/>
    </row>
    <row r="265" spans="2:3" ht="14.25" customHeight="1" x14ac:dyDescent="0.2">
      <c r="B265" s="27"/>
      <c r="C265" s="28"/>
    </row>
    <row r="266" spans="2:3" ht="14.25" customHeight="1" x14ac:dyDescent="0.2">
      <c r="B266" s="27"/>
      <c r="C266" s="28"/>
    </row>
    <row r="267" spans="2:3" ht="14.25" customHeight="1" x14ac:dyDescent="0.2">
      <c r="B267" s="27"/>
      <c r="C267" s="28"/>
    </row>
    <row r="268" spans="2:3" ht="14.25" customHeight="1" x14ac:dyDescent="0.2">
      <c r="B268" s="27"/>
      <c r="C268" s="28"/>
    </row>
    <row r="269" spans="2:3" ht="14.25" customHeight="1" x14ac:dyDescent="0.2">
      <c r="B269" s="27"/>
      <c r="C269" s="28"/>
    </row>
    <row r="270" spans="2:3" ht="14.25" customHeight="1" x14ac:dyDescent="0.2">
      <c r="B270" s="27"/>
      <c r="C270" s="28"/>
    </row>
    <row r="271" spans="2:3" ht="14.25" customHeight="1" x14ac:dyDescent="0.2">
      <c r="B271" s="27"/>
      <c r="C271" s="28"/>
    </row>
    <row r="272" spans="2:3" ht="14.25" customHeight="1" x14ac:dyDescent="0.2">
      <c r="B272" s="27"/>
      <c r="C272" s="28"/>
    </row>
    <row r="273" spans="2:3" ht="14.25" customHeight="1" x14ac:dyDescent="0.2">
      <c r="B273" s="27"/>
      <c r="C273" s="28"/>
    </row>
    <row r="274" spans="2:3" ht="14.25" customHeight="1" x14ac:dyDescent="0.2">
      <c r="B274" s="27"/>
      <c r="C274" s="28"/>
    </row>
    <row r="275" spans="2:3" ht="14.25" customHeight="1" x14ac:dyDescent="0.2">
      <c r="B275" s="27"/>
      <c r="C275" s="28"/>
    </row>
    <row r="276" spans="2:3" ht="14.25" customHeight="1" x14ac:dyDescent="0.2">
      <c r="B276" s="27"/>
      <c r="C276" s="28"/>
    </row>
    <row r="277" spans="2:3" ht="14.25" customHeight="1" x14ac:dyDescent="0.2">
      <c r="B277" s="27"/>
      <c r="C277" s="28"/>
    </row>
    <row r="278" spans="2:3" ht="14.25" customHeight="1" x14ac:dyDescent="0.2">
      <c r="B278" s="27"/>
      <c r="C278" s="28"/>
    </row>
    <row r="279" spans="2:3" ht="14.25" customHeight="1" x14ac:dyDescent="0.2">
      <c r="B279" s="27"/>
      <c r="C279" s="28"/>
    </row>
    <row r="280" spans="2:3" ht="14.25" customHeight="1" x14ac:dyDescent="0.2">
      <c r="B280" s="27"/>
      <c r="C280" s="28"/>
    </row>
    <row r="281" spans="2:3" ht="14.25" customHeight="1" x14ac:dyDescent="0.2">
      <c r="B281" s="27"/>
      <c r="C281" s="28"/>
    </row>
    <row r="282" spans="2:3" ht="14.25" customHeight="1" x14ac:dyDescent="0.2">
      <c r="B282" s="27"/>
      <c r="C282" s="28"/>
    </row>
    <row r="283" spans="2:3" ht="14.25" customHeight="1" x14ac:dyDescent="0.2">
      <c r="B283" s="27"/>
      <c r="C283" s="28"/>
    </row>
    <row r="284" spans="2:3" ht="14.25" customHeight="1" x14ac:dyDescent="0.2">
      <c r="B284" s="27"/>
      <c r="C284" s="28"/>
    </row>
    <row r="285" spans="2:3" ht="14.25" customHeight="1" x14ac:dyDescent="0.2">
      <c r="B285" s="27"/>
      <c r="C285" s="28"/>
    </row>
    <row r="286" spans="2:3" ht="14.25" customHeight="1" x14ac:dyDescent="0.2">
      <c r="B286" s="27"/>
      <c r="C286" s="28"/>
    </row>
    <row r="287" spans="2:3" ht="14.25" customHeight="1" x14ac:dyDescent="0.2">
      <c r="B287" s="27"/>
      <c r="C287" s="28"/>
    </row>
    <row r="288" spans="2:3" ht="14.25" customHeight="1" x14ac:dyDescent="0.2">
      <c r="B288" s="27"/>
      <c r="C288" s="28"/>
    </row>
    <row r="289" spans="2:3" ht="14.25" customHeight="1" x14ac:dyDescent="0.2">
      <c r="B289" s="27"/>
      <c r="C289" s="28"/>
    </row>
    <row r="290" spans="2:3" ht="14.25" customHeight="1" x14ac:dyDescent="0.2">
      <c r="B290" s="27"/>
      <c r="C290" s="28"/>
    </row>
    <row r="291" spans="2:3" ht="14.25" customHeight="1" x14ac:dyDescent="0.2">
      <c r="B291" s="27"/>
      <c r="C291" s="28"/>
    </row>
    <row r="292" spans="2:3" ht="14.25" customHeight="1" x14ac:dyDescent="0.2">
      <c r="B292" s="27"/>
      <c r="C292" s="28"/>
    </row>
    <row r="293" spans="2:3" ht="14.25" customHeight="1" x14ac:dyDescent="0.2">
      <c r="B293" s="27"/>
      <c r="C293" s="28"/>
    </row>
    <row r="294" spans="2:3" ht="14.25" customHeight="1" x14ac:dyDescent="0.2">
      <c r="B294" s="27"/>
      <c r="C294" s="28"/>
    </row>
    <row r="295" spans="2:3" ht="14.25" customHeight="1" x14ac:dyDescent="0.2">
      <c r="B295" s="27"/>
      <c r="C295" s="28"/>
    </row>
    <row r="296" spans="2:3" ht="14.25" customHeight="1" x14ac:dyDescent="0.2">
      <c r="B296" s="27"/>
      <c r="C296" s="28"/>
    </row>
    <row r="297" spans="2:3" ht="14.25" customHeight="1" x14ac:dyDescent="0.2">
      <c r="B297" s="27"/>
      <c r="C297" s="28"/>
    </row>
    <row r="298" spans="2:3" ht="14.25" customHeight="1" x14ac:dyDescent="0.2">
      <c r="B298" s="27"/>
      <c r="C298" s="28"/>
    </row>
    <row r="299" spans="2:3" ht="14.25" customHeight="1" x14ac:dyDescent="0.2">
      <c r="B299" s="27"/>
      <c r="C299" s="28"/>
    </row>
    <row r="300" spans="2:3" ht="14.25" customHeight="1" x14ac:dyDescent="0.2">
      <c r="B300" s="27"/>
      <c r="C300" s="28"/>
    </row>
    <row r="301" spans="2:3" ht="14.25" customHeight="1" x14ac:dyDescent="0.2">
      <c r="B301" s="27"/>
      <c r="C301" s="28"/>
    </row>
    <row r="302" spans="2:3" ht="14.25" customHeight="1" x14ac:dyDescent="0.2">
      <c r="B302" s="27"/>
      <c r="C302" s="28"/>
    </row>
    <row r="303" spans="2:3" ht="14.25" customHeight="1" x14ac:dyDescent="0.2">
      <c r="B303" s="27"/>
      <c r="C303" s="28"/>
    </row>
    <row r="304" spans="2:3" ht="14.25" customHeight="1" x14ac:dyDescent="0.2">
      <c r="B304" s="27"/>
      <c r="C304" s="28"/>
    </row>
    <row r="305" spans="2:3" ht="14.25" customHeight="1" x14ac:dyDescent="0.2">
      <c r="B305" s="27"/>
      <c r="C305" s="28"/>
    </row>
    <row r="306" spans="2:3" ht="14.25" customHeight="1" x14ac:dyDescent="0.2">
      <c r="B306" s="27"/>
      <c r="C306" s="28"/>
    </row>
    <row r="307" spans="2:3" ht="14.25" customHeight="1" x14ac:dyDescent="0.2">
      <c r="B307" s="27"/>
      <c r="C307" s="28"/>
    </row>
    <row r="308" spans="2:3" ht="14.25" customHeight="1" x14ac:dyDescent="0.2">
      <c r="B308" s="27"/>
      <c r="C308" s="28"/>
    </row>
    <row r="309" spans="2:3" ht="14.25" customHeight="1" x14ac:dyDescent="0.2">
      <c r="B309" s="27"/>
      <c r="C309" s="28"/>
    </row>
    <row r="310" spans="2:3" ht="14.25" customHeight="1" x14ac:dyDescent="0.2">
      <c r="B310" s="27"/>
      <c r="C310" s="28"/>
    </row>
    <row r="311" spans="2:3" ht="14.25" customHeight="1" x14ac:dyDescent="0.2">
      <c r="B311" s="27"/>
      <c r="C311" s="28"/>
    </row>
    <row r="312" spans="2:3" ht="14.25" customHeight="1" x14ac:dyDescent="0.2">
      <c r="B312" s="27"/>
      <c r="C312" s="28"/>
    </row>
    <row r="313" spans="2:3" ht="14.25" customHeight="1" x14ac:dyDescent="0.2">
      <c r="B313" s="27"/>
      <c r="C313" s="28"/>
    </row>
    <row r="314" spans="2:3" ht="14.25" customHeight="1" x14ac:dyDescent="0.2">
      <c r="B314" s="27"/>
      <c r="C314" s="28"/>
    </row>
    <row r="315" spans="2:3" ht="14.25" customHeight="1" x14ac:dyDescent="0.2">
      <c r="B315" s="27"/>
      <c r="C315" s="28"/>
    </row>
    <row r="316" spans="2:3" ht="14.25" customHeight="1" x14ac:dyDescent="0.2">
      <c r="B316" s="27"/>
      <c r="C316" s="28"/>
    </row>
    <row r="317" spans="2:3" ht="14.25" customHeight="1" x14ac:dyDescent="0.2">
      <c r="B317" s="27"/>
      <c r="C317" s="28"/>
    </row>
    <row r="318" spans="2:3" ht="14.25" customHeight="1" x14ac:dyDescent="0.2">
      <c r="B318" s="27"/>
      <c r="C318" s="28"/>
    </row>
    <row r="319" spans="2:3" ht="14.25" customHeight="1" x14ac:dyDescent="0.2">
      <c r="B319" s="27"/>
      <c r="C319" s="28"/>
    </row>
    <row r="320" spans="2:3" ht="14.25" customHeight="1" x14ac:dyDescent="0.2">
      <c r="B320" s="27"/>
      <c r="C320" s="28"/>
    </row>
    <row r="321" spans="2:3" ht="14.25" customHeight="1" x14ac:dyDescent="0.2">
      <c r="B321" s="27"/>
      <c r="C321" s="28"/>
    </row>
    <row r="322" spans="2:3" ht="14.25" customHeight="1" x14ac:dyDescent="0.2">
      <c r="B322" s="27"/>
      <c r="C322" s="28"/>
    </row>
    <row r="323" spans="2:3" ht="14.25" customHeight="1" x14ac:dyDescent="0.2">
      <c r="B323" s="27"/>
      <c r="C323" s="28"/>
    </row>
    <row r="324" spans="2:3" ht="14.25" customHeight="1" x14ac:dyDescent="0.2">
      <c r="B324" s="27"/>
      <c r="C324" s="28"/>
    </row>
    <row r="325" spans="2:3" ht="14.25" customHeight="1" x14ac:dyDescent="0.2">
      <c r="B325" s="27"/>
      <c r="C325" s="28"/>
    </row>
    <row r="326" spans="2:3" ht="14.25" customHeight="1" x14ac:dyDescent="0.2">
      <c r="B326" s="27"/>
      <c r="C326" s="28"/>
    </row>
    <row r="327" spans="2:3" ht="14.25" customHeight="1" x14ac:dyDescent="0.2">
      <c r="B327" s="27"/>
      <c r="C327" s="28"/>
    </row>
    <row r="328" spans="2:3" ht="14.25" customHeight="1" x14ac:dyDescent="0.2">
      <c r="B328" s="27"/>
      <c r="C328" s="28"/>
    </row>
    <row r="329" spans="2:3" ht="14.25" customHeight="1" x14ac:dyDescent="0.2">
      <c r="B329" s="27"/>
      <c r="C329" s="28"/>
    </row>
    <row r="330" spans="2:3" ht="14.25" customHeight="1" x14ac:dyDescent="0.2">
      <c r="B330" s="27"/>
      <c r="C330" s="28"/>
    </row>
    <row r="331" spans="2:3" ht="14.25" customHeight="1" x14ac:dyDescent="0.2">
      <c r="B331" s="27"/>
      <c r="C331" s="28"/>
    </row>
    <row r="332" spans="2:3" ht="14.25" customHeight="1" x14ac:dyDescent="0.2">
      <c r="B332" s="27"/>
      <c r="C332" s="28"/>
    </row>
    <row r="333" spans="2:3" ht="14.25" customHeight="1" x14ac:dyDescent="0.2">
      <c r="B333" s="27"/>
      <c r="C333" s="28"/>
    </row>
    <row r="334" spans="2:3" ht="14.25" customHeight="1" x14ac:dyDescent="0.2">
      <c r="B334" s="27"/>
      <c r="C334" s="28"/>
    </row>
    <row r="335" spans="2:3" ht="14.25" customHeight="1" x14ac:dyDescent="0.2">
      <c r="B335" s="27"/>
      <c r="C335" s="28"/>
    </row>
    <row r="336" spans="2:3" ht="14.25" customHeight="1" x14ac:dyDescent="0.2">
      <c r="B336" s="27"/>
      <c r="C336" s="28"/>
    </row>
    <row r="337" spans="2:3" ht="14.25" customHeight="1" x14ac:dyDescent="0.2">
      <c r="B337" s="27"/>
      <c r="C337" s="28"/>
    </row>
    <row r="338" spans="2:3" ht="14.25" customHeight="1" x14ac:dyDescent="0.2">
      <c r="B338" s="27"/>
      <c r="C338" s="28"/>
    </row>
    <row r="339" spans="2:3" ht="14.25" customHeight="1" x14ac:dyDescent="0.2">
      <c r="B339" s="27"/>
      <c r="C339" s="28"/>
    </row>
    <row r="340" spans="2:3" ht="14.25" customHeight="1" x14ac:dyDescent="0.2">
      <c r="B340" s="27"/>
      <c r="C340" s="28"/>
    </row>
    <row r="341" spans="2:3" ht="14.25" customHeight="1" x14ac:dyDescent="0.2">
      <c r="B341" s="27"/>
      <c r="C341" s="28"/>
    </row>
    <row r="342" spans="2:3" ht="14.25" customHeight="1" x14ac:dyDescent="0.2">
      <c r="B342" s="27"/>
      <c r="C342" s="28"/>
    </row>
    <row r="343" spans="2:3" ht="14.25" customHeight="1" x14ac:dyDescent="0.2">
      <c r="B343" s="27"/>
      <c r="C343" s="28"/>
    </row>
    <row r="344" spans="2:3" ht="14.25" customHeight="1" x14ac:dyDescent="0.2">
      <c r="B344" s="27"/>
      <c r="C344" s="28"/>
    </row>
    <row r="345" spans="2:3" ht="14.25" customHeight="1" x14ac:dyDescent="0.2">
      <c r="B345" s="27"/>
      <c r="C345" s="28"/>
    </row>
    <row r="346" spans="2:3" ht="14.25" customHeight="1" x14ac:dyDescent="0.2">
      <c r="B346" s="27"/>
      <c r="C346" s="28"/>
    </row>
    <row r="347" spans="2:3" ht="14.25" customHeight="1" x14ac:dyDescent="0.2">
      <c r="B347" s="27"/>
      <c r="C347" s="28"/>
    </row>
    <row r="348" spans="2:3" ht="14.25" customHeight="1" x14ac:dyDescent="0.2">
      <c r="B348" s="27"/>
      <c r="C348" s="28"/>
    </row>
    <row r="349" spans="2:3" ht="14.25" customHeight="1" x14ac:dyDescent="0.2">
      <c r="B349" s="27"/>
      <c r="C349" s="28"/>
    </row>
    <row r="350" spans="2:3" ht="14.25" customHeight="1" x14ac:dyDescent="0.2">
      <c r="B350" s="27"/>
      <c r="C350" s="28"/>
    </row>
    <row r="351" spans="2:3" ht="14.25" customHeight="1" x14ac:dyDescent="0.2">
      <c r="B351" s="27"/>
      <c r="C351" s="28"/>
    </row>
    <row r="352" spans="2:3" ht="14.25" customHeight="1" x14ac:dyDescent="0.2">
      <c r="B352" s="27"/>
      <c r="C352" s="28"/>
    </row>
    <row r="353" spans="2:3" ht="14.25" customHeight="1" x14ac:dyDescent="0.2">
      <c r="B353" s="27"/>
      <c r="C353" s="28"/>
    </row>
    <row r="354" spans="2:3" ht="14.25" customHeight="1" x14ac:dyDescent="0.2">
      <c r="B354" s="27"/>
      <c r="C354" s="28"/>
    </row>
    <row r="355" spans="2:3" ht="14.25" customHeight="1" x14ac:dyDescent="0.2">
      <c r="B355" s="27"/>
      <c r="C355" s="28"/>
    </row>
    <row r="356" spans="2:3" ht="14.25" customHeight="1" x14ac:dyDescent="0.2">
      <c r="B356" s="27"/>
      <c r="C356" s="28"/>
    </row>
    <row r="357" spans="2:3" ht="14.25" customHeight="1" x14ac:dyDescent="0.2">
      <c r="B357" s="27"/>
      <c r="C357" s="28"/>
    </row>
    <row r="358" spans="2:3" ht="14.25" customHeight="1" x14ac:dyDescent="0.2">
      <c r="B358" s="27"/>
      <c r="C358" s="28"/>
    </row>
    <row r="359" spans="2:3" ht="14.25" customHeight="1" x14ac:dyDescent="0.2">
      <c r="B359" s="27"/>
      <c r="C359" s="28"/>
    </row>
    <row r="360" spans="2:3" ht="14.25" customHeight="1" x14ac:dyDescent="0.2">
      <c r="B360" s="27"/>
      <c r="C360" s="28"/>
    </row>
    <row r="361" spans="2:3" ht="14.25" customHeight="1" x14ac:dyDescent="0.2">
      <c r="B361" s="27"/>
      <c r="C361" s="28"/>
    </row>
    <row r="362" spans="2:3" ht="14.25" customHeight="1" x14ac:dyDescent="0.2">
      <c r="B362" s="27"/>
      <c r="C362" s="28"/>
    </row>
    <row r="363" spans="2:3" ht="14.25" customHeight="1" x14ac:dyDescent="0.2">
      <c r="B363" s="27"/>
      <c r="C363" s="28"/>
    </row>
    <row r="364" spans="2:3" ht="14.25" customHeight="1" x14ac:dyDescent="0.2">
      <c r="B364" s="27"/>
      <c r="C364" s="28"/>
    </row>
    <row r="365" spans="2:3" ht="14.25" customHeight="1" x14ac:dyDescent="0.2">
      <c r="B365" s="27"/>
      <c r="C365" s="28"/>
    </row>
    <row r="366" spans="2:3" ht="14.25" customHeight="1" x14ac:dyDescent="0.2">
      <c r="B366" s="27"/>
      <c r="C366" s="28"/>
    </row>
    <row r="367" spans="2:3" ht="14.25" customHeight="1" x14ac:dyDescent="0.2">
      <c r="B367" s="27"/>
      <c r="C367" s="28"/>
    </row>
    <row r="368" spans="2:3" ht="14.25" customHeight="1" x14ac:dyDescent="0.2">
      <c r="B368" s="27"/>
      <c r="C368" s="28"/>
    </row>
    <row r="369" spans="2:3" ht="14.25" customHeight="1" x14ac:dyDescent="0.2">
      <c r="B369" s="27"/>
      <c r="C369" s="28"/>
    </row>
    <row r="370" spans="2:3" ht="14.25" customHeight="1" x14ac:dyDescent="0.2">
      <c r="B370" s="27"/>
      <c r="C370" s="28"/>
    </row>
    <row r="371" spans="2:3" ht="14.25" customHeight="1" x14ac:dyDescent="0.2">
      <c r="B371" s="27"/>
      <c r="C371" s="28"/>
    </row>
    <row r="372" spans="2:3" ht="14.25" customHeight="1" x14ac:dyDescent="0.2">
      <c r="B372" s="27"/>
      <c r="C372" s="28"/>
    </row>
    <row r="373" spans="2:3" ht="14.25" customHeight="1" x14ac:dyDescent="0.2">
      <c r="B373" s="27"/>
      <c r="C373" s="28"/>
    </row>
    <row r="374" spans="2:3" ht="14.25" customHeight="1" x14ac:dyDescent="0.2">
      <c r="B374" s="27"/>
      <c r="C374" s="28"/>
    </row>
    <row r="375" spans="2:3" ht="14.25" customHeight="1" x14ac:dyDescent="0.2">
      <c r="B375" s="27"/>
      <c r="C375" s="28"/>
    </row>
    <row r="376" spans="2:3" ht="14.25" customHeight="1" x14ac:dyDescent="0.2">
      <c r="B376" s="27"/>
      <c r="C376" s="28"/>
    </row>
    <row r="377" spans="2:3" ht="14.25" customHeight="1" x14ac:dyDescent="0.2">
      <c r="B377" s="27"/>
      <c r="C377" s="28"/>
    </row>
    <row r="378" spans="2:3" ht="14.25" customHeight="1" x14ac:dyDescent="0.2">
      <c r="B378" s="27"/>
      <c r="C378" s="28"/>
    </row>
    <row r="379" spans="2:3" ht="14.25" customHeight="1" x14ac:dyDescent="0.2">
      <c r="B379" s="27"/>
      <c r="C379" s="28"/>
    </row>
    <row r="380" spans="2:3" ht="14.25" customHeight="1" x14ac:dyDescent="0.2">
      <c r="B380" s="27"/>
      <c r="C380" s="28"/>
    </row>
    <row r="381" spans="2:3" ht="14.25" customHeight="1" x14ac:dyDescent="0.2">
      <c r="B381" s="27"/>
      <c r="C381" s="28"/>
    </row>
    <row r="382" spans="2:3" ht="14.25" customHeight="1" x14ac:dyDescent="0.2">
      <c r="B382" s="27"/>
      <c r="C382" s="28"/>
    </row>
    <row r="383" spans="2:3" ht="14.25" customHeight="1" x14ac:dyDescent="0.2">
      <c r="B383" s="27"/>
      <c r="C383" s="28"/>
    </row>
    <row r="384" spans="2:3" ht="14.25" customHeight="1" x14ac:dyDescent="0.2">
      <c r="B384" s="27"/>
      <c r="C384" s="28"/>
    </row>
    <row r="385" spans="2:3" ht="14.25" customHeight="1" x14ac:dyDescent="0.2">
      <c r="B385" s="27"/>
      <c r="C385" s="28"/>
    </row>
    <row r="386" spans="2:3" ht="14.25" customHeight="1" x14ac:dyDescent="0.2">
      <c r="B386" s="27"/>
      <c r="C386" s="28"/>
    </row>
    <row r="387" spans="2:3" ht="14.25" customHeight="1" x14ac:dyDescent="0.2">
      <c r="B387" s="27"/>
      <c r="C387" s="28"/>
    </row>
    <row r="388" spans="2:3" ht="14.25" customHeight="1" x14ac:dyDescent="0.2">
      <c r="B388" s="27"/>
      <c r="C388" s="28"/>
    </row>
    <row r="389" spans="2:3" ht="14.25" customHeight="1" x14ac:dyDescent="0.2">
      <c r="B389" s="27"/>
      <c r="C389" s="28"/>
    </row>
    <row r="390" spans="2:3" ht="14.25" customHeight="1" x14ac:dyDescent="0.2">
      <c r="B390" s="27"/>
      <c r="C390" s="28"/>
    </row>
    <row r="391" spans="2:3" ht="14.25" customHeight="1" x14ac:dyDescent="0.2">
      <c r="B391" s="27"/>
      <c r="C391" s="28"/>
    </row>
    <row r="392" spans="2:3" ht="14.25" customHeight="1" x14ac:dyDescent="0.2">
      <c r="B392" s="27"/>
      <c r="C392" s="28"/>
    </row>
    <row r="393" spans="2:3" ht="14.25" customHeight="1" x14ac:dyDescent="0.2">
      <c r="B393" s="27"/>
      <c r="C393" s="28"/>
    </row>
    <row r="394" spans="2:3" ht="14.25" customHeight="1" x14ac:dyDescent="0.2">
      <c r="B394" s="27"/>
      <c r="C394" s="28"/>
    </row>
    <row r="395" spans="2:3" ht="14.25" customHeight="1" x14ac:dyDescent="0.2">
      <c r="B395" s="27"/>
      <c r="C395" s="28"/>
    </row>
    <row r="396" spans="2:3" ht="14.25" customHeight="1" x14ac:dyDescent="0.2">
      <c r="B396" s="27"/>
      <c r="C396" s="28"/>
    </row>
    <row r="397" spans="2:3" ht="14.25" customHeight="1" x14ac:dyDescent="0.2">
      <c r="B397" s="27"/>
      <c r="C397" s="28"/>
    </row>
    <row r="398" spans="2:3" ht="14.25" customHeight="1" x14ac:dyDescent="0.2">
      <c r="B398" s="27"/>
      <c r="C398" s="28"/>
    </row>
    <row r="399" spans="2:3" ht="14.25" customHeight="1" x14ac:dyDescent="0.2">
      <c r="B399" s="27"/>
      <c r="C399" s="28"/>
    </row>
    <row r="400" spans="2:3" ht="14.25" customHeight="1" x14ac:dyDescent="0.2">
      <c r="B400" s="27"/>
      <c r="C400" s="28"/>
    </row>
    <row r="401" spans="2:3" ht="14.25" customHeight="1" x14ac:dyDescent="0.2">
      <c r="B401" s="27"/>
      <c r="C401" s="28"/>
    </row>
    <row r="402" spans="2:3" ht="14.25" customHeight="1" x14ac:dyDescent="0.2">
      <c r="B402" s="27"/>
      <c r="C402" s="28"/>
    </row>
    <row r="403" spans="2:3" ht="14.25" customHeight="1" x14ac:dyDescent="0.2">
      <c r="B403" s="27"/>
      <c r="C403" s="28"/>
    </row>
    <row r="404" spans="2:3" ht="14.25" customHeight="1" x14ac:dyDescent="0.2">
      <c r="B404" s="27"/>
      <c r="C404" s="28"/>
    </row>
    <row r="405" spans="2:3" ht="14.25" customHeight="1" x14ac:dyDescent="0.2">
      <c r="B405" s="27"/>
      <c r="C405" s="28"/>
    </row>
    <row r="406" spans="2:3" ht="14.25" customHeight="1" x14ac:dyDescent="0.2">
      <c r="B406" s="27"/>
      <c r="C406" s="28"/>
    </row>
    <row r="407" spans="2:3" ht="14.25" customHeight="1" x14ac:dyDescent="0.2">
      <c r="B407" s="27"/>
      <c r="C407" s="28"/>
    </row>
    <row r="408" spans="2:3" ht="14.25" customHeight="1" x14ac:dyDescent="0.2">
      <c r="B408" s="27"/>
      <c r="C408" s="28"/>
    </row>
    <row r="409" spans="2:3" ht="14.25" customHeight="1" x14ac:dyDescent="0.2">
      <c r="B409" s="27"/>
      <c r="C409" s="28"/>
    </row>
    <row r="410" spans="2:3" ht="14.25" customHeight="1" x14ac:dyDescent="0.2">
      <c r="B410" s="27"/>
      <c r="C410" s="28"/>
    </row>
    <row r="411" spans="2:3" ht="14.25" customHeight="1" x14ac:dyDescent="0.2">
      <c r="B411" s="27"/>
      <c r="C411" s="28"/>
    </row>
    <row r="412" spans="2:3" ht="14.25" customHeight="1" x14ac:dyDescent="0.2">
      <c r="B412" s="27"/>
      <c r="C412" s="28"/>
    </row>
    <row r="413" spans="2:3" ht="14.25" customHeight="1" x14ac:dyDescent="0.2">
      <c r="B413" s="27"/>
      <c r="C413" s="28"/>
    </row>
    <row r="414" spans="2:3" ht="14.25" customHeight="1" x14ac:dyDescent="0.2">
      <c r="B414" s="27"/>
      <c r="C414" s="28"/>
    </row>
    <row r="415" spans="2:3" ht="14.25" customHeight="1" x14ac:dyDescent="0.2">
      <c r="B415" s="27"/>
      <c r="C415" s="28"/>
    </row>
    <row r="416" spans="2:3" ht="14.25" customHeight="1" x14ac:dyDescent="0.2">
      <c r="B416" s="27"/>
      <c r="C416" s="28"/>
    </row>
    <row r="417" spans="2:3" ht="14.25" customHeight="1" x14ac:dyDescent="0.2">
      <c r="B417" s="27"/>
      <c r="C417" s="28"/>
    </row>
    <row r="418" spans="2:3" ht="14.25" customHeight="1" x14ac:dyDescent="0.2">
      <c r="B418" s="27"/>
      <c r="C418" s="28"/>
    </row>
    <row r="419" spans="2:3" ht="14.25" customHeight="1" x14ac:dyDescent="0.2">
      <c r="B419" s="27"/>
      <c r="C419" s="28"/>
    </row>
    <row r="420" spans="2:3" ht="14.25" customHeight="1" x14ac:dyDescent="0.2">
      <c r="B420" s="27"/>
      <c r="C420" s="28"/>
    </row>
    <row r="421" spans="2:3" ht="14.25" customHeight="1" x14ac:dyDescent="0.2">
      <c r="B421" s="27"/>
      <c r="C421" s="28"/>
    </row>
    <row r="422" spans="2:3" ht="14.25" customHeight="1" x14ac:dyDescent="0.2">
      <c r="B422" s="27"/>
      <c r="C422" s="28"/>
    </row>
    <row r="423" spans="2:3" ht="14.25" customHeight="1" x14ac:dyDescent="0.2">
      <c r="B423" s="27"/>
      <c r="C423" s="28"/>
    </row>
    <row r="424" spans="2:3" ht="14.25" customHeight="1" x14ac:dyDescent="0.2">
      <c r="B424" s="27"/>
      <c r="C424" s="28"/>
    </row>
    <row r="425" spans="2:3" ht="14.25" customHeight="1" x14ac:dyDescent="0.2">
      <c r="B425" s="27"/>
      <c r="C425" s="28"/>
    </row>
    <row r="426" spans="2:3" ht="14.25" customHeight="1" x14ac:dyDescent="0.2">
      <c r="B426" s="27"/>
      <c r="C426" s="28"/>
    </row>
    <row r="427" spans="2:3" ht="14.25" customHeight="1" x14ac:dyDescent="0.2">
      <c r="B427" s="27"/>
      <c r="C427" s="28"/>
    </row>
    <row r="428" spans="2:3" ht="14.25" customHeight="1" x14ac:dyDescent="0.2">
      <c r="B428" s="27"/>
      <c r="C428" s="28"/>
    </row>
    <row r="429" spans="2:3" ht="14.25" customHeight="1" x14ac:dyDescent="0.2">
      <c r="B429" s="27"/>
      <c r="C429" s="28"/>
    </row>
    <row r="430" spans="2:3" ht="14.25" customHeight="1" x14ac:dyDescent="0.2">
      <c r="B430" s="27"/>
      <c r="C430" s="28"/>
    </row>
    <row r="431" spans="2:3" ht="14.25" customHeight="1" x14ac:dyDescent="0.2">
      <c r="B431" s="27"/>
      <c r="C431" s="28"/>
    </row>
    <row r="432" spans="2:3" ht="14.25" customHeight="1" x14ac:dyDescent="0.2">
      <c r="B432" s="27"/>
      <c r="C432" s="28"/>
    </row>
    <row r="433" spans="2:3" ht="14.25" customHeight="1" x14ac:dyDescent="0.2">
      <c r="B433" s="27"/>
      <c r="C433" s="28"/>
    </row>
    <row r="434" spans="2:3" ht="14.25" customHeight="1" x14ac:dyDescent="0.2">
      <c r="B434" s="27"/>
      <c r="C434" s="28"/>
    </row>
    <row r="435" spans="2:3" ht="14.25" customHeight="1" x14ac:dyDescent="0.2">
      <c r="B435" s="27"/>
      <c r="C435" s="28"/>
    </row>
    <row r="436" spans="2:3" ht="14.25" customHeight="1" x14ac:dyDescent="0.2">
      <c r="B436" s="27"/>
      <c r="C436" s="28"/>
    </row>
    <row r="437" spans="2:3" ht="14.25" customHeight="1" x14ac:dyDescent="0.2">
      <c r="B437" s="27"/>
      <c r="C437" s="28"/>
    </row>
    <row r="438" spans="2:3" ht="14.25" customHeight="1" x14ac:dyDescent="0.2">
      <c r="B438" s="27"/>
      <c r="C438" s="28"/>
    </row>
    <row r="439" spans="2:3" ht="14.25" customHeight="1" x14ac:dyDescent="0.2">
      <c r="B439" s="27"/>
      <c r="C439" s="28"/>
    </row>
    <row r="440" spans="2:3" ht="14.25" customHeight="1" x14ac:dyDescent="0.2">
      <c r="B440" s="27"/>
      <c r="C440" s="28"/>
    </row>
    <row r="441" spans="2:3" ht="14.25" customHeight="1" x14ac:dyDescent="0.2">
      <c r="B441" s="27"/>
      <c r="C441" s="28"/>
    </row>
    <row r="442" spans="2:3" ht="14.25" customHeight="1" x14ac:dyDescent="0.2">
      <c r="B442" s="27"/>
      <c r="C442" s="28"/>
    </row>
    <row r="443" spans="2:3" ht="14.25" customHeight="1" x14ac:dyDescent="0.2">
      <c r="B443" s="27"/>
      <c r="C443" s="28"/>
    </row>
    <row r="444" spans="2:3" ht="14.25" customHeight="1" x14ac:dyDescent="0.2">
      <c r="B444" s="27"/>
      <c r="C444" s="28"/>
    </row>
    <row r="445" spans="2:3" ht="14.25" customHeight="1" x14ac:dyDescent="0.2">
      <c r="B445" s="27"/>
      <c r="C445" s="28"/>
    </row>
    <row r="446" spans="2:3" ht="14.25" customHeight="1" x14ac:dyDescent="0.2">
      <c r="B446" s="27"/>
      <c r="C446" s="28"/>
    </row>
    <row r="447" spans="2:3" ht="14.25" customHeight="1" x14ac:dyDescent="0.2">
      <c r="B447" s="27"/>
      <c r="C447" s="28"/>
    </row>
    <row r="448" spans="2:3" ht="14.25" customHeight="1" x14ac:dyDescent="0.2">
      <c r="B448" s="27"/>
      <c r="C448" s="28"/>
    </row>
    <row r="449" spans="2:3" ht="14.25" customHeight="1" x14ac:dyDescent="0.2">
      <c r="B449" s="27"/>
      <c r="C449" s="28"/>
    </row>
    <row r="450" spans="2:3" ht="14.25" customHeight="1" x14ac:dyDescent="0.2">
      <c r="B450" s="27"/>
      <c r="C450" s="28"/>
    </row>
    <row r="451" spans="2:3" ht="14.25" customHeight="1" x14ac:dyDescent="0.2">
      <c r="B451" s="27"/>
      <c r="C451" s="28"/>
    </row>
    <row r="452" spans="2:3" ht="14.25" customHeight="1" x14ac:dyDescent="0.2">
      <c r="B452" s="27"/>
      <c r="C452" s="28"/>
    </row>
    <row r="453" spans="2:3" ht="14.25" customHeight="1" x14ac:dyDescent="0.2">
      <c r="B453" s="27"/>
      <c r="C453" s="28"/>
    </row>
    <row r="454" spans="2:3" ht="14.25" customHeight="1" x14ac:dyDescent="0.2">
      <c r="B454" s="27"/>
      <c r="C454" s="28"/>
    </row>
    <row r="455" spans="2:3" ht="14.25" customHeight="1" x14ac:dyDescent="0.2">
      <c r="B455" s="27"/>
      <c r="C455" s="28"/>
    </row>
    <row r="456" spans="2:3" ht="14.25" customHeight="1" x14ac:dyDescent="0.2">
      <c r="B456" s="27"/>
      <c r="C456" s="28"/>
    </row>
    <row r="457" spans="2:3" ht="14.25" customHeight="1" x14ac:dyDescent="0.2">
      <c r="B457" s="27"/>
      <c r="C457" s="28"/>
    </row>
    <row r="458" spans="2:3" ht="14.25" customHeight="1" x14ac:dyDescent="0.2">
      <c r="B458" s="27"/>
      <c r="C458" s="28"/>
    </row>
    <row r="459" spans="2:3" ht="14.25" customHeight="1" x14ac:dyDescent="0.2">
      <c r="B459" s="27"/>
      <c r="C459" s="28"/>
    </row>
    <row r="460" spans="2:3" ht="14.25" customHeight="1" x14ac:dyDescent="0.2">
      <c r="B460" s="27"/>
      <c r="C460" s="28"/>
    </row>
    <row r="461" spans="2:3" ht="14.25" customHeight="1" x14ac:dyDescent="0.2">
      <c r="B461" s="27"/>
      <c r="C461" s="28"/>
    </row>
    <row r="462" spans="2:3" ht="14.25" customHeight="1" x14ac:dyDescent="0.2">
      <c r="B462" s="27"/>
      <c r="C462" s="28"/>
    </row>
    <row r="463" spans="2:3" ht="14.25" customHeight="1" x14ac:dyDescent="0.2">
      <c r="B463" s="27"/>
      <c r="C463" s="28"/>
    </row>
    <row r="464" spans="2:3" ht="14.25" customHeight="1" x14ac:dyDescent="0.2">
      <c r="B464" s="27"/>
      <c r="C464" s="28"/>
    </row>
    <row r="465" spans="2:3" ht="14.25" customHeight="1" x14ac:dyDescent="0.2">
      <c r="B465" s="27"/>
      <c r="C465" s="28"/>
    </row>
    <row r="466" spans="2:3" ht="14.25" customHeight="1" x14ac:dyDescent="0.2">
      <c r="B466" s="27"/>
      <c r="C466" s="28"/>
    </row>
    <row r="467" spans="2:3" ht="14.25" customHeight="1" x14ac:dyDescent="0.2">
      <c r="B467" s="27"/>
      <c r="C467" s="28"/>
    </row>
    <row r="468" spans="2:3" ht="14.25" customHeight="1" x14ac:dyDescent="0.2">
      <c r="B468" s="27"/>
      <c r="C468" s="28"/>
    </row>
    <row r="469" spans="2:3" ht="14.25" customHeight="1" x14ac:dyDescent="0.2">
      <c r="B469" s="27"/>
      <c r="C469" s="28"/>
    </row>
    <row r="470" spans="2:3" ht="14.25" customHeight="1" x14ac:dyDescent="0.2">
      <c r="B470" s="27"/>
      <c r="C470" s="28"/>
    </row>
    <row r="471" spans="2:3" ht="14.25" customHeight="1" x14ac:dyDescent="0.2">
      <c r="B471" s="27"/>
      <c r="C471" s="28"/>
    </row>
    <row r="472" spans="2:3" ht="14.25" customHeight="1" x14ac:dyDescent="0.2">
      <c r="B472" s="27"/>
      <c r="C472" s="28"/>
    </row>
    <row r="473" spans="2:3" ht="14.25" customHeight="1" x14ac:dyDescent="0.2">
      <c r="B473" s="27"/>
      <c r="C473" s="28"/>
    </row>
    <row r="474" spans="2:3" ht="14.25" customHeight="1" x14ac:dyDescent="0.2">
      <c r="B474" s="27"/>
      <c r="C474" s="28"/>
    </row>
    <row r="475" spans="2:3" ht="14.25" customHeight="1" x14ac:dyDescent="0.2">
      <c r="B475" s="27"/>
      <c r="C475" s="28"/>
    </row>
    <row r="476" spans="2:3" ht="14.25" customHeight="1" x14ac:dyDescent="0.2">
      <c r="B476" s="27"/>
      <c r="C476" s="28"/>
    </row>
    <row r="477" spans="2:3" ht="14.25" customHeight="1" x14ac:dyDescent="0.2">
      <c r="B477" s="27"/>
      <c r="C477" s="28"/>
    </row>
    <row r="478" spans="2:3" ht="14.25" customHeight="1" x14ac:dyDescent="0.2">
      <c r="B478" s="27"/>
      <c r="C478" s="28"/>
    </row>
    <row r="479" spans="2:3" ht="14.25" customHeight="1" x14ac:dyDescent="0.2">
      <c r="B479" s="27"/>
      <c r="C479" s="28"/>
    </row>
    <row r="480" spans="2:3" ht="14.25" customHeight="1" x14ac:dyDescent="0.2">
      <c r="B480" s="27"/>
      <c r="C480" s="28"/>
    </row>
    <row r="481" spans="2:3" ht="14.25" customHeight="1" x14ac:dyDescent="0.2">
      <c r="B481" s="27"/>
      <c r="C481" s="28"/>
    </row>
    <row r="482" spans="2:3" ht="14.25" customHeight="1" x14ac:dyDescent="0.2">
      <c r="B482" s="27"/>
      <c r="C482" s="28"/>
    </row>
    <row r="483" spans="2:3" ht="14.25" customHeight="1" x14ac:dyDescent="0.2">
      <c r="B483" s="27"/>
      <c r="C483" s="28"/>
    </row>
    <row r="484" spans="2:3" ht="14.25" customHeight="1" x14ac:dyDescent="0.2">
      <c r="B484" s="27"/>
      <c r="C484" s="28"/>
    </row>
    <row r="485" spans="2:3" ht="14.25" customHeight="1" x14ac:dyDescent="0.2">
      <c r="B485" s="27"/>
      <c r="C485" s="28"/>
    </row>
    <row r="486" spans="2:3" ht="14.25" customHeight="1" x14ac:dyDescent="0.2">
      <c r="B486" s="27"/>
      <c r="C486" s="28"/>
    </row>
    <row r="487" spans="2:3" ht="14.25" customHeight="1" x14ac:dyDescent="0.2">
      <c r="B487" s="27"/>
      <c r="C487" s="28"/>
    </row>
    <row r="488" spans="2:3" ht="14.25" customHeight="1" x14ac:dyDescent="0.2">
      <c r="B488" s="27"/>
      <c r="C488" s="28"/>
    </row>
    <row r="489" spans="2:3" ht="14.25" customHeight="1" x14ac:dyDescent="0.2">
      <c r="B489" s="27"/>
      <c r="C489" s="28"/>
    </row>
    <row r="490" spans="2:3" ht="14.25" customHeight="1" x14ac:dyDescent="0.2">
      <c r="B490" s="27"/>
      <c r="C490" s="28"/>
    </row>
    <row r="491" spans="2:3" ht="14.25" customHeight="1" x14ac:dyDescent="0.2">
      <c r="B491" s="27"/>
      <c r="C491" s="28"/>
    </row>
    <row r="492" spans="2:3" ht="14.25" customHeight="1" x14ac:dyDescent="0.2">
      <c r="B492" s="27"/>
      <c r="C492" s="28"/>
    </row>
    <row r="493" spans="2:3" ht="14.25" customHeight="1" x14ac:dyDescent="0.2">
      <c r="B493" s="27"/>
      <c r="C493" s="28"/>
    </row>
    <row r="494" spans="2:3" ht="14.25" customHeight="1" x14ac:dyDescent="0.2">
      <c r="B494" s="27"/>
      <c r="C494" s="28"/>
    </row>
    <row r="495" spans="2:3" ht="14.25" customHeight="1" x14ac:dyDescent="0.2">
      <c r="B495" s="27"/>
      <c r="C495" s="28"/>
    </row>
    <row r="496" spans="2:3" ht="14.25" customHeight="1" x14ac:dyDescent="0.2">
      <c r="B496" s="27"/>
      <c r="C496" s="28"/>
    </row>
    <row r="497" spans="2:3" ht="14.25" customHeight="1" x14ac:dyDescent="0.2">
      <c r="B497" s="27"/>
      <c r="C497" s="28"/>
    </row>
    <row r="498" spans="2:3" ht="14.25" customHeight="1" x14ac:dyDescent="0.2">
      <c r="B498" s="27"/>
      <c r="C498" s="28"/>
    </row>
    <row r="499" spans="2:3" ht="14.25" customHeight="1" x14ac:dyDescent="0.2">
      <c r="B499" s="27"/>
      <c r="C499" s="28"/>
    </row>
    <row r="500" spans="2:3" ht="14.25" customHeight="1" x14ac:dyDescent="0.2">
      <c r="B500" s="27"/>
      <c r="C500" s="28"/>
    </row>
    <row r="501" spans="2:3" ht="14.25" customHeight="1" x14ac:dyDescent="0.2">
      <c r="B501" s="27"/>
      <c r="C501" s="28"/>
    </row>
    <row r="502" spans="2:3" ht="14.25" customHeight="1" x14ac:dyDescent="0.2">
      <c r="B502" s="27"/>
      <c r="C502" s="28"/>
    </row>
    <row r="503" spans="2:3" ht="14.25" customHeight="1" x14ac:dyDescent="0.2">
      <c r="B503" s="27"/>
      <c r="C503" s="28"/>
    </row>
    <row r="504" spans="2:3" ht="14.25" customHeight="1" x14ac:dyDescent="0.2">
      <c r="B504" s="27"/>
      <c r="C504" s="28"/>
    </row>
    <row r="505" spans="2:3" ht="14.25" customHeight="1" x14ac:dyDescent="0.2">
      <c r="B505" s="27"/>
      <c r="C505" s="28"/>
    </row>
    <row r="506" spans="2:3" ht="14.25" customHeight="1" x14ac:dyDescent="0.2">
      <c r="B506" s="27"/>
      <c r="C506" s="28"/>
    </row>
    <row r="507" spans="2:3" ht="14.25" customHeight="1" x14ac:dyDescent="0.2">
      <c r="B507" s="27"/>
      <c r="C507" s="28"/>
    </row>
    <row r="508" spans="2:3" ht="14.25" customHeight="1" x14ac:dyDescent="0.2">
      <c r="B508" s="27"/>
      <c r="C508" s="28"/>
    </row>
    <row r="509" spans="2:3" ht="14.25" customHeight="1" x14ac:dyDescent="0.2">
      <c r="B509" s="27"/>
      <c r="C509" s="28"/>
    </row>
    <row r="510" spans="2:3" ht="14.25" customHeight="1" x14ac:dyDescent="0.2">
      <c r="B510" s="27"/>
      <c r="C510" s="28"/>
    </row>
    <row r="511" spans="2:3" ht="14.25" customHeight="1" x14ac:dyDescent="0.2">
      <c r="B511" s="27"/>
      <c r="C511" s="28"/>
    </row>
    <row r="512" spans="2:3" ht="14.25" customHeight="1" x14ac:dyDescent="0.2">
      <c r="B512" s="27"/>
      <c r="C512" s="28"/>
    </row>
    <row r="513" spans="2:3" ht="14.25" customHeight="1" x14ac:dyDescent="0.2">
      <c r="B513" s="27"/>
      <c r="C513" s="28"/>
    </row>
    <row r="514" spans="2:3" ht="14.25" customHeight="1" x14ac:dyDescent="0.2">
      <c r="B514" s="27"/>
      <c r="C514" s="28"/>
    </row>
    <row r="515" spans="2:3" ht="14.25" customHeight="1" x14ac:dyDescent="0.2">
      <c r="B515" s="27"/>
      <c r="C515" s="28"/>
    </row>
    <row r="516" spans="2:3" ht="14.25" customHeight="1" x14ac:dyDescent="0.2">
      <c r="B516" s="27"/>
      <c r="C516" s="28"/>
    </row>
    <row r="517" spans="2:3" ht="14.25" customHeight="1" x14ac:dyDescent="0.2">
      <c r="B517" s="27"/>
      <c r="C517" s="28"/>
    </row>
    <row r="518" spans="2:3" ht="14.25" customHeight="1" x14ac:dyDescent="0.2">
      <c r="B518" s="27"/>
      <c r="C518" s="28"/>
    </row>
    <row r="519" spans="2:3" ht="14.25" customHeight="1" x14ac:dyDescent="0.2">
      <c r="B519" s="27"/>
      <c r="C519" s="28"/>
    </row>
    <row r="520" spans="2:3" ht="14.25" customHeight="1" x14ac:dyDescent="0.2">
      <c r="B520" s="27"/>
      <c r="C520" s="28"/>
    </row>
    <row r="521" spans="2:3" ht="14.25" customHeight="1" x14ac:dyDescent="0.2">
      <c r="B521" s="27"/>
      <c r="C521" s="28"/>
    </row>
    <row r="522" spans="2:3" ht="14.25" customHeight="1" x14ac:dyDescent="0.2">
      <c r="B522" s="27"/>
      <c r="C522" s="28"/>
    </row>
    <row r="523" spans="2:3" ht="14.25" customHeight="1" x14ac:dyDescent="0.2">
      <c r="B523" s="27"/>
      <c r="C523" s="28"/>
    </row>
    <row r="524" spans="2:3" ht="14.25" customHeight="1" x14ac:dyDescent="0.2">
      <c r="B524" s="27"/>
      <c r="C524" s="28"/>
    </row>
    <row r="525" spans="2:3" ht="14.25" customHeight="1" x14ac:dyDescent="0.2">
      <c r="B525" s="27"/>
      <c r="C525" s="28"/>
    </row>
    <row r="526" spans="2:3" ht="14.25" customHeight="1" x14ac:dyDescent="0.2">
      <c r="B526" s="27"/>
      <c r="C526" s="28"/>
    </row>
    <row r="527" spans="2:3" ht="14.25" customHeight="1" x14ac:dyDescent="0.2">
      <c r="B527" s="27"/>
      <c r="C527" s="28"/>
    </row>
    <row r="528" spans="2:3" ht="14.25" customHeight="1" x14ac:dyDescent="0.2">
      <c r="B528" s="27"/>
      <c r="C528" s="28"/>
    </row>
    <row r="529" spans="2:3" ht="14.25" customHeight="1" x14ac:dyDescent="0.2">
      <c r="B529" s="27"/>
      <c r="C529" s="28"/>
    </row>
    <row r="530" spans="2:3" ht="14.25" customHeight="1" x14ac:dyDescent="0.2">
      <c r="B530" s="27"/>
      <c r="C530" s="28"/>
    </row>
    <row r="531" spans="2:3" ht="14.25" customHeight="1" x14ac:dyDescent="0.2">
      <c r="B531" s="27"/>
      <c r="C531" s="28"/>
    </row>
    <row r="532" spans="2:3" ht="14.25" customHeight="1" x14ac:dyDescent="0.2">
      <c r="B532" s="27"/>
      <c r="C532" s="28"/>
    </row>
    <row r="533" spans="2:3" ht="14.25" customHeight="1" x14ac:dyDescent="0.2">
      <c r="B533" s="27"/>
      <c r="C533" s="28"/>
    </row>
    <row r="534" spans="2:3" ht="14.25" customHeight="1" x14ac:dyDescent="0.2">
      <c r="B534" s="27"/>
      <c r="C534" s="28"/>
    </row>
    <row r="535" spans="2:3" ht="14.25" customHeight="1" x14ac:dyDescent="0.2">
      <c r="B535" s="27"/>
      <c r="C535" s="28"/>
    </row>
    <row r="536" spans="2:3" ht="14.25" customHeight="1" x14ac:dyDescent="0.2">
      <c r="B536" s="27"/>
      <c r="C536" s="28"/>
    </row>
    <row r="537" spans="2:3" ht="14.25" customHeight="1" x14ac:dyDescent="0.2">
      <c r="B537" s="27"/>
      <c r="C537" s="28"/>
    </row>
    <row r="538" spans="2:3" ht="14.25" customHeight="1" x14ac:dyDescent="0.2">
      <c r="B538" s="27"/>
      <c r="C538" s="28"/>
    </row>
    <row r="539" spans="2:3" ht="14.25" customHeight="1" x14ac:dyDescent="0.2">
      <c r="B539" s="27"/>
      <c r="C539" s="28"/>
    </row>
    <row r="540" spans="2:3" ht="14.25" customHeight="1" x14ac:dyDescent="0.2">
      <c r="B540" s="27"/>
      <c r="C540" s="28"/>
    </row>
    <row r="541" spans="2:3" ht="14.25" customHeight="1" x14ac:dyDescent="0.2">
      <c r="B541" s="27"/>
      <c r="C541" s="28"/>
    </row>
    <row r="542" spans="2:3" ht="14.25" customHeight="1" x14ac:dyDescent="0.2">
      <c r="B542" s="27"/>
      <c r="C542" s="28"/>
    </row>
    <row r="543" spans="2:3" ht="14.25" customHeight="1" x14ac:dyDescent="0.2">
      <c r="B543" s="27"/>
      <c r="C543" s="28"/>
    </row>
    <row r="544" spans="2:3" ht="14.25" customHeight="1" x14ac:dyDescent="0.2">
      <c r="B544" s="27"/>
      <c r="C544" s="28"/>
    </row>
    <row r="545" spans="2:3" ht="14.25" customHeight="1" x14ac:dyDescent="0.2">
      <c r="B545" s="27"/>
      <c r="C545" s="28"/>
    </row>
    <row r="546" spans="2:3" ht="14.25" customHeight="1" x14ac:dyDescent="0.2">
      <c r="B546" s="27"/>
      <c r="C546" s="28"/>
    </row>
    <row r="547" spans="2:3" ht="14.25" customHeight="1" x14ac:dyDescent="0.2">
      <c r="B547" s="27"/>
      <c r="C547" s="28"/>
    </row>
    <row r="548" spans="2:3" ht="14.25" customHeight="1" x14ac:dyDescent="0.2">
      <c r="B548" s="27"/>
      <c r="C548" s="28"/>
    </row>
    <row r="549" spans="2:3" ht="14.25" customHeight="1" x14ac:dyDescent="0.2">
      <c r="B549" s="27"/>
      <c r="C549" s="28"/>
    </row>
    <row r="550" spans="2:3" ht="14.25" customHeight="1" x14ac:dyDescent="0.2">
      <c r="B550" s="27"/>
      <c r="C550" s="28"/>
    </row>
    <row r="551" spans="2:3" ht="14.25" customHeight="1" x14ac:dyDescent="0.2">
      <c r="B551" s="27"/>
      <c r="C551" s="28"/>
    </row>
    <row r="552" spans="2:3" ht="14.25" customHeight="1" x14ac:dyDescent="0.2">
      <c r="B552" s="27"/>
      <c r="C552" s="28"/>
    </row>
    <row r="553" spans="2:3" ht="14.25" customHeight="1" x14ac:dyDescent="0.2">
      <c r="B553" s="27"/>
      <c r="C553" s="28"/>
    </row>
    <row r="554" spans="2:3" ht="14.25" customHeight="1" x14ac:dyDescent="0.2">
      <c r="B554" s="27"/>
      <c r="C554" s="28"/>
    </row>
    <row r="555" spans="2:3" ht="14.25" customHeight="1" x14ac:dyDescent="0.2">
      <c r="B555" s="27"/>
      <c r="C555" s="28"/>
    </row>
    <row r="556" spans="2:3" ht="14.25" customHeight="1" x14ac:dyDescent="0.2">
      <c r="B556" s="27"/>
      <c r="C556" s="28"/>
    </row>
    <row r="557" spans="2:3" ht="14.25" customHeight="1" x14ac:dyDescent="0.2">
      <c r="B557" s="27"/>
      <c r="C557" s="28"/>
    </row>
    <row r="558" spans="2:3" ht="14.25" customHeight="1" x14ac:dyDescent="0.2">
      <c r="B558" s="27"/>
      <c r="C558" s="28"/>
    </row>
    <row r="559" spans="2:3" ht="14.25" customHeight="1" x14ac:dyDescent="0.2">
      <c r="B559" s="27"/>
      <c r="C559" s="28"/>
    </row>
    <row r="560" spans="2:3" ht="14.25" customHeight="1" x14ac:dyDescent="0.2">
      <c r="B560" s="27"/>
      <c r="C560" s="28"/>
    </row>
    <row r="561" spans="2:3" ht="14.25" customHeight="1" x14ac:dyDescent="0.2">
      <c r="B561" s="27"/>
      <c r="C561" s="28"/>
    </row>
    <row r="562" spans="2:3" ht="14.25" customHeight="1" x14ac:dyDescent="0.2">
      <c r="B562" s="27"/>
      <c r="C562" s="28"/>
    </row>
    <row r="563" spans="2:3" ht="14.25" customHeight="1" x14ac:dyDescent="0.2">
      <c r="B563" s="27"/>
      <c r="C563" s="28"/>
    </row>
    <row r="564" spans="2:3" ht="14.25" customHeight="1" x14ac:dyDescent="0.2">
      <c r="B564" s="27"/>
      <c r="C564" s="28"/>
    </row>
    <row r="565" spans="2:3" ht="14.25" customHeight="1" x14ac:dyDescent="0.2">
      <c r="B565" s="27"/>
      <c r="C565" s="28"/>
    </row>
    <row r="566" spans="2:3" ht="14.25" customHeight="1" x14ac:dyDescent="0.2">
      <c r="B566" s="27"/>
      <c r="C566" s="28"/>
    </row>
    <row r="567" spans="2:3" ht="14.25" customHeight="1" x14ac:dyDescent="0.2">
      <c r="B567" s="27"/>
      <c r="C567" s="28"/>
    </row>
    <row r="568" spans="2:3" ht="14.25" customHeight="1" x14ac:dyDescent="0.2">
      <c r="B568" s="27"/>
      <c r="C568" s="28"/>
    </row>
    <row r="569" spans="2:3" ht="14.25" customHeight="1" x14ac:dyDescent="0.2">
      <c r="B569" s="27"/>
      <c r="C569" s="28"/>
    </row>
    <row r="570" spans="2:3" ht="14.25" customHeight="1" x14ac:dyDescent="0.2">
      <c r="B570" s="27"/>
      <c r="C570" s="28"/>
    </row>
    <row r="571" spans="2:3" ht="14.25" customHeight="1" x14ac:dyDescent="0.2">
      <c r="B571" s="27"/>
      <c r="C571" s="28"/>
    </row>
    <row r="572" spans="2:3" ht="14.25" customHeight="1" x14ac:dyDescent="0.2">
      <c r="B572" s="27"/>
      <c r="C572" s="28"/>
    </row>
    <row r="573" spans="2:3" ht="14.25" customHeight="1" x14ac:dyDescent="0.2">
      <c r="B573" s="27"/>
      <c r="C573" s="28"/>
    </row>
    <row r="574" spans="2:3" ht="14.25" customHeight="1" x14ac:dyDescent="0.2">
      <c r="B574" s="27"/>
      <c r="C574" s="28"/>
    </row>
    <row r="575" spans="2:3" ht="14.25" customHeight="1" x14ac:dyDescent="0.2">
      <c r="B575" s="27"/>
      <c r="C575" s="28"/>
    </row>
    <row r="576" spans="2:3" ht="14.25" customHeight="1" x14ac:dyDescent="0.2">
      <c r="B576" s="27"/>
      <c r="C576" s="28"/>
    </row>
    <row r="577" spans="2:3" ht="14.25" customHeight="1" x14ac:dyDescent="0.2">
      <c r="B577" s="27"/>
      <c r="C577" s="28"/>
    </row>
    <row r="578" spans="2:3" ht="14.25" customHeight="1" x14ac:dyDescent="0.2">
      <c r="B578" s="27"/>
      <c r="C578" s="28"/>
    </row>
    <row r="579" spans="2:3" ht="14.25" customHeight="1" x14ac:dyDescent="0.2">
      <c r="B579" s="27"/>
      <c r="C579" s="28"/>
    </row>
    <row r="580" spans="2:3" ht="14.25" customHeight="1" x14ac:dyDescent="0.2">
      <c r="B580" s="27"/>
      <c r="C580" s="28"/>
    </row>
    <row r="581" spans="2:3" ht="14.25" customHeight="1" x14ac:dyDescent="0.2">
      <c r="B581" s="27"/>
      <c r="C581" s="28"/>
    </row>
    <row r="582" spans="2:3" ht="14.25" customHeight="1" x14ac:dyDescent="0.2">
      <c r="B582" s="27"/>
      <c r="C582" s="28"/>
    </row>
    <row r="583" spans="2:3" ht="14.25" customHeight="1" x14ac:dyDescent="0.2">
      <c r="B583" s="27"/>
      <c r="C583" s="28"/>
    </row>
    <row r="584" spans="2:3" ht="14.25" customHeight="1" x14ac:dyDescent="0.2">
      <c r="B584" s="27"/>
      <c r="C584" s="28"/>
    </row>
    <row r="585" spans="2:3" ht="14.25" customHeight="1" x14ac:dyDescent="0.2">
      <c r="B585" s="27"/>
      <c r="C585" s="28"/>
    </row>
    <row r="586" spans="2:3" ht="14.25" customHeight="1" x14ac:dyDescent="0.2">
      <c r="B586" s="27"/>
      <c r="C586" s="28"/>
    </row>
    <row r="587" spans="2:3" ht="14.25" customHeight="1" x14ac:dyDescent="0.2">
      <c r="B587" s="27"/>
      <c r="C587" s="28"/>
    </row>
    <row r="588" spans="2:3" ht="14.25" customHeight="1" x14ac:dyDescent="0.2">
      <c r="B588" s="27"/>
      <c r="C588" s="28"/>
    </row>
    <row r="589" spans="2:3" ht="14.25" customHeight="1" x14ac:dyDescent="0.2">
      <c r="B589" s="27"/>
      <c r="C589" s="28"/>
    </row>
    <row r="590" spans="2:3" ht="14.25" customHeight="1" x14ac:dyDescent="0.2">
      <c r="B590" s="27"/>
      <c r="C590" s="28"/>
    </row>
    <row r="591" spans="2:3" ht="14.25" customHeight="1" x14ac:dyDescent="0.2">
      <c r="B591" s="27"/>
      <c r="C591" s="28"/>
    </row>
    <row r="592" spans="2:3" ht="14.25" customHeight="1" x14ac:dyDescent="0.2">
      <c r="B592" s="27"/>
      <c r="C592" s="28"/>
    </row>
    <row r="593" spans="2:3" ht="14.25" customHeight="1" x14ac:dyDescent="0.2">
      <c r="B593" s="27"/>
      <c r="C593" s="28"/>
    </row>
    <row r="594" spans="2:3" ht="14.25" customHeight="1" x14ac:dyDescent="0.2">
      <c r="B594" s="27"/>
      <c r="C594" s="28"/>
    </row>
    <row r="595" spans="2:3" ht="14.25" customHeight="1" x14ac:dyDescent="0.2">
      <c r="B595" s="27"/>
      <c r="C595" s="28"/>
    </row>
    <row r="596" spans="2:3" ht="14.25" customHeight="1" x14ac:dyDescent="0.2">
      <c r="B596" s="27"/>
      <c r="C596" s="28"/>
    </row>
    <row r="597" spans="2:3" ht="14.25" customHeight="1" x14ac:dyDescent="0.2">
      <c r="B597" s="27"/>
      <c r="C597" s="28"/>
    </row>
    <row r="598" spans="2:3" ht="14.25" customHeight="1" x14ac:dyDescent="0.2">
      <c r="B598" s="27"/>
      <c r="C598" s="28"/>
    </row>
    <row r="599" spans="2:3" ht="14.25" customHeight="1" x14ac:dyDescent="0.2">
      <c r="B599" s="27"/>
      <c r="C599" s="28"/>
    </row>
    <row r="600" spans="2:3" ht="14.25" customHeight="1" x14ac:dyDescent="0.2">
      <c r="B600" s="27"/>
      <c r="C600" s="28"/>
    </row>
    <row r="601" spans="2:3" ht="14.25" customHeight="1" x14ac:dyDescent="0.2">
      <c r="B601" s="27"/>
      <c r="C601" s="28"/>
    </row>
    <row r="602" spans="2:3" ht="14.25" customHeight="1" x14ac:dyDescent="0.2">
      <c r="B602" s="27"/>
      <c r="C602" s="28"/>
    </row>
    <row r="603" spans="2:3" ht="14.25" customHeight="1" x14ac:dyDescent="0.2">
      <c r="B603" s="27"/>
      <c r="C603" s="28"/>
    </row>
    <row r="604" spans="2:3" ht="14.25" customHeight="1" x14ac:dyDescent="0.2">
      <c r="B604" s="27"/>
      <c r="C604" s="28"/>
    </row>
    <row r="605" spans="2:3" ht="14.25" customHeight="1" x14ac:dyDescent="0.2">
      <c r="B605" s="27"/>
      <c r="C605" s="28"/>
    </row>
    <row r="606" spans="2:3" ht="14.25" customHeight="1" x14ac:dyDescent="0.2">
      <c r="B606" s="27"/>
      <c r="C606" s="28"/>
    </row>
    <row r="607" spans="2:3" ht="14.25" customHeight="1" x14ac:dyDescent="0.2">
      <c r="B607" s="27"/>
      <c r="C607" s="28"/>
    </row>
    <row r="608" spans="2:3" ht="14.25" customHeight="1" x14ac:dyDescent="0.2">
      <c r="B608" s="27"/>
      <c r="C608" s="28"/>
    </row>
    <row r="609" spans="2:3" ht="14.25" customHeight="1" x14ac:dyDescent="0.2">
      <c r="B609" s="27"/>
      <c r="C609" s="28"/>
    </row>
    <row r="610" spans="2:3" ht="14.25" customHeight="1" x14ac:dyDescent="0.2">
      <c r="B610" s="27"/>
      <c r="C610" s="28"/>
    </row>
    <row r="611" spans="2:3" ht="14.25" customHeight="1" x14ac:dyDescent="0.2">
      <c r="B611" s="27"/>
      <c r="C611" s="28"/>
    </row>
    <row r="612" spans="2:3" ht="14.25" customHeight="1" x14ac:dyDescent="0.2">
      <c r="B612" s="27"/>
      <c r="C612" s="28"/>
    </row>
    <row r="613" spans="2:3" ht="14.25" customHeight="1" x14ac:dyDescent="0.2">
      <c r="B613" s="27"/>
      <c r="C613" s="28"/>
    </row>
    <row r="614" spans="2:3" ht="14.25" customHeight="1" x14ac:dyDescent="0.2">
      <c r="B614" s="27"/>
      <c r="C614" s="28"/>
    </row>
    <row r="615" spans="2:3" ht="14.25" customHeight="1" x14ac:dyDescent="0.2">
      <c r="B615" s="27"/>
      <c r="C615" s="28"/>
    </row>
    <row r="616" spans="2:3" ht="14.25" customHeight="1" x14ac:dyDescent="0.2">
      <c r="B616" s="27"/>
      <c r="C616" s="28"/>
    </row>
    <row r="617" spans="2:3" ht="14.25" customHeight="1" x14ac:dyDescent="0.2">
      <c r="B617" s="27"/>
      <c r="C617" s="28"/>
    </row>
    <row r="618" spans="2:3" ht="14.25" customHeight="1" x14ac:dyDescent="0.2">
      <c r="B618" s="27"/>
      <c r="C618" s="28"/>
    </row>
    <row r="619" spans="2:3" ht="14.25" customHeight="1" x14ac:dyDescent="0.2">
      <c r="B619" s="27"/>
      <c r="C619" s="28"/>
    </row>
    <row r="620" spans="2:3" ht="14.25" customHeight="1" x14ac:dyDescent="0.2">
      <c r="B620" s="27"/>
      <c r="C620" s="28"/>
    </row>
    <row r="621" spans="2:3" ht="14.25" customHeight="1" x14ac:dyDescent="0.2">
      <c r="B621" s="27"/>
      <c r="C621" s="28"/>
    </row>
    <row r="622" spans="2:3" ht="14.25" customHeight="1" x14ac:dyDescent="0.2">
      <c r="B622" s="27"/>
      <c r="C622" s="28"/>
    </row>
    <row r="623" spans="2:3" ht="14.25" customHeight="1" x14ac:dyDescent="0.2">
      <c r="B623" s="27"/>
      <c r="C623" s="28"/>
    </row>
    <row r="624" spans="2:3" ht="14.25" customHeight="1" x14ac:dyDescent="0.2">
      <c r="B624" s="27"/>
      <c r="C624" s="28"/>
    </row>
    <row r="625" spans="2:3" ht="14.25" customHeight="1" x14ac:dyDescent="0.2">
      <c r="B625" s="27"/>
      <c r="C625" s="28"/>
    </row>
    <row r="626" spans="2:3" ht="14.25" customHeight="1" x14ac:dyDescent="0.2">
      <c r="B626" s="27"/>
      <c r="C626" s="28"/>
    </row>
    <row r="627" spans="2:3" ht="14.25" customHeight="1" x14ac:dyDescent="0.2">
      <c r="B627" s="27"/>
      <c r="C627" s="28"/>
    </row>
    <row r="628" spans="2:3" ht="14.25" customHeight="1" x14ac:dyDescent="0.2">
      <c r="B628" s="27"/>
      <c r="C628" s="28"/>
    </row>
    <row r="629" spans="2:3" ht="14.25" customHeight="1" x14ac:dyDescent="0.2">
      <c r="B629" s="27"/>
      <c r="C629" s="28"/>
    </row>
    <row r="630" spans="2:3" ht="14.25" customHeight="1" x14ac:dyDescent="0.2">
      <c r="B630" s="27"/>
      <c r="C630" s="28"/>
    </row>
    <row r="631" spans="2:3" ht="14.25" customHeight="1" x14ac:dyDescent="0.2">
      <c r="B631" s="27"/>
      <c r="C631" s="28"/>
    </row>
    <row r="632" spans="2:3" ht="14.25" customHeight="1" x14ac:dyDescent="0.2">
      <c r="B632" s="27"/>
      <c r="C632" s="28"/>
    </row>
    <row r="633" spans="2:3" ht="14.25" customHeight="1" x14ac:dyDescent="0.2">
      <c r="B633" s="27"/>
      <c r="C633" s="28"/>
    </row>
    <row r="634" spans="2:3" ht="14.25" customHeight="1" x14ac:dyDescent="0.2">
      <c r="B634" s="27"/>
      <c r="C634" s="28"/>
    </row>
    <row r="635" spans="2:3" ht="14.25" customHeight="1" x14ac:dyDescent="0.2">
      <c r="B635" s="27"/>
      <c r="C635" s="28"/>
    </row>
    <row r="636" spans="2:3" ht="14.25" customHeight="1" x14ac:dyDescent="0.2">
      <c r="B636" s="27"/>
      <c r="C636" s="28"/>
    </row>
    <row r="637" spans="2:3" ht="14.25" customHeight="1" x14ac:dyDescent="0.2">
      <c r="B637" s="27"/>
      <c r="C637" s="28"/>
    </row>
    <row r="638" spans="2:3" ht="14.25" customHeight="1" x14ac:dyDescent="0.2">
      <c r="B638" s="27"/>
      <c r="C638" s="28"/>
    </row>
    <row r="639" spans="2:3" ht="14.25" customHeight="1" x14ac:dyDescent="0.2">
      <c r="B639" s="27"/>
      <c r="C639" s="28"/>
    </row>
    <row r="640" spans="2:3" ht="14.25" customHeight="1" x14ac:dyDescent="0.2">
      <c r="B640" s="27"/>
      <c r="C640" s="28"/>
    </row>
    <row r="641" spans="2:3" ht="14.25" customHeight="1" x14ac:dyDescent="0.2">
      <c r="B641" s="27"/>
      <c r="C641" s="28"/>
    </row>
    <row r="642" spans="2:3" ht="14.25" customHeight="1" x14ac:dyDescent="0.2">
      <c r="B642" s="27"/>
      <c r="C642" s="28"/>
    </row>
    <row r="643" spans="2:3" ht="14.25" customHeight="1" x14ac:dyDescent="0.2">
      <c r="B643" s="27"/>
      <c r="C643" s="28"/>
    </row>
    <row r="644" spans="2:3" ht="14.25" customHeight="1" x14ac:dyDescent="0.2">
      <c r="B644" s="27"/>
      <c r="C644" s="28"/>
    </row>
    <row r="645" spans="2:3" ht="14.25" customHeight="1" x14ac:dyDescent="0.2">
      <c r="B645" s="27"/>
      <c r="C645" s="28"/>
    </row>
    <row r="646" spans="2:3" ht="14.25" customHeight="1" x14ac:dyDescent="0.2">
      <c r="B646" s="27"/>
      <c r="C646" s="28"/>
    </row>
    <row r="647" spans="2:3" ht="14.25" customHeight="1" x14ac:dyDescent="0.2">
      <c r="B647" s="27"/>
      <c r="C647" s="28"/>
    </row>
    <row r="648" spans="2:3" ht="14.25" customHeight="1" x14ac:dyDescent="0.2">
      <c r="B648" s="27"/>
      <c r="C648" s="28"/>
    </row>
    <row r="649" spans="2:3" ht="14.25" customHeight="1" x14ac:dyDescent="0.2">
      <c r="B649" s="27"/>
      <c r="C649" s="28"/>
    </row>
    <row r="650" spans="2:3" ht="14.25" customHeight="1" x14ac:dyDescent="0.2">
      <c r="B650" s="27"/>
      <c r="C650" s="28"/>
    </row>
    <row r="651" spans="2:3" ht="14.25" customHeight="1" x14ac:dyDescent="0.2">
      <c r="B651" s="27"/>
      <c r="C651" s="28"/>
    </row>
    <row r="652" spans="2:3" ht="14.25" customHeight="1" x14ac:dyDescent="0.2">
      <c r="B652" s="27"/>
      <c r="C652" s="28"/>
    </row>
    <row r="653" spans="2:3" ht="14.25" customHeight="1" x14ac:dyDescent="0.2">
      <c r="B653" s="27"/>
      <c r="C653" s="28"/>
    </row>
    <row r="654" spans="2:3" ht="14.25" customHeight="1" x14ac:dyDescent="0.2">
      <c r="B654" s="27"/>
      <c r="C654" s="28"/>
    </row>
    <row r="655" spans="2:3" ht="14.25" customHeight="1" x14ac:dyDescent="0.2">
      <c r="B655" s="27"/>
      <c r="C655" s="28"/>
    </row>
    <row r="656" spans="2:3" ht="14.25" customHeight="1" x14ac:dyDescent="0.2">
      <c r="B656" s="27"/>
      <c r="C656" s="28"/>
    </row>
    <row r="657" spans="2:3" ht="14.25" customHeight="1" x14ac:dyDescent="0.2">
      <c r="B657" s="27"/>
      <c r="C657" s="28"/>
    </row>
    <row r="658" spans="2:3" ht="14.25" customHeight="1" x14ac:dyDescent="0.2">
      <c r="B658" s="27"/>
      <c r="C658" s="28"/>
    </row>
    <row r="659" spans="2:3" ht="14.25" customHeight="1" x14ac:dyDescent="0.2">
      <c r="B659" s="27"/>
      <c r="C659" s="28"/>
    </row>
    <row r="660" spans="2:3" ht="14.25" customHeight="1" x14ac:dyDescent="0.2">
      <c r="B660" s="27"/>
      <c r="C660" s="28"/>
    </row>
    <row r="661" spans="2:3" ht="14.25" customHeight="1" x14ac:dyDescent="0.2">
      <c r="B661" s="27"/>
      <c r="C661" s="28"/>
    </row>
    <row r="662" spans="2:3" ht="14.25" customHeight="1" x14ac:dyDescent="0.2">
      <c r="B662" s="27"/>
      <c r="C662" s="28"/>
    </row>
    <row r="663" spans="2:3" ht="14.25" customHeight="1" x14ac:dyDescent="0.2">
      <c r="B663" s="27"/>
      <c r="C663" s="28"/>
    </row>
    <row r="664" spans="2:3" ht="14.25" customHeight="1" x14ac:dyDescent="0.2">
      <c r="B664" s="27"/>
      <c r="C664" s="28"/>
    </row>
    <row r="665" spans="2:3" ht="14.25" customHeight="1" x14ac:dyDescent="0.2">
      <c r="B665" s="27"/>
      <c r="C665" s="28"/>
    </row>
    <row r="666" spans="2:3" ht="14.25" customHeight="1" x14ac:dyDescent="0.2">
      <c r="B666" s="27"/>
      <c r="C666" s="28"/>
    </row>
    <row r="667" spans="2:3" ht="14.25" customHeight="1" x14ac:dyDescent="0.2">
      <c r="B667" s="27"/>
      <c r="C667" s="28"/>
    </row>
    <row r="668" spans="2:3" ht="14.25" customHeight="1" x14ac:dyDescent="0.2">
      <c r="B668" s="27"/>
      <c r="C668" s="28"/>
    </row>
    <row r="669" spans="2:3" ht="14.25" customHeight="1" x14ac:dyDescent="0.2">
      <c r="B669" s="27"/>
      <c r="C669" s="28"/>
    </row>
    <row r="670" spans="2:3" ht="14.25" customHeight="1" x14ac:dyDescent="0.2">
      <c r="B670" s="27"/>
      <c r="C670" s="28"/>
    </row>
    <row r="671" spans="2:3" ht="14.25" customHeight="1" x14ac:dyDescent="0.2">
      <c r="B671" s="27"/>
      <c r="C671" s="28"/>
    </row>
    <row r="672" spans="2:3" ht="14.25" customHeight="1" x14ac:dyDescent="0.2">
      <c r="B672" s="27"/>
      <c r="C672" s="28"/>
    </row>
    <row r="673" spans="2:3" ht="14.25" customHeight="1" x14ac:dyDescent="0.2">
      <c r="B673" s="27"/>
      <c r="C673" s="28"/>
    </row>
    <row r="674" spans="2:3" ht="14.25" customHeight="1" x14ac:dyDescent="0.2">
      <c r="B674" s="27"/>
      <c r="C674" s="28"/>
    </row>
    <row r="675" spans="2:3" ht="14.25" customHeight="1" x14ac:dyDescent="0.2">
      <c r="B675" s="27"/>
      <c r="C675" s="28"/>
    </row>
    <row r="676" spans="2:3" ht="14.25" customHeight="1" x14ac:dyDescent="0.2">
      <c r="B676" s="27"/>
      <c r="C676" s="28"/>
    </row>
    <row r="677" spans="2:3" ht="14.25" customHeight="1" x14ac:dyDescent="0.2">
      <c r="B677" s="27"/>
      <c r="C677" s="28"/>
    </row>
    <row r="678" spans="2:3" ht="14.25" customHeight="1" x14ac:dyDescent="0.2">
      <c r="B678" s="27"/>
      <c r="C678" s="28"/>
    </row>
    <row r="679" spans="2:3" ht="14.25" customHeight="1" x14ac:dyDescent="0.2">
      <c r="B679" s="27"/>
      <c r="C679" s="28"/>
    </row>
    <row r="680" spans="2:3" ht="14.25" customHeight="1" x14ac:dyDescent="0.2">
      <c r="B680" s="27"/>
      <c r="C680" s="28"/>
    </row>
    <row r="681" spans="2:3" ht="14.25" customHeight="1" x14ac:dyDescent="0.2">
      <c r="B681" s="27"/>
      <c r="C681" s="28"/>
    </row>
    <row r="682" spans="2:3" ht="14.25" customHeight="1" x14ac:dyDescent="0.2">
      <c r="B682" s="27"/>
      <c r="C682" s="28"/>
    </row>
    <row r="683" spans="2:3" ht="14.25" customHeight="1" x14ac:dyDescent="0.2">
      <c r="B683" s="27"/>
      <c r="C683" s="28"/>
    </row>
    <row r="684" spans="2:3" ht="14.25" customHeight="1" x14ac:dyDescent="0.2">
      <c r="B684" s="27"/>
      <c r="C684" s="28"/>
    </row>
    <row r="685" spans="2:3" ht="14.25" customHeight="1" x14ac:dyDescent="0.2">
      <c r="B685" s="27"/>
      <c r="C685" s="28"/>
    </row>
    <row r="686" spans="2:3" ht="14.25" customHeight="1" x14ac:dyDescent="0.2">
      <c r="B686" s="27"/>
      <c r="C686" s="28"/>
    </row>
    <row r="687" spans="2:3" ht="14.25" customHeight="1" x14ac:dyDescent="0.2">
      <c r="B687" s="27"/>
      <c r="C687" s="28"/>
    </row>
    <row r="688" spans="2:3" ht="14.25" customHeight="1" x14ac:dyDescent="0.2">
      <c r="B688" s="27"/>
      <c r="C688" s="28"/>
    </row>
    <row r="689" spans="2:3" ht="14.25" customHeight="1" x14ac:dyDescent="0.2">
      <c r="B689" s="27"/>
      <c r="C689" s="28"/>
    </row>
    <row r="690" spans="2:3" ht="14.25" customHeight="1" x14ac:dyDescent="0.2">
      <c r="B690" s="27"/>
      <c r="C690" s="28"/>
    </row>
    <row r="691" spans="2:3" ht="14.25" customHeight="1" x14ac:dyDescent="0.2">
      <c r="B691" s="27"/>
      <c r="C691" s="28"/>
    </row>
    <row r="692" spans="2:3" ht="14.25" customHeight="1" x14ac:dyDescent="0.2">
      <c r="B692" s="27"/>
      <c r="C692" s="28"/>
    </row>
    <row r="693" spans="2:3" ht="14.25" customHeight="1" x14ac:dyDescent="0.2">
      <c r="B693" s="27"/>
      <c r="C693" s="28"/>
    </row>
    <row r="694" spans="2:3" ht="14.25" customHeight="1" x14ac:dyDescent="0.2">
      <c r="B694" s="27"/>
      <c r="C694" s="28"/>
    </row>
    <row r="695" spans="2:3" ht="14.25" customHeight="1" x14ac:dyDescent="0.2">
      <c r="B695" s="27"/>
      <c r="C695" s="28"/>
    </row>
    <row r="696" spans="2:3" ht="14.25" customHeight="1" x14ac:dyDescent="0.2">
      <c r="B696" s="27"/>
      <c r="C696" s="28"/>
    </row>
    <row r="697" spans="2:3" ht="14.25" customHeight="1" x14ac:dyDescent="0.2">
      <c r="B697" s="27"/>
      <c r="C697" s="28"/>
    </row>
    <row r="698" spans="2:3" ht="14.25" customHeight="1" x14ac:dyDescent="0.2">
      <c r="B698" s="27"/>
      <c r="C698" s="28"/>
    </row>
    <row r="699" spans="2:3" ht="14.25" customHeight="1" x14ac:dyDescent="0.2">
      <c r="B699" s="27"/>
      <c r="C699" s="28"/>
    </row>
    <row r="700" spans="2:3" ht="14.25" customHeight="1" x14ac:dyDescent="0.2">
      <c r="B700" s="27"/>
      <c r="C700" s="28"/>
    </row>
    <row r="701" spans="2:3" ht="14.25" customHeight="1" x14ac:dyDescent="0.2">
      <c r="B701" s="27"/>
      <c r="C701" s="28"/>
    </row>
    <row r="702" spans="2:3" ht="14.25" customHeight="1" x14ac:dyDescent="0.2">
      <c r="B702" s="27"/>
      <c r="C702" s="28"/>
    </row>
    <row r="703" spans="2:3" ht="14.25" customHeight="1" x14ac:dyDescent="0.2">
      <c r="B703" s="27"/>
      <c r="C703" s="28"/>
    </row>
    <row r="704" spans="2:3" ht="14.25" customHeight="1" x14ac:dyDescent="0.2">
      <c r="B704" s="27"/>
      <c r="C704" s="28"/>
    </row>
    <row r="705" spans="2:3" ht="14.25" customHeight="1" x14ac:dyDescent="0.2">
      <c r="B705" s="27"/>
      <c r="C705" s="28"/>
    </row>
    <row r="706" spans="2:3" ht="14.25" customHeight="1" x14ac:dyDescent="0.2">
      <c r="B706" s="27"/>
      <c r="C706" s="28"/>
    </row>
    <row r="707" spans="2:3" ht="14.25" customHeight="1" x14ac:dyDescent="0.2">
      <c r="B707" s="27"/>
      <c r="C707" s="28"/>
    </row>
    <row r="708" spans="2:3" ht="14.25" customHeight="1" x14ac:dyDescent="0.2">
      <c r="B708" s="27"/>
      <c r="C708" s="28"/>
    </row>
    <row r="709" spans="2:3" ht="14.25" customHeight="1" x14ac:dyDescent="0.2">
      <c r="B709" s="27"/>
      <c r="C709" s="28"/>
    </row>
    <row r="710" spans="2:3" ht="14.25" customHeight="1" x14ac:dyDescent="0.2">
      <c r="B710" s="27"/>
      <c r="C710" s="28"/>
    </row>
    <row r="711" spans="2:3" ht="14.25" customHeight="1" x14ac:dyDescent="0.2">
      <c r="B711" s="27"/>
      <c r="C711" s="28"/>
    </row>
    <row r="712" spans="2:3" ht="14.25" customHeight="1" x14ac:dyDescent="0.2">
      <c r="B712" s="27"/>
      <c r="C712" s="28"/>
    </row>
    <row r="713" spans="2:3" ht="14.25" customHeight="1" x14ac:dyDescent="0.2">
      <c r="B713" s="27"/>
      <c r="C713" s="28"/>
    </row>
    <row r="714" spans="2:3" ht="14.25" customHeight="1" x14ac:dyDescent="0.2">
      <c r="B714" s="27"/>
      <c r="C714" s="28"/>
    </row>
    <row r="715" spans="2:3" ht="14.25" customHeight="1" x14ac:dyDescent="0.2">
      <c r="B715" s="27"/>
      <c r="C715" s="28"/>
    </row>
    <row r="716" spans="2:3" ht="14.25" customHeight="1" x14ac:dyDescent="0.2">
      <c r="B716" s="27"/>
      <c r="C716" s="28"/>
    </row>
    <row r="717" spans="2:3" ht="14.25" customHeight="1" x14ac:dyDescent="0.2">
      <c r="B717" s="27"/>
      <c r="C717" s="28"/>
    </row>
    <row r="718" spans="2:3" ht="14.25" customHeight="1" x14ac:dyDescent="0.2">
      <c r="B718" s="27"/>
      <c r="C718" s="28"/>
    </row>
    <row r="719" spans="2:3" ht="14.25" customHeight="1" x14ac:dyDescent="0.2">
      <c r="B719" s="27"/>
      <c r="C719" s="28"/>
    </row>
    <row r="720" spans="2:3" ht="14.25" customHeight="1" x14ac:dyDescent="0.2">
      <c r="B720" s="27"/>
      <c r="C720" s="28"/>
    </row>
    <row r="721" spans="2:3" ht="14.25" customHeight="1" x14ac:dyDescent="0.2">
      <c r="B721" s="27"/>
      <c r="C721" s="28"/>
    </row>
    <row r="722" spans="2:3" ht="14.25" customHeight="1" x14ac:dyDescent="0.2">
      <c r="B722" s="27"/>
      <c r="C722" s="28"/>
    </row>
    <row r="723" spans="2:3" ht="14.25" customHeight="1" x14ac:dyDescent="0.2">
      <c r="B723" s="27"/>
      <c r="C723" s="28"/>
    </row>
    <row r="724" spans="2:3" ht="14.25" customHeight="1" x14ac:dyDescent="0.2">
      <c r="B724" s="27"/>
      <c r="C724" s="28"/>
    </row>
    <row r="725" spans="2:3" ht="14.25" customHeight="1" x14ac:dyDescent="0.2">
      <c r="B725" s="27"/>
      <c r="C725" s="28"/>
    </row>
    <row r="726" spans="2:3" ht="14.25" customHeight="1" x14ac:dyDescent="0.2">
      <c r="B726" s="27"/>
      <c r="C726" s="28"/>
    </row>
    <row r="727" spans="2:3" ht="14.25" customHeight="1" x14ac:dyDescent="0.2">
      <c r="B727" s="27"/>
      <c r="C727" s="28"/>
    </row>
    <row r="728" spans="2:3" ht="14.25" customHeight="1" x14ac:dyDescent="0.2">
      <c r="B728" s="27"/>
      <c r="C728" s="28"/>
    </row>
    <row r="729" spans="2:3" ht="14.25" customHeight="1" x14ac:dyDescent="0.2">
      <c r="B729" s="27"/>
      <c r="C729" s="28"/>
    </row>
    <row r="730" spans="2:3" ht="14.25" customHeight="1" x14ac:dyDescent="0.2">
      <c r="B730" s="27"/>
      <c r="C730" s="28"/>
    </row>
    <row r="731" spans="2:3" ht="14.25" customHeight="1" x14ac:dyDescent="0.2">
      <c r="B731" s="27"/>
      <c r="C731" s="28"/>
    </row>
    <row r="732" spans="2:3" ht="14.25" customHeight="1" x14ac:dyDescent="0.2">
      <c r="B732" s="27"/>
      <c r="C732" s="28"/>
    </row>
    <row r="733" spans="2:3" ht="14.25" customHeight="1" x14ac:dyDescent="0.2">
      <c r="B733" s="27"/>
      <c r="C733" s="28"/>
    </row>
    <row r="734" spans="2:3" ht="14.25" customHeight="1" x14ac:dyDescent="0.2">
      <c r="B734" s="27"/>
      <c r="C734" s="28"/>
    </row>
    <row r="735" spans="2:3" ht="14.25" customHeight="1" x14ac:dyDescent="0.2">
      <c r="B735" s="27"/>
      <c r="C735" s="28"/>
    </row>
    <row r="736" spans="2:3" ht="14.25" customHeight="1" x14ac:dyDescent="0.2">
      <c r="B736" s="27"/>
      <c r="C736" s="28"/>
    </row>
    <row r="737" spans="2:3" ht="14.25" customHeight="1" x14ac:dyDescent="0.2">
      <c r="B737" s="27"/>
      <c r="C737" s="28"/>
    </row>
    <row r="738" spans="2:3" ht="14.25" customHeight="1" x14ac:dyDescent="0.2">
      <c r="B738" s="27"/>
      <c r="C738" s="28"/>
    </row>
    <row r="739" spans="2:3" ht="14.25" customHeight="1" x14ac:dyDescent="0.2">
      <c r="B739" s="27"/>
      <c r="C739" s="28"/>
    </row>
    <row r="740" spans="2:3" ht="14.25" customHeight="1" x14ac:dyDescent="0.2">
      <c r="B740" s="27"/>
      <c r="C740" s="28"/>
    </row>
    <row r="741" spans="2:3" ht="14.25" customHeight="1" x14ac:dyDescent="0.2">
      <c r="B741" s="27"/>
      <c r="C741" s="28"/>
    </row>
    <row r="742" spans="2:3" ht="14.25" customHeight="1" x14ac:dyDescent="0.2">
      <c r="B742" s="27"/>
      <c r="C742" s="28"/>
    </row>
    <row r="743" spans="2:3" ht="14.25" customHeight="1" x14ac:dyDescent="0.2">
      <c r="B743" s="27"/>
      <c r="C743" s="28"/>
    </row>
    <row r="744" spans="2:3" ht="14.25" customHeight="1" x14ac:dyDescent="0.2">
      <c r="B744" s="27"/>
      <c r="C744" s="28"/>
    </row>
    <row r="745" spans="2:3" ht="14.25" customHeight="1" x14ac:dyDescent="0.2">
      <c r="B745" s="27"/>
      <c r="C745" s="28"/>
    </row>
    <row r="746" spans="2:3" ht="14.25" customHeight="1" x14ac:dyDescent="0.2">
      <c r="B746" s="27"/>
      <c r="C746" s="28"/>
    </row>
    <row r="747" spans="2:3" ht="14.25" customHeight="1" x14ac:dyDescent="0.2">
      <c r="B747" s="27"/>
      <c r="C747" s="28"/>
    </row>
    <row r="748" spans="2:3" ht="14.25" customHeight="1" x14ac:dyDescent="0.2">
      <c r="B748" s="27"/>
      <c r="C748" s="28"/>
    </row>
    <row r="749" spans="2:3" ht="14.25" customHeight="1" x14ac:dyDescent="0.2">
      <c r="B749" s="27"/>
      <c r="C749" s="28"/>
    </row>
    <row r="750" spans="2:3" ht="14.25" customHeight="1" x14ac:dyDescent="0.2">
      <c r="B750" s="27"/>
      <c r="C750" s="28"/>
    </row>
    <row r="751" spans="2:3" ht="14.25" customHeight="1" x14ac:dyDescent="0.2">
      <c r="B751" s="27"/>
      <c r="C751" s="28"/>
    </row>
    <row r="752" spans="2:3" ht="14.25" customHeight="1" x14ac:dyDescent="0.2">
      <c r="B752" s="27"/>
      <c r="C752" s="28"/>
    </row>
    <row r="753" spans="2:3" ht="14.25" customHeight="1" x14ac:dyDescent="0.2">
      <c r="B753" s="27"/>
      <c r="C753" s="28"/>
    </row>
    <row r="754" spans="2:3" ht="14.25" customHeight="1" x14ac:dyDescent="0.2">
      <c r="B754" s="27"/>
      <c r="C754" s="28"/>
    </row>
    <row r="755" spans="2:3" ht="14.25" customHeight="1" x14ac:dyDescent="0.2">
      <c r="B755" s="27"/>
      <c r="C755" s="28"/>
    </row>
    <row r="756" spans="2:3" ht="14.25" customHeight="1" x14ac:dyDescent="0.2">
      <c r="B756" s="27"/>
      <c r="C756" s="28"/>
    </row>
    <row r="757" spans="2:3" ht="14.25" customHeight="1" x14ac:dyDescent="0.2">
      <c r="B757" s="27"/>
      <c r="C757" s="28"/>
    </row>
    <row r="758" spans="2:3" ht="14.25" customHeight="1" x14ac:dyDescent="0.2">
      <c r="B758" s="27"/>
      <c r="C758" s="28"/>
    </row>
    <row r="759" spans="2:3" ht="14.25" customHeight="1" x14ac:dyDescent="0.2">
      <c r="B759" s="27"/>
      <c r="C759" s="28"/>
    </row>
    <row r="760" spans="2:3" ht="14.25" customHeight="1" x14ac:dyDescent="0.2">
      <c r="B760" s="27"/>
      <c r="C760" s="28"/>
    </row>
    <row r="761" spans="2:3" ht="14.25" customHeight="1" x14ac:dyDescent="0.2">
      <c r="B761" s="27"/>
      <c r="C761" s="28"/>
    </row>
    <row r="762" spans="2:3" ht="14.25" customHeight="1" x14ac:dyDescent="0.2">
      <c r="B762" s="27"/>
      <c r="C762" s="28"/>
    </row>
    <row r="763" spans="2:3" ht="14.25" customHeight="1" x14ac:dyDescent="0.2">
      <c r="B763" s="27"/>
      <c r="C763" s="28"/>
    </row>
    <row r="764" spans="2:3" ht="14.25" customHeight="1" x14ac:dyDescent="0.2">
      <c r="B764" s="27"/>
      <c r="C764" s="28"/>
    </row>
    <row r="765" spans="2:3" ht="14.25" customHeight="1" x14ac:dyDescent="0.2">
      <c r="B765" s="27"/>
      <c r="C765" s="28"/>
    </row>
    <row r="766" spans="2:3" ht="14.25" customHeight="1" x14ac:dyDescent="0.2">
      <c r="B766" s="27"/>
      <c r="C766" s="28"/>
    </row>
    <row r="767" spans="2:3" ht="14.25" customHeight="1" x14ac:dyDescent="0.2">
      <c r="B767" s="27"/>
      <c r="C767" s="28"/>
    </row>
    <row r="768" spans="2:3" ht="14.25" customHeight="1" x14ac:dyDescent="0.2">
      <c r="B768" s="27"/>
      <c r="C768" s="28"/>
    </row>
    <row r="769" spans="2:3" ht="14.25" customHeight="1" x14ac:dyDescent="0.2">
      <c r="B769" s="27"/>
      <c r="C769" s="28"/>
    </row>
    <row r="770" spans="2:3" ht="14.25" customHeight="1" x14ac:dyDescent="0.2">
      <c r="B770" s="27"/>
      <c r="C770" s="28"/>
    </row>
    <row r="771" spans="2:3" ht="14.25" customHeight="1" x14ac:dyDescent="0.2">
      <c r="B771" s="27"/>
      <c r="C771" s="28"/>
    </row>
    <row r="772" spans="2:3" ht="14.25" customHeight="1" x14ac:dyDescent="0.2">
      <c r="B772" s="27"/>
      <c r="C772" s="28"/>
    </row>
    <row r="773" spans="2:3" ht="14.25" customHeight="1" x14ac:dyDescent="0.2">
      <c r="B773" s="27"/>
      <c r="C773" s="28"/>
    </row>
    <row r="774" spans="2:3" ht="14.25" customHeight="1" x14ac:dyDescent="0.2">
      <c r="B774" s="27"/>
      <c r="C774" s="28"/>
    </row>
    <row r="775" spans="2:3" ht="14.25" customHeight="1" x14ac:dyDescent="0.2">
      <c r="B775" s="27"/>
      <c r="C775" s="28"/>
    </row>
    <row r="776" spans="2:3" ht="14.25" customHeight="1" x14ac:dyDescent="0.2">
      <c r="B776" s="27"/>
      <c r="C776" s="28"/>
    </row>
    <row r="777" spans="2:3" ht="14.25" customHeight="1" x14ac:dyDescent="0.2">
      <c r="B777" s="27"/>
      <c r="C777" s="28"/>
    </row>
    <row r="778" spans="2:3" ht="14.25" customHeight="1" x14ac:dyDescent="0.2">
      <c r="B778" s="27"/>
      <c r="C778" s="28"/>
    </row>
    <row r="779" spans="2:3" ht="14.25" customHeight="1" x14ac:dyDescent="0.2">
      <c r="B779" s="27"/>
      <c r="C779" s="28"/>
    </row>
    <row r="780" spans="2:3" ht="14.25" customHeight="1" x14ac:dyDescent="0.2">
      <c r="B780" s="27"/>
      <c r="C780" s="28"/>
    </row>
    <row r="781" spans="2:3" ht="14.25" customHeight="1" x14ac:dyDescent="0.2">
      <c r="B781" s="27"/>
      <c r="C781" s="28"/>
    </row>
    <row r="782" spans="2:3" ht="14.25" customHeight="1" x14ac:dyDescent="0.2">
      <c r="B782" s="27"/>
      <c r="C782" s="28"/>
    </row>
    <row r="783" spans="2:3" ht="14.25" customHeight="1" x14ac:dyDescent="0.2">
      <c r="B783" s="27"/>
      <c r="C783" s="28"/>
    </row>
    <row r="784" spans="2:3" ht="14.25" customHeight="1" x14ac:dyDescent="0.2">
      <c r="B784" s="27"/>
      <c r="C784" s="28"/>
    </row>
    <row r="785" spans="2:3" ht="14.25" customHeight="1" x14ac:dyDescent="0.2">
      <c r="B785" s="27"/>
      <c r="C785" s="28"/>
    </row>
    <row r="786" spans="2:3" ht="14.25" customHeight="1" x14ac:dyDescent="0.2">
      <c r="B786" s="27"/>
      <c r="C786" s="28"/>
    </row>
    <row r="787" spans="2:3" ht="14.25" customHeight="1" x14ac:dyDescent="0.2">
      <c r="B787" s="27"/>
      <c r="C787" s="28"/>
    </row>
    <row r="788" spans="2:3" ht="14.25" customHeight="1" x14ac:dyDescent="0.2">
      <c r="B788" s="27"/>
      <c r="C788" s="28"/>
    </row>
    <row r="789" spans="2:3" ht="14.25" customHeight="1" x14ac:dyDescent="0.2">
      <c r="B789" s="27"/>
      <c r="C789" s="28"/>
    </row>
    <row r="790" spans="2:3" ht="14.25" customHeight="1" x14ac:dyDescent="0.2">
      <c r="B790" s="27"/>
      <c r="C790" s="28"/>
    </row>
    <row r="791" spans="2:3" ht="14.25" customHeight="1" x14ac:dyDescent="0.2">
      <c r="B791" s="27"/>
      <c r="C791" s="28"/>
    </row>
    <row r="792" spans="2:3" ht="14.25" customHeight="1" x14ac:dyDescent="0.2">
      <c r="B792" s="27"/>
      <c r="C792" s="28"/>
    </row>
    <row r="793" spans="2:3" ht="14.25" customHeight="1" x14ac:dyDescent="0.2">
      <c r="B793" s="27"/>
      <c r="C793" s="28"/>
    </row>
    <row r="794" spans="2:3" ht="14.25" customHeight="1" x14ac:dyDescent="0.2">
      <c r="B794" s="27"/>
      <c r="C794" s="28"/>
    </row>
    <row r="795" spans="2:3" ht="14.25" customHeight="1" x14ac:dyDescent="0.2">
      <c r="B795" s="27"/>
      <c r="C795" s="28"/>
    </row>
    <row r="796" spans="2:3" ht="14.25" customHeight="1" x14ac:dyDescent="0.2">
      <c r="B796" s="27"/>
      <c r="C796" s="28"/>
    </row>
    <row r="797" spans="2:3" ht="14.25" customHeight="1" x14ac:dyDescent="0.2">
      <c r="B797" s="27"/>
      <c r="C797" s="28"/>
    </row>
    <row r="798" spans="2:3" ht="14.25" customHeight="1" x14ac:dyDescent="0.2">
      <c r="B798" s="27"/>
      <c r="C798" s="28"/>
    </row>
    <row r="799" spans="2:3" ht="14.25" customHeight="1" x14ac:dyDescent="0.2">
      <c r="B799" s="27"/>
      <c r="C799" s="28"/>
    </row>
    <row r="800" spans="2:3" ht="14.25" customHeight="1" x14ac:dyDescent="0.2">
      <c r="B800" s="27"/>
      <c r="C800" s="28"/>
    </row>
    <row r="801" spans="2:3" ht="14.25" customHeight="1" x14ac:dyDescent="0.2">
      <c r="B801" s="27"/>
      <c r="C801" s="28"/>
    </row>
    <row r="802" spans="2:3" ht="14.25" customHeight="1" x14ac:dyDescent="0.2">
      <c r="B802" s="27"/>
      <c r="C802" s="28"/>
    </row>
    <row r="803" spans="2:3" ht="14.25" customHeight="1" x14ac:dyDescent="0.2">
      <c r="B803" s="27"/>
      <c r="C803" s="28"/>
    </row>
    <row r="804" spans="2:3" ht="14.25" customHeight="1" x14ac:dyDescent="0.2">
      <c r="B804" s="27"/>
      <c r="C804" s="28"/>
    </row>
    <row r="805" spans="2:3" ht="14.25" customHeight="1" x14ac:dyDescent="0.2">
      <c r="B805" s="27"/>
      <c r="C805" s="28"/>
    </row>
    <row r="806" spans="2:3" ht="14.25" customHeight="1" x14ac:dyDescent="0.2">
      <c r="B806" s="27"/>
      <c r="C806" s="28"/>
    </row>
    <row r="807" spans="2:3" ht="14.25" customHeight="1" x14ac:dyDescent="0.2">
      <c r="B807" s="27"/>
      <c r="C807" s="28"/>
    </row>
    <row r="808" spans="2:3" ht="14.25" customHeight="1" x14ac:dyDescent="0.2">
      <c r="B808" s="27"/>
      <c r="C808" s="28"/>
    </row>
    <row r="809" spans="2:3" ht="14.25" customHeight="1" x14ac:dyDescent="0.2">
      <c r="B809" s="27"/>
      <c r="C809" s="28"/>
    </row>
    <row r="810" spans="2:3" ht="14.25" customHeight="1" x14ac:dyDescent="0.2">
      <c r="B810" s="27"/>
      <c r="C810" s="28"/>
    </row>
    <row r="811" spans="2:3" ht="14.25" customHeight="1" x14ac:dyDescent="0.2">
      <c r="B811" s="27"/>
      <c r="C811" s="28"/>
    </row>
    <row r="812" spans="2:3" ht="14.25" customHeight="1" x14ac:dyDescent="0.2">
      <c r="B812" s="27"/>
      <c r="C812" s="28"/>
    </row>
    <row r="813" spans="2:3" ht="14.25" customHeight="1" x14ac:dyDescent="0.2">
      <c r="B813" s="27"/>
      <c r="C813" s="28"/>
    </row>
    <row r="814" spans="2:3" ht="14.25" customHeight="1" x14ac:dyDescent="0.2">
      <c r="B814" s="27"/>
      <c r="C814" s="28"/>
    </row>
    <row r="815" spans="2:3" ht="14.25" customHeight="1" x14ac:dyDescent="0.2">
      <c r="B815" s="27"/>
      <c r="C815" s="28"/>
    </row>
    <row r="816" spans="2:3" ht="14.25" customHeight="1" x14ac:dyDescent="0.2">
      <c r="B816" s="27"/>
      <c r="C816" s="28"/>
    </row>
    <row r="817" spans="2:3" ht="14.25" customHeight="1" x14ac:dyDescent="0.2">
      <c r="B817" s="27"/>
      <c r="C817" s="28"/>
    </row>
    <row r="818" spans="2:3" ht="14.25" customHeight="1" x14ac:dyDescent="0.2">
      <c r="B818" s="27"/>
      <c r="C818" s="28"/>
    </row>
    <row r="819" spans="2:3" ht="14.25" customHeight="1" x14ac:dyDescent="0.2">
      <c r="B819" s="27"/>
      <c r="C819" s="28"/>
    </row>
    <row r="820" spans="2:3" ht="14.25" customHeight="1" x14ac:dyDescent="0.2">
      <c r="B820" s="27"/>
      <c r="C820" s="28"/>
    </row>
    <row r="821" spans="2:3" ht="14.25" customHeight="1" x14ac:dyDescent="0.2">
      <c r="B821" s="27"/>
      <c r="C821" s="28"/>
    </row>
    <row r="822" spans="2:3" ht="14.25" customHeight="1" x14ac:dyDescent="0.2">
      <c r="B822" s="27"/>
      <c r="C822" s="28"/>
    </row>
    <row r="823" spans="2:3" ht="14.25" customHeight="1" x14ac:dyDescent="0.2">
      <c r="B823" s="27"/>
      <c r="C823" s="28"/>
    </row>
    <row r="824" spans="2:3" ht="14.25" customHeight="1" x14ac:dyDescent="0.2">
      <c r="B824" s="27"/>
      <c r="C824" s="28"/>
    </row>
    <row r="825" spans="2:3" ht="14.25" customHeight="1" x14ac:dyDescent="0.2">
      <c r="B825" s="27"/>
      <c r="C825" s="28"/>
    </row>
    <row r="826" spans="2:3" ht="14.25" customHeight="1" x14ac:dyDescent="0.2">
      <c r="B826" s="27"/>
      <c r="C826" s="28"/>
    </row>
    <row r="827" spans="2:3" ht="14.25" customHeight="1" x14ac:dyDescent="0.2">
      <c r="B827" s="27"/>
      <c r="C827" s="28"/>
    </row>
    <row r="828" spans="2:3" ht="14.25" customHeight="1" x14ac:dyDescent="0.2">
      <c r="B828" s="27"/>
      <c r="C828" s="28"/>
    </row>
    <row r="829" spans="2:3" ht="14.25" customHeight="1" x14ac:dyDescent="0.2">
      <c r="B829" s="27"/>
      <c r="C829" s="28"/>
    </row>
    <row r="830" spans="2:3" ht="14.25" customHeight="1" x14ac:dyDescent="0.2">
      <c r="B830" s="27"/>
      <c r="C830" s="28"/>
    </row>
    <row r="831" spans="2:3" ht="14.25" customHeight="1" x14ac:dyDescent="0.2">
      <c r="B831" s="27"/>
      <c r="C831" s="28"/>
    </row>
    <row r="832" spans="2:3" ht="14.25" customHeight="1" x14ac:dyDescent="0.2">
      <c r="B832" s="27"/>
      <c r="C832" s="28"/>
    </row>
    <row r="833" spans="2:3" ht="14.25" customHeight="1" x14ac:dyDescent="0.2">
      <c r="B833" s="27"/>
      <c r="C833" s="28"/>
    </row>
    <row r="834" spans="2:3" ht="14.25" customHeight="1" x14ac:dyDescent="0.2">
      <c r="B834" s="27"/>
      <c r="C834" s="28"/>
    </row>
    <row r="835" spans="2:3" ht="14.25" customHeight="1" x14ac:dyDescent="0.2">
      <c r="B835" s="27"/>
      <c r="C835" s="28"/>
    </row>
    <row r="836" spans="2:3" ht="14.25" customHeight="1" x14ac:dyDescent="0.2">
      <c r="B836" s="27"/>
      <c r="C836" s="28"/>
    </row>
    <row r="837" spans="2:3" ht="14.25" customHeight="1" x14ac:dyDescent="0.2">
      <c r="B837" s="27"/>
      <c r="C837" s="28"/>
    </row>
    <row r="838" spans="2:3" ht="14.25" customHeight="1" x14ac:dyDescent="0.2">
      <c r="B838" s="27"/>
      <c r="C838" s="28"/>
    </row>
    <row r="839" spans="2:3" ht="14.25" customHeight="1" x14ac:dyDescent="0.2">
      <c r="B839" s="27"/>
      <c r="C839" s="28"/>
    </row>
    <row r="840" spans="2:3" ht="14.25" customHeight="1" x14ac:dyDescent="0.2">
      <c r="B840" s="27"/>
      <c r="C840" s="28"/>
    </row>
    <row r="841" spans="2:3" ht="14.25" customHeight="1" x14ac:dyDescent="0.2">
      <c r="B841" s="27"/>
      <c r="C841" s="28"/>
    </row>
    <row r="842" spans="2:3" ht="14.25" customHeight="1" x14ac:dyDescent="0.2">
      <c r="B842" s="27"/>
      <c r="C842" s="28"/>
    </row>
    <row r="843" spans="2:3" ht="14.25" customHeight="1" x14ac:dyDescent="0.2">
      <c r="B843" s="27"/>
      <c r="C843" s="28"/>
    </row>
    <row r="844" spans="2:3" ht="14.25" customHeight="1" x14ac:dyDescent="0.2">
      <c r="B844" s="27"/>
      <c r="C844" s="28"/>
    </row>
    <row r="845" spans="2:3" ht="14.25" customHeight="1" x14ac:dyDescent="0.2">
      <c r="B845" s="27"/>
      <c r="C845" s="28"/>
    </row>
    <row r="846" spans="2:3" ht="14.25" customHeight="1" x14ac:dyDescent="0.2">
      <c r="B846" s="27"/>
      <c r="C846" s="28"/>
    </row>
    <row r="847" spans="2:3" ht="14.25" customHeight="1" x14ac:dyDescent="0.2">
      <c r="B847" s="27"/>
      <c r="C847" s="28"/>
    </row>
    <row r="848" spans="2:3" ht="14.25" customHeight="1" x14ac:dyDescent="0.2">
      <c r="B848" s="27"/>
      <c r="C848" s="28"/>
    </row>
    <row r="849" spans="2:3" ht="14.25" customHeight="1" x14ac:dyDescent="0.2">
      <c r="B849" s="27"/>
      <c r="C849" s="28"/>
    </row>
    <row r="850" spans="2:3" ht="14.25" customHeight="1" x14ac:dyDescent="0.2">
      <c r="B850" s="27"/>
      <c r="C850" s="28"/>
    </row>
    <row r="851" spans="2:3" ht="14.25" customHeight="1" x14ac:dyDescent="0.2">
      <c r="B851" s="27"/>
      <c r="C851" s="28"/>
    </row>
    <row r="852" spans="2:3" ht="14.25" customHeight="1" x14ac:dyDescent="0.2">
      <c r="B852" s="27"/>
      <c r="C852" s="28"/>
    </row>
    <row r="853" spans="2:3" ht="14.25" customHeight="1" x14ac:dyDescent="0.2">
      <c r="B853" s="27"/>
      <c r="C853" s="28"/>
    </row>
    <row r="854" spans="2:3" ht="14.25" customHeight="1" x14ac:dyDescent="0.2">
      <c r="B854" s="27"/>
      <c r="C854" s="28"/>
    </row>
    <row r="855" spans="2:3" ht="14.25" customHeight="1" x14ac:dyDescent="0.2">
      <c r="B855" s="27"/>
      <c r="C855" s="28"/>
    </row>
    <row r="856" spans="2:3" ht="14.25" customHeight="1" x14ac:dyDescent="0.2">
      <c r="B856" s="27"/>
      <c r="C856" s="28"/>
    </row>
    <row r="857" spans="2:3" ht="14.25" customHeight="1" x14ac:dyDescent="0.2">
      <c r="B857" s="27"/>
      <c r="C857" s="28"/>
    </row>
    <row r="858" spans="2:3" ht="14.25" customHeight="1" x14ac:dyDescent="0.2">
      <c r="B858" s="27"/>
      <c r="C858" s="28"/>
    </row>
    <row r="859" spans="2:3" ht="14.25" customHeight="1" x14ac:dyDescent="0.2">
      <c r="B859" s="27"/>
      <c r="C859" s="28"/>
    </row>
    <row r="860" spans="2:3" ht="14.25" customHeight="1" x14ac:dyDescent="0.2">
      <c r="B860" s="27"/>
      <c r="C860" s="28"/>
    </row>
    <row r="861" spans="2:3" ht="14.25" customHeight="1" x14ac:dyDescent="0.2">
      <c r="B861" s="27"/>
      <c r="C861" s="28"/>
    </row>
    <row r="862" spans="2:3" ht="14.25" customHeight="1" x14ac:dyDescent="0.2">
      <c r="B862" s="27"/>
      <c r="C862" s="28"/>
    </row>
    <row r="863" spans="2:3" ht="14.25" customHeight="1" x14ac:dyDescent="0.2">
      <c r="B863" s="27"/>
      <c r="C863" s="28"/>
    </row>
    <row r="864" spans="2:3" ht="14.25" customHeight="1" x14ac:dyDescent="0.2">
      <c r="B864" s="27"/>
      <c r="C864" s="28"/>
    </row>
    <row r="865" spans="2:3" ht="14.25" customHeight="1" x14ac:dyDescent="0.2">
      <c r="B865" s="27"/>
      <c r="C865" s="28"/>
    </row>
    <row r="866" spans="2:3" ht="14.25" customHeight="1" x14ac:dyDescent="0.2">
      <c r="B866" s="27"/>
      <c r="C866" s="28"/>
    </row>
    <row r="867" spans="2:3" ht="14.25" customHeight="1" x14ac:dyDescent="0.2">
      <c r="B867" s="27"/>
      <c r="C867" s="28"/>
    </row>
    <row r="868" spans="2:3" ht="14.25" customHeight="1" x14ac:dyDescent="0.2">
      <c r="B868" s="27"/>
      <c r="C868" s="28"/>
    </row>
    <row r="869" spans="2:3" ht="14.25" customHeight="1" x14ac:dyDescent="0.2">
      <c r="B869" s="27"/>
      <c r="C869" s="28"/>
    </row>
    <row r="870" spans="2:3" ht="14.25" customHeight="1" x14ac:dyDescent="0.2">
      <c r="B870" s="27"/>
      <c r="C870" s="28"/>
    </row>
    <row r="871" spans="2:3" ht="14.25" customHeight="1" x14ac:dyDescent="0.2">
      <c r="B871" s="27"/>
      <c r="C871" s="28"/>
    </row>
    <row r="872" spans="2:3" ht="14.25" customHeight="1" x14ac:dyDescent="0.2">
      <c r="B872" s="27"/>
      <c r="C872" s="28"/>
    </row>
    <row r="873" spans="2:3" ht="14.25" customHeight="1" x14ac:dyDescent="0.2">
      <c r="B873" s="27"/>
      <c r="C873" s="28"/>
    </row>
    <row r="874" spans="2:3" ht="14.25" customHeight="1" x14ac:dyDescent="0.2">
      <c r="B874" s="27"/>
      <c r="C874" s="28"/>
    </row>
    <row r="875" spans="2:3" ht="14.25" customHeight="1" x14ac:dyDescent="0.2">
      <c r="B875" s="27"/>
      <c r="C875" s="28"/>
    </row>
    <row r="876" spans="2:3" ht="14.25" customHeight="1" x14ac:dyDescent="0.2">
      <c r="B876" s="27"/>
      <c r="C876" s="28"/>
    </row>
    <row r="877" spans="2:3" ht="14.25" customHeight="1" x14ac:dyDescent="0.2">
      <c r="B877" s="27"/>
      <c r="C877" s="28"/>
    </row>
    <row r="878" spans="2:3" ht="14.25" customHeight="1" x14ac:dyDescent="0.2">
      <c r="B878" s="27"/>
      <c r="C878" s="28"/>
    </row>
    <row r="879" spans="2:3" ht="14.25" customHeight="1" x14ac:dyDescent="0.2">
      <c r="B879" s="27"/>
      <c r="C879" s="28"/>
    </row>
    <row r="880" spans="2:3" ht="14.25" customHeight="1" x14ac:dyDescent="0.2">
      <c r="B880" s="27"/>
      <c r="C880" s="28"/>
    </row>
    <row r="881" spans="2:3" ht="14.25" customHeight="1" x14ac:dyDescent="0.2">
      <c r="B881" s="27"/>
      <c r="C881" s="28"/>
    </row>
    <row r="882" spans="2:3" ht="14.25" customHeight="1" x14ac:dyDescent="0.2">
      <c r="B882" s="27"/>
      <c r="C882" s="28"/>
    </row>
    <row r="883" spans="2:3" ht="14.25" customHeight="1" x14ac:dyDescent="0.2">
      <c r="B883" s="27"/>
      <c r="C883" s="28"/>
    </row>
    <row r="884" spans="2:3" ht="14.25" customHeight="1" x14ac:dyDescent="0.2">
      <c r="B884" s="27"/>
      <c r="C884" s="28"/>
    </row>
    <row r="885" spans="2:3" ht="14.25" customHeight="1" x14ac:dyDescent="0.2">
      <c r="B885" s="27"/>
      <c r="C885" s="28"/>
    </row>
    <row r="886" spans="2:3" ht="14.25" customHeight="1" x14ac:dyDescent="0.2">
      <c r="B886" s="27"/>
      <c r="C886" s="28"/>
    </row>
    <row r="887" spans="2:3" ht="14.25" customHeight="1" x14ac:dyDescent="0.2">
      <c r="B887" s="27"/>
      <c r="C887" s="28"/>
    </row>
    <row r="888" spans="2:3" ht="14.25" customHeight="1" x14ac:dyDescent="0.2">
      <c r="B888" s="27"/>
      <c r="C888" s="28"/>
    </row>
    <row r="889" spans="2:3" ht="14.25" customHeight="1" x14ac:dyDescent="0.2">
      <c r="B889" s="27"/>
      <c r="C889" s="28"/>
    </row>
    <row r="890" spans="2:3" ht="14.25" customHeight="1" x14ac:dyDescent="0.2">
      <c r="B890" s="27"/>
      <c r="C890" s="28"/>
    </row>
    <row r="891" spans="2:3" ht="14.25" customHeight="1" x14ac:dyDescent="0.2">
      <c r="B891" s="27"/>
      <c r="C891" s="28"/>
    </row>
    <row r="892" spans="2:3" ht="14.25" customHeight="1" x14ac:dyDescent="0.2">
      <c r="B892" s="27"/>
      <c r="C892" s="28"/>
    </row>
    <row r="893" spans="2:3" ht="14.25" customHeight="1" x14ac:dyDescent="0.2">
      <c r="B893" s="27"/>
      <c r="C893" s="28"/>
    </row>
    <row r="894" spans="2:3" ht="14.25" customHeight="1" x14ac:dyDescent="0.2">
      <c r="B894" s="27"/>
      <c r="C894" s="28"/>
    </row>
    <row r="895" spans="2:3" ht="14.25" customHeight="1" x14ac:dyDescent="0.2">
      <c r="B895" s="27"/>
      <c r="C895" s="28"/>
    </row>
    <row r="896" spans="2:3" ht="14.25" customHeight="1" x14ac:dyDescent="0.2">
      <c r="B896" s="27"/>
      <c r="C896" s="28"/>
    </row>
    <row r="897" spans="2:3" ht="14.25" customHeight="1" x14ac:dyDescent="0.2">
      <c r="B897" s="27"/>
      <c r="C897" s="28"/>
    </row>
    <row r="898" spans="2:3" ht="14.25" customHeight="1" x14ac:dyDescent="0.2">
      <c r="B898" s="27"/>
      <c r="C898" s="28"/>
    </row>
    <row r="899" spans="2:3" ht="14.25" customHeight="1" x14ac:dyDescent="0.2">
      <c r="B899" s="27"/>
      <c r="C899" s="28"/>
    </row>
    <row r="900" spans="2:3" ht="14.25" customHeight="1" x14ac:dyDescent="0.2">
      <c r="B900" s="27"/>
      <c r="C900" s="28"/>
    </row>
    <row r="901" spans="2:3" ht="14.25" customHeight="1" x14ac:dyDescent="0.2">
      <c r="B901" s="27"/>
      <c r="C901" s="28"/>
    </row>
    <row r="902" spans="2:3" ht="14.25" customHeight="1" x14ac:dyDescent="0.2">
      <c r="B902" s="27"/>
      <c r="C902" s="28"/>
    </row>
    <row r="903" spans="2:3" ht="14.25" customHeight="1" x14ac:dyDescent="0.2">
      <c r="B903" s="27"/>
      <c r="C903" s="28"/>
    </row>
    <row r="904" spans="2:3" ht="14.25" customHeight="1" x14ac:dyDescent="0.2">
      <c r="B904" s="27"/>
      <c r="C904" s="28"/>
    </row>
    <row r="905" spans="2:3" ht="14.25" customHeight="1" x14ac:dyDescent="0.2">
      <c r="B905" s="27"/>
      <c r="C905" s="28"/>
    </row>
    <row r="906" spans="2:3" ht="14.25" customHeight="1" x14ac:dyDescent="0.2">
      <c r="B906" s="27"/>
      <c r="C906" s="28"/>
    </row>
    <row r="907" spans="2:3" ht="14.25" customHeight="1" x14ac:dyDescent="0.2">
      <c r="B907" s="27"/>
      <c r="C907" s="28"/>
    </row>
    <row r="908" spans="2:3" ht="14.25" customHeight="1" x14ac:dyDescent="0.2">
      <c r="B908" s="27"/>
      <c r="C908" s="28"/>
    </row>
    <row r="909" spans="2:3" ht="14.25" customHeight="1" x14ac:dyDescent="0.2">
      <c r="B909" s="27"/>
      <c r="C909" s="28"/>
    </row>
    <row r="910" spans="2:3" ht="14.25" customHeight="1" x14ac:dyDescent="0.2">
      <c r="B910" s="27"/>
      <c r="C910" s="28"/>
    </row>
    <row r="911" spans="2:3" ht="14.25" customHeight="1" x14ac:dyDescent="0.2">
      <c r="B911" s="27"/>
      <c r="C911" s="28"/>
    </row>
    <row r="912" spans="2:3" ht="14.25" customHeight="1" x14ac:dyDescent="0.2">
      <c r="B912" s="27"/>
      <c r="C912" s="28"/>
    </row>
    <row r="913" spans="2:3" ht="14.25" customHeight="1" x14ac:dyDescent="0.2">
      <c r="B913" s="27"/>
      <c r="C913" s="28"/>
    </row>
    <row r="914" spans="2:3" ht="14.25" customHeight="1" x14ac:dyDescent="0.2">
      <c r="B914" s="27"/>
      <c r="C914" s="28"/>
    </row>
    <row r="915" spans="2:3" ht="14.25" customHeight="1" x14ac:dyDescent="0.2">
      <c r="B915" s="27"/>
      <c r="C915" s="28"/>
    </row>
    <row r="916" spans="2:3" ht="14.25" customHeight="1" x14ac:dyDescent="0.2">
      <c r="B916" s="27"/>
      <c r="C916" s="28"/>
    </row>
    <row r="917" spans="2:3" ht="14.25" customHeight="1" x14ac:dyDescent="0.2">
      <c r="B917" s="27"/>
      <c r="C917" s="28"/>
    </row>
    <row r="918" spans="2:3" ht="14.25" customHeight="1" x14ac:dyDescent="0.2">
      <c r="B918" s="27"/>
      <c r="C918" s="28"/>
    </row>
    <row r="919" spans="2:3" ht="14.25" customHeight="1" x14ac:dyDescent="0.2">
      <c r="B919" s="27"/>
      <c r="C919" s="28"/>
    </row>
    <row r="920" spans="2:3" ht="14.25" customHeight="1" x14ac:dyDescent="0.2">
      <c r="B920" s="27"/>
      <c r="C920" s="28"/>
    </row>
    <row r="921" spans="2:3" ht="14.25" customHeight="1" x14ac:dyDescent="0.2">
      <c r="B921" s="27"/>
      <c r="C921" s="28"/>
    </row>
    <row r="922" spans="2:3" ht="14.25" customHeight="1" x14ac:dyDescent="0.2">
      <c r="B922" s="27"/>
      <c r="C922" s="28"/>
    </row>
    <row r="923" spans="2:3" ht="14.25" customHeight="1" x14ac:dyDescent="0.2">
      <c r="B923" s="27"/>
      <c r="C923" s="28"/>
    </row>
    <row r="924" spans="2:3" ht="14.25" customHeight="1" x14ac:dyDescent="0.2">
      <c r="B924" s="27"/>
      <c r="C924" s="28"/>
    </row>
    <row r="925" spans="2:3" ht="14.25" customHeight="1" x14ac:dyDescent="0.2">
      <c r="B925" s="27"/>
      <c r="C925" s="28"/>
    </row>
    <row r="926" spans="2:3" ht="14.25" customHeight="1" x14ac:dyDescent="0.2">
      <c r="B926" s="27"/>
      <c r="C926" s="28"/>
    </row>
    <row r="927" spans="2:3" ht="14.25" customHeight="1" x14ac:dyDescent="0.2">
      <c r="B927" s="27"/>
      <c r="C927" s="28"/>
    </row>
    <row r="928" spans="2:3" ht="14.25" customHeight="1" x14ac:dyDescent="0.2">
      <c r="B928" s="27"/>
      <c r="C928" s="28"/>
    </row>
    <row r="929" spans="2:3" ht="14.25" customHeight="1" x14ac:dyDescent="0.2">
      <c r="B929" s="27"/>
      <c r="C929" s="28"/>
    </row>
    <row r="930" spans="2:3" ht="14.25" customHeight="1" x14ac:dyDescent="0.2">
      <c r="B930" s="27"/>
      <c r="C930" s="28"/>
    </row>
    <row r="931" spans="2:3" ht="14.25" customHeight="1" x14ac:dyDescent="0.2">
      <c r="B931" s="27"/>
      <c r="C931" s="28"/>
    </row>
    <row r="932" spans="2:3" ht="14.25" customHeight="1" x14ac:dyDescent="0.2">
      <c r="B932" s="27"/>
      <c r="C932" s="28"/>
    </row>
    <row r="933" spans="2:3" ht="14.25" customHeight="1" x14ac:dyDescent="0.2">
      <c r="B933" s="27"/>
      <c r="C933" s="28"/>
    </row>
    <row r="934" spans="2:3" ht="14.25" customHeight="1" x14ac:dyDescent="0.2">
      <c r="B934" s="27"/>
      <c r="C934" s="28"/>
    </row>
    <row r="935" spans="2:3" ht="14.25" customHeight="1" x14ac:dyDescent="0.2">
      <c r="B935" s="27"/>
      <c r="C935" s="28"/>
    </row>
    <row r="936" spans="2:3" ht="14.25" customHeight="1" x14ac:dyDescent="0.2">
      <c r="B936" s="27"/>
      <c r="C936" s="28"/>
    </row>
    <row r="937" spans="2:3" ht="14.25" customHeight="1" x14ac:dyDescent="0.2">
      <c r="B937" s="27"/>
      <c r="C937" s="28"/>
    </row>
    <row r="938" spans="2:3" ht="14.25" customHeight="1" x14ac:dyDescent="0.2">
      <c r="B938" s="27"/>
      <c r="C938" s="28"/>
    </row>
    <row r="939" spans="2:3" ht="14.25" customHeight="1" x14ac:dyDescent="0.2">
      <c r="B939" s="27"/>
      <c r="C939" s="28"/>
    </row>
    <row r="940" spans="2:3" ht="14.25" customHeight="1" x14ac:dyDescent="0.2">
      <c r="B940" s="27"/>
      <c r="C940" s="28"/>
    </row>
    <row r="941" spans="2:3" ht="14.25" customHeight="1" x14ac:dyDescent="0.2">
      <c r="B941" s="27"/>
      <c r="C941" s="28"/>
    </row>
    <row r="942" spans="2:3" ht="14.25" customHeight="1" x14ac:dyDescent="0.2">
      <c r="B942" s="27"/>
      <c r="C942" s="28"/>
    </row>
    <row r="943" spans="2:3" ht="14.25" customHeight="1" x14ac:dyDescent="0.2">
      <c r="B943" s="27"/>
      <c r="C943" s="28"/>
    </row>
    <row r="944" spans="2:3" ht="14.25" customHeight="1" x14ac:dyDescent="0.2">
      <c r="B944" s="27"/>
      <c r="C944" s="28"/>
    </row>
    <row r="945" spans="2:3" ht="14.25" customHeight="1" x14ac:dyDescent="0.2">
      <c r="B945" s="27"/>
      <c r="C945" s="28"/>
    </row>
    <row r="946" spans="2:3" ht="14.25" customHeight="1" x14ac:dyDescent="0.2">
      <c r="B946" s="27"/>
      <c r="C946" s="28"/>
    </row>
    <row r="947" spans="2:3" ht="14.25" customHeight="1" x14ac:dyDescent="0.2">
      <c r="B947" s="27"/>
      <c r="C947" s="28"/>
    </row>
    <row r="948" spans="2:3" ht="14.25" customHeight="1" x14ac:dyDescent="0.2">
      <c r="B948" s="27"/>
      <c r="C948" s="28"/>
    </row>
    <row r="949" spans="2:3" ht="14.25" customHeight="1" x14ac:dyDescent="0.2">
      <c r="B949" s="27"/>
      <c r="C949" s="28"/>
    </row>
    <row r="950" spans="2:3" ht="14.25" customHeight="1" x14ac:dyDescent="0.2">
      <c r="B950" s="27"/>
      <c r="C950" s="28"/>
    </row>
    <row r="951" spans="2:3" ht="14.25" customHeight="1" x14ac:dyDescent="0.2">
      <c r="B951" s="27"/>
      <c r="C951" s="28"/>
    </row>
    <row r="952" spans="2:3" ht="14.25" customHeight="1" x14ac:dyDescent="0.2">
      <c r="B952" s="27"/>
      <c r="C952" s="28"/>
    </row>
    <row r="953" spans="2:3" ht="14.25" customHeight="1" x14ac:dyDescent="0.2">
      <c r="B953" s="27"/>
      <c r="C953" s="28"/>
    </row>
    <row r="954" spans="2:3" ht="14.25" customHeight="1" x14ac:dyDescent="0.2">
      <c r="B954" s="27"/>
      <c r="C954" s="28"/>
    </row>
    <row r="955" spans="2:3" ht="14.25" customHeight="1" x14ac:dyDescent="0.2">
      <c r="B955" s="27"/>
      <c r="C955" s="28"/>
    </row>
    <row r="956" spans="2:3" ht="14.25" customHeight="1" x14ac:dyDescent="0.2">
      <c r="B956" s="27"/>
      <c r="C956" s="28"/>
    </row>
    <row r="957" spans="2:3" ht="14.25" customHeight="1" x14ac:dyDescent="0.2">
      <c r="B957" s="27"/>
      <c r="C957" s="28"/>
    </row>
    <row r="958" spans="2:3" ht="14.25" customHeight="1" x14ac:dyDescent="0.2">
      <c r="B958" s="27"/>
      <c r="C958" s="28"/>
    </row>
    <row r="959" spans="2:3" ht="14.25" customHeight="1" x14ac:dyDescent="0.2">
      <c r="B959" s="27"/>
      <c r="C959" s="28"/>
    </row>
    <row r="960" spans="2:3" ht="14.25" customHeight="1" x14ac:dyDescent="0.2">
      <c r="B960" s="27"/>
      <c r="C960" s="28"/>
    </row>
    <row r="961" spans="2:3" ht="14.25" customHeight="1" x14ac:dyDescent="0.2">
      <c r="B961" s="27"/>
      <c r="C961" s="28"/>
    </row>
    <row r="962" spans="2:3" ht="14.25" customHeight="1" x14ac:dyDescent="0.2">
      <c r="B962" s="27"/>
      <c r="C962" s="28"/>
    </row>
    <row r="963" spans="2:3" ht="14.25" customHeight="1" x14ac:dyDescent="0.2">
      <c r="B963" s="27"/>
      <c r="C963" s="28"/>
    </row>
    <row r="964" spans="2:3" ht="14.25" customHeight="1" x14ac:dyDescent="0.2">
      <c r="B964" s="27"/>
      <c r="C964" s="28"/>
    </row>
    <row r="965" spans="2:3" ht="14.25" customHeight="1" x14ac:dyDescent="0.2">
      <c r="B965" s="27"/>
      <c r="C965" s="28"/>
    </row>
    <row r="966" spans="2:3" ht="14.25" customHeight="1" x14ac:dyDescent="0.2">
      <c r="B966" s="27"/>
      <c r="C966" s="28"/>
    </row>
    <row r="967" spans="2:3" ht="14.25" customHeight="1" x14ac:dyDescent="0.2">
      <c r="B967" s="27"/>
      <c r="C967" s="28"/>
    </row>
    <row r="968" spans="2:3" ht="14.25" customHeight="1" x14ac:dyDescent="0.2">
      <c r="B968" s="27"/>
      <c r="C968" s="28"/>
    </row>
    <row r="969" spans="2:3" ht="14.25" customHeight="1" x14ac:dyDescent="0.2">
      <c r="B969" s="27"/>
      <c r="C969" s="28"/>
    </row>
    <row r="970" spans="2:3" ht="14.25" customHeight="1" x14ac:dyDescent="0.2">
      <c r="B970" s="27"/>
      <c r="C970" s="28"/>
    </row>
    <row r="971" spans="2:3" ht="14.25" customHeight="1" x14ac:dyDescent="0.2">
      <c r="B971" s="27"/>
      <c r="C971" s="28"/>
    </row>
    <row r="972" spans="2:3" ht="14.25" customHeight="1" x14ac:dyDescent="0.2">
      <c r="B972" s="27"/>
      <c r="C972" s="28"/>
    </row>
    <row r="973" spans="2:3" ht="14.25" customHeight="1" x14ac:dyDescent="0.2">
      <c r="B973" s="27"/>
      <c r="C973" s="28"/>
    </row>
    <row r="974" spans="2:3" ht="14.25" customHeight="1" x14ac:dyDescent="0.2">
      <c r="B974" s="27"/>
      <c r="C974" s="28"/>
    </row>
    <row r="975" spans="2:3" ht="14.25" customHeight="1" x14ac:dyDescent="0.2">
      <c r="B975" s="27"/>
      <c r="C975" s="28"/>
    </row>
    <row r="976" spans="2:3" ht="14.25" customHeight="1" x14ac:dyDescent="0.2">
      <c r="B976" s="27"/>
      <c r="C976" s="28"/>
    </row>
    <row r="977" spans="2:3" ht="14.25" customHeight="1" x14ac:dyDescent="0.2">
      <c r="B977" s="27"/>
      <c r="C977" s="28"/>
    </row>
    <row r="978" spans="2:3" ht="14.25" customHeight="1" x14ac:dyDescent="0.2">
      <c r="B978" s="27"/>
      <c r="C978" s="28"/>
    </row>
    <row r="979" spans="2:3" ht="14.25" customHeight="1" x14ac:dyDescent="0.2">
      <c r="B979" s="27"/>
      <c r="C979" s="28"/>
    </row>
    <row r="980" spans="2:3" ht="14.25" customHeight="1" x14ac:dyDescent="0.2">
      <c r="B980" s="27"/>
      <c r="C980" s="28"/>
    </row>
    <row r="981" spans="2:3" ht="14.25" customHeight="1" x14ac:dyDescent="0.2">
      <c r="B981" s="27"/>
      <c r="C981" s="28"/>
    </row>
    <row r="982" spans="2:3" ht="14.25" customHeight="1" x14ac:dyDescent="0.2">
      <c r="B982" s="27"/>
      <c r="C982" s="28"/>
    </row>
    <row r="983" spans="2:3" ht="14.25" customHeight="1" x14ac:dyDescent="0.2">
      <c r="B983" s="27"/>
      <c r="C983" s="28"/>
    </row>
    <row r="984" spans="2:3" ht="14.25" customHeight="1" x14ac:dyDescent="0.2">
      <c r="B984" s="27"/>
      <c r="C984" s="28"/>
    </row>
    <row r="985" spans="2:3" ht="14.25" customHeight="1" x14ac:dyDescent="0.2">
      <c r="B985" s="27"/>
      <c r="C985" s="28"/>
    </row>
    <row r="986" spans="2:3" ht="14.25" customHeight="1" x14ac:dyDescent="0.2">
      <c r="B986" s="27"/>
      <c r="C986" s="28"/>
    </row>
    <row r="987" spans="2:3" ht="14.25" customHeight="1" x14ac:dyDescent="0.2">
      <c r="B987" s="27"/>
      <c r="C987" s="28"/>
    </row>
    <row r="988" spans="2:3" ht="14.25" customHeight="1" x14ac:dyDescent="0.2">
      <c r="B988" s="27"/>
      <c r="C988" s="28"/>
    </row>
    <row r="989" spans="2:3" ht="14.25" customHeight="1" x14ac:dyDescent="0.2">
      <c r="B989" s="27"/>
      <c r="C989" s="28"/>
    </row>
    <row r="990" spans="2:3" ht="14.25" customHeight="1" x14ac:dyDescent="0.2">
      <c r="B990" s="27"/>
      <c r="C990" s="28"/>
    </row>
    <row r="991" spans="2:3" ht="14.25" customHeight="1" x14ac:dyDescent="0.2">
      <c r="B991" s="27"/>
      <c r="C991" s="28"/>
    </row>
    <row r="992" spans="2:3" ht="14.25" customHeight="1" x14ac:dyDescent="0.2">
      <c r="B992" s="27"/>
      <c r="C992" s="28"/>
    </row>
    <row r="993" spans="2:3" ht="14.25" customHeight="1" x14ac:dyDescent="0.2">
      <c r="B993" s="27"/>
      <c r="C993" s="28"/>
    </row>
    <row r="994" spans="2:3" ht="14.25" customHeight="1" x14ac:dyDescent="0.2">
      <c r="B994" s="27"/>
      <c r="C994" s="28"/>
    </row>
    <row r="995" spans="2:3" ht="14.25" customHeight="1" x14ac:dyDescent="0.2">
      <c r="B995" s="27"/>
      <c r="C995" s="28"/>
    </row>
    <row r="996" spans="2:3" ht="14.25" customHeight="1" x14ac:dyDescent="0.2">
      <c r="B996" s="27"/>
      <c r="C996" s="28"/>
    </row>
    <row r="997" spans="2:3" ht="14.25" customHeight="1" x14ac:dyDescent="0.2">
      <c r="B997" s="27"/>
      <c r="C997" s="28"/>
    </row>
    <row r="998" spans="2:3" ht="14.25" customHeight="1" x14ac:dyDescent="0.2">
      <c r="B998" s="27"/>
      <c r="C998" s="28"/>
    </row>
    <row r="999" spans="2:3" ht="14.25" customHeight="1" x14ac:dyDescent="0.2">
      <c r="B999" s="27"/>
      <c r="C999" s="28"/>
    </row>
    <row r="1000" spans="2:3" ht="14.25" customHeight="1" x14ac:dyDescent="0.2">
      <c r="B1000" s="27"/>
      <c r="C1000" s="28"/>
    </row>
  </sheetData>
  <mergeCells count="97">
    <mergeCell ref="AA26:AA27"/>
    <mergeCell ref="AC26:AC27"/>
    <mergeCell ref="AD26:AD27"/>
    <mergeCell ref="AE26:AE27"/>
    <mergeCell ref="K23:K24"/>
    <mergeCell ref="K26:K27"/>
    <mergeCell ref="P26:P27"/>
    <mergeCell ref="Q26:Q27"/>
    <mergeCell ref="U26:U27"/>
    <mergeCell ref="V26:V27"/>
    <mergeCell ref="Z26:Z27"/>
    <mergeCell ref="AE20:AE21"/>
    <mergeCell ref="K20:K21"/>
    <mergeCell ref="L20:L21"/>
    <mergeCell ref="P20:P21"/>
    <mergeCell ref="Q20:Q21"/>
    <mergeCell ref="U20:U21"/>
    <mergeCell ref="V20:V21"/>
    <mergeCell ref="Z20:Z21"/>
    <mergeCell ref="L26:L27"/>
    <mergeCell ref="N8:O8"/>
    <mergeCell ref="P8:Q8"/>
    <mergeCell ref="B11:B12"/>
    <mergeCell ref="G11:G12"/>
    <mergeCell ref="L11:L12"/>
    <mergeCell ref="G14:G15"/>
    <mergeCell ref="Q14:Q15"/>
    <mergeCell ref="L14:L15"/>
    <mergeCell ref="P14:P15"/>
    <mergeCell ref="P17:P18"/>
    <mergeCell ref="Q17:Q18"/>
    <mergeCell ref="F23:F24"/>
    <mergeCell ref="F26:F27"/>
    <mergeCell ref="B20:B21"/>
    <mergeCell ref="G26:G27"/>
    <mergeCell ref="B32:G32"/>
    <mergeCell ref="F20:F21"/>
    <mergeCell ref="G20:G21"/>
    <mergeCell ref="B23:B24"/>
    <mergeCell ref="G23:G24"/>
    <mergeCell ref="B26:B27"/>
    <mergeCell ref="B14:B15"/>
    <mergeCell ref="B17:B18"/>
    <mergeCell ref="F17:F18"/>
    <mergeCell ref="G17:G18"/>
    <mergeCell ref="K17:K18"/>
    <mergeCell ref="AE23:AE24"/>
    <mergeCell ref="P23:P24"/>
    <mergeCell ref="Q23:Q24"/>
    <mergeCell ref="U23:U24"/>
    <mergeCell ref="V23:V24"/>
    <mergeCell ref="Z23:Z24"/>
    <mergeCell ref="AA23:AA24"/>
    <mergeCell ref="AC23:AC24"/>
    <mergeCell ref="F11:F12"/>
    <mergeCell ref="F14:F15"/>
    <mergeCell ref="K11:K12"/>
    <mergeCell ref="K14:K15"/>
    <mergeCell ref="AD23:AD24"/>
    <mergeCell ref="L17:L18"/>
    <mergeCell ref="L23:L24"/>
    <mergeCell ref="AA17:AA18"/>
    <mergeCell ref="AC17:AC18"/>
    <mergeCell ref="AD17:AD18"/>
    <mergeCell ref="U17:U18"/>
    <mergeCell ref="V17:V18"/>
    <mergeCell ref="Z17:Z18"/>
    <mergeCell ref="AA20:AA21"/>
    <mergeCell ref="AC20:AC21"/>
    <mergeCell ref="AD20:AD21"/>
    <mergeCell ref="P11:P12"/>
    <mergeCell ref="Q11:Q12"/>
    <mergeCell ref="U11:U12"/>
    <mergeCell ref="V11:V12"/>
    <mergeCell ref="Z11:Z12"/>
    <mergeCell ref="AD11:AD12"/>
    <mergeCell ref="AE11:AE12"/>
    <mergeCell ref="Z14:Z15"/>
    <mergeCell ref="AA14:AA15"/>
    <mergeCell ref="AC14:AC15"/>
    <mergeCell ref="AD14:AD15"/>
    <mergeCell ref="AA11:AA12"/>
    <mergeCell ref="AC11:AC12"/>
    <mergeCell ref="Z8:AA8"/>
    <mergeCell ref="B2:AD2"/>
    <mergeCell ref="B3:AD3"/>
    <mergeCell ref="C6:AD7"/>
    <mergeCell ref="D8:E8"/>
    <mergeCell ref="F8:G8"/>
    <mergeCell ref="I8:J8"/>
    <mergeCell ref="K8:L8"/>
    <mergeCell ref="AC8:AD8"/>
    <mergeCell ref="S8:T8"/>
    <mergeCell ref="U8:V8"/>
    <mergeCell ref="U14:U15"/>
    <mergeCell ref="V14:V15"/>
    <mergeCell ref="X8:Y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/>
  </sheetViews>
  <sheetFormatPr defaultColWidth="14.42578125" defaultRowHeight="15" customHeight="1" x14ac:dyDescent="0.2"/>
  <cols>
    <col min="1" max="1" width="6.85546875" customWidth="1"/>
    <col min="2" max="2" width="28.7109375" customWidth="1"/>
    <col min="3" max="8" width="6.7109375" customWidth="1"/>
    <col min="9" max="9" width="7" customWidth="1"/>
    <col min="10" max="10" width="31.7109375" customWidth="1"/>
    <col min="11" max="16" width="6.7109375" customWidth="1"/>
    <col min="17" max="29" width="8" customWidth="1"/>
  </cols>
  <sheetData>
    <row r="1" spans="1:29" ht="12.75" customHeight="1" x14ac:dyDescent="0.2"/>
    <row r="2" spans="1:29" ht="23.25" customHeight="1" x14ac:dyDescent="0.35">
      <c r="A2" s="156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spans="1:29" ht="19.5" customHeight="1" x14ac:dyDescent="0.2">
      <c r="A3" s="158" t="s">
        <v>1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</row>
    <row r="4" spans="1:29" ht="12.75" customHeight="1" x14ac:dyDescent="0.2"/>
    <row r="5" spans="1:29" ht="12.75" customHeight="1" x14ac:dyDescent="0.2">
      <c r="A5" s="69"/>
      <c r="B5" s="70" t="s">
        <v>193</v>
      </c>
      <c r="C5" s="71">
        <v>1</v>
      </c>
      <c r="D5" s="71">
        <v>2</v>
      </c>
      <c r="E5" s="71">
        <v>3</v>
      </c>
      <c r="F5" s="71">
        <v>4</v>
      </c>
      <c r="G5" s="71">
        <v>5</v>
      </c>
      <c r="H5" s="71" t="s">
        <v>194</v>
      </c>
      <c r="I5" s="72"/>
      <c r="J5" s="70" t="s">
        <v>193</v>
      </c>
      <c r="K5" s="71">
        <v>1</v>
      </c>
      <c r="L5" s="71">
        <v>2</v>
      </c>
      <c r="M5" s="71">
        <v>3</v>
      </c>
      <c r="N5" s="71">
        <v>4</v>
      </c>
      <c r="O5" s="71">
        <v>5</v>
      </c>
      <c r="P5" s="71" t="s">
        <v>194</v>
      </c>
    </row>
    <row r="6" spans="1:29" ht="18" customHeight="1" x14ac:dyDescent="0.25">
      <c r="A6" s="73" t="s">
        <v>2</v>
      </c>
      <c r="B6" s="74" t="s">
        <v>9</v>
      </c>
      <c r="C6" s="75"/>
      <c r="D6" s="75"/>
      <c r="E6" s="75"/>
      <c r="F6" s="76"/>
      <c r="G6" s="76"/>
      <c r="H6" s="76"/>
      <c r="I6" s="73" t="s">
        <v>3</v>
      </c>
      <c r="J6" s="77" t="s">
        <v>10</v>
      </c>
      <c r="K6" s="78"/>
      <c r="L6" s="78"/>
      <c r="M6" s="78"/>
      <c r="N6" s="78"/>
      <c r="O6" s="78"/>
      <c r="P6" s="79"/>
    </row>
    <row r="7" spans="1:29" ht="18" customHeight="1" x14ac:dyDescent="0.2">
      <c r="A7" s="80" t="s">
        <v>16</v>
      </c>
      <c r="B7" s="12" t="s">
        <v>17</v>
      </c>
      <c r="C7" s="81">
        <v>1</v>
      </c>
      <c r="D7" s="81">
        <v>1</v>
      </c>
      <c r="E7" s="81">
        <v>1</v>
      </c>
      <c r="F7" s="75"/>
      <c r="G7" s="81">
        <v>1</v>
      </c>
      <c r="H7" s="82">
        <f t="shared" ref="H7:H19" si="0">SUM(C7:G7)</f>
        <v>4</v>
      </c>
      <c r="I7" s="80" t="s">
        <v>16</v>
      </c>
      <c r="J7" s="12" t="s">
        <v>18</v>
      </c>
      <c r="K7" s="81">
        <v>1</v>
      </c>
      <c r="L7" s="81">
        <v>1</v>
      </c>
      <c r="M7" s="81">
        <v>1</v>
      </c>
      <c r="N7" s="81">
        <v>1</v>
      </c>
      <c r="O7" s="75"/>
      <c r="P7" s="82">
        <f t="shared" ref="P7:P19" si="1">SUM(K7:O7)</f>
        <v>4</v>
      </c>
    </row>
    <row r="8" spans="1:29" ht="18" customHeight="1" x14ac:dyDescent="0.2">
      <c r="A8" s="80" t="s">
        <v>23</v>
      </c>
      <c r="B8" s="12" t="s">
        <v>24</v>
      </c>
      <c r="C8" s="81">
        <v>1</v>
      </c>
      <c r="D8" s="81">
        <v>1</v>
      </c>
      <c r="E8" s="75"/>
      <c r="F8" s="81">
        <v>1</v>
      </c>
      <c r="G8" s="75"/>
      <c r="H8" s="82">
        <f t="shared" si="0"/>
        <v>3</v>
      </c>
      <c r="I8" s="80" t="s">
        <v>23</v>
      </c>
      <c r="J8" s="12" t="s">
        <v>25</v>
      </c>
      <c r="K8" s="81">
        <v>1</v>
      </c>
      <c r="L8" s="81">
        <v>1</v>
      </c>
      <c r="M8" s="75"/>
      <c r="N8" s="75"/>
      <c r="O8" s="81">
        <v>1</v>
      </c>
      <c r="P8" s="82">
        <f t="shared" si="1"/>
        <v>3</v>
      </c>
    </row>
    <row r="9" spans="1:29" ht="18" customHeight="1" x14ac:dyDescent="0.2">
      <c r="A9" s="80" t="s">
        <v>30</v>
      </c>
      <c r="B9" s="12" t="s">
        <v>31</v>
      </c>
      <c r="C9" s="75"/>
      <c r="D9" s="75"/>
      <c r="E9" s="81">
        <v>1</v>
      </c>
      <c r="F9" s="81">
        <v>1</v>
      </c>
      <c r="G9" s="81">
        <v>1</v>
      </c>
      <c r="H9" s="82">
        <f t="shared" si="0"/>
        <v>3</v>
      </c>
      <c r="I9" s="80" t="s">
        <v>30</v>
      </c>
      <c r="J9" s="12" t="s">
        <v>32</v>
      </c>
      <c r="K9" s="75"/>
      <c r="L9" s="75"/>
      <c r="M9" s="81">
        <v>1</v>
      </c>
      <c r="N9" s="81">
        <v>1</v>
      </c>
      <c r="O9" s="81">
        <v>1</v>
      </c>
      <c r="P9" s="82">
        <f t="shared" si="1"/>
        <v>3</v>
      </c>
    </row>
    <row r="10" spans="1:29" ht="18" customHeight="1" x14ac:dyDescent="0.2">
      <c r="A10" s="80" t="s">
        <v>37</v>
      </c>
      <c r="B10" s="13" t="s">
        <v>38</v>
      </c>
      <c r="C10" s="81">
        <v>1</v>
      </c>
      <c r="D10" s="81">
        <v>1</v>
      </c>
      <c r="E10" s="75"/>
      <c r="F10" s="81">
        <v>1</v>
      </c>
      <c r="G10" s="81">
        <v>1</v>
      </c>
      <c r="H10" s="82">
        <f t="shared" si="0"/>
        <v>4</v>
      </c>
      <c r="I10" s="80" t="s">
        <v>37</v>
      </c>
      <c r="J10" s="12" t="s">
        <v>39</v>
      </c>
      <c r="K10" s="81">
        <v>1</v>
      </c>
      <c r="L10" s="81">
        <v>1</v>
      </c>
      <c r="M10" s="75"/>
      <c r="N10" s="81">
        <v>1</v>
      </c>
      <c r="O10" s="81">
        <v>1</v>
      </c>
      <c r="P10" s="82">
        <f t="shared" si="1"/>
        <v>4</v>
      </c>
    </row>
    <row r="11" spans="1:29" ht="18" customHeight="1" x14ac:dyDescent="0.2">
      <c r="A11" s="80" t="s">
        <v>44</v>
      </c>
      <c r="B11" s="83" t="s">
        <v>45</v>
      </c>
      <c r="C11" s="81">
        <v>1</v>
      </c>
      <c r="D11" s="75"/>
      <c r="E11" s="81">
        <v>1</v>
      </c>
      <c r="F11" s="81">
        <v>1</v>
      </c>
      <c r="G11" s="75"/>
      <c r="H11" s="82">
        <f t="shared" si="0"/>
        <v>3</v>
      </c>
      <c r="I11" s="80" t="s">
        <v>44</v>
      </c>
      <c r="J11" s="12" t="s">
        <v>46</v>
      </c>
      <c r="K11" s="81">
        <v>1</v>
      </c>
      <c r="L11" s="75"/>
      <c r="M11" s="81">
        <v>1</v>
      </c>
      <c r="N11" s="75"/>
      <c r="O11" s="81">
        <v>1</v>
      </c>
      <c r="P11" s="82">
        <f t="shared" si="1"/>
        <v>3</v>
      </c>
    </row>
    <row r="12" spans="1:29" ht="18" customHeight="1" x14ac:dyDescent="0.2">
      <c r="A12" s="80" t="s">
        <v>51</v>
      </c>
      <c r="B12" s="13" t="s">
        <v>52</v>
      </c>
      <c r="C12" s="75"/>
      <c r="D12" s="81">
        <v>1</v>
      </c>
      <c r="E12" s="81">
        <v>1</v>
      </c>
      <c r="F12" s="75"/>
      <c r="G12" s="81">
        <v>1</v>
      </c>
      <c r="H12" s="82">
        <f t="shared" si="0"/>
        <v>3</v>
      </c>
      <c r="I12" s="80" t="s">
        <v>51</v>
      </c>
      <c r="J12" s="12" t="s">
        <v>53</v>
      </c>
      <c r="K12" s="75"/>
      <c r="L12" s="81">
        <v>1</v>
      </c>
      <c r="M12" s="81">
        <v>1</v>
      </c>
      <c r="N12" s="81">
        <v>1</v>
      </c>
      <c r="O12" s="75"/>
      <c r="P12" s="82">
        <f t="shared" si="1"/>
        <v>3</v>
      </c>
    </row>
    <row r="13" spans="1:29" ht="18" customHeight="1" x14ac:dyDescent="0.2">
      <c r="A13" s="80" t="s">
        <v>58</v>
      </c>
      <c r="B13" s="12" t="s">
        <v>59</v>
      </c>
      <c r="C13" s="81">
        <v>1</v>
      </c>
      <c r="D13" s="81">
        <v>1</v>
      </c>
      <c r="E13" s="81">
        <v>1</v>
      </c>
      <c r="F13" s="75"/>
      <c r="G13" s="81">
        <v>1</v>
      </c>
      <c r="H13" s="82">
        <f t="shared" si="0"/>
        <v>4</v>
      </c>
      <c r="I13" s="80" t="s">
        <v>58</v>
      </c>
      <c r="J13" s="15" t="s">
        <v>60</v>
      </c>
      <c r="K13" s="75"/>
      <c r="L13" s="81">
        <v>1</v>
      </c>
      <c r="M13" s="81">
        <v>1</v>
      </c>
      <c r="N13" s="81">
        <v>1</v>
      </c>
      <c r="O13" s="84">
        <v>1</v>
      </c>
      <c r="P13" s="82">
        <f t="shared" si="1"/>
        <v>4</v>
      </c>
    </row>
    <row r="14" spans="1:29" ht="18" customHeight="1" x14ac:dyDescent="0.2">
      <c r="A14" s="80" t="s">
        <v>65</v>
      </c>
      <c r="B14" s="12" t="s">
        <v>66</v>
      </c>
      <c r="C14" s="81">
        <v>1</v>
      </c>
      <c r="D14" s="81">
        <v>1</v>
      </c>
      <c r="E14" s="75"/>
      <c r="F14" s="81">
        <v>1</v>
      </c>
      <c r="G14" s="81">
        <v>1</v>
      </c>
      <c r="H14" s="82">
        <f t="shared" si="0"/>
        <v>4</v>
      </c>
      <c r="I14" s="80" t="s">
        <v>65</v>
      </c>
      <c r="J14" s="12" t="s">
        <v>67</v>
      </c>
      <c r="K14" s="81">
        <v>1</v>
      </c>
      <c r="L14" s="81">
        <v>1</v>
      </c>
      <c r="M14" s="81">
        <v>1</v>
      </c>
      <c r="N14" s="75"/>
      <c r="O14" s="81">
        <v>1</v>
      </c>
      <c r="P14" s="82">
        <f t="shared" si="1"/>
        <v>4</v>
      </c>
    </row>
    <row r="15" spans="1:29" ht="18" customHeight="1" x14ac:dyDescent="0.2">
      <c r="A15" s="80" t="s">
        <v>72</v>
      </c>
      <c r="B15" s="12" t="s">
        <v>73</v>
      </c>
      <c r="C15" s="81">
        <v>1</v>
      </c>
      <c r="D15" s="75"/>
      <c r="E15" s="81">
        <v>1</v>
      </c>
      <c r="F15" s="81">
        <v>1</v>
      </c>
      <c r="G15" s="81">
        <v>1</v>
      </c>
      <c r="H15" s="82">
        <f t="shared" si="0"/>
        <v>4</v>
      </c>
      <c r="I15" s="80" t="s">
        <v>72</v>
      </c>
      <c r="J15" s="12" t="s">
        <v>74</v>
      </c>
      <c r="K15" s="81">
        <v>1</v>
      </c>
      <c r="L15" s="81">
        <v>1</v>
      </c>
      <c r="M15" s="75"/>
      <c r="N15" s="81">
        <v>1</v>
      </c>
      <c r="O15" s="75"/>
      <c r="P15" s="82">
        <f t="shared" si="1"/>
        <v>3</v>
      </c>
    </row>
    <row r="16" spans="1:29" ht="18" customHeight="1" x14ac:dyDescent="0.2">
      <c r="A16" s="80" t="s">
        <v>79</v>
      </c>
      <c r="B16" s="17" t="s">
        <v>80</v>
      </c>
      <c r="C16" s="75"/>
      <c r="D16" s="81">
        <v>1</v>
      </c>
      <c r="E16" s="81">
        <v>1</v>
      </c>
      <c r="F16" s="81">
        <v>1</v>
      </c>
      <c r="G16" s="75"/>
      <c r="H16" s="82">
        <f t="shared" si="0"/>
        <v>3</v>
      </c>
      <c r="I16" s="80" t="s">
        <v>79</v>
      </c>
      <c r="J16" s="12" t="s">
        <v>81</v>
      </c>
      <c r="K16" s="81">
        <v>1</v>
      </c>
      <c r="L16" s="75"/>
      <c r="M16" s="81">
        <v>1</v>
      </c>
      <c r="N16" s="81">
        <v>1</v>
      </c>
      <c r="O16" s="81">
        <v>1</v>
      </c>
      <c r="P16" s="82">
        <f t="shared" si="1"/>
        <v>4</v>
      </c>
    </row>
    <row r="17" spans="1:18" ht="18" customHeight="1" x14ac:dyDescent="0.2">
      <c r="A17" s="80" t="s">
        <v>86</v>
      </c>
      <c r="B17" s="12" t="s">
        <v>87</v>
      </c>
      <c r="C17" s="81">
        <v>1</v>
      </c>
      <c r="D17" s="81">
        <v>1</v>
      </c>
      <c r="E17" s="75"/>
      <c r="F17" s="81">
        <v>1</v>
      </c>
      <c r="G17" s="81">
        <v>1</v>
      </c>
      <c r="H17" s="82">
        <f t="shared" si="0"/>
        <v>4</v>
      </c>
      <c r="I17" s="80" t="s">
        <v>86</v>
      </c>
      <c r="J17" s="12" t="s">
        <v>88</v>
      </c>
      <c r="K17" s="81">
        <v>1</v>
      </c>
      <c r="L17" s="81">
        <v>1</v>
      </c>
      <c r="M17" s="75"/>
      <c r="N17" s="81">
        <v>1</v>
      </c>
      <c r="O17" s="75"/>
      <c r="P17" s="82">
        <f t="shared" si="1"/>
        <v>3</v>
      </c>
    </row>
    <row r="18" spans="1:18" ht="18" customHeight="1" x14ac:dyDescent="0.2">
      <c r="A18" s="80" t="s">
        <v>93</v>
      </c>
      <c r="B18" s="12" t="s">
        <v>94</v>
      </c>
      <c r="C18" s="75"/>
      <c r="D18" s="81">
        <v>1</v>
      </c>
      <c r="E18" s="81">
        <v>1</v>
      </c>
      <c r="F18" s="75"/>
      <c r="G18" s="85">
        <v>1</v>
      </c>
      <c r="H18" s="82">
        <f t="shared" si="0"/>
        <v>3</v>
      </c>
      <c r="I18" s="80" t="s">
        <v>93</v>
      </c>
      <c r="J18" s="12" t="s">
        <v>95</v>
      </c>
      <c r="K18" s="81">
        <v>1</v>
      </c>
      <c r="L18" s="75"/>
      <c r="M18" s="81">
        <v>1</v>
      </c>
      <c r="N18" s="81">
        <v>1</v>
      </c>
      <c r="O18" s="75"/>
      <c r="P18" s="82">
        <f t="shared" si="1"/>
        <v>3</v>
      </c>
    </row>
    <row r="19" spans="1:18" ht="18" customHeight="1" x14ac:dyDescent="0.2">
      <c r="A19" s="80" t="s">
        <v>100</v>
      </c>
      <c r="B19" s="12" t="s">
        <v>101</v>
      </c>
      <c r="C19" s="81">
        <v>1</v>
      </c>
      <c r="D19" s="75"/>
      <c r="E19" s="81">
        <v>1</v>
      </c>
      <c r="F19" s="81">
        <v>1</v>
      </c>
      <c r="G19" s="75"/>
      <c r="H19" s="82">
        <f t="shared" si="0"/>
        <v>3</v>
      </c>
      <c r="I19" s="80" t="s">
        <v>100</v>
      </c>
      <c r="J19" s="12" t="s">
        <v>102</v>
      </c>
      <c r="K19" s="75"/>
      <c r="L19" s="81">
        <v>1</v>
      </c>
      <c r="M19" s="81">
        <v>1</v>
      </c>
      <c r="N19" s="75"/>
      <c r="O19" s="75"/>
      <c r="P19" s="82">
        <f t="shared" si="1"/>
        <v>2</v>
      </c>
    </row>
    <row r="20" spans="1:18" ht="15" customHeight="1" x14ac:dyDescent="0.2">
      <c r="J20" s="36"/>
      <c r="P20" s="86"/>
    </row>
    <row r="21" spans="1:18" ht="18" customHeight="1" x14ac:dyDescent="0.2">
      <c r="A21" s="87" t="s">
        <v>16</v>
      </c>
      <c r="B21" s="12" t="s">
        <v>108</v>
      </c>
      <c r="C21" s="88">
        <v>1</v>
      </c>
      <c r="D21" s="89"/>
      <c r="E21" s="88">
        <v>1</v>
      </c>
      <c r="F21" s="88">
        <v>1</v>
      </c>
      <c r="G21" s="88">
        <v>1</v>
      </c>
      <c r="H21" s="82">
        <f t="shared" ref="H21:H30" si="2">SUM(C21:G21)</f>
        <v>4</v>
      </c>
      <c r="I21" s="87" t="s">
        <v>16</v>
      </c>
      <c r="J21" s="12" t="s">
        <v>109</v>
      </c>
      <c r="K21" s="88">
        <v>1</v>
      </c>
      <c r="L21" s="88">
        <v>1</v>
      </c>
      <c r="M21" s="88">
        <v>1</v>
      </c>
      <c r="N21" s="89"/>
      <c r="O21" s="89"/>
      <c r="P21" s="82">
        <f t="shared" ref="P21:P30" si="3">SUM(K21:O21)</f>
        <v>3</v>
      </c>
    </row>
    <row r="22" spans="1:18" ht="18" customHeight="1" x14ac:dyDescent="0.2">
      <c r="A22" s="87" t="s">
        <v>23</v>
      </c>
      <c r="B22" s="12" t="s">
        <v>114</v>
      </c>
      <c r="C22" s="89"/>
      <c r="D22" s="88">
        <v>1</v>
      </c>
      <c r="E22" s="88">
        <v>1</v>
      </c>
      <c r="F22" s="89"/>
      <c r="G22" s="88">
        <v>1</v>
      </c>
      <c r="H22" s="82">
        <f t="shared" si="2"/>
        <v>3</v>
      </c>
      <c r="I22" s="87" t="s">
        <v>23</v>
      </c>
      <c r="J22" s="12" t="s">
        <v>115</v>
      </c>
      <c r="K22" s="88">
        <v>1</v>
      </c>
      <c r="L22" s="89"/>
      <c r="M22" s="89"/>
      <c r="N22" s="88">
        <v>1</v>
      </c>
      <c r="O22" s="89"/>
      <c r="P22" s="82">
        <f t="shared" si="3"/>
        <v>2</v>
      </c>
    </row>
    <row r="23" spans="1:18" ht="18" customHeight="1" x14ac:dyDescent="0.2">
      <c r="A23" s="87" t="s">
        <v>30</v>
      </c>
      <c r="B23" s="12" t="s">
        <v>120</v>
      </c>
      <c r="C23" s="88">
        <v>1</v>
      </c>
      <c r="D23" s="88">
        <v>1</v>
      </c>
      <c r="E23" s="89"/>
      <c r="F23" s="88">
        <v>1</v>
      </c>
      <c r="G23" s="89"/>
      <c r="H23" s="82">
        <f t="shared" si="2"/>
        <v>3</v>
      </c>
      <c r="I23" s="87" t="s">
        <v>30</v>
      </c>
      <c r="J23" s="12" t="s">
        <v>121</v>
      </c>
      <c r="K23" s="89"/>
      <c r="L23" s="88">
        <v>1</v>
      </c>
      <c r="M23" s="88">
        <v>1</v>
      </c>
      <c r="N23" s="88">
        <v>1</v>
      </c>
      <c r="O23" s="88"/>
      <c r="P23" s="82">
        <f t="shared" si="3"/>
        <v>3</v>
      </c>
    </row>
    <row r="24" spans="1:18" ht="18" customHeight="1" x14ac:dyDescent="0.2">
      <c r="A24" s="87" t="s">
        <v>37</v>
      </c>
      <c r="B24" s="12" t="s">
        <v>126</v>
      </c>
      <c r="C24" s="88">
        <v>1</v>
      </c>
      <c r="D24" s="88">
        <v>1</v>
      </c>
      <c r="E24" s="88">
        <v>1</v>
      </c>
      <c r="F24" s="89"/>
      <c r="G24" s="88">
        <v>1</v>
      </c>
      <c r="H24" s="82">
        <f t="shared" si="2"/>
        <v>4</v>
      </c>
      <c r="I24" s="87" t="s">
        <v>37</v>
      </c>
      <c r="J24" s="12" t="s">
        <v>127</v>
      </c>
      <c r="K24" s="88">
        <v>1</v>
      </c>
      <c r="L24" s="88">
        <v>1</v>
      </c>
      <c r="M24" s="88">
        <v>1</v>
      </c>
      <c r="N24" s="89"/>
      <c r="O24" s="88">
        <v>1</v>
      </c>
      <c r="P24" s="82">
        <f t="shared" si="3"/>
        <v>4</v>
      </c>
    </row>
    <row r="25" spans="1:18" ht="18" customHeight="1" x14ac:dyDescent="0.2">
      <c r="A25" s="87" t="s">
        <v>44</v>
      </c>
      <c r="B25" s="12" t="s">
        <v>132</v>
      </c>
      <c r="C25" s="88">
        <v>1</v>
      </c>
      <c r="D25" s="88">
        <v>1</v>
      </c>
      <c r="E25" s="89"/>
      <c r="F25" s="88">
        <v>1</v>
      </c>
      <c r="G25" s="88">
        <v>1</v>
      </c>
      <c r="H25" s="82">
        <f t="shared" si="2"/>
        <v>4</v>
      </c>
      <c r="I25" s="87" t="s">
        <v>44</v>
      </c>
      <c r="J25" s="12" t="s">
        <v>133</v>
      </c>
      <c r="K25" s="88">
        <v>1</v>
      </c>
      <c r="L25" s="88">
        <v>1</v>
      </c>
      <c r="M25" s="88">
        <v>1</v>
      </c>
      <c r="N25" s="88">
        <v>1</v>
      </c>
      <c r="O25" s="89"/>
      <c r="P25" s="82">
        <f t="shared" si="3"/>
        <v>4</v>
      </c>
    </row>
    <row r="26" spans="1:18" ht="18" customHeight="1" x14ac:dyDescent="0.2">
      <c r="A26" s="87" t="s">
        <v>51</v>
      </c>
      <c r="B26" s="12" t="s">
        <v>138</v>
      </c>
      <c r="C26" s="88">
        <v>1</v>
      </c>
      <c r="D26" s="89"/>
      <c r="E26" s="88">
        <v>1</v>
      </c>
      <c r="F26" s="88">
        <v>1</v>
      </c>
      <c r="G26" s="89"/>
      <c r="H26" s="82">
        <f t="shared" si="2"/>
        <v>3</v>
      </c>
      <c r="I26" s="87" t="s">
        <v>51</v>
      </c>
      <c r="J26" s="12" t="s">
        <v>139</v>
      </c>
      <c r="K26" s="88">
        <v>1</v>
      </c>
      <c r="L26" s="89"/>
      <c r="M26" s="89"/>
      <c r="N26" s="88">
        <v>1</v>
      </c>
      <c r="O26" s="88">
        <v>1</v>
      </c>
      <c r="P26" s="82">
        <f t="shared" si="3"/>
        <v>3</v>
      </c>
    </row>
    <row r="27" spans="1:18" ht="18" customHeight="1" x14ac:dyDescent="0.2">
      <c r="A27" s="87" t="s">
        <v>144</v>
      </c>
      <c r="B27" s="13" t="s">
        <v>195</v>
      </c>
      <c r="C27" s="89"/>
      <c r="D27" s="88">
        <v>1</v>
      </c>
      <c r="E27" s="88">
        <v>1</v>
      </c>
      <c r="F27" s="88">
        <v>1</v>
      </c>
      <c r="G27" s="88">
        <v>1</v>
      </c>
      <c r="H27" s="82">
        <f t="shared" si="2"/>
        <v>4</v>
      </c>
      <c r="I27" s="87" t="s">
        <v>144</v>
      </c>
      <c r="J27" s="12" t="s">
        <v>146</v>
      </c>
      <c r="K27" s="89"/>
      <c r="L27" s="88">
        <v>1</v>
      </c>
      <c r="M27" s="88">
        <v>1</v>
      </c>
      <c r="N27" s="88">
        <v>1</v>
      </c>
      <c r="O27" s="88">
        <v>1</v>
      </c>
      <c r="P27" s="82">
        <f t="shared" si="3"/>
        <v>4</v>
      </c>
    </row>
    <row r="28" spans="1:18" ht="18" customHeight="1" x14ac:dyDescent="0.2">
      <c r="A28" s="87" t="s">
        <v>58</v>
      </c>
      <c r="B28" s="12" t="s">
        <v>151</v>
      </c>
      <c r="C28" s="88">
        <v>1</v>
      </c>
      <c r="D28" s="88">
        <v>1</v>
      </c>
      <c r="E28" s="89"/>
      <c r="F28" s="89"/>
      <c r="G28" s="88">
        <v>1</v>
      </c>
      <c r="H28" s="82">
        <f t="shared" si="2"/>
        <v>3</v>
      </c>
      <c r="I28" s="87" t="s">
        <v>58</v>
      </c>
      <c r="J28" s="12" t="s">
        <v>152</v>
      </c>
      <c r="K28" s="88">
        <v>1</v>
      </c>
      <c r="L28" s="89"/>
      <c r="M28" s="88">
        <v>1</v>
      </c>
      <c r="N28" s="88">
        <v>1</v>
      </c>
      <c r="O28" s="89"/>
      <c r="P28" s="82">
        <f t="shared" si="3"/>
        <v>3</v>
      </c>
    </row>
    <row r="29" spans="1:18" ht="18" customHeight="1" x14ac:dyDescent="0.2">
      <c r="A29" s="87" t="s">
        <v>65</v>
      </c>
      <c r="B29" s="12" t="s">
        <v>157</v>
      </c>
      <c r="C29" s="88">
        <v>1</v>
      </c>
      <c r="D29" s="89"/>
      <c r="E29" s="88">
        <v>1</v>
      </c>
      <c r="F29" s="88">
        <v>1</v>
      </c>
      <c r="G29" s="88">
        <v>1</v>
      </c>
      <c r="H29" s="82">
        <f t="shared" si="2"/>
        <v>4</v>
      </c>
      <c r="I29" s="87" t="s">
        <v>65</v>
      </c>
      <c r="J29" s="12" t="s">
        <v>158</v>
      </c>
      <c r="K29" s="88">
        <v>1</v>
      </c>
      <c r="L29" s="88">
        <v>1</v>
      </c>
      <c r="M29" s="89"/>
      <c r="N29" s="88">
        <v>1</v>
      </c>
      <c r="O29" s="89"/>
      <c r="P29" s="82">
        <f t="shared" si="3"/>
        <v>3</v>
      </c>
    </row>
    <row r="30" spans="1:18" ht="18" customHeight="1" x14ac:dyDescent="0.2">
      <c r="A30" s="87" t="s">
        <v>72</v>
      </c>
      <c r="B30" s="12" t="s">
        <v>163</v>
      </c>
      <c r="C30" s="89"/>
      <c r="D30" s="88">
        <v>1</v>
      </c>
      <c r="E30" s="88">
        <v>1</v>
      </c>
      <c r="F30" s="88">
        <v>1</v>
      </c>
      <c r="G30" s="89"/>
      <c r="H30" s="82">
        <f t="shared" si="2"/>
        <v>3</v>
      </c>
      <c r="I30" s="87" t="s">
        <v>72</v>
      </c>
      <c r="J30" s="12" t="s">
        <v>164</v>
      </c>
      <c r="K30" s="89"/>
      <c r="L30" s="88">
        <v>1</v>
      </c>
      <c r="M30" s="88">
        <v>1</v>
      </c>
      <c r="N30" s="89"/>
      <c r="O30" s="89"/>
      <c r="P30" s="82">
        <f t="shared" si="3"/>
        <v>2</v>
      </c>
    </row>
    <row r="31" spans="1:18" ht="18" customHeight="1" x14ac:dyDescent="0.2">
      <c r="A31" s="90"/>
      <c r="B31" s="91"/>
      <c r="C31" s="92"/>
      <c r="D31" s="92"/>
      <c r="E31" s="92"/>
      <c r="F31" s="92"/>
      <c r="G31" s="92"/>
      <c r="H31" s="93"/>
      <c r="I31" s="90"/>
      <c r="J31" s="91"/>
      <c r="K31" s="92"/>
      <c r="L31" s="92"/>
      <c r="M31" s="92"/>
      <c r="N31" s="92"/>
      <c r="O31" s="92"/>
      <c r="P31" s="93"/>
      <c r="Q31" s="30"/>
      <c r="R31" s="30"/>
    </row>
    <row r="32" spans="1:18" ht="18" customHeight="1" x14ac:dyDescent="0.2">
      <c r="A32" s="90"/>
      <c r="B32" s="91"/>
      <c r="C32" s="92"/>
      <c r="D32" s="92"/>
      <c r="E32" s="92"/>
      <c r="F32" s="92"/>
      <c r="G32" s="92"/>
      <c r="H32" s="93"/>
      <c r="I32" s="90"/>
      <c r="J32" s="91"/>
      <c r="K32" s="92"/>
      <c r="L32" s="92"/>
      <c r="M32" s="92"/>
      <c r="N32" s="92"/>
      <c r="O32" s="92"/>
      <c r="P32" s="93"/>
      <c r="Q32" s="30"/>
      <c r="R32" s="30"/>
    </row>
    <row r="33" spans="1:18" ht="18" customHeight="1" x14ac:dyDescent="0.2">
      <c r="A33" s="90"/>
      <c r="B33" s="91"/>
      <c r="C33" s="92"/>
      <c r="D33" s="92"/>
      <c r="E33" s="92"/>
      <c r="F33" s="92"/>
      <c r="G33" s="92"/>
      <c r="H33" s="93"/>
      <c r="I33" s="90"/>
      <c r="J33" s="91"/>
      <c r="K33" s="92"/>
      <c r="L33" s="92"/>
      <c r="M33" s="92"/>
      <c r="N33" s="92"/>
      <c r="O33" s="92"/>
      <c r="P33" s="93"/>
      <c r="Q33" s="30"/>
      <c r="R33" s="30"/>
    </row>
    <row r="34" spans="1:18" ht="18" customHeight="1" x14ac:dyDescent="0.2">
      <c r="A34" s="90"/>
      <c r="B34" s="91"/>
      <c r="C34" s="92"/>
      <c r="D34" s="92"/>
      <c r="E34" s="92"/>
      <c r="F34" s="92"/>
      <c r="G34" s="92"/>
      <c r="H34" s="93"/>
      <c r="I34" s="90"/>
      <c r="J34" s="91"/>
      <c r="K34" s="92"/>
      <c r="L34" s="92"/>
      <c r="M34" s="92"/>
      <c r="N34" s="92"/>
      <c r="O34" s="92"/>
      <c r="P34" s="93"/>
      <c r="Q34" s="30"/>
      <c r="R34" s="30"/>
    </row>
    <row r="35" spans="1:18" ht="18" customHeight="1" x14ac:dyDescent="0.2">
      <c r="A35" s="90"/>
      <c r="B35" s="91"/>
      <c r="C35" s="92"/>
      <c r="D35" s="92"/>
      <c r="E35" s="92"/>
      <c r="F35" s="92"/>
      <c r="G35" s="92"/>
      <c r="H35" s="93"/>
      <c r="I35" s="90"/>
      <c r="J35" s="91"/>
      <c r="K35" s="92"/>
      <c r="L35" s="92"/>
      <c r="M35" s="92"/>
      <c r="N35" s="92"/>
      <c r="O35" s="92"/>
      <c r="P35" s="93"/>
      <c r="Q35" s="30"/>
      <c r="R35" s="30"/>
    </row>
    <row r="36" spans="1:18" ht="18" customHeight="1" x14ac:dyDescent="0.2">
      <c r="A36" s="90"/>
      <c r="B36" s="91"/>
      <c r="C36" s="92"/>
      <c r="D36" s="92"/>
      <c r="E36" s="92"/>
      <c r="F36" s="92"/>
      <c r="G36" s="92"/>
      <c r="H36" s="93"/>
      <c r="I36" s="90"/>
      <c r="J36" s="91"/>
      <c r="K36" s="92"/>
      <c r="L36" s="92"/>
      <c r="M36" s="92"/>
      <c r="N36" s="92"/>
      <c r="O36" s="92"/>
      <c r="P36" s="93"/>
      <c r="Q36" s="30"/>
      <c r="R36" s="30"/>
    </row>
    <row r="37" spans="1:18" ht="18" customHeight="1" x14ac:dyDescent="0.2">
      <c r="A37" s="90"/>
      <c r="B37" s="91"/>
      <c r="C37" s="92"/>
      <c r="D37" s="92"/>
      <c r="E37" s="92"/>
      <c r="F37" s="92"/>
      <c r="G37" s="92"/>
      <c r="H37" s="93"/>
      <c r="I37" s="90"/>
      <c r="J37" s="91"/>
      <c r="K37" s="92"/>
      <c r="L37" s="92"/>
      <c r="M37" s="92"/>
      <c r="N37" s="92"/>
      <c r="O37" s="92"/>
      <c r="P37" s="93"/>
      <c r="Q37" s="30"/>
      <c r="R37" s="30"/>
    </row>
    <row r="38" spans="1:18" ht="18" customHeight="1" x14ac:dyDescent="0.2">
      <c r="A38" s="90"/>
      <c r="B38" s="91"/>
      <c r="C38" s="92"/>
      <c r="D38" s="92"/>
      <c r="E38" s="92"/>
      <c r="F38" s="92"/>
      <c r="G38" s="92"/>
      <c r="H38" s="93"/>
      <c r="I38" s="90"/>
      <c r="J38" s="91"/>
      <c r="K38" s="92"/>
      <c r="L38" s="92"/>
      <c r="M38" s="92"/>
      <c r="N38" s="92"/>
      <c r="O38" s="92"/>
      <c r="P38" s="93"/>
      <c r="Q38" s="30"/>
      <c r="R38" s="30"/>
    </row>
    <row r="39" spans="1:18" ht="18" customHeight="1" x14ac:dyDescent="0.2">
      <c r="A39" s="90"/>
      <c r="B39" s="91"/>
      <c r="C39" s="92"/>
      <c r="D39" s="92"/>
      <c r="E39" s="92"/>
      <c r="F39" s="92"/>
      <c r="G39" s="92"/>
      <c r="H39" s="93"/>
      <c r="I39" s="90"/>
      <c r="J39" s="91"/>
      <c r="K39" s="92"/>
      <c r="L39" s="92"/>
      <c r="M39" s="92"/>
      <c r="N39" s="92"/>
      <c r="O39" s="92"/>
      <c r="P39" s="93"/>
      <c r="Q39" s="30"/>
      <c r="R39" s="30"/>
    </row>
    <row r="40" spans="1:18" ht="12.75" customHeight="1" x14ac:dyDescent="0.2"/>
    <row r="41" spans="1:18" ht="12.75" customHeight="1" x14ac:dyDescent="0.2"/>
    <row r="42" spans="1:18" ht="12.75" customHeight="1" x14ac:dyDescent="0.2">
      <c r="A42" s="69"/>
      <c r="B42" s="70" t="s">
        <v>193</v>
      </c>
      <c r="C42" s="71">
        <v>1</v>
      </c>
      <c r="D42" s="71">
        <v>2</v>
      </c>
      <c r="E42" s="71">
        <v>3</v>
      </c>
      <c r="F42" s="71">
        <v>4</v>
      </c>
      <c r="G42" s="71">
        <v>5</v>
      </c>
      <c r="H42" s="71" t="s">
        <v>194</v>
      </c>
      <c r="I42" s="72"/>
      <c r="J42" s="70" t="s">
        <v>193</v>
      </c>
      <c r="K42" s="71">
        <v>1</v>
      </c>
      <c r="L42" s="71">
        <v>2</v>
      </c>
      <c r="M42" s="71">
        <v>3</v>
      </c>
      <c r="N42" s="71">
        <v>4</v>
      </c>
      <c r="O42" s="71">
        <v>5</v>
      </c>
      <c r="P42" s="71" t="s">
        <v>194</v>
      </c>
    </row>
    <row r="43" spans="1:18" ht="18" customHeight="1" x14ac:dyDescent="0.25">
      <c r="A43" s="73" t="s">
        <v>4</v>
      </c>
      <c r="B43" s="74" t="s">
        <v>11</v>
      </c>
      <c r="C43" s="75"/>
      <c r="D43" s="75"/>
      <c r="E43" s="75"/>
      <c r="F43" s="76"/>
      <c r="G43" s="76"/>
      <c r="H43" s="76"/>
      <c r="I43" s="73" t="s">
        <v>5</v>
      </c>
      <c r="J43" s="77" t="s">
        <v>12</v>
      </c>
      <c r="K43" s="78"/>
      <c r="L43" s="78"/>
      <c r="M43" s="78"/>
      <c r="N43" s="78"/>
      <c r="O43" s="78"/>
      <c r="P43" s="79"/>
    </row>
    <row r="44" spans="1:18" ht="18" customHeight="1" x14ac:dyDescent="0.2">
      <c r="A44" s="80" t="s">
        <v>16</v>
      </c>
      <c r="B44" s="12" t="s">
        <v>19</v>
      </c>
      <c r="C44" s="81">
        <v>1</v>
      </c>
      <c r="D44" s="81">
        <v>1</v>
      </c>
      <c r="E44" s="81"/>
      <c r="F44" s="81">
        <v>1</v>
      </c>
      <c r="G44" s="81">
        <v>1</v>
      </c>
      <c r="H44" s="82">
        <f t="shared" ref="H44:H56" si="4">SUM(C44:G44)</f>
        <v>4</v>
      </c>
      <c r="I44" s="80" t="s">
        <v>16</v>
      </c>
      <c r="J44" s="12" t="s">
        <v>20</v>
      </c>
      <c r="K44" s="81">
        <v>1</v>
      </c>
      <c r="L44" s="75"/>
      <c r="M44" s="81">
        <v>1</v>
      </c>
      <c r="N44" s="81">
        <v>1</v>
      </c>
      <c r="O44" s="81">
        <v>1</v>
      </c>
      <c r="P44" s="82">
        <f t="shared" ref="P44:P56" si="5">SUM(K44:O44)</f>
        <v>4</v>
      </c>
    </row>
    <row r="45" spans="1:18" ht="18" customHeight="1" x14ac:dyDescent="0.2">
      <c r="A45" s="80" t="s">
        <v>23</v>
      </c>
      <c r="B45" s="13" t="s">
        <v>196</v>
      </c>
      <c r="C45" s="81">
        <v>1</v>
      </c>
      <c r="D45" s="75"/>
      <c r="E45" s="81">
        <v>1</v>
      </c>
      <c r="F45" s="75"/>
      <c r="G45" s="81">
        <v>1</v>
      </c>
      <c r="H45" s="82">
        <f t="shared" si="4"/>
        <v>3</v>
      </c>
      <c r="I45" s="80" t="s">
        <v>23</v>
      </c>
      <c r="J45" s="12" t="s">
        <v>27</v>
      </c>
      <c r="K45" s="81">
        <v>1</v>
      </c>
      <c r="L45" s="81">
        <v>1</v>
      </c>
      <c r="M45" s="75"/>
      <c r="N45" s="81">
        <v>1</v>
      </c>
      <c r="O45" s="81"/>
      <c r="P45" s="82">
        <f t="shared" si="5"/>
        <v>3</v>
      </c>
    </row>
    <row r="46" spans="1:18" ht="18" customHeight="1" x14ac:dyDescent="0.2">
      <c r="A46" s="80" t="s">
        <v>30</v>
      </c>
      <c r="B46" s="12" t="s">
        <v>33</v>
      </c>
      <c r="C46" s="75"/>
      <c r="D46" s="81">
        <v>1</v>
      </c>
      <c r="E46" s="81">
        <v>1</v>
      </c>
      <c r="F46" s="81">
        <v>1</v>
      </c>
      <c r="G46" s="75"/>
      <c r="H46" s="82">
        <f t="shared" si="4"/>
        <v>3</v>
      </c>
      <c r="I46" s="80" t="s">
        <v>30</v>
      </c>
      <c r="J46" s="12" t="s">
        <v>34</v>
      </c>
      <c r="K46" s="75"/>
      <c r="L46" s="81">
        <v>1</v>
      </c>
      <c r="M46" s="81">
        <v>1</v>
      </c>
      <c r="N46" s="75"/>
      <c r="O46" s="81">
        <v>1</v>
      </c>
      <c r="P46" s="82">
        <f t="shared" si="5"/>
        <v>3</v>
      </c>
    </row>
    <row r="47" spans="1:18" ht="18" customHeight="1" x14ac:dyDescent="0.2">
      <c r="A47" s="80" t="s">
        <v>37</v>
      </c>
      <c r="B47" s="12" t="s">
        <v>40</v>
      </c>
      <c r="C47" s="81">
        <v>1</v>
      </c>
      <c r="D47" s="81">
        <v>1</v>
      </c>
      <c r="E47" s="81">
        <v>1</v>
      </c>
      <c r="F47" s="75"/>
      <c r="G47" s="81">
        <v>1</v>
      </c>
      <c r="H47" s="82">
        <f t="shared" si="4"/>
        <v>4</v>
      </c>
      <c r="I47" s="80" t="s">
        <v>37</v>
      </c>
      <c r="J47" s="12" t="s">
        <v>41</v>
      </c>
      <c r="K47" s="81">
        <v>1</v>
      </c>
      <c r="L47" s="81">
        <v>1</v>
      </c>
      <c r="M47" s="75"/>
      <c r="N47" s="81">
        <v>1</v>
      </c>
      <c r="O47" s="75"/>
      <c r="P47" s="82">
        <f t="shared" si="5"/>
        <v>3</v>
      </c>
    </row>
    <row r="48" spans="1:18" ht="18" customHeight="1" x14ac:dyDescent="0.2">
      <c r="A48" s="80" t="s">
        <v>44</v>
      </c>
      <c r="B48" s="12" t="s">
        <v>47</v>
      </c>
      <c r="C48" s="81">
        <v>1</v>
      </c>
      <c r="D48" s="75"/>
      <c r="E48" s="81">
        <v>1</v>
      </c>
      <c r="F48" s="81">
        <v>1</v>
      </c>
      <c r="G48" s="75"/>
      <c r="H48" s="82">
        <f t="shared" si="4"/>
        <v>3</v>
      </c>
      <c r="I48" s="80" t="s">
        <v>44</v>
      </c>
      <c r="J48" s="12" t="s">
        <v>48</v>
      </c>
      <c r="K48" s="75"/>
      <c r="L48" s="81">
        <v>1</v>
      </c>
      <c r="M48" s="81">
        <v>1</v>
      </c>
      <c r="N48" s="81">
        <v>1</v>
      </c>
      <c r="O48" s="81">
        <v>1</v>
      </c>
      <c r="P48" s="82">
        <f t="shared" si="5"/>
        <v>4</v>
      </c>
    </row>
    <row r="49" spans="1:16" ht="18" customHeight="1" x14ac:dyDescent="0.2">
      <c r="A49" s="80" t="s">
        <v>51</v>
      </c>
      <c r="B49" s="12" t="s">
        <v>54</v>
      </c>
      <c r="C49" s="75"/>
      <c r="D49" s="81">
        <v>1</v>
      </c>
      <c r="E49" s="75"/>
      <c r="F49" s="81">
        <v>1</v>
      </c>
      <c r="G49" s="81">
        <v>1</v>
      </c>
      <c r="H49" s="82">
        <f t="shared" si="4"/>
        <v>3</v>
      </c>
      <c r="I49" s="80" t="s">
        <v>51</v>
      </c>
      <c r="J49" s="12" t="s">
        <v>55</v>
      </c>
      <c r="K49" s="81">
        <v>1</v>
      </c>
      <c r="L49" s="75"/>
      <c r="M49" s="81">
        <v>1</v>
      </c>
      <c r="N49" s="75"/>
      <c r="O49" s="81">
        <v>1</v>
      </c>
      <c r="P49" s="82">
        <f t="shared" si="5"/>
        <v>3</v>
      </c>
    </row>
    <row r="50" spans="1:16" ht="18" customHeight="1" x14ac:dyDescent="0.2">
      <c r="A50" s="80" t="s">
        <v>58</v>
      </c>
      <c r="B50" s="12" t="s">
        <v>61</v>
      </c>
      <c r="C50" s="81"/>
      <c r="D50" s="81">
        <v>1</v>
      </c>
      <c r="E50" s="81">
        <v>1</v>
      </c>
      <c r="F50" s="81">
        <v>1</v>
      </c>
      <c r="G50" s="81">
        <v>1</v>
      </c>
      <c r="H50" s="82">
        <f t="shared" si="4"/>
        <v>4</v>
      </c>
      <c r="I50" s="80" t="s">
        <v>58</v>
      </c>
      <c r="J50" s="12" t="s">
        <v>62</v>
      </c>
      <c r="K50" s="81">
        <v>1</v>
      </c>
      <c r="L50" s="81">
        <v>1</v>
      </c>
      <c r="M50" s="75"/>
      <c r="N50" s="81">
        <v>1</v>
      </c>
      <c r="O50" s="81">
        <v>1</v>
      </c>
      <c r="P50" s="82">
        <f t="shared" si="5"/>
        <v>4</v>
      </c>
    </row>
    <row r="51" spans="1:16" ht="18" customHeight="1" x14ac:dyDescent="0.2">
      <c r="A51" s="80" t="s">
        <v>65</v>
      </c>
      <c r="B51" s="12" t="s">
        <v>68</v>
      </c>
      <c r="C51" s="81">
        <v>1</v>
      </c>
      <c r="D51" s="81">
        <v>1</v>
      </c>
      <c r="E51" s="75"/>
      <c r="F51" s="81">
        <v>1</v>
      </c>
      <c r="G51" s="81">
        <v>1</v>
      </c>
      <c r="H51" s="82">
        <f t="shared" si="4"/>
        <v>4</v>
      </c>
      <c r="I51" s="80" t="s">
        <v>65</v>
      </c>
      <c r="J51" s="12" t="s">
        <v>69</v>
      </c>
      <c r="K51" s="81">
        <v>1</v>
      </c>
      <c r="L51" s="75"/>
      <c r="M51" s="81">
        <v>1</v>
      </c>
      <c r="N51" s="81">
        <v>1</v>
      </c>
      <c r="O51" s="81">
        <v>1</v>
      </c>
      <c r="P51" s="82">
        <f t="shared" si="5"/>
        <v>4</v>
      </c>
    </row>
    <row r="52" spans="1:16" ht="18" customHeight="1" x14ac:dyDescent="0.2">
      <c r="A52" s="80" t="s">
        <v>72</v>
      </c>
      <c r="B52" s="12" t="s">
        <v>75</v>
      </c>
      <c r="C52" s="81">
        <v>1</v>
      </c>
      <c r="D52" s="81">
        <v>1</v>
      </c>
      <c r="E52" s="81">
        <v>1</v>
      </c>
      <c r="F52" s="75"/>
      <c r="G52" s="81">
        <v>1</v>
      </c>
      <c r="H52" s="82">
        <f t="shared" si="4"/>
        <v>4</v>
      </c>
      <c r="I52" s="80" t="s">
        <v>72</v>
      </c>
      <c r="J52" s="12" t="s">
        <v>76</v>
      </c>
      <c r="K52" s="81">
        <v>1</v>
      </c>
      <c r="L52" s="81">
        <v>1</v>
      </c>
      <c r="M52" s="81">
        <v>1</v>
      </c>
      <c r="N52" s="81">
        <v>1</v>
      </c>
      <c r="O52" s="75"/>
      <c r="P52" s="82">
        <f t="shared" si="5"/>
        <v>4</v>
      </c>
    </row>
    <row r="53" spans="1:16" ht="18" customHeight="1" x14ac:dyDescent="0.2">
      <c r="A53" s="80" t="s">
        <v>79</v>
      </c>
      <c r="B53" s="12" t="s">
        <v>82</v>
      </c>
      <c r="C53" s="81">
        <v>1</v>
      </c>
      <c r="D53" s="75"/>
      <c r="E53" s="81">
        <v>1</v>
      </c>
      <c r="F53" s="81">
        <v>1</v>
      </c>
      <c r="G53" s="75"/>
      <c r="H53" s="82">
        <f t="shared" si="4"/>
        <v>3</v>
      </c>
      <c r="I53" s="80" t="s">
        <v>79</v>
      </c>
      <c r="J53" s="12" t="s">
        <v>83</v>
      </c>
      <c r="K53" s="75"/>
      <c r="L53" s="81">
        <v>1</v>
      </c>
      <c r="M53" s="81">
        <v>1</v>
      </c>
      <c r="N53" s="75"/>
      <c r="O53" s="81">
        <v>1</v>
      </c>
      <c r="P53" s="82">
        <f t="shared" si="5"/>
        <v>3</v>
      </c>
    </row>
    <row r="54" spans="1:16" ht="18" customHeight="1" x14ac:dyDescent="0.2">
      <c r="A54" s="80" t="s">
        <v>86</v>
      </c>
      <c r="B54" s="12" t="s">
        <v>89</v>
      </c>
      <c r="C54" s="81">
        <v>1</v>
      </c>
      <c r="D54" s="81">
        <v>1</v>
      </c>
      <c r="E54" s="75"/>
      <c r="F54" s="81">
        <v>1</v>
      </c>
      <c r="G54" s="81">
        <v>1</v>
      </c>
      <c r="H54" s="82">
        <f t="shared" si="4"/>
        <v>4</v>
      </c>
      <c r="I54" s="80" t="s">
        <v>86</v>
      </c>
      <c r="J54" s="12" t="s">
        <v>90</v>
      </c>
      <c r="K54" s="75"/>
      <c r="L54" s="81">
        <v>1</v>
      </c>
      <c r="M54" s="75"/>
      <c r="N54" s="81">
        <v>1</v>
      </c>
      <c r="O54" s="81">
        <v>1</v>
      </c>
      <c r="P54" s="82">
        <f t="shared" si="5"/>
        <v>3</v>
      </c>
    </row>
    <row r="55" spans="1:16" ht="18" customHeight="1" x14ac:dyDescent="0.2">
      <c r="A55" s="80" t="s">
        <v>93</v>
      </c>
      <c r="B55" s="12" t="s">
        <v>96</v>
      </c>
      <c r="C55" s="75"/>
      <c r="D55" s="81">
        <v>1</v>
      </c>
      <c r="E55" s="81">
        <v>1</v>
      </c>
      <c r="F55" s="81">
        <v>1</v>
      </c>
      <c r="G55" s="75"/>
      <c r="H55" s="82">
        <f t="shared" si="4"/>
        <v>3</v>
      </c>
      <c r="I55" s="80" t="s">
        <v>93</v>
      </c>
      <c r="J55" s="83" t="s">
        <v>97</v>
      </c>
      <c r="K55" s="81">
        <v>1</v>
      </c>
      <c r="L55" s="81">
        <v>1</v>
      </c>
      <c r="M55" s="81">
        <v>1</v>
      </c>
      <c r="N55" s="75"/>
      <c r="O55" s="75"/>
      <c r="P55" s="82">
        <f t="shared" si="5"/>
        <v>3</v>
      </c>
    </row>
    <row r="56" spans="1:16" ht="18" customHeight="1" x14ac:dyDescent="0.2">
      <c r="A56" s="80" t="s">
        <v>100</v>
      </c>
      <c r="B56" s="12" t="s">
        <v>103</v>
      </c>
      <c r="C56" s="81">
        <v>1</v>
      </c>
      <c r="D56" s="75"/>
      <c r="E56" s="81">
        <v>1</v>
      </c>
      <c r="F56" s="75"/>
      <c r="G56" s="81">
        <v>1</v>
      </c>
      <c r="H56" s="82">
        <f t="shared" si="4"/>
        <v>3</v>
      </c>
      <c r="I56" s="80" t="s">
        <v>100</v>
      </c>
      <c r="J56" s="12" t="s">
        <v>104</v>
      </c>
      <c r="K56" s="81">
        <v>1</v>
      </c>
      <c r="L56" s="75"/>
      <c r="M56" s="81">
        <v>1</v>
      </c>
      <c r="N56" s="81">
        <v>1</v>
      </c>
      <c r="O56" s="81">
        <v>1</v>
      </c>
      <c r="P56" s="82">
        <f t="shared" si="5"/>
        <v>4</v>
      </c>
    </row>
    <row r="57" spans="1:16" ht="15" customHeight="1" x14ac:dyDescent="0.2">
      <c r="J57" s="36"/>
      <c r="P57" s="86"/>
    </row>
    <row r="58" spans="1:16" ht="18" customHeight="1" x14ac:dyDescent="0.2">
      <c r="A58" s="87" t="s">
        <v>16</v>
      </c>
      <c r="B58" s="12" t="s">
        <v>110</v>
      </c>
      <c r="C58" s="88">
        <v>1</v>
      </c>
      <c r="D58" s="88">
        <v>1</v>
      </c>
      <c r="E58" s="89"/>
      <c r="F58" s="88">
        <v>1</v>
      </c>
      <c r="G58" s="88">
        <v>1</v>
      </c>
      <c r="H58" s="82">
        <f t="shared" ref="H58:H67" si="6">SUM(C58:G58)</f>
        <v>4</v>
      </c>
      <c r="I58" s="87" t="s">
        <v>16</v>
      </c>
      <c r="J58" s="12" t="s">
        <v>111</v>
      </c>
      <c r="K58" s="88">
        <v>1</v>
      </c>
      <c r="L58" s="88">
        <v>1</v>
      </c>
      <c r="M58" s="89"/>
      <c r="N58" s="88">
        <v>1</v>
      </c>
      <c r="O58" s="88">
        <v>1</v>
      </c>
      <c r="P58" s="82">
        <f t="shared" ref="P58:P67" si="7">SUM(K58:O58)</f>
        <v>4</v>
      </c>
    </row>
    <row r="59" spans="1:16" ht="18" customHeight="1" x14ac:dyDescent="0.2">
      <c r="A59" s="87" t="s">
        <v>23</v>
      </c>
      <c r="B59" s="15" t="s">
        <v>116</v>
      </c>
      <c r="C59" s="88">
        <v>1</v>
      </c>
      <c r="D59" s="89"/>
      <c r="E59" s="88">
        <v>1</v>
      </c>
      <c r="F59" s="88">
        <v>1</v>
      </c>
      <c r="G59" s="89"/>
      <c r="H59" s="82">
        <f t="shared" si="6"/>
        <v>3</v>
      </c>
      <c r="I59" s="87" t="s">
        <v>23</v>
      </c>
      <c r="J59" s="12" t="s">
        <v>117</v>
      </c>
      <c r="K59" s="88">
        <v>1</v>
      </c>
      <c r="L59" s="89"/>
      <c r="M59" s="88">
        <v>1</v>
      </c>
      <c r="N59" s="88">
        <v>1</v>
      </c>
      <c r="O59" s="89"/>
      <c r="P59" s="82">
        <f t="shared" si="7"/>
        <v>3</v>
      </c>
    </row>
    <row r="60" spans="1:16" ht="18" customHeight="1" x14ac:dyDescent="0.2">
      <c r="A60" s="87" t="s">
        <v>30</v>
      </c>
      <c r="B60" s="12" t="s">
        <v>122</v>
      </c>
      <c r="C60" s="89"/>
      <c r="D60" s="88">
        <v>1</v>
      </c>
      <c r="E60" s="88">
        <v>1</v>
      </c>
      <c r="F60" s="89"/>
      <c r="G60" s="88">
        <v>1</v>
      </c>
      <c r="H60" s="82">
        <f t="shared" si="6"/>
        <v>3</v>
      </c>
      <c r="I60" s="87" t="s">
        <v>30</v>
      </c>
      <c r="J60" s="12" t="s">
        <v>123</v>
      </c>
      <c r="K60" s="89"/>
      <c r="L60" s="88">
        <v>1</v>
      </c>
      <c r="M60" s="88">
        <v>1</v>
      </c>
      <c r="N60" s="89"/>
      <c r="O60" s="88">
        <v>1</v>
      </c>
      <c r="P60" s="82">
        <f t="shared" si="7"/>
        <v>3</v>
      </c>
    </row>
    <row r="61" spans="1:16" ht="18" customHeight="1" x14ac:dyDescent="0.2">
      <c r="A61" s="87" t="s">
        <v>37</v>
      </c>
      <c r="B61" s="12" t="s">
        <v>128</v>
      </c>
      <c r="C61" s="88">
        <v>1</v>
      </c>
      <c r="D61" s="88">
        <v>1</v>
      </c>
      <c r="E61" s="88">
        <v>1</v>
      </c>
      <c r="F61" s="89"/>
      <c r="G61" s="88">
        <v>1</v>
      </c>
      <c r="H61" s="82">
        <f t="shared" si="6"/>
        <v>4</v>
      </c>
      <c r="I61" s="87" t="s">
        <v>37</v>
      </c>
      <c r="J61" s="12" t="s">
        <v>129</v>
      </c>
      <c r="K61" s="89"/>
      <c r="L61" s="88">
        <v>1</v>
      </c>
      <c r="M61" s="88">
        <v>1</v>
      </c>
      <c r="N61" s="88">
        <v>1</v>
      </c>
      <c r="O61" s="89"/>
      <c r="P61" s="82">
        <f t="shared" si="7"/>
        <v>3</v>
      </c>
    </row>
    <row r="62" spans="1:16" ht="18" customHeight="1" x14ac:dyDescent="0.2">
      <c r="A62" s="87" t="s">
        <v>44</v>
      </c>
      <c r="B62" s="12" t="s">
        <v>134</v>
      </c>
      <c r="C62" s="89"/>
      <c r="D62" s="88">
        <v>1</v>
      </c>
      <c r="E62" s="88">
        <v>1</v>
      </c>
      <c r="F62" s="88">
        <v>1</v>
      </c>
      <c r="G62" s="88">
        <v>1</v>
      </c>
      <c r="H62" s="82">
        <f t="shared" si="6"/>
        <v>4</v>
      </c>
      <c r="I62" s="87" t="s">
        <v>44</v>
      </c>
      <c r="J62" s="12" t="s">
        <v>135</v>
      </c>
      <c r="K62" s="88">
        <v>1</v>
      </c>
      <c r="L62" s="88">
        <v>1</v>
      </c>
      <c r="M62" s="88">
        <v>1</v>
      </c>
      <c r="N62" s="89"/>
      <c r="O62" s="88">
        <v>1</v>
      </c>
      <c r="P62" s="82">
        <f t="shared" si="7"/>
        <v>4</v>
      </c>
    </row>
    <row r="63" spans="1:16" ht="18" customHeight="1" x14ac:dyDescent="0.2">
      <c r="A63" s="87" t="s">
        <v>51</v>
      </c>
      <c r="B63" s="12" t="s">
        <v>140</v>
      </c>
      <c r="C63" s="88">
        <v>1</v>
      </c>
      <c r="D63" s="88">
        <v>1</v>
      </c>
      <c r="E63" s="89"/>
      <c r="F63" s="88">
        <v>1</v>
      </c>
      <c r="G63" s="88">
        <v>1</v>
      </c>
      <c r="H63" s="82">
        <f t="shared" si="6"/>
        <v>4</v>
      </c>
      <c r="I63" s="87" t="s">
        <v>51</v>
      </c>
      <c r="J63" s="12" t="s">
        <v>141</v>
      </c>
      <c r="K63" s="88">
        <v>1</v>
      </c>
      <c r="L63" s="89"/>
      <c r="M63" s="88">
        <v>1</v>
      </c>
      <c r="N63" s="88">
        <v>1</v>
      </c>
      <c r="O63" s="88">
        <v>1</v>
      </c>
      <c r="P63" s="82">
        <f t="shared" si="7"/>
        <v>4</v>
      </c>
    </row>
    <row r="64" spans="1:16" ht="18" customHeight="1" x14ac:dyDescent="0.2">
      <c r="A64" s="87" t="s">
        <v>144</v>
      </c>
      <c r="B64" s="12" t="s">
        <v>147</v>
      </c>
      <c r="C64" s="88">
        <v>1</v>
      </c>
      <c r="D64" s="89"/>
      <c r="E64" s="88">
        <v>1</v>
      </c>
      <c r="F64" s="88">
        <v>1</v>
      </c>
      <c r="G64" s="89"/>
      <c r="H64" s="82">
        <f t="shared" si="6"/>
        <v>3</v>
      </c>
      <c r="I64" s="87" t="s">
        <v>144</v>
      </c>
      <c r="J64" s="15" t="s">
        <v>148</v>
      </c>
      <c r="K64" s="88">
        <v>1</v>
      </c>
      <c r="L64" s="88">
        <v>1</v>
      </c>
      <c r="M64" s="89"/>
      <c r="N64" s="88">
        <v>1</v>
      </c>
      <c r="O64" s="88">
        <v>1</v>
      </c>
      <c r="P64" s="82">
        <f t="shared" si="7"/>
        <v>4</v>
      </c>
    </row>
    <row r="65" spans="1:17" ht="18" customHeight="1" x14ac:dyDescent="0.2">
      <c r="A65" s="87" t="s">
        <v>58</v>
      </c>
      <c r="B65" s="12" t="s">
        <v>153</v>
      </c>
      <c r="C65" s="88">
        <v>1</v>
      </c>
      <c r="D65" s="88">
        <v>1</v>
      </c>
      <c r="E65" s="88">
        <v>1</v>
      </c>
      <c r="F65" s="89"/>
      <c r="G65" s="88">
        <v>1</v>
      </c>
      <c r="H65" s="82">
        <f t="shared" si="6"/>
        <v>4</v>
      </c>
      <c r="I65" s="87" t="s">
        <v>58</v>
      </c>
      <c r="J65" s="83" t="s">
        <v>154</v>
      </c>
      <c r="K65" s="88">
        <v>1</v>
      </c>
      <c r="L65" s="89"/>
      <c r="M65" s="88">
        <v>1</v>
      </c>
      <c r="N65" s="88">
        <v>1</v>
      </c>
      <c r="O65" s="88">
        <v>1</v>
      </c>
      <c r="P65" s="82">
        <f t="shared" si="7"/>
        <v>4</v>
      </c>
    </row>
    <row r="66" spans="1:17" ht="18" customHeight="1" x14ac:dyDescent="0.2">
      <c r="A66" s="87" t="s">
        <v>65</v>
      </c>
      <c r="B66" s="12" t="s">
        <v>159</v>
      </c>
      <c r="C66" s="89"/>
      <c r="D66" s="88">
        <v>1</v>
      </c>
      <c r="E66" s="89"/>
      <c r="F66" s="88">
        <v>1</v>
      </c>
      <c r="G66" s="88">
        <v>1</v>
      </c>
      <c r="H66" s="82">
        <f t="shared" si="6"/>
        <v>3</v>
      </c>
      <c r="I66" s="87" t="s">
        <v>65</v>
      </c>
      <c r="J66" s="12" t="s">
        <v>160</v>
      </c>
      <c r="K66" s="88">
        <v>1</v>
      </c>
      <c r="L66" s="88">
        <v>1</v>
      </c>
      <c r="M66" s="89"/>
      <c r="N66" s="88">
        <v>1</v>
      </c>
      <c r="O66" s="89"/>
      <c r="P66" s="82">
        <f t="shared" si="7"/>
        <v>3</v>
      </c>
      <c r="Q66" s="30"/>
    </row>
    <row r="67" spans="1:17" ht="18" customHeight="1" x14ac:dyDescent="0.2">
      <c r="A67" s="87" t="s">
        <v>72</v>
      </c>
      <c r="B67" s="12" t="s">
        <v>165</v>
      </c>
      <c r="C67" s="88">
        <v>1</v>
      </c>
      <c r="D67" s="89"/>
      <c r="E67" s="88">
        <v>1</v>
      </c>
      <c r="F67" s="88">
        <v>1</v>
      </c>
      <c r="G67" s="89"/>
      <c r="H67" s="82">
        <f t="shared" si="6"/>
        <v>3</v>
      </c>
      <c r="I67" s="87" t="s">
        <v>72</v>
      </c>
      <c r="J67" s="12" t="s">
        <v>166</v>
      </c>
      <c r="K67" s="89"/>
      <c r="L67" s="88">
        <v>1</v>
      </c>
      <c r="M67" s="88">
        <v>1</v>
      </c>
      <c r="N67" s="89"/>
      <c r="O67" s="88">
        <v>1</v>
      </c>
      <c r="P67" s="82">
        <f t="shared" si="7"/>
        <v>3</v>
      </c>
      <c r="Q67" s="30"/>
    </row>
    <row r="68" spans="1:17" ht="18" customHeight="1" x14ac:dyDescent="0.2">
      <c r="A68" s="90"/>
      <c r="B68" s="91"/>
      <c r="C68" s="92"/>
      <c r="D68" s="92"/>
      <c r="E68" s="92"/>
      <c r="F68" s="92"/>
      <c r="G68" s="92"/>
      <c r="H68" s="93"/>
      <c r="I68" s="90"/>
      <c r="J68" s="91"/>
      <c r="K68" s="92"/>
      <c r="L68" s="92"/>
      <c r="M68" s="92"/>
      <c r="N68" s="92"/>
      <c r="O68" s="92"/>
      <c r="P68" s="92"/>
      <c r="Q68" s="30"/>
    </row>
    <row r="69" spans="1:17" ht="18" customHeight="1" x14ac:dyDescent="0.2">
      <c r="A69" s="90"/>
      <c r="B69" s="91"/>
      <c r="C69" s="92"/>
      <c r="D69" s="92"/>
      <c r="E69" s="92"/>
      <c r="F69" s="92"/>
      <c r="G69" s="92"/>
      <c r="H69" s="93"/>
      <c r="I69" s="90"/>
      <c r="J69" s="91"/>
      <c r="K69" s="92"/>
      <c r="L69" s="92"/>
      <c r="M69" s="92"/>
      <c r="N69" s="92"/>
      <c r="O69" s="92"/>
      <c r="P69" s="92"/>
      <c r="Q69" s="30"/>
    </row>
    <row r="70" spans="1:17" ht="18" customHeight="1" x14ac:dyDescent="0.2">
      <c r="A70" s="90"/>
      <c r="B70" s="91"/>
      <c r="C70" s="92"/>
      <c r="D70" s="92"/>
      <c r="E70" s="92"/>
      <c r="F70" s="92"/>
      <c r="G70" s="92"/>
      <c r="H70" s="93"/>
      <c r="I70" s="90"/>
      <c r="J70" s="91"/>
      <c r="K70" s="92"/>
      <c r="L70" s="92"/>
      <c r="M70" s="92"/>
      <c r="N70" s="92"/>
      <c r="O70" s="92"/>
      <c r="P70" s="92"/>
      <c r="Q70" s="30"/>
    </row>
    <row r="71" spans="1:17" ht="18" customHeight="1" x14ac:dyDescent="0.2">
      <c r="A71" s="90"/>
      <c r="B71" s="91"/>
      <c r="C71" s="92"/>
      <c r="D71" s="92"/>
      <c r="E71" s="92"/>
      <c r="F71" s="92"/>
      <c r="G71" s="92"/>
      <c r="H71" s="93"/>
      <c r="I71" s="90"/>
      <c r="J71" s="91"/>
      <c r="K71" s="92"/>
      <c r="L71" s="92"/>
      <c r="M71" s="92"/>
      <c r="N71" s="92"/>
      <c r="O71" s="92"/>
      <c r="P71" s="92"/>
      <c r="Q71" s="30"/>
    </row>
    <row r="72" spans="1:17" ht="18" customHeight="1" x14ac:dyDescent="0.2">
      <c r="A72" s="90"/>
      <c r="B72" s="91"/>
      <c r="C72" s="92"/>
      <c r="D72" s="92"/>
      <c r="E72" s="92"/>
      <c r="F72" s="92"/>
      <c r="G72" s="92"/>
      <c r="H72" s="93"/>
      <c r="I72" s="90"/>
      <c r="J72" s="91"/>
      <c r="K72" s="92"/>
      <c r="L72" s="92"/>
      <c r="M72" s="92"/>
      <c r="N72" s="92"/>
      <c r="O72" s="92"/>
      <c r="P72" s="92"/>
      <c r="Q72" s="30"/>
    </row>
    <row r="73" spans="1:17" ht="18" customHeight="1" x14ac:dyDescent="0.2">
      <c r="A73" s="90"/>
      <c r="B73" s="91"/>
      <c r="C73" s="92"/>
      <c r="D73" s="92"/>
      <c r="E73" s="92"/>
      <c r="F73" s="92"/>
      <c r="G73" s="92"/>
      <c r="H73" s="93"/>
      <c r="I73" s="90"/>
      <c r="J73" s="91"/>
      <c r="K73" s="92"/>
      <c r="L73" s="92"/>
      <c r="M73" s="92"/>
      <c r="N73" s="92"/>
      <c r="O73" s="92"/>
      <c r="P73" s="92"/>
      <c r="Q73" s="30"/>
    </row>
    <row r="74" spans="1:17" ht="18" customHeight="1" x14ac:dyDescent="0.2">
      <c r="A74" s="90"/>
      <c r="B74" s="91"/>
      <c r="C74" s="92"/>
      <c r="D74" s="92"/>
      <c r="E74" s="92"/>
      <c r="F74" s="92"/>
      <c r="G74" s="92"/>
      <c r="H74" s="93"/>
      <c r="I74" s="90"/>
      <c r="J74" s="91"/>
      <c r="K74" s="92"/>
      <c r="L74" s="92"/>
      <c r="M74" s="92"/>
      <c r="N74" s="92"/>
      <c r="O74" s="92"/>
      <c r="P74" s="92"/>
      <c r="Q74" s="30"/>
    </row>
    <row r="75" spans="1:17" ht="18" customHeight="1" x14ac:dyDescent="0.2">
      <c r="A75" s="90"/>
      <c r="B75" s="91"/>
      <c r="C75" s="92"/>
      <c r="D75" s="92"/>
      <c r="E75" s="92"/>
      <c r="F75" s="92"/>
      <c r="G75" s="92"/>
      <c r="H75" s="93"/>
      <c r="I75" s="90"/>
      <c r="J75" s="91"/>
      <c r="K75" s="92"/>
      <c r="L75" s="92"/>
      <c r="M75" s="92"/>
      <c r="N75" s="92"/>
      <c r="O75" s="92"/>
      <c r="P75" s="92"/>
      <c r="Q75" s="30"/>
    </row>
    <row r="76" spans="1:17" ht="14.25" customHeight="1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spans="1:17" ht="12.75" customHeight="1" x14ac:dyDescent="0.2"/>
    <row r="78" spans="1:17" ht="12.75" customHeight="1" x14ac:dyDescent="0.2">
      <c r="A78" s="69"/>
      <c r="B78" s="70" t="s">
        <v>193</v>
      </c>
      <c r="C78" s="71">
        <v>1</v>
      </c>
      <c r="D78" s="71">
        <v>2</v>
      </c>
      <c r="E78" s="71">
        <v>3</v>
      </c>
      <c r="F78" s="71">
        <v>4</v>
      </c>
      <c r="G78" s="71">
        <v>5</v>
      </c>
      <c r="H78" s="71" t="s">
        <v>194</v>
      </c>
      <c r="I78" s="72"/>
      <c r="J78" s="70" t="s">
        <v>193</v>
      </c>
      <c r="K78" s="71">
        <v>1</v>
      </c>
      <c r="L78" s="71">
        <v>2</v>
      </c>
      <c r="M78" s="71">
        <v>3</v>
      </c>
      <c r="N78" s="71">
        <v>4</v>
      </c>
      <c r="O78" s="71">
        <v>5</v>
      </c>
      <c r="P78" s="71" t="s">
        <v>194</v>
      </c>
    </row>
    <row r="79" spans="1:17" ht="18" customHeight="1" x14ac:dyDescent="0.25">
      <c r="A79" s="73" t="s">
        <v>6</v>
      </c>
      <c r="B79" s="74" t="s">
        <v>13</v>
      </c>
      <c r="C79" s="75"/>
      <c r="D79" s="75"/>
      <c r="E79" s="75"/>
      <c r="F79" s="76"/>
      <c r="G79" s="76"/>
      <c r="H79" s="76"/>
      <c r="I79" s="73" t="s">
        <v>7</v>
      </c>
      <c r="J79" s="77" t="s">
        <v>14</v>
      </c>
      <c r="K79" s="78"/>
      <c r="L79" s="78"/>
      <c r="M79" s="78"/>
      <c r="N79" s="78"/>
      <c r="O79" s="78"/>
      <c r="P79" s="79"/>
    </row>
    <row r="80" spans="1:17" ht="18" customHeight="1" x14ac:dyDescent="0.2">
      <c r="A80" s="80" t="s">
        <v>16</v>
      </c>
      <c r="B80" s="12" t="s">
        <v>21</v>
      </c>
      <c r="C80" s="81">
        <v>1</v>
      </c>
      <c r="D80" s="81">
        <v>1</v>
      </c>
      <c r="E80" s="75"/>
      <c r="F80" s="81">
        <v>1</v>
      </c>
      <c r="G80" s="81">
        <v>1</v>
      </c>
      <c r="H80" s="82">
        <f t="shared" ref="H80:H92" si="8">SUM(C80:G80)</f>
        <v>4</v>
      </c>
      <c r="I80" s="80" t="s">
        <v>16</v>
      </c>
      <c r="J80" s="12" t="s">
        <v>22</v>
      </c>
      <c r="K80" s="81">
        <v>1</v>
      </c>
      <c r="L80" s="81">
        <v>1</v>
      </c>
      <c r="M80" s="75"/>
      <c r="N80" s="81">
        <v>1</v>
      </c>
      <c r="O80" s="81">
        <v>1</v>
      </c>
      <c r="P80" s="82">
        <f t="shared" ref="P80:P92" si="9">SUM(K80:O80)</f>
        <v>4</v>
      </c>
    </row>
    <row r="81" spans="1:16" ht="18" customHeight="1" x14ac:dyDescent="0.2">
      <c r="A81" s="80" t="s">
        <v>23</v>
      </c>
      <c r="B81" s="12" t="s">
        <v>28</v>
      </c>
      <c r="C81" s="81">
        <v>1</v>
      </c>
      <c r="D81" s="75"/>
      <c r="E81" s="81">
        <v>1</v>
      </c>
      <c r="F81" s="81">
        <v>1</v>
      </c>
      <c r="G81" s="75"/>
      <c r="H81" s="82">
        <f t="shared" si="8"/>
        <v>3</v>
      </c>
      <c r="I81" s="80" t="s">
        <v>23</v>
      </c>
      <c r="J81" s="12" t="s">
        <v>29</v>
      </c>
      <c r="K81" s="81">
        <v>1</v>
      </c>
      <c r="L81" s="75"/>
      <c r="M81" s="81">
        <v>1</v>
      </c>
      <c r="N81" s="81">
        <v>1</v>
      </c>
      <c r="O81" s="75"/>
      <c r="P81" s="82">
        <f t="shared" si="9"/>
        <v>3</v>
      </c>
    </row>
    <row r="82" spans="1:16" ht="18" customHeight="1" x14ac:dyDescent="0.2">
      <c r="A82" s="80" t="s">
        <v>30</v>
      </c>
      <c r="B82" s="12" t="s">
        <v>35</v>
      </c>
      <c r="C82" s="75"/>
      <c r="D82" s="81">
        <v>1</v>
      </c>
      <c r="E82" s="81">
        <v>1</v>
      </c>
      <c r="F82" s="75"/>
      <c r="G82" s="81">
        <v>1</v>
      </c>
      <c r="H82" s="82">
        <f t="shared" si="8"/>
        <v>3</v>
      </c>
      <c r="I82" s="80" t="s">
        <v>30</v>
      </c>
      <c r="J82" s="12" t="s">
        <v>36</v>
      </c>
      <c r="K82" s="75"/>
      <c r="L82" s="81">
        <v>1</v>
      </c>
      <c r="M82" s="81">
        <v>1</v>
      </c>
      <c r="N82" s="75"/>
      <c r="O82" s="81">
        <v>1</v>
      </c>
      <c r="P82" s="82">
        <f t="shared" si="9"/>
        <v>3</v>
      </c>
    </row>
    <row r="83" spans="1:16" ht="18" customHeight="1" x14ac:dyDescent="0.2">
      <c r="A83" s="80" t="s">
        <v>37</v>
      </c>
      <c r="B83" s="12" t="s">
        <v>42</v>
      </c>
      <c r="C83" s="81">
        <v>1</v>
      </c>
      <c r="D83" s="75"/>
      <c r="E83" s="81">
        <v>1</v>
      </c>
      <c r="F83" s="81">
        <v>1</v>
      </c>
      <c r="G83" s="81">
        <v>1</v>
      </c>
      <c r="H83" s="82">
        <f t="shared" si="8"/>
        <v>4</v>
      </c>
      <c r="I83" s="80" t="s">
        <v>37</v>
      </c>
      <c r="J83" s="12" t="s">
        <v>43</v>
      </c>
      <c r="K83" s="75"/>
      <c r="L83" s="81">
        <v>1</v>
      </c>
      <c r="M83" s="81">
        <v>1</v>
      </c>
      <c r="N83" s="81">
        <v>1</v>
      </c>
      <c r="O83" s="81">
        <v>1</v>
      </c>
      <c r="P83" s="82">
        <f t="shared" si="9"/>
        <v>4</v>
      </c>
    </row>
    <row r="84" spans="1:16" ht="18" customHeight="1" x14ac:dyDescent="0.2">
      <c r="A84" s="80" t="s">
        <v>44</v>
      </c>
      <c r="B84" s="12" t="s">
        <v>49</v>
      </c>
      <c r="C84" s="81">
        <v>1</v>
      </c>
      <c r="D84" s="81">
        <v>1</v>
      </c>
      <c r="E84" s="75"/>
      <c r="F84" s="81">
        <v>1</v>
      </c>
      <c r="G84" s="75"/>
      <c r="H84" s="82">
        <f t="shared" si="8"/>
        <v>3</v>
      </c>
      <c r="I84" s="80" t="s">
        <v>44</v>
      </c>
      <c r="J84" s="12" t="s">
        <v>50</v>
      </c>
      <c r="K84" s="81">
        <v>1</v>
      </c>
      <c r="L84" s="81">
        <v>1</v>
      </c>
      <c r="M84" s="75"/>
      <c r="N84" s="81">
        <v>1</v>
      </c>
      <c r="O84" s="75"/>
      <c r="P84" s="82">
        <f t="shared" si="9"/>
        <v>3</v>
      </c>
    </row>
    <row r="85" spans="1:16" ht="18" customHeight="1" x14ac:dyDescent="0.2">
      <c r="A85" s="80" t="s">
        <v>51</v>
      </c>
      <c r="B85" s="12" t="s">
        <v>56</v>
      </c>
      <c r="C85" s="75"/>
      <c r="D85" s="81">
        <v>1</v>
      </c>
      <c r="E85" s="81">
        <v>1</v>
      </c>
      <c r="F85" s="75"/>
      <c r="G85" s="81">
        <v>1</v>
      </c>
      <c r="H85" s="82">
        <f t="shared" si="8"/>
        <v>3</v>
      </c>
      <c r="I85" s="80" t="s">
        <v>51</v>
      </c>
      <c r="J85" s="83" t="s">
        <v>57</v>
      </c>
      <c r="K85" s="81">
        <v>1</v>
      </c>
      <c r="L85" s="75"/>
      <c r="M85" s="81">
        <v>1</v>
      </c>
      <c r="N85" s="75"/>
      <c r="O85" s="81">
        <v>1</v>
      </c>
      <c r="P85" s="82">
        <f t="shared" si="9"/>
        <v>3</v>
      </c>
    </row>
    <row r="86" spans="1:16" ht="18" customHeight="1" x14ac:dyDescent="0.2">
      <c r="A86" s="80" t="s">
        <v>58</v>
      </c>
      <c r="B86" s="12" t="s">
        <v>63</v>
      </c>
      <c r="C86" s="81">
        <v>1</v>
      </c>
      <c r="D86" s="81">
        <v>1</v>
      </c>
      <c r="E86" s="75"/>
      <c r="F86" s="81">
        <v>1</v>
      </c>
      <c r="G86" s="81">
        <v>1</v>
      </c>
      <c r="H86" s="82">
        <f t="shared" si="8"/>
        <v>4</v>
      </c>
      <c r="I86" s="80" t="s">
        <v>58</v>
      </c>
      <c r="J86" s="12" t="s">
        <v>64</v>
      </c>
      <c r="K86" s="81">
        <v>1</v>
      </c>
      <c r="L86" s="81">
        <v>1</v>
      </c>
      <c r="M86" s="75"/>
      <c r="N86" s="81">
        <v>1</v>
      </c>
      <c r="O86" s="81">
        <v>1</v>
      </c>
      <c r="P86" s="82">
        <f t="shared" si="9"/>
        <v>4</v>
      </c>
    </row>
    <row r="87" spans="1:16" ht="18" customHeight="1" x14ac:dyDescent="0.2">
      <c r="A87" s="80" t="s">
        <v>65</v>
      </c>
      <c r="B87" s="12" t="s">
        <v>70</v>
      </c>
      <c r="C87" s="81">
        <v>1</v>
      </c>
      <c r="D87" s="81">
        <v>1</v>
      </c>
      <c r="E87" s="81">
        <v>1</v>
      </c>
      <c r="F87" s="81">
        <v>1</v>
      </c>
      <c r="G87" s="75"/>
      <c r="H87" s="82">
        <f t="shared" si="8"/>
        <v>4</v>
      </c>
      <c r="I87" s="80" t="s">
        <v>65</v>
      </c>
      <c r="J87" s="12" t="s">
        <v>71</v>
      </c>
      <c r="K87" s="81">
        <v>1</v>
      </c>
      <c r="L87" s="81">
        <v>1</v>
      </c>
      <c r="M87" s="81">
        <v>1</v>
      </c>
      <c r="N87" s="75"/>
      <c r="O87" s="81">
        <v>1</v>
      </c>
      <c r="P87" s="82">
        <f t="shared" si="9"/>
        <v>4</v>
      </c>
    </row>
    <row r="88" spans="1:16" ht="18" customHeight="1" x14ac:dyDescent="0.2">
      <c r="A88" s="80" t="s">
        <v>72</v>
      </c>
      <c r="B88" s="16" t="s">
        <v>77</v>
      </c>
      <c r="C88" s="81">
        <v>1</v>
      </c>
      <c r="D88" s="75"/>
      <c r="E88" s="81">
        <v>1</v>
      </c>
      <c r="F88" s="75"/>
      <c r="G88" s="81">
        <v>1</v>
      </c>
      <c r="H88" s="82">
        <f t="shared" si="8"/>
        <v>3</v>
      </c>
      <c r="I88" s="80" t="s">
        <v>72</v>
      </c>
      <c r="J88" s="16" t="s">
        <v>78</v>
      </c>
      <c r="K88" s="81">
        <v>1</v>
      </c>
      <c r="L88" s="75"/>
      <c r="M88" s="81">
        <v>1</v>
      </c>
      <c r="N88" s="81">
        <v>1</v>
      </c>
      <c r="O88" s="81">
        <v>1</v>
      </c>
      <c r="P88" s="82">
        <f t="shared" si="9"/>
        <v>4</v>
      </c>
    </row>
    <row r="89" spans="1:16" ht="18" customHeight="1" x14ac:dyDescent="0.2">
      <c r="A89" s="80" t="s">
        <v>79</v>
      </c>
      <c r="B89" s="12" t="s">
        <v>84</v>
      </c>
      <c r="C89" s="75"/>
      <c r="D89" s="81">
        <v>1</v>
      </c>
      <c r="E89" s="81">
        <v>1</v>
      </c>
      <c r="F89" s="81">
        <v>1</v>
      </c>
      <c r="G89" s="81">
        <v>1</v>
      </c>
      <c r="H89" s="82">
        <f t="shared" si="8"/>
        <v>4</v>
      </c>
      <c r="I89" s="80" t="s">
        <v>79</v>
      </c>
      <c r="J89" s="12" t="s">
        <v>85</v>
      </c>
      <c r="K89" s="75"/>
      <c r="L89" s="81">
        <v>1</v>
      </c>
      <c r="M89" s="81">
        <v>1</v>
      </c>
      <c r="N89" s="81">
        <v>1</v>
      </c>
      <c r="O89" s="75"/>
      <c r="P89" s="82">
        <f t="shared" si="9"/>
        <v>3</v>
      </c>
    </row>
    <row r="90" spans="1:16" ht="18" customHeight="1" x14ac:dyDescent="0.2">
      <c r="A90" s="80" t="s">
        <v>86</v>
      </c>
      <c r="B90" s="12" t="s">
        <v>91</v>
      </c>
      <c r="C90" s="81">
        <v>1</v>
      </c>
      <c r="D90" s="81">
        <v>1</v>
      </c>
      <c r="E90" s="81">
        <v>1</v>
      </c>
      <c r="F90" s="81">
        <v>1</v>
      </c>
      <c r="G90" s="75"/>
      <c r="H90" s="82">
        <f t="shared" si="8"/>
        <v>4</v>
      </c>
      <c r="I90" s="80" t="s">
        <v>86</v>
      </c>
      <c r="J90" s="12" t="s">
        <v>92</v>
      </c>
      <c r="K90" s="81">
        <v>1</v>
      </c>
      <c r="L90" s="75"/>
      <c r="M90" s="75"/>
      <c r="N90" s="81">
        <v>1</v>
      </c>
      <c r="O90" s="81">
        <v>1</v>
      </c>
      <c r="P90" s="82">
        <f t="shared" si="9"/>
        <v>3</v>
      </c>
    </row>
    <row r="91" spans="1:16" ht="18" customHeight="1" x14ac:dyDescent="0.2">
      <c r="A91" s="80" t="s">
        <v>93</v>
      </c>
      <c r="B91" s="12" t="s">
        <v>98</v>
      </c>
      <c r="C91" s="81">
        <v>1</v>
      </c>
      <c r="D91" s="81">
        <v>1</v>
      </c>
      <c r="E91" s="75"/>
      <c r="F91" s="75"/>
      <c r="G91" s="81">
        <v>1</v>
      </c>
      <c r="H91" s="82">
        <f t="shared" si="8"/>
        <v>3</v>
      </c>
      <c r="I91" s="80" t="s">
        <v>93</v>
      </c>
      <c r="J91" s="12" t="s">
        <v>99</v>
      </c>
      <c r="K91" s="81">
        <v>1</v>
      </c>
      <c r="L91" s="81">
        <v>1</v>
      </c>
      <c r="M91" s="81">
        <v>1</v>
      </c>
      <c r="N91" s="75"/>
      <c r="O91" s="81">
        <v>1</v>
      </c>
      <c r="P91" s="82">
        <f t="shared" si="9"/>
        <v>4</v>
      </c>
    </row>
    <row r="92" spans="1:16" ht="18" customHeight="1" x14ac:dyDescent="0.2">
      <c r="A92" s="80" t="s">
        <v>100</v>
      </c>
      <c r="B92" s="12" t="s">
        <v>105</v>
      </c>
      <c r="C92" s="75"/>
      <c r="D92" s="75"/>
      <c r="E92" s="81">
        <v>1</v>
      </c>
      <c r="F92" s="81">
        <v>1</v>
      </c>
      <c r="G92" s="81">
        <v>1</v>
      </c>
      <c r="H92" s="82">
        <f t="shared" si="8"/>
        <v>3</v>
      </c>
      <c r="I92" s="80" t="s">
        <v>100</v>
      </c>
      <c r="J92" s="83" t="s">
        <v>197</v>
      </c>
      <c r="K92" s="75"/>
      <c r="L92" s="81">
        <v>1</v>
      </c>
      <c r="M92" s="81">
        <v>1</v>
      </c>
      <c r="N92" s="81">
        <v>1</v>
      </c>
      <c r="O92" s="81"/>
      <c r="P92" s="82">
        <f t="shared" si="9"/>
        <v>3</v>
      </c>
    </row>
    <row r="93" spans="1:16" ht="15" customHeight="1" x14ac:dyDescent="0.2">
      <c r="J93" s="36"/>
      <c r="P93" s="86"/>
    </row>
    <row r="94" spans="1:16" ht="18" customHeight="1" x14ac:dyDescent="0.2">
      <c r="A94" s="87" t="s">
        <v>16</v>
      </c>
      <c r="B94" s="12" t="s">
        <v>112</v>
      </c>
      <c r="C94" s="88">
        <v>1</v>
      </c>
      <c r="D94" s="88">
        <v>1</v>
      </c>
      <c r="E94" s="88">
        <v>1</v>
      </c>
      <c r="F94" s="88">
        <v>1</v>
      </c>
      <c r="G94" s="89"/>
      <c r="H94" s="82">
        <f t="shared" ref="H94:H103" si="10">SUM(C94:G94)</f>
        <v>4</v>
      </c>
      <c r="I94" s="87" t="s">
        <v>16</v>
      </c>
      <c r="J94" s="12" t="s">
        <v>113</v>
      </c>
      <c r="K94" s="89"/>
      <c r="L94" s="88">
        <v>1</v>
      </c>
      <c r="M94" s="88">
        <v>1</v>
      </c>
      <c r="N94" s="88">
        <v>1</v>
      </c>
      <c r="O94" s="88">
        <v>1</v>
      </c>
      <c r="P94" s="82">
        <f t="shared" ref="P94:P103" si="11">SUM(K94:O94)</f>
        <v>4</v>
      </c>
    </row>
    <row r="95" spans="1:16" ht="18" customHeight="1" x14ac:dyDescent="0.2">
      <c r="A95" s="87" t="s">
        <v>23</v>
      </c>
      <c r="B95" s="12" t="s">
        <v>118</v>
      </c>
      <c r="C95" s="88">
        <v>1</v>
      </c>
      <c r="D95" s="89"/>
      <c r="E95" s="88">
        <v>1</v>
      </c>
      <c r="F95" s="89"/>
      <c r="G95" s="88">
        <v>1</v>
      </c>
      <c r="H95" s="82">
        <f t="shared" si="10"/>
        <v>3</v>
      </c>
      <c r="I95" s="87" t="s">
        <v>23</v>
      </c>
      <c r="J95" s="12" t="s">
        <v>119</v>
      </c>
      <c r="K95" s="88">
        <v>1</v>
      </c>
      <c r="L95" s="89"/>
      <c r="M95" s="88">
        <v>1</v>
      </c>
      <c r="N95" s="88">
        <v>1</v>
      </c>
      <c r="O95" s="89"/>
      <c r="P95" s="82">
        <f t="shared" si="11"/>
        <v>3</v>
      </c>
    </row>
    <row r="96" spans="1:16" ht="18" customHeight="1" x14ac:dyDescent="0.2">
      <c r="A96" s="87" t="s">
        <v>30</v>
      </c>
      <c r="B96" s="12" t="s">
        <v>124</v>
      </c>
      <c r="C96" s="89"/>
      <c r="D96" s="88">
        <v>1</v>
      </c>
      <c r="E96" s="89"/>
      <c r="F96" s="88">
        <v>1</v>
      </c>
      <c r="G96" s="88">
        <v>1</v>
      </c>
      <c r="H96" s="82">
        <f t="shared" si="10"/>
        <v>3</v>
      </c>
      <c r="I96" s="87" t="s">
        <v>30</v>
      </c>
      <c r="J96" s="12" t="s">
        <v>125</v>
      </c>
      <c r="K96" s="88">
        <v>1</v>
      </c>
      <c r="L96" s="88">
        <v>1</v>
      </c>
      <c r="M96" s="89"/>
      <c r="N96" s="89"/>
      <c r="O96" s="88">
        <v>1</v>
      </c>
      <c r="P96" s="82">
        <f t="shared" si="11"/>
        <v>3</v>
      </c>
    </row>
    <row r="97" spans="1:16" ht="18" customHeight="1" x14ac:dyDescent="0.2">
      <c r="A97" s="87" t="s">
        <v>37</v>
      </c>
      <c r="B97" s="13" t="s">
        <v>198</v>
      </c>
      <c r="C97" s="88">
        <v>1</v>
      </c>
      <c r="D97" s="88">
        <v>1</v>
      </c>
      <c r="E97" s="88">
        <v>1</v>
      </c>
      <c r="F97" s="88">
        <v>1</v>
      </c>
      <c r="G97" s="89"/>
      <c r="H97" s="82">
        <f t="shared" si="10"/>
        <v>4</v>
      </c>
      <c r="I97" s="87" t="s">
        <v>37</v>
      </c>
      <c r="J97" s="12" t="s">
        <v>131</v>
      </c>
      <c r="K97" s="88">
        <v>1</v>
      </c>
      <c r="L97" s="88">
        <v>1</v>
      </c>
      <c r="M97" s="88">
        <v>1</v>
      </c>
      <c r="N97" s="89"/>
      <c r="O97" s="88">
        <v>1</v>
      </c>
      <c r="P97" s="82">
        <f t="shared" si="11"/>
        <v>4</v>
      </c>
    </row>
    <row r="98" spans="1:16" ht="18" customHeight="1" x14ac:dyDescent="0.2">
      <c r="A98" s="87" t="s">
        <v>44</v>
      </c>
      <c r="B98" s="12" t="s">
        <v>136</v>
      </c>
      <c r="C98" s="88">
        <v>1</v>
      </c>
      <c r="D98" s="88">
        <v>1</v>
      </c>
      <c r="E98" s="88">
        <v>1</v>
      </c>
      <c r="F98" s="89"/>
      <c r="G98" s="88">
        <v>1</v>
      </c>
      <c r="H98" s="82">
        <f t="shared" si="10"/>
        <v>4</v>
      </c>
      <c r="I98" s="87" t="s">
        <v>44</v>
      </c>
      <c r="J98" s="83" t="s">
        <v>137</v>
      </c>
      <c r="K98" s="88">
        <v>1</v>
      </c>
      <c r="L98" s="89"/>
      <c r="M98" s="88">
        <v>1</v>
      </c>
      <c r="N98" s="88">
        <v>1</v>
      </c>
      <c r="O98" s="88">
        <v>1</v>
      </c>
      <c r="P98" s="82">
        <f t="shared" si="11"/>
        <v>4</v>
      </c>
    </row>
    <row r="99" spans="1:16" ht="18" customHeight="1" x14ac:dyDescent="0.2">
      <c r="A99" s="87" t="s">
        <v>51</v>
      </c>
      <c r="B99" s="25" t="s">
        <v>142</v>
      </c>
      <c r="C99" s="89"/>
      <c r="D99" s="88">
        <v>1</v>
      </c>
      <c r="E99" s="89"/>
      <c r="F99" s="88">
        <v>1</v>
      </c>
      <c r="G99" s="88">
        <v>1</v>
      </c>
      <c r="H99" s="82">
        <f t="shared" si="10"/>
        <v>3</v>
      </c>
      <c r="I99" s="87" t="s">
        <v>51</v>
      </c>
      <c r="J99" s="12" t="s">
        <v>143</v>
      </c>
      <c r="K99" s="89"/>
      <c r="L99" s="88">
        <v>1</v>
      </c>
      <c r="M99" s="88">
        <v>1</v>
      </c>
      <c r="N99" s="88">
        <v>1</v>
      </c>
      <c r="O99" s="88">
        <v>1</v>
      </c>
      <c r="P99" s="82">
        <f t="shared" si="11"/>
        <v>4</v>
      </c>
    </row>
    <row r="100" spans="1:16" ht="18" customHeight="1" x14ac:dyDescent="0.2">
      <c r="A100" s="87" t="s">
        <v>144</v>
      </c>
      <c r="B100" s="26" t="s">
        <v>149</v>
      </c>
      <c r="C100" s="88">
        <v>1</v>
      </c>
      <c r="D100" s="89"/>
      <c r="E100" s="88">
        <v>1</v>
      </c>
      <c r="F100" s="88">
        <v>1</v>
      </c>
      <c r="G100" s="88">
        <v>1</v>
      </c>
      <c r="H100" s="82">
        <f t="shared" si="10"/>
        <v>4</v>
      </c>
      <c r="I100" s="87" t="s">
        <v>144</v>
      </c>
      <c r="J100" s="12" t="s">
        <v>150</v>
      </c>
      <c r="K100" s="88">
        <v>1</v>
      </c>
      <c r="L100" s="88">
        <v>1</v>
      </c>
      <c r="M100" s="89"/>
      <c r="N100" s="88">
        <v>1</v>
      </c>
      <c r="O100" s="89"/>
      <c r="P100" s="82">
        <f t="shared" si="11"/>
        <v>3</v>
      </c>
    </row>
    <row r="101" spans="1:16" ht="18" customHeight="1" x14ac:dyDescent="0.2">
      <c r="A101" s="87" t="s">
        <v>58</v>
      </c>
      <c r="B101" s="12" t="s">
        <v>155</v>
      </c>
      <c r="C101" s="88">
        <v>1</v>
      </c>
      <c r="D101" s="88">
        <v>1</v>
      </c>
      <c r="E101" s="89"/>
      <c r="F101" s="89"/>
      <c r="G101" s="88">
        <v>1</v>
      </c>
      <c r="H101" s="82">
        <f t="shared" si="10"/>
        <v>3</v>
      </c>
      <c r="I101" s="87" t="s">
        <v>58</v>
      </c>
      <c r="J101" s="12" t="s">
        <v>156</v>
      </c>
      <c r="K101" s="88">
        <v>1</v>
      </c>
      <c r="L101" s="88">
        <v>1</v>
      </c>
      <c r="M101" s="88">
        <v>1</v>
      </c>
      <c r="N101" s="88">
        <v>1</v>
      </c>
      <c r="O101" s="89"/>
      <c r="P101" s="82">
        <f t="shared" si="11"/>
        <v>4</v>
      </c>
    </row>
    <row r="102" spans="1:16" ht="18" customHeight="1" x14ac:dyDescent="0.2">
      <c r="A102" s="87" t="s">
        <v>65</v>
      </c>
      <c r="B102" s="12" t="s">
        <v>161</v>
      </c>
      <c r="C102" s="88">
        <v>1</v>
      </c>
      <c r="D102" s="89"/>
      <c r="E102" s="88">
        <v>1</v>
      </c>
      <c r="F102" s="88">
        <v>1</v>
      </c>
      <c r="G102" s="89"/>
      <c r="H102" s="82">
        <f t="shared" si="10"/>
        <v>3</v>
      </c>
      <c r="I102" s="87" t="s">
        <v>65</v>
      </c>
      <c r="J102" s="15" t="s">
        <v>162</v>
      </c>
      <c r="K102" s="88">
        <v>1</v>
      </c>
      <c r="L102" s="89"/>
      <c r="M102" s="89"/>
      <c r="N102" s="88">
        <v>1</v>
      </c>
      <c r="O102" s="88">
        <v>1</v>
      </c>
      <c r="P102" s="82">
        <f t="shared" si="11"/>
        <v>3</v>
      </c>
    </row>
    <row r="103" spans="1:16" ht="18" customHeight="1" x14ac:dyDescent="0.2">
      <c r="A103" s="87" t="s">
        <v>72</v>
      </c>
      <c r="B103" s="12" t="s">
        <v>167</v>
      </c>
      <c r="C103" s="89"/>
      <c r="D103" s="88">
        <v>1</v>
      </c>
      <c r="E103" s="88">
        <v>1</v>
      </c>
      <c r="F103" s="88">
        <v>1</v>
      </c>
      <c r="G103" s="88">
        <v>1</v>
      </c>
      <c r="H103" s="82">
        <f t="shared" si="10"/>
        <v>4</v>
      </c>
      <c r="I103" s="87" t="s">
        <v>72</v>
      </c>
      <c r="J103" s="12" t="s">
        <v>168</v>
      </c>
      <c r="K103" s="89"/>
      <c r="L103" s="88">
        <v>1</v>
      </c>
      <c r="M103" s="88">
        <v>1</v>
      </c>
      <c r="N103" s="89"/>
      <c r="O103" s="88">
        <v>1</v>
      </c>
      <c r="P103" s="82">
        <f t="shared" si="11"/>
        <v>3</v>
      </c>
    </row>
    <row r="104" spans="1:16" ht="12.75" customHeight="1" x14ac:dyDescent="0.2"/>
    <row r="105" spans="1:16" ht="12.75" customHeight="1" x14ac:dyDescent="0.2"/>
    <row r="106" spans="1:16" ht="12.75" customHeight="1" x14ac:dyDescent="0.2"/>
    <row r="107" spans="1:16" ht="12.75" customHeight="1" x14ac:dyDescent="0.2"/>
    <row r="108" spans="1:16" ht="12.75" customHeight="1" x14ac:dyDescent="0.2"/>
    <row r="109" spans="1:16" ht="12.75" customHeight="1" x14ac:dyDescent="0.2"/>
    <row r="110" spans="1:16" ht="12.75" customHeight="1" x14ac:dyDescent="0.2"/>
    <row r="111" spans="1:16" ht="12.75" customHeight="1" x14ac:dyDescent="0.2"/>
    <row r="112" spans="1:16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2:P2"/>
    <mergeCell ref="A3:P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topLeftCell="B1" workbookViewId="0">
      <selection activeCell="B9" sqref="B9"/>
    </sheetView>
  </sheetViews>
  <sheetFormatPr defaultColWidth="14.42578125" defaultRowHeight="15" customHeight="1" x14ac:dyDescent="0.2"/>
  <cols>
    <col min="1" max="1" width="2.7109375" hidden="1" customWidth="1"/>
    <col min="2" max="2" width="2.7109375" customWidth="1"/>
    <col min="3" max="3" width="7.5703125" customWidth="1"/>
    <col min="4" max="4" width="8.85546875" customWidth="1"/>
    <col min="5" max="5" width="21.5703125" customWidth="1"/>
    <col min="6" max="6" width="19.28515625" customWidth="1"/>
    <col min="7" max="7" width="4.85546875" customWidth="1"/>
    <col min="8" max="8" width="17.85546875" customWidth="1"/>
    <col min="9" max="9" width="21.140625" customWidth="1"/>
    <col min="10" max="13" width="5.7109375" customWidth="1"/>
    <col min="14" max="15" width="9.140625" customWidth="1"/>
    <col min="16" max="26" width="8" customWidth="1"/>
  </cols>
  <sheetData>
    <row r="1" spans="1:26" ht="12.75" customHeight="1" x14ac:dyDescent="0.2">
      <c r="A1" s="94"/>
      <c r="B1" s="94"/>
      <c r="C1" s="216" t="s">
        <v>199</v>
      </c>
      <c r="D1" s="169"/>
      <c r="E1" s="169"/>
      <c r="F1" s="169"/>
      <c r="G1" s="169"/>
      <c r="H1" s="169"/>
      <c r="I1" s="169"/>
      <c r="J1" s="169"/>
      <c r="K1" s="169"/>
      <c r="L1" s="169"/>
      <c r="M1" s="170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2.75" customHeight="1" x14ac:dyDescent="0.2">
      <c r="A2" s="94"/>
      <c r="B2" s="94"/>
      <c r="C2" s="180"/>
      <c r="D2" s="157"/>
      <c r="E2" s="157"/>
      <c r="F2" s="157"/>
      <c r="G2" s="157"/>
      <c r="H2" s="157"/>
      <c r="I2" s="157"/>
      <c r="J2" s="157"/>
      <c r="K2" s="157"/>
      <c r="L2" s="157"/>
      <c r="M2" s="21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8.25" customHeight="1" x14ac:dyDescent="0.2">
      <c r="A3" s="94"/>
      <c r="B3" s="94"/>
      <c r="C3" s="180"/>
      <c r="D3" s="157"/>
      <c r="E3" s="157"/>
      <c r="F3" s="157"/>
      <c r="G3" s="157"/>
      <c r="H3" s="157"/>
      <c r="I3" s="157"/>
      <c r="J3" s="157"/>
      <c r="K3" s="157"/>
      <c r="L3" s="157"/>
      <c r="M3" s="217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5.25" customHeight="1" x14ac:dyDescent="0.2">
      <c r="A4" s="94"/>
      <c r="B4" s="94"/>
      <c r="C4" s="95"/>
      <c r="D4" s="94"/>
      <c r="E4" s="94"/>
      <c r="F4" s="94"/>
      <c r="G4" s="94"/>
      <c r="H4" s="94"/>
      <c r="I4" s="94"/>
      <c r="J4" s="94"/>
      <c r="K4" s="94"/>
      <c r="L4" s="94"/>
      <c r="M4" s="96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9.5" customHeight="1" x14ac:dyDescent="0.2">
      <c r="A5" s="94"/>
      <c r="B5" s="94"/>
      <c r="C5" s="218" t="s">
        <v>200</v>
      </c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4.5" customHeight="1" x14ac:dyDescent="0.2">
      <c r="A6" s="94"/>
      <c r="B6" s="94"/>
      <c r="C6" s="219"/>
      <c r="D6" s="210"/>
      <c r="E6" s="210"/>
      <c r="F6" s="210"/>
      <c r="G6" s="210"/>
      <c r="H6" s="210"/>
      <c r="I6" s="210"/>
      <c r="J6" s="210"/>
      <c r="K6" s="210"/>
      <c r="L6" s="210"/>
      <c r="M6" s="211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4.5" hidden="1" customHeight="1" x14ac:dyDescent="0.2">
      <c r="A7" s="94"/>
      <c r="B7" s="94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8.25" customHeight="1" x14ac:dyDescent="0.2">
      <c r="A8" s="94"/>
      <c r="B8" s="94"/>
      <c r="C8" s="209" t="s">
        <v>201</v>
      </c>
      <c r="D8" s="210"/>
      <c r="E8" s="210"/>
      <c r="F8" s="210"/>
      <c r="G8" s="210"/>
      <c r="H8" s="210"/>
      <c r="I8" s="210"/>
      <c r="J8" s="210"/>
      <c r="K8" s="210"/>
      <c r="L8" s="210"/>
      <c r="M8" s="211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9.75" customHeight="1" x14ac:dyDescent="0.2">
      <c r="A9" s="94"/>
      <c r="B9" s="94"/>
      <c r="C9" s="212"/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5" customHeight="1" x14ac:dyDescent="0.2">
      <c r="A10" s="94"/>
      <c r="B10" s="94"/>
      <c r="C10" s="97" t="s">
        <v>202</v>
      </c>
      <c r="D10" s="98" t="s">
        <v>203</v>
      </c>
      <c r="E10" s="196" t="s">
        <v>204</v>
      </c>
      <c r="F10" s="152"/>
      <c r="G10" s="98" t="s">
        <v>205</v>
      </c>
      <c r="H10" s="196" t="s">
        <v>206</v>
      </c>
      <c r="I10" s="152"/>
      <c r="J10" s="196" t="s">
        <v>207</v>
      </c>
      <c r="K10" s="152"/>
      <c r="L10" s="196" t="s">
        <v>208</v>
      </c>
      <c r="M10" s="160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3.5" customHeight="1" x14ac:dyDescent="0.2">
      <c r="A11" s="94"/>
      <c r="B11" s="94"/>
      <c r="C11" s="191" t="s">
        <v>209</v>
      </c>
      <c r="D11" s="193" t="s">
        <v>210</v>
      </c>
      <c r="E11" s="184" t="s">
        <v>151</v>
      </c>
      <c r="F11" s="184" t="s">
        <v>157</v>
      </c>
      <c r="G11" s="197" t="s">
        <v>205</v>
      </c>
      <c r="H11" s="184" t="s">
        <v>153</v>
      </c>
      <c r="I11" s="184" t="s">
        <v>165</v>
      </c>
      <c r="J11" s="100">
        <v>3</v>
      </c>
      <c r="K11" s="101">
        <v>6</v>
      </c>
      <c r="L11" s="184">
        <f>IF(J11&gt;K11,1,0) + IF(J12&gt;K12,1,0)</f>
        <v>0</v>
      </c>
      <c r="M11" s="185">
        <f>IF(J11&lt;K11,1,0) + IF(J12&lt;K12,1,0)</f>
        <v>2</v>
      </c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2.75" customHeight="1" x14ac:dyDescent="0.2">
      <c r="A12" s="94"/>
      <c r="B12" s="94"/>
      <c r="C12" s="192"/>
      <c r="D12" s="166"/>
      <c r="E12" s="166"/>
      <c r="F12" s="166"/>
      <c r="G12" s="166"/>
      <c r="H12" s="166"/>
      <c r="I12" s="166"/>
      <c r="J12" s="102">
        <v>2</v>
      </c>
      <c r="K12" s="103">
        <v>6</v>
      </c>
      <c r="L12" s="166"/>
      <c r="M12" s="175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4.5" customHeight="1" x14ac:dyDescent="0.2">
      <c r="A13" s="94"/>
      <c r="B13" s="94"/>
      <c r="C13" s="190"/>
      <c r="D13" s="151"/>
      <c r="E13" s="151"/>
      <c r="F13" s="151"/>
      <c r="G13" s="151"/>
      <c r="H13" s="151"/>
      <c r="I13" s="151"/>
      <c r="J13" s="151"/>
      <c r="K13" s="151"/>
      <c r="L13" s="151"/>
      <c r="M13" s="160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.75" customHeight="1" x14ac:dyDescent="0.2">
      <c r="A14" s="94"/>
      <c r="B14" s="94"/>
      <c r="C14" s="191" t="s">
        <v>211</v>
      </c>
      <c r="D14" s="193" t="s">
        <v>212</v>
      </c>
      <c r="E14" s="184" t="s">
        <v>66</v>
      </c>
      <c r="F14" s="184" t="s">
        <v>59</v>
      </c>
      <c r="G14" s="197" t="s">
        <v>205</v>
      </c>
      <c r="H14" s="184" t="s">
        <v>82</v>
      </c>
      <c r="I14" s="184" t="s">
        <v>68</v>
      </c>
      <c r="J14" s="100">
        <v>2</v>
      </c>
      <c r="K14" s="101">
        <v>6</v>
      </c>
      <c r="L14" s="184">
        <f>IF(J14&gt;K14,1,0) + IF(J15&gt;K15,1,0)</f>
        <v>1</v>
      </c>
      <c r="M14" s="184">
        <f>IF(J14&lt;K14,1,0) + IF(J15&lt;K15,1,0)</f>
        <v>1</v>
      </c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2.75" customHeight="1" x14ac:dyDescent="0.2">
      <c r="A15" s="94"/>
      <c r="B15" s="94"/>
      <c r="C15" s="192"/>
      <c r="D15" s="166"/>
      <c r="E15" s="166"/>
      <c r="F15" s="166"/>
      <c r="G15" s="166"/>
      <c r="H15" s="166"/>
      <c r="I15" s="166"/>
      <c r="J15" s="102">
        <v>6</v>
      </c>
      <c r="K15" s="103">
        <v>3</v>
      </c>
      <c r="L15" s="166"/>
      <c r="M15" s="166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4.5" customHeight="1" x14ac:dyDescent="0.2">
      <c r="A16" s="94"/>
      <c r="B16" s="94"/>
      <c r="C16" s="190"/>
      <c r="D16" s="151"/>
      <c r="E16" s="151"/>
      <c r="F16" s="151"/>
      <c r="G16" s="151"/>
      <c r="H16" s="151"/>
      <c r="I16" s="151"/>
      <c r="J16" s="151"/>
      <c r="K16" s="151"/>
      <c r="L16" s="151"/>
      <c r="M16" s="160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.75" customHeight="1" x14ac:dyDescent="0.2">
      <c r="A17" s="94"/>
      <c r="B17" s="94"/>
      <c r="C17" s="191" t="s">
        <v>213</v>
      </c>
      <c r="D17" s="193" t="s">
        <v>214</v>
      </c>
      <c r="E17" s="184" t="s">
        <v>38</v>
      </c>
      <c r="F17" s="184" t="s">
        <v>45</v>
      </c>
      <c r="G17" s="197" t="s">
        <v>205</v>
      </c>
      <c r="H17" s="184" t="s">
        <v>40</v>
      </c>
      <c r="I17" s="184" t="s">
        <v>47</v>
      </c>
      <c r="J17" s="100">
        <v>5</v>
      </c>
      <c r="K17" s="101">
        <v>7</v>
      </c>
      <c r="L17" s="184">
        <f>(IF(J17&gt;K17,1,0)+IF(J18&gt;K18,1,0))</f>
        <v>1</v>
      </c>
      <c r="M17" s="185">
        <f>(IF(J17&lt;K17,1,0)+IF(J18&lt;K18,1,0))</f>
        <v>1</v>
      </c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2.75" customHeight="1" x14ac:dyDescent="0.2">
      <c r="A18" s="94"/>
      <c r="B18" s="94"/>
      <c r="C18" s="192"/>
      <c r="D18" s="166"/>
      <c r="E18" s="166"/>
      <c r="F18" s="166"/>
      <c r="G18" s="166"/>
      <c r="H18" s="166"/>
      <c r="I18" s="166"/>
      <c r="J18" s="102">
        <v>6</v>
      </c>
      <c r="K18" s="103">
        <v>4</v>
      </c>
      <c r="L18" s="166"/>
      <c r="M18" s="175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4.5" customHeight="1" x14ac:dyDescent="0.2">
      <c r="A19" s="94"/>
      <c r="B19" s="94"/>
      <c r="C19" s="104"/>
      <c r="D19" s="105"/>
      <c r="E19" s="105"/>
      <c r="F19" s="105"/>
      <c r="G19" s="105"/>
      <c r="H19" s="105"/>
      <c r="I19" s="105"/>
      <c r="J19" s="106"/>
      <c r="K19" s="106"/>
      <c r="L19" s="105"/>
      <c r="M19" s="107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3.5" customHeight="1" x14ac:dyDescent="0.2">
      <c r="A20" s="94"/>
      <c r="B20" s="94"/>
      <c r="C20" s="191" t="s">
        <v>209</v>
      </c>
      <c r="D20" s="193" t="s">
        <v>215</v>
      </c>
      <c r="E20" s="220" t="s">
        <v>126</v>
      </c>
      <c r="F20" s="184" t="s">
        <v>138</v>
      </c>
      <c r="G20" s="197" t="s">
        <v>205</v>
      </c>
      <c r="H20" s="184" t="s">
        <v>128</v>
      </c>
      <c r="I20" s="184" t="s">
        <v>140</v>
      </c>
      <c r="J20" s="100">
        <v>4</v>
      </c>
      <c r="K20" s="101">
        <v>6</v>
      </c>
      <c r="L20" s="184">
        <f>IF(J20&gt;K20, 1, 0) + IF(J21&gt;K21, 1, 0)</f>
        <v>0</v>
      </c>
      <c r="M20" s="185">
        <f>IF(J20&lt;K20, 1, 0) + IF(J21&lt;K21, 1, 0)</f>
        <v>2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2.75" customHeight="1" x14ac:dyDescent="0.2">
      <c r="A21" s="94"/>
      <c r="B21" s="94"/>
      <c r="C21" s="192"/>
      <c r="D21" s="166"/>
      <c r="E21" s="166"/>
      <c r="F21" s="166"/>
      <c r="G21" s="166"/>
      <c r="H21" s="166"/>
      <c r="I21" s="166"/>
      <c r="J21" s="102">
        <v>2</v>
      </c>
      <c r="K21" s="103">
        <v>6</v>
      </c>
      <c r="L21" s="166"/>
      <c r="M21" s="175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4.5" customHeight="1" x14ac:dyDescent="0.2">
      <c r="A22" s="94"/>
      <c r="B22" s="94"/>
      <c r="C22" s="190"/>
      <c r="D22" s="151"/>
      <c r="E22" s="151"/>
      <c r="F22" s="151"/>
      <c r="G22" s="151"/>
      <c r="H22" s="151"/>
      <c r="I22" s="151"/>
      <c r="J22" s="151"/>
      <c r="K22" s="151"/>
      <c r="L22" s="151"/>
      <c r="M22" s="160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2.75" customHeight="1" x14ac:dyDescent="0.2">
      <c r="A23" s="94"/>
      <c r="B23" s="94"/>
      <c r="C23" s="200" t="s">
        <v>216</v>
      </c>
      <c r="D23" s="151"/>
      <c r="E23" s="151"/>
      <c r="F23" s="151"/>
      <c r="G23" s="151"/>
      <c r="H23" s="151"/>
      <c r="I23" s="152"/>
      <c r="J23" s="108">
        <f t="shared" ref="J23:K23" si="0">SUM(J11:J21)</f>
        <v>30</v>
      </c>
      <c r="K23" s="108">
        <f t="shared" si="0"/>
        <v>44</v>
      </c>
      <c r="L23" s="108">
        <f t="shared" ref="L23:M23" si="1">SUM(L11:L20)</f>
        <v>2</v>
      </c>
      <c r="M23" s="109">
        <f t="shared" si="1"/>
        <v>6</v>
      </c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4.5" customHeight="1" x14ac:dyDescent="0.2">
      <c r="A24" s="94"/>
      <c r="B24" s="94"/>
      <c r="C24" s="190"/>
      <c r="D24" s="151"/>
      <c r="E24" s="151"/>
      <c r="F24" s="151"/>
      <c r="G24" s="151"/>
      <c r="H24" s="151"/>
      <c r="I24" s="151"/>
      <c r="J24" s="151"/>
      <c r="K24" s="151"/>
      <c r="L24" s="151"/>
      <c r="M24" s="160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.75" customHeight="1" x14ac:dyDescent="0.2">
      <c r="A25" s="94"/>
      <c r="B25" s="94"/>
      <c r="C25" s="191" t="s">
        <v>209</v>
      </c>
      <c r="D25" s="193" t="s">
        <v>217</v>
      </c>
      <c r="E25" s="183" t="s">
        <v>87</v>
      </c>
      <c r="F25" s="183" t="s">
        <v>218</v>
      </c>
      <c r="G25" s="197" t="s">
        <v>205</v>
      </c>
      <c r="H25" s="183" t="s">
        <v>89</v>
      </c>
      <c r="I25" s="183" t="s">
        <v>219</v>
      </c>
      <c r="J25" s="110">
        <v>6</v>
      </c>
      <c r="K25" s="101">
        <v>4</v>
      </c>
      <c r="L25" s="184">
        <f>(IF(J25&gt;K25,1,0)+IF(J26&gt;K26,1,0))</f>
        <v>2</v>
      </c>
      <c r="M25" s="184">
        <f>(IF(J25&lt;K25,1,0)+IF(J26&lt;K26,1,0))</f>
        <v>0</v>
      </c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2.75" customHeight="1" x14ac:dyDescent="0.2">
      <c r="A26" s="94"/>
      <c r="B26" s="94"/>
      <c r="C26" s="192"/>
      <c r="D26" s="166"/>
      <c r="E26" s="166"/>
      <c r="F26" s="166"/>
      <c r="G26" s="166"/>
      <c r="H26" s="166"/>
      <c r="I26" s="166"/>
      <c r="J26" s="111">
        <v>7</v>
      </c>
      <c r="K26" s="103">
        <v>5</v>
      </c>
      <c r="L26" s="166"/>
      <c r="M26" s="166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4.5" customHeight="1" x14ac:dyDescent="0.2">
      <c r="A27" s="94"/>
      <c r="B27" s="94"/>
      <c r="C27" s="190"/>
      <c r="D27" s="151"/>
      <c r="E27" s="151"/>
      <c r="F27" s="151"/>
      <c r="G27" s="151"/>
      <c r="H27" s="151"/>
      <c r="I27" s="151"/>
      <c r="J27" s="151"/>
      <c r="K27" s="151"/>
      <c r="L27" s="151"/>
      <c r="M27" s="160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.75" customHeight="1" x14ac:dyDescent="0.2">
      <c r="A28" s="96"/>
      <c r="B28" s="94"/>
      <c r="C28" s="191" t="s">
        <v>211</v>
      </c>
      <c r="D28" s="193" t="s">
        <v>220</v>
      </c>
      <c r="E28" s="183" t="s">
        <v>108</v>
      </c>
      <c r="F28" s="183" t="s">
        <v>120</v>
      </c>
      <c r="G28" s="197" t="s">
        <v>205</v>
      </c>
      <c r="H28" s="183" t="s">
        <v>110</v>
      </c>
      <c r="I28" s="183" t="s">
        <v>11</v>
      </c>
      <c r="J28" s="110">
        <v>6</v>
      </c>
      <c r="K28" s="101">
        <v>2</v>
      </c>
      <c r="L28" s="184">
        <f>(IF(J28&gt;K28,1,0)+IF(J29&gt;K29,1,0))</f>
        <v>1</v>
      </c>
      <c r="M28" s="184">
        <f>(IF(J28&lt;K28,1,0)+IF(J29&lt;K29,1,0))</f>
        <v>1</v>
      </c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2.75" customHeight="1" x14ac:dyDescent="0.2">
      <c r="A29" s="96"/>
      <c r="B29" s="94"/>
      <c r="C29" s="192"/>
      <c r="D29" s="166"/>
      <c r="E29" s="166"/>
      <c r="F29" s="166"/>
      <c r="G29" s="166"/>
      <c r="H29" s="166"/>
      <c r="I29" s="166"/>
      <c r="J29" s="111">
        <v>0</v>
      </c>
      <c r="K29" s="103">
        <v>6</v>
      </c>
      <c r="L29" s="166"/>
      <c r="M29" s="166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4.5" customHeight="1" x14ac:dyDescent="0.2">
      <c r="A30" s="94"/>
      <c r="B30" s="94"/>
      <c r="C30" s="190"/>
      <c r="D30" s="151"/>
      <c r="E30" s="151"/>
      <c r="F30" s="151"/>
      <c r="G30" s="151"/>
      <c r="H30" s="151"/>
      <c r="I30" s="151"/>
      <c r="J30" s="151"/>
      <c r="K30" s="151"/>
      <c r="L30" s="151"/>
      <c r="M30" s="160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91" t="s">
        <v>213</v>
      </c>
      <c r="D31" s="193" t="s">
        <v>220</v>
      </c>
      <c r="E31" s="183" t="s">
        <v>17</v>
      </c>
      <c r="F31" s="183" t="s">
        <v>24</v>
      </c>
      <c r="G31" s="197" t="s">
        <v>205</v>
      </c>
      <c r="H31" s="183" t="s">
        <v>221</v>
      </c>
      <c r="I31" s="183" t="s">
        <v>222</v>
      </c>
      <c r="J31" s="110">
        <v>6</v>
      </c>
      <c r="K31" s="101">
        <v>0</v>
      </c>
      <c r="L31" s="184">
        <f>(IF(J31&gt;K31,1,0)+IF(J32&gt;K32,1,0))</f>
        <v>2</v>
      </c>
      <c r="M31" s="184">
        <f>(IF(J31&lt;K31,1,0)+IF(J32&lt;K32,1,0))</f>
        <v>0</v>
      </c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2.75" customHeight="1" x14ac:dyDescent="0.2">
      <c r="A32" s="94"/>
      <c r="B32" s="94"/>
      <c r="C32" s="192"/>
      <c r="D32" s="166"/>
      <c r="E32" s="166"/>
      <c r="F32" s="166"/>
      <c r="G32" s="166"/>
      <c r="H32" s="166"/>
      <c r="I32" s="166"/>
      <c r="J32" s="111">
        <v>7</v>
      </c>
      <c r="K32" s="103">
        <v>5</v>
      </c>
      <c r="L32" s="166"/>
      <c r="M32" s="166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4.5" customHeight="1" x14ac:dyDescent="0.2">
      <c r="A33" s="94"/>
      <c r="B33" s="94"/>
      <c r="C33" s="190"/>
      <c r="D33" s="151"/>
      <c r="E33" s="151"/>
      <c r="F33" s="151"/>
      <c r="G33" s="151"/>
      <c r="H33" s="151"/>
      <c r="I33" s="151"/>
      <c r="J33" s="151"/>
      <c r="K33" s="151"/>
      <c r="L33" s="151"/>
      <c r="M33" s="160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2.75" customHeight="1" x14ac:dyDescent="0.2">
      <c r="A34" s="94"/>
      <c r="B34" s="94"/>
      <c r="C34" s="191" t="s">
        <v>209</v>
      </c>
      <c r="D34" s="206" t="s">
        <v>223</v>
      </c>
      <c r="E34" s="184" t="s">
        <v>73</v>
      </c>
      <c r="F34" s="184" t="s">
        <v>224</v>
      </c>
      <c r="G34" s="197" t="s">
        <v>205</v>
      </c>
      <c r="H34" s="184" t="s">
        <v>75</v>
      </c>
      <c r="I34" s="184" t="s">
        <v>147</v>
      </c>
      <c r="J34" s="100">
        <v>6</v>
      </c>
      <c r="K34" s="101">
        <v>1</v>
      </c>
      <c r="L34" s="184">
        <f>(IF(J34&gt;K34,1,0)+IF(J35&gt;K35,1,0))</f>
        <v>2</v>
      </c>
      <c r="M34" s="184">
        <f>(IF(J34&lt;K34,1,0)+IF(J35&lt;K35,1,0))</f>
        <v>0</v>
      </c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2.75" customHeight="1" x14ac:dyDescent="0.2">
      <c r="A35" s="94"/>
      <c r="B35" s="94"/>
      <c r="C35" s="192"/>
      <c r="D35" s="166"/>
      <c r="E35" s="166"/>
      <c r="F35" s="166"/>
      <c r="G35" s="166"/>
      <c r="H35" s="166"/>
      <c r="I35" s="166"/>
      <c r="J35" s="102">
        <v>6</v>
      </c>
      <c r="K35" s="103">
        <v>2</v>
      </c>
      <c r="L35" s="166"/>
      <c r="M35" s="166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4.5" customHeight="1" x14ac:dyDescent="0.2">
      <c r="A36" s="94"/>
      <c r="B36" s="94"/>
      <c r="C36" s="190"/>
      <c r="D36" s="151"/>
      <c r="E36" s="151"/>
      <c r="F36" s="151"/>
      <c r="G36" s="151"/>
      <c r="H36" s="151"/>
      <c r="I36" s="151"/>
      <c r="J36" s="151"/>
      <c r="K36" s="151"/>
      <c r="L36" s="151"/>
      <c r="M36" s="160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2.75" customHeight="1" x14ac:dyDescent="0.2">
      <c r="A37" s="94"/>
      <c r="B37" s="94"/>
      <c r="C37" s="200" t="s">
        <v>225</v>
      </c>
      <c r="D37" s="151"/>
      <c r="E37" s="151"/>
      <c r="F37" s="151"/>
      <c r="G37" s="151"/>
      <c r="H37" s="151"/>
      <c r="I37" s="152"/>
      <c r="J37" s="108">
        <f t="shared" ref="J37:M37" si="2">SUM(J25:J35)</f>
        <v>44</v>
      </c>
      <c r="K37" s="108">
        <f t="shared" si="2"/>
        <v>25</v>
      </c>
      <c r="L37" s="108">
        <f t="shared" si="2"/>
        <v>7</v>
      </c>
      <c r="M37" s="109">
        <f t="shared" si="2"/>
        <v>1</v>
      </c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4.5" customHeight="1" x14ac:dyDescent="0.2">
      <c r="A38" s="94"/>
      <c r="B38" s="94"/>
      <c r="C38" s="190"/>
      <c r="D38" s="151"/>
      <c r="E38" s="151"/>
      <c r="F38" s="151"/>
      <c r="G38" s="151"/>
      <c r="H38" s="151"/>
      <c r="I38" s="151"/>
      <c r="J38" s="151"/>
      <c r="K38" s="151"/>
      <c r="L38" s="151"/>
      <c r="M38" s="160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2.75" customHeight="1" x14ac:dyDescent="0.2">
      <c r="A39" s="94"/>
      <c r="B39" s="94"/>
      <c r="C39" s="189" t="s">
        <v>226</v>
      </c>
      <c r="D39" s="151"/>
      <c r="E39" s="151"/>
      <c r="F39" s="151"/>
      <c r="G39" s="151"/>
      <c r="H39" s="151"/>
      <c r="I39" s="152"/>
      <c r="J39" s="112">
        <f t="shared" ref="J39:M39" si="3">J37+J23</f>
        <v>74</v>
      </c>
      <c r="K39" s="113">
        <f t="shared" si="3"/>
        <v>69</v>
      </c>
      <c r="L39" s="114">
        <f t="shared" si="3"/>
        <v>9</v>
      </c>
      <c r="M39" s="115">
        <f t="shared" si="3"/>
        <v>7</v>
      </c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6.75" customHeight="1" x14ac:dyDescent="0.2">
      <c r="A40" s="94"/>
      <c r="B40" s="94"/>
      <c r="C40" s="190"/>
      <c r="D40" s="151"/>
      <c r="E40" s="151"/>
      <c r="F40" s="151"/>
      <c r="G40" s="151"/>
      <c r="H40" s="151"/>
      <c r="I40" s="151"/>
      <c r="J40" s="151"/>
      <c r="K40" s="151"/>
      <c r="L40" s="151"/>
      <c r="M40" s="160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7.5" customHeight="1" x14ac:dyDescent="0.2">
      <c r="A41" s="94"/>
      <c r="B41" s="94"/>
      <c r="C41" s="209" t="s">
        <v>227</v>
      </c>
      <c r="D41" s="210"/>
      <c r="E41" s="210"/>
      <c r="F41" s="210"/>
      <c r="G41" s="210"/>
      <c r="H41" s="210"/>
      <c r="I41" s="210"/>
      <c r="J41" s="210"/>
      <c r="K41" s="210"/>
      <c r="L41" s="210"/>
      <c r="M41" s="211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7.5" customHeight="1" x14ac:dyDescent="0.2">
      <c r="A42" s="94"/>
      <c r="B42" s="94"/>
      <c r="C42" s="212"/>
      <c r="D42" s="213"/>
      <c r="E42" s="213"/>
      <c r="F42" s="213"/>
      <c r="G42" s="213"/>
      <c r="H42" s="213"/>
      <c r="I42" s="213"/>
      <c r="J42" s="213"/>
      <c r="K42" s="213"/>
      <c r="L42" s="213"/>
      <c r="M42" s="21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" customHeight="1" x14ac:dyDescent="0.2">
      <c r="A43" s="94"/>
      <c r="B43" s="94"/>
      <c r="C43" s="97" t="s">
        <v>202</v>
      </c>
      <c r="D43" s="98" t="s">
        <v>203</v>
      </c>
      <c r="E43" s="196" t="s">
        <v>228</v>
      </c>
      <c r="F43" s="152"/>
      <c r="G43" s="98" t="s">
        <v>205</v>
      </c>
      <c r="H43" s="196" t="s">
        <v>229</v>
      </c>
      <c r="I43" s="152"/>
      <c r="J43" s="196" t="s">
        <v>207</v>
      </c>
      <c r="K43" s="152"/>
      <c r="L43" s="196" t="s">
        <v>208</v>
      </c>
      <c r="M43" s="160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191" t="s">
        <v>209</v>
      </c>
      <c r="D44" s="193" t="s">
        <v>210</v>
      </c>
      <c r="E44" s="183" t="s">
        <v>152</v>
      </c>
      <c r="F44" s="183" t="s">
        <v>158</v>
      </c>
      <c r="G44" s="197" t="s">
        <v>205</v>
      </c>
      <c r="H44" s="194" t="s">
        <v>155</v>
      </c>
      <c r="I44" s="183" t="s">
        <v>161</v>
      </c>
      <c r="J44" s="110">
        <v>7</v>
      </c>
      <c r="K44" s="101">
        <v>6</v>
      </c>
      <c r="L44" s="184">
        <f>(IF(J44&gt;K44,1,0)+IF(J45&gt;K45,1,0))</f>
        <v>2</v>
      </c>
      <c r="M44" s="185">
        <f>(IF(J44&lt;K44,1,0)+IF(J45&lt;K45,1,0))</f>
        <v>0</v>
      </c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2.75" customHeight="1" x14ac:dyDescent="0.2">
      <c r="A45" s="94"/>
      <c r="B45" s="94"/>
      <c r="C45" s="192"/>
      <c r="D45" s="166"/>
      <c r="E45" s="166"/>
      <c r="F45" s="166"/>
      <c r="G45" s="166"/>
      <c r="H45" s="195"/>
      <c r="I45" s="166"/>
      <c r="J45" s="111">
        <v>6</v>
      </c>
      <c r="K45" s="103">
        <v>1</v>
      </c>
      <c r="L45" s="166"/>
      <c r="M45" s="175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4.5" customHeight="1" x14ac:dyDescent="0.2">
      <c r="A46" s="94"/>
      <c r="B46" s="94"/>
      <c r="C46" s="190"/>
      <c r="D46" s="151"/>
      <c r="E46" s="151"/>
      <c r="F46" s="151"/>
      <c r="G46" s="151"/>
      <c r="H46" s="151"/>
      <c r="I46" s="151"/>
      <c r="J46" s="151"/>
      <c r="K46" s="151"/>
      <c r="L46" s="151"/>
      <c r="M46" s="160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191" t="s">
        <v>230</v>
      </c>
      <c r="D47" s="193" t="s">
        <v>231</v>
      </c>
      <c r="E47" s="194" t="s">
        <v>67</v>
      </c>
      <c r="F47" s="198" t="s">
        <v>81</v>
      </c>
      <c r="G47" s="197" t="s">
        <v>205</v>
      </c>
      <c r="H47" s="194" t="s">
        <v>70</v>
      </c>
      <c r="I47" s="183" t="s">
        <v>63</v>
      </c>
      <c r="J47" s="110">
        <v>4</v>
      </c>
      <c r="K47" s="101">
        <v>6</v>
      </c>
      <c r="L47" s="184">
        <f>(IF(J47&gt;K47,1,0)+IF(J48&gt;K48,1,0))</f>
        <v>0</v>
      </c>
      <c r="M47" s="185">
        <f>(IF(J47&lt;K47,1,0)+IF(J48&lt;K48,1,0))</f>
        <v>2</v>
      </c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2.75" customHeight="1" x14ac:dyDescent="0.2">
      <c r="A48" s="94"/>
      <c r="B48" s="94"/>
      <c r="C48" s="192"/>
      <c r="D48" s="166"/>
      <c r="E48" s="195"/>
      <c r="F48" s="199"/>
      <c r="G48" s="166"/>
      <c r="H48" s="195"/>
      <c r="I48" s="166"/>
      <c r="J48" s="111">
        <v>2</v>
      </c>
      <c r="K48" s="103">
        <v>6</v>
      </c>
      <c r="L48" s="166"/>
      <c r="M48" s="175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4.5" customHeight="1" x14ac:dyDescent="0.2">
      <c r="A49" s="94"/>
      <c r="B49" s="94"/>
      <c r="C49" s="190"/>
      <c r="D49" s="151"/>
      <c r="E49" s="151"/>
      <c r="F49" s="151"/>
      <c r="G49" s="151"/>
      <c r="H49" s="151"/>
      <c r="I49" s="151"/>
      <c r="J49" s="151"/>
      <c r="K49" s="151"/>
      <c r="L49" s="151"/>
      <c r="M49" s="160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191" t="s">
        <v>213</v>
      </c>
      <c r="D50" s="193" t="s">
        <v>214</v>
      </c>
      <c r="E50" s="194" t="s">
        <v>232</v>
      </c>
      <c r="F50" s="198" t="s">
        <v>46</v>
      </c>
      <c r="G50" s="197" t="s">
        <v>205</v>
      </c>
      <c r="H50" s="194" t="s">
        <v>42</v>
      </c>
      <c r="I50" s="183" t="s">
        <v>49</v>
      </c>
      <c r="J50" s="110">
        <v>3</v>
      </c>
      <c r="K50" s="101">
        <v>6</v>
      </c>
      <c r="L50" s="184">
        <f>(IF(J50&gt;K50,1,0)+IF(J51&gt;K51,1,0))</f>
        <v>0</v>
      </c>
      <c r="M50" s="185">
        <f>(IF(J50&lt;K50,1,0)+IF(J51&lt;K51,1,0))</f>
        <v>2</v>
      </c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2.75" customHeight="1" x14ac:dyDescent="0.2">
      <c r="A51" s="94"/>
      <c r="B51" s="94"/>
      <c r="C51" s="192"/>
      <c r="D51" s="166"/>
      <c r="E51" s="195"/>
      <c r="F51" s="199"/>
      <c r="G51" s="166"/>
      <c r="H51" s="195"/>
      <c r="I51" s="166"/>
      <c r="J51" s="111">
        <v>4</v>
      </c>
      <c r="K51" s="103">
        <v>6</v>
      </c>
      <c r="L51" s="166"/>
      <c r="M51" s="175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4.5" customHeight="1" x14ac:dyDescent="0.2">
      <c r="A52" s="94"/>
      <c r="B52" s="94"/>
      <c r="C52" s="190"/>
      <c r="D52" s="151"/>
      <c r="E52" s="151"/>
      <c r="F52" s="151"/>
      <c r="G52" s="151"/>
      <c r="H52" s="151"/>
      <c r="I52" s="151"/>
      <c r="J52" s="151"/>
      <c r="K52" s="151"/>
      <c r="L52" s="151"/>
      <c r="M52" s="160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191" t="s">
        <v>211</v>
      </c>
      <c r="D53" s="206" t="s">
        <v>215</v>
      </c>
      <c r="E53" s="183" t="s">
        <v>133</v>
      </c>
      <c r="F53" s="183" t="s">
        <v>139</v>
      </c>
      <c r="G53" s="197" t="s">
        <v>205</v>
      </c>
      <c r="H53" s="183" t="s">
        <v>198</v>
      </c>
      <c r="I53" s="183" t="s">
        <v>136</v>
      </c>
      <c r="J53" s="116">
        <v>1</v>
      </c>
      <c r="K53" s="117">
        <v>6</v>
      </c>
      <c r="L53" s="184">
        <f>(IF(J53&gt;K53,1,0)+IF(J54&gt;K54,1,0))</f>
        <v>0</v>
      </c>
      <c r="M53" s="185">
        <f>(IF(J53&lt;K53,1,0)+IF(J54&lt;K54,1,0))</f>
        <v>2</v>
      </c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2.75" customHeight="1" x14ac:dyDescent="0.2">
      <c r="A54" s="94"/>
      <c r="B54" s="94"/>
      <c r="C54" s="192"/>
      <c r="D54" s="166"/>
      <c r="E54" s="166"/>
      <c r="F54" s="166"/>
      <c r="G54" s="166"/>
      <c r="H54" s="166"/>
      <c r="I54" s="166"/>
      <c r="J54" s="118">
        <v>3</v>
      </c>
      <c r="K54" s="119">
        <v>6</v>
      </c>
      <c r="L54" s="166"/>
      <c r="M54" s="175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4.5" customHeight="1" x14ac:dyDescent="0.2">
      <c r="A55" s="94"/>
      <c r="B55" s="94"/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8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2.75" customHeight="1" x14ac:dyDescent="0.2">
      <c r="A56" s="94"/>
      <c r="B56" s="94"/>
      <c r="C56" s="189" t="s">
        <v>216</v>
      </c>
      <c r="D56" s="151"/>
      <c r="E56" s="151"/>
      <c r="F56" s="151"/>
      <c r="G56" s="151"/>
      <c r="H56" s="151"/>
      <c r="I56" s="152"/>
      <c r="J56" s="108">
        <f t="shared" ref="J56:M56" si="4">SUM(J44:J54)</f>
        <v>30</v>
      </c>
      <c r="K56" s="108">
        <f t="shared" si="4"/>
        <v>43</v>
      </c>
      <c r="L56" s="108">
        <f t="shared" si="4"/>
        <v>2</v>
      </c>
      <c r="M56" s="109">
        <f t="shared" si="4"/>
        <v>6</v>
      </c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4.5" customHeight="1" x14ac:dyDescent="0.2">
      <c r="A57" s="94"/>
      <c r="B57" s="94"/>
      <c r="C57" s="190"/>
      <c r="D57" s="151"/>
      <c r="E57" s="151"/>
      <c r="F57" s="151"/>
      <c r="G57" s="151"/>
      <c r="H57" s="151"/>
      <c r="I57" s="151"/>
      <c r="J57" s="151"/>
      <c r="K57" s="151"/>
      <c r="L57" s="151"/>
      <c r="M57" s="160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191">
        <v>6.3</v>
      </c>
      <c r="D58" s="193" t="s">
        <v>217</v>
      </c>
      <c r="E58" s="183" t="s">
        <v>88</v>
      </c>
      <c r="F58" s="183" t="s">
        <v>95</v>
      </c>
      <c r="G58" s="197" t="s">
        <v>205</v>
      </c>
      <c r="H58" s="183" t="s">
        <v>233</v>
      </c>
      <c r="I58" s="183" t="s">
        <v>98</v>
      </c>
      <c r="J58" s="100">
        <v>6</v>
      </c>
      <c r="K58" s="101">
        <v>4</v>
      </c>
      <c r="L58" s="184">
        <f>(IF(J58&gt;K58,1,0)+IF(J59&gt;K59,1,0))</f>
        <v>2</v>
      </c>
      <c r="M58" s="185">
        <f>(IF(J58&lt;K58,1,0)+IF(J59&lt;K59,1,0))</f>
        <v>0</v>
      </c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2.75" customHeight="1" x14ac:dyDescent="0.2">
      <c r="A59" s="94"/>
      <c r="B59" s="94"/>
      <c r="C59" s="192"/>
      <c r="D59" s="166"/>
      <c r="E59" s="166"/>
      <c r="F59" s="166"/>
      <c r="G59" s="166"/>
      <c r="H59" s="166"/>
      <c r="I59" s="166"/>
      <c r="J59" s="102">
        <v>6</v>
      </c>
      <c r="K59" s="103">
        <v>4</v>
      </c>
      <c r="L59" s="166"/>
      <c r="M59" s="175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4.5" customHeight="1" x14ac:dyDescent="0.2">
      <c r="A60" s="94"/>
      <c r="B60" s="94"/>
      <c r="C60" s="190"/>
      <c r="D60" s="151"/>
      <c r="E60" s="151"/>
      <c r="F60" s="151"/>
      <c r="G60" s="151"/>
      <c r="H60" s="151"/>
      <c r="I60" s="151"/>
      <c r="J60" s="151"/>
      <c r="K60" s="151"/>
      <c r="L60" s="151"/>
      <c r="M60" s="160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191">
        <v>7.45</v>
      </c>
      <c r="D61" s="193" t="s">
        <v>234</v>
      </c>
      <c r="E61" s="183" t="s">
        <v>18</v>
      </c>
      <c r="F61" s="183" t="s">
        <v>25</v>
      </c>
      <c r="G61" s="197" t="s">
        <v>205</v>
      </c>
      <c r="H61" s="183" t="s">
        <v>21</v>
      </c>
      <c r="I61" s="183" t="s">
        <v>28</v>
      </c>
      <c r="J61" s="100">
        <v>6</v>
      </c>
      <c r="K61" s="101">
        <v>3</v>
      </c>
      <c r="L61" s="184">
        <f>(IF(J61&gt;K61,1,0)+IF(J62&gt;K62,1,0))</f>
        <v>2</v>
      </c>
      <c r="M61" s="185">
        <f>(IF(J61&lt;K61,1,0)+IF(J62&lt;K62,1,0))</f>
        <v>0</v>
      </c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2.75" customHeight="1" x14ac:dyDescent="0.2">
      <c r="A62" s="94"/>
      <c r="B62" s="94"/>
      <c r="C62" s="192"/>
      <c r="D62" s="166"/>
      <c r="E62" s="166"/>
      <c r="F62" s="166"/>
      <c r="G62" s="166"/>
      <c r="H62" s="166"/>
      <c r="I62" s="166"/>
      <c r="J62" s="102">
        <v>6</v>
      </c>
      <c r="K62" s="103">
        <v>4</v>
      </c>
      <c r="L62" s="166"/>
      <c r="M62" s="175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4.5" customHeight="1" x14ac:dyDescent="0.2">
      <c r="A63" s="94"/>
      <c r="B63" s="94"/>
      <c r="C63" s="190"/>
      <c r="D63" s="151"/>
      <c r="E63" s="151"/>
      <c r="F63" s="151"/>
      <c r="G63" s="151"/>
      <c r="H63" s="151"/>
      <c r="I63" s="151"/>
      <c r="J63" s="151"/>
      <c r="K63" s="151"/>
      <c r="L63" s="151"/>
      <c r="M63" s="160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191">
        <v>9</v>
      </c>
      <c r="D64" s="193" t="s">
        <v>220</v>
      </c>
      <c r="E64" s="183" t="s">
        <v>235</v>
      </c>
      <c r="F64" s="183" t="s">
        <v>115</v>
      </c>
      <c r="G64" s="197" t="s">
        <v>205</v>
      </c>
      <c r="H64" s="183" t="s">
        <v>112</v>
      </c>
      <c r="I64" s="183" t="s">
        <v>118</v>
      </c>
      <c r="J64" s="110">
        <v>6</v>
      </c>
      <c r="K64" s="101">
        <v>4</v>
      </c>
      <c r="L64" s="184">
        <f>(IF(J64&gt;K64,1,0)+IF(J65&gt;K65,1,0))</f>
        <v>1</v>
      </c>
      <c r="M64" s="185">
        <f>(IF(J64&lt;K64,1,0)+IF(J65&lt;K65,1,0))</f>
        <v>1</v>
      </c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2.75" customHeight="1" x14ac:dyDescent="0.2">
      <c r="A65" s="94"/>
      <c r="B65" s="94"/>
      <c r="C65" s="192"/>
      <c r="D65" s="166"/>
      <c r="E65" s="166"/>
      <c r="F65" s="166"/>
      <c r="G65" s="166"/>
      <c r="H65" s="166"/>
      <c r="I65" s="166"/>
      <c r="J65" s="111">
        <v>3</v>
      </c>
      <c r="K65" s="103">
        <v>6</v>
      </c>
      <c r="L65" s="166"/>
      <c r="M65" s="175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4.5" customHeight="1" x14ac:dyDescent="0.2">
      <c r="A66" s="94"/>
      <c r="B66" s="94"/>
      <c r="C66" s="190"/>
      <c r="D66" s="151"/>
      <c r="E66" s="151"/>
      <c r="F66" s="151"/>
      <c r="G66" s="151"/>
      <c r="H66" s="151"/>
      <c r="I66" s="151"/>
      <c r="J66" s="151"/>
      <c r="K66" s="151"/>
      <c r="L66" s="151"/>
      <c r="M66" s="160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191" t="s">
        <v>211</v>
      </c>
      <c r="D67" s="206" t="s">
        <v>223</v>
      </c>
      <c r="E67" s="183" t="s">
        <v>74</v>
      </c>
      <c r="F67" s="183" t="s">
        <v>127</v>
      </c>
      <c r="G67" s="197" t="s">
        <v>205</v>
      </c>
      <c r="H67" s="183" t="s">
        <v>77</v>
      </c>
      <c r="I67" s="183" t="s">
        <v>13</v>
      </c>
      <c r="J67" s="116">
        <v>6</v>
      </c>
      <c r="K67" s="117">
        <v>3</v>
      </c>
      <c r="L67" s="184">
        <f>(IF(J67&gt;K67,1,0)+IF(J68&gt;K68,1,0))</f>
        <v>2</v>
      </c>
      <c r="M67" s="185">
        <f>(IF(J67&lt;K67,1,0)+IF(J68&lt;K68,1,0))</f>
        <v>0</v>
      </c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2.75" customHeight="1" x14ac:dyDescent="0.2">
      <c r="A68" s="94"/>
      <c r="B68" s="94"/>
      <c r="C68" s="192"/>
      <c r="D68" s="166"/>
      <c r="E68" s="166"/>
      <c r="F68" s="166"/>
      <c r="G68" s="166"/>
      <c r="H68" s="166"/>
      <c r="I68" s="166"/>
      <c r="J68" s="118">
        <v>7</v>
      </c>
      <c r="K68" s="119">
        <v>5</v>
      </c>
      <c r="L68" s="166"/>
      <c r="M68" s="175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4.5" customHeight="1" x14ac:dyDescent="0.2">
      <c r="A69" s="94"/>
      <c r="B69" s="94"/>
      <c r="C69" s="190"/>
      <c r="D69" s="151"/>
      <c r="E69" s="151"/>
      <c r="F69" s="151"/>
      <c r="G69" s="151"/>
      <c r="H69" s="151"/>
      <c r="I69" s="151"/>
      <c r="J69" s="151"/>
      <c r="K69" s="151"/>
      <c r="L69" s="151"/>
      <c r="M69" s="160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2.75" customHeight="1" x14ac:dyDescent="0.2">
      <c r="A70" s="94"/>
      <c r="B70" s="94"/>
      <c r="C70" s="200" t="s">
        <v>225</v>
      </c>
      <c r="D70" s="151"/>
      <c r="E70" s="151"/>
      <c r="F70" s="151"/>
      <c r="G70" s="151"/>
      <c r="H70" s="151"/>
      <c r="I70" s="152"/>
      <c r="J70" s="108">
        <f t="shared" ref="J70:M70" si="5">SUM(J58:J68)</f>
        <v>46</v>
      </c>
      <c r="K70" s="120">
        <f t="shared" si="5"/>
        <v>33</v>
      </c>
      <c r="L70" s="108">
        <f t="shared" si="5"/>
        <v>7</v>
      </c>
      <c r="M70" s="109">
        <f t="shared" si="5"/>
        <v>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4.5" customHeight="1" x14ac:dyDescent="0.2">
      <c r="A71" s="94"/>
      <c r="B71" s="94"/>
      <c r="C71" s="190"/>
      <c r="D71" s="151"/>
      <c r="E71" s="151"/>
      <c r="F71" s="151"/>
      <c r="G71" s="151"/>
      <c r="H71" s="151"/>
      <c r="I71" s="151"/>
      <c r="J71" s="151"/>
      <c r="K71" s="151"/>
      <c r="L71" s="151"/>
      <c r="M71" s="160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2.75" customHeight="1" x14ac:dyDescent="0.2">
      <c r="A72" s="94"/>
      <c r="B72" s="94"/>
      <c r="C72" s="189" t="s">
        <v>226</v>
      </c>
      <c r="D72" s="151"/>
      <c r="E72" s="151"/>
      <c r="F72" s="151"/>
      <c r="G72" s="151"/>
      <c r="H72" s="151"/>
      <c r="I72" s="152"/>
      <c r="J72" s="112">
        <f>SUM(J56+J70)</f>
        <v>76</v>
      </c>
      <c r="K72" s="113">
        <f t="shared" ref="K72:M72" si="6">K70+K56</f>
        <v>76</v>
      </c>
      <c r="L72" s="114">
        <f t="shared" si="6"/>
        <v>9</v>
      </c>
      <c r="M72" s="115">
        <f t="shared" si="6"/>
        <v>7</v>
      </c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6.75" customHeight="1" x14ac:dyDescent="0.2">
      <c r="A73" s="94"/>
      <c r="B73" s="94"/>
      <c r="C73" s="190"/>
      <c r="D73" s="151"/>
      <c r="E73" s="151"/>
      <c r="F73" s="151"/>
      <c r="G73" s="151"/>
      <c r="H73" s="151"/>
      <c r="I73" s="151"/>
      <c r="J73" s="151"/>
      <c r="K73" s="151"/>
      <c r="L73" s="151"/>
      <c r="M73" s="160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2.75" customHeight="1" x14ac:dyDescent="0.2">
      <c r="A74" s="94"/>
      <c r="B74" s="94"/>
      <c r="C74" s="209" t="s">
        <v>236</v>
      </c>
      <c r="D74" s="210"/>
      <c r="E74" s="210"/>
      <c r="F74" s="210"/>
      <c r="G74" s="210"/>
      <c r="H74" s="210"/>
      <c r="I74" s="210"/>
      <c r="J74" s="210"/>
      <c r="K74" s="210"/>
      <c r="L74" s="210"/>
      <c r="M74" s="211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.5" customHeight="1" x14ac:dyDescent="0.2">
      <c r="A75" s="94"/>
      <c r="B75" s="94"/>
      <c r="C75" s="212"/>
      <c r="D75" s="213"/>
      <c r="E75" s="213"/>
      <c r="F75" s="213"/>
      <c r="G75" s="213"/>
      <c r="H75" s="213"/>
      <c r="I75" s="213"/>
      <c r="J75" s="213"/>
      <c r="K75" s="213"/>
      <c r="L75" s="213"/>
      <c r="M75" s="21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x14ac:dyDescent="0.2">
      <c r="A76" s="94"/>
      <c r="B76" s="94"/>
      <c r="C76" s="121" t="s">
        <v>202</v>
      </c>
      <c r="D76" s="99" t="s">
        <v>203</v>
      </c>
      <c r="E76" s="196" t="s">
        <v>237</v>
      </c>
      <c r="F76" s="152"/>
      <c r="G76" s="98" t="s">
        <v>205</v>
      </c>
      <c r="H76" s="196" t="s">
        <v>238</v>
      </c>
      <c r="I76" s="152"/>
      <c r="J76" s="196" t="s">
        <v>207</v>
      </c>
      <c r="K76" s="152"/>
      <c r="L76" s="196" t="s">
        <v>208</v>
      </c>
      <c r="M76" s="160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191" t="s">
        <v>209</v>
      </c>
      <c r="D77" s="193" t="s">
        <v>210</v>
      </c>
      <c r="E77" s="183" t="s">
        <v>239</v>
      </c>
      <c r="F77" s="183" t="s">
        <v>160</v>
      </c>
      <c r="G77" s="197" t="s">
        <v>205</v>
      </c>
      <c r="H77" s="183" t="s">
        <v>240</v>
      </c>
      <c r="I77" s="183" t="s">
        <v>14</v>
      </c>
      <c r="J77" s="100">
        <v>7</v>
      </c>
      <c r="K77" s="101">
        <v>6</v>
      </c>
      <c r="L77" s="184">
        <f>(IF(J77&gt;K77,1,0)+IF(J78&gt;K78,1,0))</f>
        <v>2</v>
      </c>
      <c r="M77" s="185">
        <f>(IF(J77&lt;K77,1,0)+IF(J78&lt;K78,1,0))</f>
        <v>0</v>
      </c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2.75" customHeight="1" x14ac:dyDescent="0.2">
      <c r="A78" s="94"/>
      <c r="B78" s="94"/>
      <c r="C78" s="192"/>
      <c r="D78" s="166"/>
      <c r="E78" s="166"/>
      <c r="F78" s="166"/>
      <c r="G78" s="166"/>
      <c r="H78" s="166"/>
      <c r="I78" s="166"/>
      <c r="J78" s="102">
        <v>6</v>
      </c>
      <c r="K78" s="103">
        <v>4</v>
      </c>
      <c r="L78" s="166"/>
      <c r="M78" s="175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4.5" customHeight="1" x14ac:dyDescent="0.2">
      <c r="A79" s="94"/>
      <c r="B79" s="94"/>
      <c r="C79" s="190"/>
      <c r="D79" s="151"/>
      <c r="E79" s="151"/>
      <c r="F79" s="151"/>
      <c r="G79" s="151"/>
      <c r="H79" s="151"/>
      <c r="I79" s="151"/>
      <c r="J79" s="151"/>
      <c r="K79" s="151"/>
      <c r="L79" s="151"/>
      <c r="M79" s="160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191" t="s">
        <v>211</v>
      </c>
      <c r="D80" s="193" t="s">
        <v>214</v>
      </c>
      <c r="E80" s="183" t="s">
        <v>41</v>
      </c>
      <c r="F80" s="183" t="s">
        <v>55</v>
      </c>
      <c r="G80" s="197" t="s">
        <v>205</v>
      </c>
      <c r="H80" s="183" t="s">
        <v>50</v>
      </c>
      <c r="I80" s="183" t="s">
        <v>57</v>
      </c>
      <c r="J80" s="100">
        <v>0</v>
      </c>
      <c r="K80" s="101">
        <v>6</v>
      </c>
      <c r="L80" s="184">
        <f>(IF(J80&gt;K80,1,0)+IF(J81&gt;K81,1,0))</f>
        <v>0</v>
      </c>
      <c r="M80" s="185">
        <f>(IF(J80&lt;K80,1,0)+IF(J81&lt;K81,1,0))</f>
        <v>2</v>
      </c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2.75" customHeight="1" x14ac:dyDescent="0.2">
      <c r="A81" s="94"/>
      <c r="B81" s="94"/>
      <c r="C81" s="192"/>
      <c r="D81" s="166"/>
      <c r="E81" s="166"/>
      <c r="F81" s="166"/>
      <c r="G81" s="166"/>
      <c r="H81" s="166"/>
      <c r="I81" s="166"/>
      <c r="J81" s="102">
        <v>2</v>
      </c>
      <c r="K81" s="103">
        <v>6</v>
      </c>
      <c r="L81" s="166"/>
      <c r="M81" s="175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4.5" customHeight="1" x14ac:dyDescent="0.2">
      <c r="A82" s="94"/>
      <c r="B82" s="94"/>
      <c r="C82" s="190"/>
      <c r="D82" s="151"/>
      <c r="E82" s="151"/>
      <c r="F82" s="151"/>
      <c r="G82" s="151"/>
      <c r="H82" s="151"/>
      <c r="I82" s="151"/>
      <c r="J82" s="151"/>
      <c r="K82" s="151"/>
      <c r="L82" s="151"/>
      <c r="M82" s="160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191" t="s">
        <v>213</v>
      </c>
      <c r="D83" s="193" t="s">
        <v>234</v>
      </c>
      <c r="E83" s="183" t="s">
        <v>20</v>
      </c>
      <c r="F83" s="183" t="s">
        <v>27</v>
      </c>
      <c r="G83" s="197" t="s">
        <v>205</v>
      </c>
      <c r="H83" s="183" t="s">
        <v>22</v>
      </c>
      <c r="I83" s="183" t="s">
        <v>29</v>
      </c>
      <c r="J83" s="110">
        <v>4</v>
      </c>
      <c r="K83" s="101">
        <v>6</v>
      </c>
      <c r="L83" s="184">
        <f>(IF(J83&gt;K83,1,0)+IF(J84&gt;K84,1,0))</f>
        <v>1</v>
      </c>
      <c r="M83" s="185">
        <f>(IF(J83&lt;K83,1,0)+IF(J84&lt;K84,1,0))</f>
        <v>1</v>
      </c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2.75" customHeight="1" x14ac:dyDescent="0.2">
      <c r="A84" s="94"/>
      <c r="B84" s="94"/>
      <c r="C84" s="192"/>
      <c r="D84" s="166"/>
      <c r="E84" s="166"/>
      <c r="F84" s="166"/>
      <c r="G84" s="166"/>
      <c r="H84" s="166"/>
      <c r="I84" s="166"/>
      <c r="J84" s="111">
        <v>7</v>
      </c>
      <c r="K84" s="103">
        <v>6</v>
      </c>
      <c r="L84" s="166"/>
      <c r="M84" s="175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4.5" customHeight="1" x14ac:dyDescent="0.2">
      <c r="A85" s="94"/>
      <c r="B85" s="94"/>
      <c r="C85" s="104"/>
      <c r="D85" s="105"/>
      <c r="E85" s="105"/>
      <c r="F85" s="105"/>
      <c r="G85" s="105"/>
      <c r="H85" s="105"/>
      <c r="I85" s="105"/>
      <c r="J85" s="106"/>
      <c r="K85" s="106"/>
      <c r="L85" s="105"/>
      <c r="M85" s="107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4.25" customHeight="1" x14ac:dyDescent="0.2">
      <c r="A86" s="94"/>
      <c r="B86" s="94"/>
      <c r="C86" s="191" t="s">
        <v>213</v>
      </c>
      <c r="D86" s="193" t="s">
        <v>212</v>
      </c>
      <c r="E86" s="183" t="s">
        <v>69</v>
      </c>
      <c r="F86" s="183" t="s">
        <v>76</v>
      </c>
      <c r="G86" s="197" t="s">
        <v>205</v>
      </c>
      <c r="H86" s="183" t="s">
        <v>71</v>
      </c>
      <c r="I86" s="183" t="s">
        <v>78</v>
      </c>
      <c r="J86" s="122">
        <v>6</v>
      </c>
      <c r="K86" s="123">
        <v>1</v>
      </c>
      <c r="L86" s="184">
        <f>(IF(J86&gt;K86,1,0)+IF(J87&gt;K87,1,0))</f>
        <v>2</v>
      </c>
      <c r="M86" s="185">
        <f>(IF(J86&lt;K86,1,0)+IF(J87&lt;K87,1,0))</f>
        <v>0</v>
      </c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4.25" customHeight="1" x14ac:dyDescent="0.2">
      <c r="A87" s="94"/>
      <c r="B87" s="94"/>
      <c r="C87" s="192"/>
      <c r="D87" s="166"/>
      <c r="E87" s="166"/>
      <c r="F87" s="166"/>
      <c r="G87" s="166"/>
      <c r="H87" s="166"/>
      <c r="I87" s="166"/>
      <c r="J87" s="124">
        <v>6</v>
      </c>
      <c r="K87" s="125">
        <v>2</v>
      </c>
      <c r="L87" s="166"/>
      <c r="M87" s="175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4.5" customHeight="1" x14ac:dyDescent="0.2">
      <c r="A88" s="94"/>
      <c r="B88" s="94"/>
      <c r="C88" s="186"/>
      <c r="D88" s="187"/>
      <c r="E88" s="187"/>
      <c r="F88" s="187"/>
      <c r="G88" s="187"/>
      <c r="H88" s="187"/>
      <c r="I88" s="187"/>
      <c r="J88" s="187"/>
      <c r="K88" s="187"/>
      <c r="L88" s="187"/>
      <c r="M88" s="188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2.75" customHeight="1" x14ac:dyDescent="0.2">
      <c r="A89" s="94"/>
      <c r="B89" s="94"/>
      <c r="C89" s="200" t="s">
        <v>216</v>
      </c>
      <c r="D89" s="151"/>
      <c r="E89" s="151"/>
      <c r="F89" s="151"/>
      <c r="G89" s="151"/>
      <c r="H89" s="151"/>
      <c r="I89" s="152"/>
      <c r="J89" s="108">
        <f t="shared" ref="J89:L89" si="7">SUM(J77:J87)</f>
        <v>38</v>
      </c>
      <c r="K89" s="120">
        <f t="shared" si="7"/>
        <v>37</v>
      </c>
      <c r="L89" s="108">
        <f t="shared" si="7"/>
        <v>5</v>
      </c>
      <c r="M89" s="109">
        <f>SUM(M77:M84)</f>
        <v>3</v>
      </c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4.5" customHeight="1" x14ac:dyDescent="0.2">
      <c r="A90" s="94"/>
      <c r="B90" s="94"/>
      <c r="C90" s="190"/>
      <c r="D90" s="151"/>
      <c r="E90" s="151"/>
      <c r="F90" s="151"/>
      <c r="G90" s="151"/>
      <c r="H90" s="151"/>
      <c r="I90" s="151"/>
      <c r="J90" s="151"/>
      <c r="K90" s="151"/>
      <c r="L90" s="151"/>
      <c r="M90" s="160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191" t="s">
        <v>209</v>
      </c>
      <c r="D91" s="193" t="s">
        <v>217</v>
      </c>
      <c r="E91" s="194" t="s">
        <v>97</v>
      </c>
      <c r="F91" s="183" t="s">
        <v>104</v>
      </c>
      <c r="G91" s="197" t="s">
        <v>205</v>
      </c>
      <c r="H91" s="194" t="s">
        <v>99</v>
      </c>
      <c r="I91" s="183" t="s">
        <v>92</v>
      </c>
      <c r="J91" s="110">
        <v>2</v>
      </c>
      <c r="K91" s="101">
        <v>6</v>
      </c>
      <c r="L91" s="184">
        <f>(IF(J91&gt;K91,1,0)+IF(J92&gt;K92,1,0))</f>
        <v>0</v>
      </c>
      <c r="M91" s="185">
        <f>(IF(J91&lt;K91,1,0)+IF(J92&lt;K92,1,0))</f>
        <v>2</v>
      </c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2.75" customHeight="1" x14ac:dyDescent="0.2">
      <c r="A92" s="94"/>
      <c r="B92" s="94"/>
      <c r="C92" s="192"/>
      <c r="D92" s="166"/>
      <c r="E92" s="195"/>
      <c r="F92" s="166"/>
      <c r="G92" s="166"/>
      <c r="H92" s="195"/>
      <c r="I92" s="166"/>
      <c r="J92" s="111">
        <v>5</v>
      </c>
      <c r="K92" s="103">
        <v>7</v>
      </c>
      <c r="L92" s="166"/>
      <c r="M92" s="175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4.5" customHeight="1" x14ac:dyDescent="0.2">
      <c r="A93" s="94"/>
      <c r="B93" s="94"/>
      <c r="C93" s="190"/>
      <c r="D93" s="151"/>
      <c r="E93" s="151"/>
      <c r="F93" s="151"/>
      <c r="G93" s="151"/>
      <c r="H93" s="151"/>
      <c r="I93" s="151"/>
      <c r="J93" s="151"/>
      <c r="K93" s="151"/>
      <c r="L93" s="151"/>
      <c r="M93" s="160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191" t="s">
        <v>211</v>
      </c>
      <c r="D94" s="193" t="s">
        <v>215</v>
      </c>
      <c r="E94" s="194" t="s">
        <v>135</v>
      </c>
      <c r="F94" s="183" t="s">
        <v>141</v>
      </c>
      <c r="G94" s="197" t="s">
        <v>205</v>
      </c>
      <c r="H94" s="194" t="s">
        <v>150</v>
      </c>
      <c r="I94" s="183" t="s">
        <v>131</v>
      </c>
      <c r="J94" s="110">
        <v>6</v>
      </c>
      <c r="K94" s="101">
        <v>1</v>
      </c>
      <c r="L94" s="184">
        <f>(IF(J94&gt;K94,1,0)+IF(J95&gt;K95,1,0))</f>
        <v>2</v>
      </c>
      <c r="M94" s="185">
        <f>(IF(J94&lt;K94,1,0)+IF(J95&lt;K95,1,0))</f>
        <v>0</v>
      </c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2.75" customHeight="1" x14ac:dyDescent="0.2">
      <c r="A95" s="94"/>
      <c r="B95" s="94"/>
      <c r="C95" s="192"/>
      <c r="D95" s="166"/>
      <c r="E95" s="195"/>
      <c r="F95" s="166"/>
      <c r="G95" s="166"/>
      <c r="H95" s="195"/>
      <c r="I95" s="166"/>
      <c r="J95" s="111">
        <v>6</v>
      </c>
      <c r="K95" s="103">
        <v>1</v>
      </c>
      <c r="L95" s="166"/>
      <c r="M95" s="175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4.5" customHeight="1" x14ac:dyDescent="0.2">
      <c r="A96" s="94"/>
      <c r="B96" s="94"/>
      <c r="C96" s="190"/>
      <c r="D96" s="151"/>
      <c r="E96" s="151"/>
      <c r="F96" s="151"/>
      <c r="G96" s="151"/>
      <c r="H96" s="151"/>
      <c r="I96" s="151"/>
      <c r="J96" s="151"/>
      <c r="K96" s="151"/>
      <c r="L96" s="151"/>
      <c r="M96" s="160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191" t="s">
        <v>213</v>
      </c>
      <c r="D97" s="193" t="s">
        <v>220</v>
      </c>
      <c r="E97" s="194" t="s">
        <v>111</v>
      </c>
      <c r="F97" s="183" t="s">
        <v>117</v>
      </c>
      <c r="G97" s="197" t="s">
        <v>205</v>
      </c>
      <c r="H97" s="194" t="s">
        <v>125</v>
      </c>
      <c r="I97" s="183" t="s">
        <v>119</v>
      </c>
      <c r="J97" s="110">
        <v>6</v>
      </c>
      <c r="K97" s="101">
        <v>2</v>
      </c>
      <c r="L97" s="184">
        <f>(IF(J97&gt;K97,1,0)+IF(J98&gt;K98,1,0))</f>
        <v>2</v>
      </c>
      <c r="M97" s="185">
        <f>(IF(J97&lt;K97,1,0)+IF(J98&lt;K98,1,0))</f>
        <v>0</v>
      </c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2.75" customHeight="1" x14ac:dyDescent="0.2">
      <c r="A98" s="94"/>
      <c r="B98" s="94"/>
      <c r="C98" s="192"/>
      <c r="D98" s="166"/>
      <c r="E98" s="195"/>
      <c r="F98" s="166"/>
      <c r="G98" s="166"/>
      <c r="H98" s="195"/>
      <c r="I98" s="166"/>
      <c r="J98" s="111">
        <v>6</v>
      </c>
      <c r="K98" s="103">
        <v>1</v>
      </c>
      <c r="L98" s="166"/>
      <c r="M98" s="175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4.5" customHeight="1" x14ac:dyDescent="0.2">
      <c r="A99" s="94"/>
      <c r="B99" s="94"/>
      <c r="C99" s="190"/>
      <c r="D99" s="151"/>
      <c r="E99" s="151"/>
      <c r="F99" s="151"/>
      <c r="G99" s="151"/>
      <c r="H99" s="151"/>
      <c r="I99" s="151"/>
      <c r="J99" s="151"/>
      <c r="K99" s="151"/>
      <c r="L99" s="151"/>
      <c r="M99" s="160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191" t="s">
        <v>241</v>
      </c>
      <c r="D100" s="206" t="s">
        <v>242</v>
      </c>
      <c r="E100" s="194" t="s">
        <v>62</v>
      </c>
      <c r="F100" s="183" t="s">
        <v>12</v>
      </c>
      <c r="G100" s="197" t="s">
        <v>205</v>
      </c>
      <c r="H100" s="183" t="s">
        <v>64</v>
      </c>
      <c r="I100" s="183" t="s">
        <v>137</v>
      </c>
      <c r="J100" s="110">
        <v>6</v>
      </c>
      <c r="K100" s="101">
        <v>3</v>
      </c>
      <c r="L100" s="184">
        <f>(IF(J100&gt;K100,1,0)+IF(J101&gt;K101,1,0))</f>
        <v>2</v>
      </c>
      <c r="M100" s="185">
        <f>(IF(J100&lt;K100,1,0)+IF(J101&lt;K101,1,0))</f>
        <v>0</v>
      </c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2.75" customHeight="1" x14ac:dyDescent="0.2">
      <c r="A101" s="94"/>
      <c r="B101" s="94"/>
      <c r="C101" s="205"/>
      <c r="D101" s="201"/>
      <c r="E101" s="207"/>
      <c r="F101" s="201"/>
      <c r="G101" s="201"/>
      <c r="H101" s="201"/>
      <c r="I101" s="201"/>
      <c r="J101" s="202">
        <v>6</v>
      </c>
      <c r="K101" s="204">
        <v>3</v>
      </c>
      <c r="L101" s="201"/>
      <c r="M101" s="208"/>
      <c r="N101" s="94"/>
      <c r="O101" s="94" t="s">
        <v>243</v>
      </c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4.5" customHeight="1" x14ac:dyDescent="0.2">
      <c r="A102" s="94"/>
      <c r="B102" s="94"/>
      <c r="C102" s="192"/>
      <c r="D102" s="166"/>
      <c r="E102" s="195"/>
      <c r="F102" s="166"/>
      <c r="G102" s="166"/>
      <c r="H102" s="166"/>
      <c r="I102" s="166"/>
      <c r="J102" s="203"/>
      <c r="K102" s="195"/>
      <c r="L102" s="166"/>
      <c r="M102" s="175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4.5" customHeight="1" x14ac:dyDescent="0.2">
      <c r="A103" s="94"/>
      <c r="B103" s="94"/>
      <c r="C103" s="190"/>
      <c r="D103" s="151"/>
      <c r="E103" s="151"/>
      <c r="F103" s="151"/>
      <c r="G103" s="151"/>
      <c r="H103" s="151"/>
      <c r="I103" s="151"/>
      <c r="J103" s="151"/>
      <c r="K103" s="151"/>
      <c r="L103" s="151"/>
      <c r="M103" s="160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200" t="s">
        <v>225</v>
      </c>
      <c r="D104" s="151"/>
      <c r="E104" s="151"/>
      <c r="F104" s="151"/>
      <c r="G104" s="151"/>
      <c r="H104" s="151"/>
      <c r="I104" s="152"/>
      <c r="J104" s="108">
        <f t="shared" ref="J104:M104" si="8">SUM(J91:J101)</f>
        <v>43</v>
      </c>
      <c r="K104" s="120">
        <f t="shared" si="8"/>
        <v>24</v>
      </c>
      <c r="L104" s="108">
        <f t="shared" si="8"/>
        <v>6</v>
      </c>
      <c r="M104" s="109">
        <f t="shared" si="8"/>
        <v>2</v>
      </c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4.5" customHeight="1" x14ac:dyDescent="0.2">
      <c r="A105" s="94"/>
      <c r="B105" s="94"/>
      <c r="C105" s="190"/>
      <c r="D105" s="151"/>
      <c r="E105" s="151"/>
      <c r="F105" s="151"/>
      <c r="G105" s="151"/>
      <c r="H105" s="151"/>
      <c r="I105" s="151"/>
      <c r="J105" s="151"/>
      <c r="K105" s="151"/>
      <c r="L105" s="151"/>
      <c r="M105" s="160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189" t="s">
        <v>226</v>
      </c>
      <c r="D106" s="151"/>
      <c r="E106" s="151"/>
      <c r="F106" s="151"/>
      <c r="G106" s="151"/>
      <c r="H106" s="151"/>
      <c r="I106" s="152"/>
      <c r="J106" s="112">
        <f t="shared" ref="J106:M106" si="9">J104+J89</f>
        <v>81</v>
      </c>
      <c r="K106" s="113">
        <f t="shared" si="9"/>
        <v>61</v>
      </c>
      <c r="L106" s="114">
        <f t="shared" si="9"/>
        <v>11</v>
      </c>
      <c r="M106" s="115">
        <f t="shared" si="9"/>
        <v>5</v>
      </c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5.25" customHeight="1" x14ac:dyDescent="0.2">
      <c r="A107" s="94"/>
      <c r="B107" s="94"/>
      <c r="C107" s="215"/>
      <c r="D107" s="154"/>
      <c r="E107" s="154"/>
      <c r="F107" s="154"/>
      <c r="G107" s="154"/>
      <c r="H107" s="154"/>
      <c r="I107" s="154"/>
      <c r="J107" s="154"/>
      <c r="K107" s="154"/>
      <c r="L107" s="154"/>
      <c r="M107" s="155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 t="s">
        <v>243</v>
      </c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 t="s">
        <v>243</v>
      </c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2.75" customHeight="1" x14ac:dyDescent="0.2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2.75" customHeight="1" x14ac:dyDescent="0.2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2.75" customHeight="1" x14ac:dyDescent="0.2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2.75" customHeight="1" x14ac:dyDescent="0.2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2.75" customHeight="1" x14ac:dyDescent="0.2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spans="1:26" ht="12.75" customHeight="1" x14ac:dyDescent="0.2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spans="1:26" ht="12.75" customHeight="1" x14ac:dyDescent="0.2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spans="1:26" ht="12.75" customHeight="1" x14ac:dyDescent="0.2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 spans="1:26" ht="12.75" customHeight="1" x14ac:dyDescent="0.2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 spans="1:26" ht="12.75" customHeight="1" x14ac:dyDescent="0.2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  <row r="1003" spans="1:26" ht="12.75" customHeight="1" x14ac:dyDescent="0.2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</row>
    <row r="1004" spans="1:26" ht="12.75" customHeight="1" x14ac:dyDescent="0.2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</row>
  </sheetData>
  <mergeCells count="276">
    <mergeCell ref="I64:I65"/>
    <mergeCell ref="L64:L65"/>
    <mergeCell ref="G61:G62"/>
    <mergeCell ref="H61:H62"/>
    <mergeCell ref="C63:M63"/>
    <mergeCell ref="C64:C65"/>
    <mergeCell ref="D64:D65"/>
    <mergeCell ref="E64:E65"/>
    <mergeCell ref="F64:F65"/>
    <mergeCell ref="M64:M65"/>
    <mergeCell ref="C52:M52"/>
    <mergeCell ref="C50:C51"/>
    <mergeCell ref="C53:C54"/>
    <mergeCell ref="D53:D54"/>
    <mergeCell ref="E53:E54"/>
    <mergeCell ref="F53:F54"/>
    <mergeCell ref="G53:G54"/>
    <mergeCell ref="H53:H54"/>
    <mergeCell ref="I61:I62"/>
    <mergeCell ref="L61:L62"/>
    <mergeCell ref="F58:F59"/>
    <mergeCell ref="G58:G59"/>
    <mergeCell ref="C60:M60"/>
    <mergeCell ref="C61:C62"/>
    <mergeCell ref="D61:D62"/>
    <mergeCell ref="E61:E62"/>
    <mergeCell ref="F61:F62"/>
    <mergeCell ref="M61:M62"/>
    <mergeCell ref="C36:M36"/>
    <mergeCell ref="C37:I37"/>
    <mergeCell ref="C38:M38"/>
    <mergeCell ref="C39:I39"/>
    <mergeCell ref="C40:M40"/>
    <mergeCell ref="C41:M42"/>
    <mergeCell ref="D50:D51"/>
    <mergeCell ref="E50:E51"/>
    <mergeCell ref="F50:F51"/>
    <mergeCell ref="G50:G51"/>
    <mergeCell ref="H50:H51"/>
    <mergeCell ref="I50:I51"/>
    <mergeCell ref="C27:M27"/>
    <mergeCell ref="H28:H29"/>
    <mergeCell ref="I28:I29"/>
    <mergeCell ref="L28:L29"/>
    <mergeCell ref="M28:M29"/>
    <mergeCell ref="C30:M30"/>
    <mergeCell ref="F25:F26"/>
    <mergeCell ref="G25:G26"/>
    <mergeCell ref="C28:C29"/>
    <mergeCell ref="D28:D29"/>
    <mergeCell ref="E28:E29"/>
    <mergeCell ref="F28:F29"/>
    <mergeCell ref="G28:G29"/>
    <mergeCell ref="H25:H26"/>
    <mergeCell ref="I25:I26"/>
    <mergeCell ref="L25:L26"/>
    <mergeCell ref="M25:M26"/>
    <mergeCell ref="I20:I21"/>
    <mergeCell ref="C22:M22"/>
    <mergeCell ref="C23:I23"/>
    <mergeCell ref="C24:M24"/>
    <mergeCell ref="C25:C26"/>
    <mergeCell ref="D25:D26"/>
    <mergeCell ref="E25:E26"/>
    <mergeCell ref="D31:D32"/>
    <mergeCell ref="E31:E32"/>
    <mergeCell ref="F31:F32"/>
    <mergeCell ref="G31:G32"/>
    <mergeCell ref="H31:H32"/>
    <mergeCell ref="I31:I32"/>
    <mergeCell ref="C33:M33"/>
    <mergeCell ref="C31:C32"/>
    <mergeCell ref="C34:C35"/>
    <mergeCell ref="D34:D35"/>
    <mergeCell ref="E34:E35"/>
    <mergeCell ref="F34:F35"/>
    <mergeCell ref="G34:G35"/>
    <mergeCell ref="H34:H35"/>
    <mergeCell ref="L31:L32"/>
    <mergeCell ref="M31:M32"/>
    <mergeCell ref="L34:L35"/>
    <mergeCell ref="M34:M35"/>
    <mergeCell ref="I34:I35"/>
    <mergeCell ref="L20:L21"/>
    <mergeCell ref="M20:M21"/>
    <mergeCell ref="D14:D15"/>
    <mergeCell ref="E14:E15"/>
    <mergeCell ref="F14:F15"/>
    <mergeCell ref="G14:G15"/>
    <mergeCell ref="H14:H15"/>
    <mergeCell ref="I14:I15"/>
    <mergeCell ref="C16:M16"/>
    <mergeCell ref="C14:C15"/>
    <mergeCell ref="D17:D18"/>
    <mergeCell ref="E17:E18"/>
    <mergeCell ref="F17:F18"/>
    <mergeCell ref="G17:G18"/>
    <mergeCell ref="H17:H18"/>
    <mergeCell ref="I17:I18"/>
    <mergeCell ref="C17:C18"/>
    <mergeCell ref="C20:C21"/>
    <mergeCell ref="D20:D21"/>
    <mergeCell ref="E20:E21"/>
    <mergeCell ref="F20:F21"/>
    <mergeCell ref="G20:G21"/>
    <mergeCell ref="H20:H21"/>
    <mergeCell ref="C106:I106"/>
    <mergeCell ref="C107:M107"/>
    <mergeCell ref="C1:M3"/>
    <mergeCell ref="C5:M5"/>
    <mergeCell ref="C6:M7"/>
    <mergeCell ref="C8:M9"/>
    <mergeCell ref="H10:I10"/>
    <mergeCell ref="J10:K10"/>
    <mergeCell ref="L10:M10"/>
    <mergeCell ref="I11:I12"/>
    <mergeCell ref="L11:L12"/>
    <mergeCell ref="M11:M12"/>
    <mergeCell ref="C13:M13"/>
    <mergeCell ref="E10:F10"/>
    <mergeCell ref="C11:C12"/>
    <mergeCell ref="D11:D12"/>
    <mergeCell ref="E11:E12"/>
    <mergeCell ref="F11:F12"/>
    <mergeCell ref="G11:G12"/>
    <mergeCell ref="H11:H12"/>
    <mergeCell ref="L14:L15"/>
    <mergeCell ref="M14:M15"/>
    <mergeCell ref="L17:L18"/>
    <mergeCell ref="M17:M18"/>
    <mergeCell ref="C79:M79"/>
    <mergeCell ref="I83:I84"/>
    <mergeCell ref="L83:L84"/>
    <mergeCell ref="M83:M84"/>
    <mergeCell ref="G100:G102"/>
    <mergeCell ref="H100:H102"/>
    <mergeCell ref="C103:M103"/>
    <mergeCell ref="C104:I104"/>
    <mergeCell ref="C105:M105"/>
    <mergeCell ref="L80:L81"/>
    <mergeCell ref="M80:M81"/>
    <mergeCell ref="D80:D81"/>
    <mergeCell ref="E80:E81"/>
    <mergeCell ref="F80:F81"/>
    <mergeCell ref="G80:G81"/>
    <mergeCell ref="H80:H81"/>
    <mergeCell ref="I80:I81"/>
    <mergeCell ref="C82:M82"/>
    <mergeCell ref="J76:K76"/>
    <mergeCell ref="C69:M69"/>
    <mergeCell ref="C70:I70"/>
    <mergeCell ref="C71:M71"/>
    <mergeCell ref="C72:I72"/>
    <mergeCell ref="C73:M73"/>
    <mergeCell ref="C74:M75"/>
    <mergeCell ref="L76:M76"/>
    <mergeCell ref="I77:I78"/>
    <mergeCell ref="L77:L78"/>
    <mergeCell ref="M77:M78"/>
    <mergeCell ref="I100:I102"/>
    <mergeCell ref="L100:L102"/>
    <mergeCell ref="J101:J102"/>
    <mergeCell ref="K101:K102"/>
    <mergeCell ref="G97:G98"/>
    <mergeCell ref="H97:H98"/>
    <mergeCell ref="C99:M99"/>
    <mergeCell ref="C100:C102"/>
    <mergeCell ref="D100:D102"/>
    <mergeCell ref="E100:E102"/>
    <mergeCell ref="F100:F102"/>
    <mergeCell ref="M100:M102"/>
    <mergeCell ref="I97:I98"/>
    <mergeCell ref="L97:L98"/>
    <mergeCell ref="G94:G95"/>
    <mergeCell ref="H94:H95"/>
    <mergeCell ref="C96:M96"/>
    <mergeCell ref="C97:C98"/>
    <mergeCell ref="D97:D98"/>
    <mergeCell ref="E97:E98"/>
    <mergeCell ref="F97:F98"/>
    <mergeCell ref="M97:M98"/>
    <mergeCell ref="I94:I95"/>
    <mergeCell ref="L94:L95"/>
    <mergeCell ref="G91:G92"/>
    <mergeCell ref="H91:H92"/>
    <mergeCell ref="C93:M93"/>
    <mergeCell ref="C94:C95"/>
    <mergeCell ref="D94:D95"/>
    <mergeCell ref="E94:E95"/>
    <mergeCell ref="F94:F95"/>
    <mergeCell ref="M94:M95"/>
    <mergeCell ref="I91:I92"/>
    <mergeCell ref="L91:L92"/>
    <mergeCell ref="C88:M88"/>
    <mergeCell ref="C89:I89"/>
    <mergeCell ref="C90:M90"/>
    <mergeCell ref="C91:C92"/>
    <mergeCell ref="D91:D92"/>
    <mergeCell ref="E91:E92"/>
    <mergeCell ref="F91:F92"/>
    <mergeCell ref="M91:M92"/>
    <mergeCell ref="C80:C81"/>
    <mergeCell ref="C83:C84"/>
    <mergeCell ref="D83:D84"/>
    <mergeCell ref="E83:E84"/>
    <mergeCell ref="F83:F84"/>
    <mergeCell ref="G83:G84"/>
    <mergeCell ref="H83:H84"/>
    <mergeCell ref="L86:L87"/>
    <mergeCell ref="M86:M87"/>
    <mergeCell ref="C86:C87"/>
    <mergeCell ref="D86:D87"/>
    <mergeCell ref="E86:E87"/>
    <mergeCell ref="F86:F87"/>
    <mergeCell ref="G86:G87"/>
    <mergeCell ref="H86:H87"/>
    <mergeCell ref="I86:I87"/>
    <mergeCell ref="L50:L51"/>
    <mergeCell ref="M50:M51"/>
    <mergeCell ref="L53:L54"/>
    <mergeCell ref="M53:M54"/>
    <mergeCell ref="G67:G68"/>
    <mergeCell ref="H67:H68"/>
    <mergeCell ref="M67:M68"/>
    <mergeCell ref="E76:F76"/>
    <mergeCell ref="C77:C78"/>
    <mergeCell ref="D77:D78"/>
    <mergeCell ref="E77:E78"/>
    <mergeCell ref="F77:F78"/>
    <mergeCell ref="G77:G78"/>
    <mergeCell ref="H77:H78"/>
    <mergeCell ref="I67:I68"/>
    <mergeCell ref="L67:L68"/>
    <mergeCell ref="G64:G65"/>
    <mergeCell ref="H64:H65"/>
    <mergeCell ref="C66:M66"/>
    <mergeCell ref="C67:C68"/>
    <mergeCell ref="D67:D68"/>
    <mergeCell ref="E67:E68"/>
    <mergeCell ref="F67:F68"/>
    <mergeCell ref="H76:I76"/>
    <mergeCell ref="C46:M46"/>
    <mergeCell ref="H47:H48"/>
    <mergeCell ref="I47:I48"/>
    <mergeCell ref="L47:L48"/>
    <mergeCell ref="M47:M48"/>
    <mergeCell ref="C49:M49"/>
    <mergeCell ref="F44:F45"/>
    <mergeCell ref="G44:G45"/>
    <mergeCell ref="C47:C48"/>
    <mergeCell ref="D47:D48"/>
    <mergeCell ref="E47:E48"/>
    <mergeCell ref="F47:F48"/>
    <mergeCell ref="G47:G48"/>
    <mergeCell ref="H44:H45"/>
    <mergeCell ref="I44:I45"/>
    <mergeCell ref="L44:L45"/>
    <mergeCell ref="M44:M45"/>
    <mergeCell ref="E43:F43"/>
    <mergeCell ref="H43:I43"/>
    <mergeCell ref="J43:K43"/>
    <mergeCell ref="L43:M43"/>
    <mergeCell ref="C44:C45"/>
    <mergeCell ref="D44:D45"/>
    <mergeCell ref="E44:E45"/>
    <mergeCell ref="H58:H59"/>
    <mergeCell ref="I58:I59"/>
    <mergeCell ref="L58:L59"/>
    <mergeCell ref="M58:M59"/>
    <mergeCell ref="I53:I54"/>
    <mergeCell ref="C55:M55"/>
    <mergeCell ref="C56:I56"/>
    <mergeCell ref="C57:M57"/>
    <mergeCell ref="C58:C59"/>
    <mergeCell ref="D58:D59"/>
    <mergeCell ref="E58:E59"/>
  </mergeCells>
  <pageMargins left="0.23622047244094491" right="0.23622047244094491" top="0.19685039370078741" bottom="0.19685039370078741" header="0.31496062992125984" footer="0.31496062992125984"/>
  <pageSetup scale="7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topLeftCell="B89" workbookViewId="0">
      <selection activeCell="C26" sqref="C26:C28"/>
    </sheetView>
  </sheetViews>
  <sheetFormatPr defaultColWidth="14.42578125" defaultRowHeight="15" customHeight="1" x14ac:dyDescent="0.2"/>
  <cols>
    <col min="1" max="1" width="2.7109375" hidden="1" customWidth="1"/>
    <col min="2" max="2" width="6.5703125" customWidth="1"/>
    <col min="3" max="3" width="9" customWidth="1"/>
    <col min="4" max="4" width="8.28515625" customWidth="1"/>
    <col min="5" max="5" width="17.85546875" customWidth="1"/>
    <col min="6" max="6" width="16.28515625" customWidth="1"/>
    <col min="7" max="7" width="4.85546875" customWidth="1"/>
    <col min="8" max="8" width="18.7109375" customWidth="1"/>
    <col min="9" max="9" width="18.140625" customWidth="1"/>
    <col min="10" max="13" width="5.7109375" customWidth="1"/>
    <col min="14" max="18" width="9.140625" customWidth="1"/>
    <col min="19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3" customHeight="1" x14ac:dyDescent="0.2">
      <c r="A2" s="94"/>
      <c r="B2" s="9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3" customHeight="1" x14ac:dyDescent="0.2">
      <c r="A3" s="94"/>
      <c r="B3" s="94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8.75" customHeight="1" x14ac:dyDescent="0.2">
      <c r="A4" s="94"/>
      <c r="B4" s="94"/>
      <c r="C4" s="218" t="s">
        <v>244</v>
      </c>
      <c r="D4" s="151"/>
      <c r="E4" s="151"/>
      <c r="F4" s="151"/>
      <c r="G4" s="151"/>
      <c r="H4" s="151"/>
      <c r="I4" s="151"/>
      <c r="J4" s="151"/>
      <c r="K4" s="151"/>
      <c r="L4" s="151"/>
      <c r="M4" s="152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4.5" customHeight="1" x14ac:dyDescent="0.2">
      <c r="A5" s="94"/>
      <c r="B5" s="94"/>
      <c r="C5" s="231"/>
      <c r="D5" s="210"/>
      <c r="E5" s="210"/>
      <c r="F5" s="210"/>
      <c r="G5" s="210"/>
      <c r="H5" s="210"/>
      <c r="I5" s="210"/>
      <c r="J5" s="210"/>
      <c r="K5" s="210"/>
      <c r="L5" s="210"/>
      <c r="M5" s="228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4.5" customHeight="1" x14ac:dyDescent="0.2">
      <c r="A6" s="94"/>
      <c r="B6" s="94"/>
      <c r="C6" s="199"/>
      <c r="D6" s="213"/>
      <c r="E6" s="213"/>
      <c r="F6" s="213"/>
      <c r="G6" s="213"/>
      <c r="H6" s="213"/>
      <c r="I6" s="213"/>
      <c r="J6" s="213"/>
      <c r="K6" s="213"/>
      <c r="L6" s="213"/>
      <c r="M6" s="195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9" customHeight="1" x14ac:dyDescent="0.2">
      <c r="A7" s="94"/>
      <c r="B7" s="94"/>
      <c r="C7" s="227" t="s">
        <v>201</v>
      </c>
      <c r="D7" s="210"/>
      <c r="E7" s="210"/>
      <c r="F7" s="210"/>
      <c r="G7" s="210"/>
      <c r="H7" s="210"/>
      <c r="I7" s="210"/>
      <c r="J7" s="210"/>
      <c r="K7" s="210"/>
      <c r="L7" s="210"/>
      <c r="M7" s="22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6.75" customHeight="1" x14ac:dyDescent="0.2">
      <c r="A8" s="94"/>
      <c r="B8" s="94"/>
      <c r="C8" s="199"/>
      <c r="D8" s="213"/>
      <c r="E8" s="213"/>
      <c r="F8" s="213"/>
      <c r="G8" s="213"/>
      <c r="H8" s="213"/>
      <c r="I8" s="213"/>
      <c r="J8" s="213"/>
      <c r="K8" s="213"/>
      <c r="L8" s="213"/>
      <c r="M8" s="195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4.25" customHeight="1" x14ac:dyDescent="0.2">
      <c r="A9" s="94"/>
      <c r="B9" s="94"/>
      <c r="C9" s="98" t="s">
        <v>202</v>
      </c>
      <c r="D9" s="98" t="s">
        <v>203</v>
      </c>
      <c r="E9" s="196" t="s">
        <v>228</v>
      </c>
      <c r="F9" s="152"/>
      <c r="G9" s="98"/>
      <c r="H9" s="196" t="s">
        <v>237</v>
      </c>
      <c r="I9" s="152"/>
      <c r="J9" s="196" t="s">
        <v>207</v>
      </c>
      <c r="K9" s="152"/>
      <c r="L9" s="196" t="s">
        <v>208</v>
      </c>
      <c r="M9" s="152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3.5" customHeight="1" x14ac:dyDescent="0.2">
      <c r="A10" s="94"/>
      <c r="B10" s="94"/>
      <c r="C10" s="221" t="s">
        <v>209</v>
      </c>
      <c r="D10" s="193" t="s">
        <v>223</v>
      </c>
      <c r="E10" s="184" t="s">
        <v>67</v>
      </c>
      <c r="F10" s="184" t="s">
        <v>133</v>
      </c>
      <c r="G10" s="197" t="s">
        <v>205</v>
      </c>
      <c r="H10" s="184" t="s">
        <v>83</v>
      </c>
      <c r="I10" s="184" t="s">
        <v>135</v>
      </c>
      <c r="J10" s="126">
        <v>6</v>
      </c>
      <c r="K10" s="126">
        <v>7</v>
      </c>
      <c r="L10" s="184">
        <f>IF(J10&gt;K10,1,0) + IF(J11&gt;K11,1,0)</f>
        <v>0</v>
      </c>
      <c r="M10" s="185">
        <f>IF(J10&lt;K10,1,0) + IF(J11&lt;K11,1,0)</f>
        <v>2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2.75" customHeight="1" x14ac:dyDescent="0.2">
      <c r="A11" s="94"/>
      <c r="B11" s="94"/>
      <c r="C11" s="166"/>
      <c r="D11" s="166"/>
      <c r="E11" s="166"/>
      <c r="F11" s="166"/>
      <c r="G11" s="166"/>
      <c r="H11" s="166"/>
      <c r="I11" s="166"/>
      <c r="J11" s="126">
        <v>2</v>
      </c>
      <c r="K11" s="126">
        <v>6</v>
      </c>
      <c r="L11" s="166"/>
      <c r="M11" s="175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4.5" customHeight="1" x14ac:dyDescent="0.2">
      <c r="A12" s="94"/>
      <c r="B12" s="94"/>
      <c r="C12" s="222"/>
      <c r="D12" s="151"/>
      <c r="E12" s="151"/>
      <c r="F12" s="151"/>
      <c r="G12" s="151"/>
      <c r="H12" s="151"/>
      <c r="I12" s="151"/>
      <c r="J12" s="151"/>
      <c r="K12" s="151"/>
      <c r="L12" s="151"/>
      <c r="M12" s="152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.75" customHeight="1" x14ac:dyDescent="0.2">
      <c r="A13" s="94"/>
      <c r="B13" s="94"/>
      <c r="C13" s="221" t="s">
        <v>211</v>
      </c>
      <c r="D13" s="193" t="s">
        <v>214</v>
      </c>
      <c r="E13" s="184" t="s">
        <v>39</v>
      </c>
      <c r="F13" s="184" t="s">
        <v>53</v>
      </c>
      <c r="G13" s="197" t="s">
        <v>205</v>
      </c>
      <c r="H13" s="183" t="s">
        <v>41</v>
      </c>
      <c r="I13" s="184" t="s">
        <v>48</v>
      </c>
      <c r="J13" s="126">
        <v>3</v>
      </c>
      <c r="K13" s="126">
        <v>6</v>
      </c>
      <c r="L13" s="184">
        <f>IF(J13&gt;K13,1,0) + IF(J14&gt;K14,1,0)</f>
        <v>0</v>
      </c>
      <c r="M13" s="184">
        <f>IF(J13&lt;K13,1,0) + IF(J14&lt;K14,1,0)</f>
        <v>2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.75" customHeight="1" x14ac:dyDescent="0.2">
      <c r="A14" s="94"/>
      <c r="B14" s="94"/>
      <c r="C14" s="166"/>
      <c r="D14" s="166"/>
      <c r="E14" s="166"/>
      <c r="F14" s="166"/>
      <c r="G14" s="166"/>
      <c r="H14" s="166"/>
      <c r="I14" s="166"/>
      <c r="J14" s="126">
        <v>4</v>
      </c>
      <c r="K14" s="126">
        <v>6</v>
      </c>
      <c r="L14" s="166"/>
      <c r="M14" s="166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4.5" customHeight="1" x14ac:dyDescent="0.2">
      <c r="A15" s="94"/>
      <c r="B15" s="94"/>
      <c r="C15" s="222"/>
      <c r="D15" s="151"/>
      <c r="E15" s="151"/>
      <c r="F15" s="151"/>
      <c r="G15" s="151"/>
      <c r="H15" s="151"/>
      <c r="I15" s="151"/>
      <c r="J15" s="151"/>
      <c r="K15" s="151"/>
      <c r="L15" s="151"/>
      <c r="M15" s="152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.75" customHeight="1" x14ac:dyDescent="0.2">
      <c r="A16" s="94"/>
      <c r="B16" s="94"/>
      <c r="C16" s="221" t="s">
        <v>213</v>
      </c>
      <c r="D16" s="193" t="s">
        <v>245</v>
      </c>
      <c r="E16" s="184" t="s">
        <v>18</v>
      </c>
      <c r="F16" s="184" t="s">
        <v>25</v>
      </c>
      <c r="G16" s="197" t="s">
        <v>205</v>
      </c>
      <c r="H16" s="184" t="s">
        <v>27</v>
      </c>
      <c r="I16" s="184" t="s">
        <v>34</v>
      </c>
      <c r="J16" s="126">
        <v>4</v>
      </c>
      <c r="K16" s="126">
        <v>6</v>
      </c>
      <c r="L16" s="184">
        <f>(IF(J16&gt;K16,1,0)+IF(J17&gt;K17,1,0))</f>
        <v>1</v>
      </c>
      <c r="M16" s="185">
        <f>(IF(J16&lt;K16,1,0)+IF(J17&lt;K17,1,0))</f>
        <v>1</v>
      </c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.75" customHeight="1" x14ac:dyDescent="0.2">
      <c r="A17" s="94"/>
      <c r="B17" s="94"/>
      <c r="C17" s="166"/>
      <c r="D17" s="166"/>
      <c r="E17" s="166"/>
      <c r="F17" s="166"/>
      <c r="G17" s="166"/>
      <c r="H17" s="166"/>
      <c r="I17" s="166"/>
      <c r="J17" s="126">
        <v>6</v>
      </c>
      <c r="K17" s="126">
        <v>4</v>
      </c>
      <c r="L17" s="166"/>
      <c r="M17" s="175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4.5" customHeight="1" x14ac:dyDescent="0.2">
      <c r="A18" s="94"/>
      <c r="B18" s="94"/>
      <c r="C18" s="222"/>
      <c r="D18" s="151"/>
      <c r="E18" s="151"/>
      <c r="F18" s="151"/>
      <c r="G18" s="151"/>
      <c r="H18" s="151"/>
      <c r="I18" s="151"/>
      <c r="J18" s="151"/>
      <c r="K18" s="151"/>
      <c r="L18" s="151"/>
      <c r="M18" s="152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.75" customHeight="1" x14ac:dyDescent="0.2">
      <c r="A19" s="94"/>
      <c r="B19" s="94"/>
      <c r="C19" s="221" t="s">
        <v>209</v>
      </c>
      <c r="D19" s="206" t="s">
        <v>212</v>
      </c>
      <c r="E19" s="184" t="s">
        <v>10</v>
      </c>
      <c r="F19" s="184" t="s">
        <v>74</v>
      </c>
      <c r="G19" s="197" t="s">
        <v>205</v>
      </c>
      <c r="H19" s="184" t="s">
        <v>62</v>
      </c>
      <c r="I19" s="184" t="s">
        <v>76</v>
      </c>
      <c r="J19" s="126">
        <v>6</v>
      </c>
      <c r="K19" s="126">
        <v>3</v>
      </c>
      <c r="L19" s="184">
        <f>(IF(J19&gt;K19,1,0)+IF(J20&gt;K20,1,0))</f>
        <v>1</v>
      </c>
      <c r="M19" s="185">
        <f>(IF(J19&lt;K19,1,0)+IF(J20&lt;K20,1,0))</f>
        <v>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2.75" customHeight="1" x14ac:dyDescent="0.2">
      <c r="A20" s="94"/>
      <c r="B20" s="94"/>
      <c r="C20" s="166"/>
      <c r="D20" s="166"/>
      <c r="E20" s="166"/>
      <c r="F20" s="166"/>
      <c r="G20" s="166"/>
      <c r="H20" s="166"/>
      <c r="I20" s="166"/>
      <c r="J20" s="126">
        <v>3</v>
      </c>
      <c r="K20" s="126">
        <v>6</v>
      </c>
      <c r="L20" s="166"/>
      <c r="M20" s="175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4.5" customHeight="1" x14ac:dyDescent="0.2">
      <c r="A21" s="94"/>
      <c r="B21" s="94"/>
      <c r="C21" s="222"/>
      <c r="D21" s="151"/>
      <c r="E21" s="151"/>
      <c r="F21" s="151"/>
      <c r="G21" s="151"/>
      <c r="H21" s="151"/>
      <c r="I21" s="151"/>
      <c r="J21" s="151"/>
      <c r="K21" s="151"/>
      <c r="L21" s="151"/>
      <c r="M21" s="152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2.75" customHeight="1" x14ac:dyDescent="0.2">
      <c r="A22" s="94"/>
      <c r="B22" s="94"/>
      <c r="C22" s="223" t="s">
        <v>246</v>
      </c>
      <c r="D22" s="151"/>
      <c r="E22" s="151"/>
      <c r="F22" s="151"/>
      <c r="G22" s="151"/>
      <c r="H22" s="151"/>
      <c r="I22" s="152"/>
      <c r="J22" s="127">
        <f t="shared" ref="J22:M22" si="0">SUM(J10:J20)</f>
        <v>34</v>
      </c>
      <c r="K22" s="127">
        <f t="shared" si="0"/>
        <v>44</v>
      </c>
      <c r="L22" s="127">
        <f t="shared" si="0"/>
        <v>2</v>
      </c>
      <c r="M22" s="127">
        <f t="shared" si="0"/>
        <v>6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4.5" customHeight="1" x14ac:dyDescent="0.2">
      <c r="A23" s="94"/>
      <c r="B23" s="94"/>
      <c r="C23" s="222"/>
      <c r="D23" s="151"/>
      <c r="E23" s="151"/>
      <c r="F23" s="151"/>
      <c r="G23" s="151"/>
      <c r="H23" s="151"/>
      <c r="I23" s="151"/>
      <c r="J23" s="151"/>
      <c r="K23" s="151"/>
      <c r="L23" s="151"/>
      <c r="M23" s="152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.75" customHeight="1" x14ac:dyDescent="0.2">
      <c r="A24" s="94"/>
      <c r="B24" s="94"/>
      <c r="C24" s="221" t="s">
        <v>209</v>
      </c>
      <c r="D24" s="193" t="s">
        <v>217</v>
      </c>
      <c r="E24" s="184" t="s">
        <v>88</v>
      </c>
      <c r="F24" s="184" t="s">
        <v>102</v>
      </c>
      <c r="G24" s="197" t="s">
        <v>205</v>
      </c>
      <c r="H24" s="184" t="s">
        <v>90</v>
      </c>
      <c r="I24" s="184" t="s">
        <v>97</v>
      </c>
      <c r="J24" s="126">
        <v>6</v>
      </c>
      <c r="K24" s="126">
        <v>2</v>
      </c>
      <c r="L24" s="184">
        <f>(IF(J24&gt;K24,1,0)+IF(J25&gt;K25,1,0))</f>
        <v>2</v>
      </c>
      <c r="M24" s="185">
        <f>(IF(J24&lt;K24,1,0)+IF(J25&lt;K25,1,0))</f>
        <v>0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.75" customHeight="1" x14ac:dyDescent="0.2">
      <c r="A25" s="94"/>
      <c r="B25" s="94"/>
      <c r="C25" s="166"/>
      <c r="D25" s="166"/>
      <c r="E25" s="166"/>
      <c r="F25" s="166"/>
      <c r="G25" s="166"/>
      <c r="H25" s="166"/>
      <c r="I25" s="166"/>
      <c r="J25" s="126">
        <v>6</v>
      </c>
      <c r="K25" s="126">
        <v>0</v>
      </c>
      <c r="L25" s="166"/>
      <c r="M25" s="175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4.5" customHeight="1" x14ac:dyDescent="0.2">
      <c r="A26" s="94"/>
      <c r="B26" s="94"/>
      <c r="C26" s="221" t="s">
        <v>211</v>
      </c>
      <c r="D26" s="105"/>
      <c r="E26" s="105"/>
      <c r="F26" s="105"/>
      <c r="G26" s="105"/>
      <c r="H26" s="105"/>
      <c r="I26" s="105"/>
      <c r="J26" s="105"/>
      <c r="K26" s="105"/>
      <c r="L26" s="105"/>
      <c r="M26" s="128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.75" customHeight="1" x14ac:dyDescent="0.2">
      <c r="A27" s="96"/>
      <c r="B27" s="94"/>
      <c r="C27" s="201"/>
      <c r="D27" s="193" t="s">
        <v>215</v>
      </c>
      <c r="E27" s="184" t="s">
        <v>127</v>
      </c>
      <c r="F27" s="184" t="s">
        <v>146</v>
      </c>
      <c r="G27" s="197" t="s">
        <v>205</v>
      </c>
      <c r="H27" s="184" t="s">
        <v>129</v>
      </c>
      <c r="I27" s="184" t="s">
        <v>12</v>
      </c>
      <c r="J27" s="126">
        <v>3</v>
      </c>
      <c r="K27" s="126">
        <v>6</v>
      </c>
      <c r="L27" s="184">
        <f>(IF(J27&gt;K27,1,0)+IF(J28&gt;K28,1,0))</f>
        <v>0</v>
      </c>
      <c r="M27" s="185">
        <f>(IF(J27&lt;K27,1,0)+IF(J28&lt;K28,1,0))</f>
        <v>2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.75" customHeight="1" x14ac:dyDescent="0.2">
      <c r="A28" s="96"/>
      <c r="B28" s="94"/>
      <c r="C28" s="166"/>
      <c r="D28" s="166"/>
      <c r="E28" s="166"/>
      <c r="F28" s="166"/>
      <c r="G28" s="166"/>
      <c r="H28" s="166"/>
      <c r="I28" s="166"/>
      <c r="J28" s="126">
        <v>2</v>
      </c>
      <c r="K28" s="126">
        <v>6</v>
      </c>
      <c r="L28" s="166"/>
      <c r="M28" s="175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4.5" customHeight="1" x14ac:dyDescent="0.2">
      <c r="A29" s="94"/>
      <c r="B29" s="94"/>
      <c r="C29" s="222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221" t="s">
        <v>213</v>
      </c>
      <c r="D30" s="193" t="s">
        <v>220</v>
      </c>
      <c r="E30" s="184" t="s">
        <v>235</v>
      </c>
      <c r="F30" s="184" t="s">
        <v>121</v>
      </c>
      <c r="G30" s="197" t="s">
        <v>205</v>
      </c>
      <c r="H30" s="184" t="s">
        <v>111</v>
      </c>
      <c r="I30" s="184" t="s">
        <v>123</v>
      </c>
      <c r="J30" s="126">
        <v>6</v>
      </c>
      <c r="K30" s="126">
        <v>3</v>
      </c>
      <c r="L30" s="184">
        <f>(IF(J30&gt;K30,1,0)+IF(J31&gt;K31,1,0))</f>
        <v>2</v>
      </c>
      <c r="M30" s="185">
        <f>(IF(J30&lt;K30,1,0)+IF(J31&lt;K31,1,0))</f>
        <v>0</v>
      </c>
      <c r="N30" s="94"/>
      <c r="O30" s="94" t="s">
        <v>243</v>
      </c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66"/>
      <c r="D31" s="166"/>
      <c r="E31" s="166"/>
      <c r="F31" s="166"/>
      <c r="G31" s="166"/>
      <c r="H31" s="166"/>
      <c r="I31" s="166"/>
      <c r="J31" s="126">
        <v>6</v>
      </c>
      <c r="K31" s="126">
        <v>2</v>
      </c>
      <c r="L31" s="166"/>
      <c r="M31" s="175"/>
      <c r="N31" s="94"/>
      <c r="O31" s="94" t="s">
        <v>243</v>
      </c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4.5" customHeight="1" x14ac:dyDescent="0.2">
      <c r="A32" s="94"/>
      <c r="B32" s="94"/>
      <c r="C32" s="222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2.75" customHeight="1" x14ac:dyDescent="0.2">
      <c r="A33" s="94"/>
      <c r="B33" s="94"/>
      <c r="C33" s="221" t="s">
        <v>247</v>
      </c>
      <c r="D33" s="206" t="s">
        <v>210</v>
      </c>
      <c r="E33" s="184" t="s">
        <v>158</v>
      </c>
      <c r="F33" s="184" t="s">
        <v>164</v>
      </c>
      <c r="G33" s="197" t="s">
        <v>205</v>
      </c>
      <c r="H33" s="184" t="s">
        <v>160</v>
      </c>
      <c r="I33" s="184" t="s">
        <v>166</v>
      </c>
      <c r="J33" s="126">
        <v>6</v>
      </c>
      <c r="K33" s="126">
        <v>4</v>
      </c>
      <c r="L33" s="184">
        <f>(IF(J33&gt;K33,1,0)+IF(J34&gt;K34,1,0))</f>
        <v>1</v>
      </c>
      <c r="M33" s="185">
        <f>(IF(J33&lt;K33,1,0)+IF(J34&lt;K34,1,0))</f>
        <v>1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2.75" customHeight="1" x14ac:dyDescent="0.2">
      <c r="A34" s="94"/>
      <c r="B34" s="94"/>
      <c r="C34" s="166"/>
      <c r="D34" s="166"/>
      <c r="E34" s="166"/>
      <c r="F34" s="166"/>
      <c r="G34" s="166"/>
      <c r="H34" s="166"/>
      <c r="I34" s="166"/>
      <c r="J34" s="126">
        <v>1</v>
      </c>
      <c r="K34" s="126">
        <v>6</v>
      </c>
      <c r="L34" s="166"/>
      <c r="M34" s="175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4.5" customHeight="1" x14ac:dyDescent="0.2">
      <c r="A35" s="94"/>
      <c r="B35" s="94"/>
      <c r="C35" s="222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2.75" customHeight="1" x14ac:dyDescent="0.2">
      <c r="A36" s="94"/>
      <c r="B36" s="94"/>
      <c r="C36" s="223" t="s">
        <v>248</v>
      </c>
      <c r="D36" s="151"/>
      <c r="E36" s="151"/>
      <c r="F36" s="151"/>
      <c r="G36" s="151"/>
      <c r="H36" s="151"/>
      <c r="I36" s="152"/>
      <c r="J36" s="127">
        <f t="shared" ref="J36:M36" si="1">SUM(J24:J34)</f>
        <v>36</v>
      </c>
      <c r="K36" s="127">
        <f t="shared" si="1"/>
        <v>29</v>
      </c>
      <c r="L36" s="127">
        <f t="shared" si="1"/>
        <v>5</v>
      </c>
      <c r="M36" s="127">
        <f t="shared" si="1"/>
        <v>3</v>
      </c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4.5" customHeight="1" x14ac:dyDescent="0.2">
      <c r="A37" s="94"/>
      <c r="B37" s="94"/>
      <c r="C37" s="222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2.75" customHeight="1" x14ac:dyDescent="0.2">
      <c r="A38" s="94"/>
      <c r="B38" s="94"/>
      <c r="C38" s="224" t="s">
        <v>249</v>
      </c>
      <c r="D38" s="151"/>
      <c r="E38" s="151"/>
      <c r="F38" s="151"/>
      <c r="G38" s="151"/>
      <c r="H38" s="151"/>
      <c r="I38" s="152"/>
      <c r="J38" s="129">
        <f>J36+J22</f>
        <v>70</v>
      </c>
      <c r="K38" s="129">
        <f>K36+K22</f>
        <v>73</v>
      </c>
      <c r="L38" s="129">
        <f>L36+L22</f>
        <v>7</v>
      </c>
      <c r="M38" s="129">
        <f>M36+M22</f>
        <v>9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6.75" customHeight="1" x14ac:dyDescent="0.2">
      <c r="A39" s="94"/>
      <c r="B39" s="94"/>
      <c r="C39" s="222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7.5" customHeight="1" x14ac:dyDescent="0.2">
      <c r="A40" s="94"/>
      <c r="B40" s="94"/>
      <c r="C40" s="227" t="s">
        <v>227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28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8.25" customHeight="1" x14ac:dyDescent="0.2">
      <c r="A41" s="94"/>
      <c r="B41" s="94"/>
      <c r="C41" s="199"/>
      <c r="D41" s="213"/>
      <c r="E41" s="213"/>
      <c r="F41" s="213"/>
      <c r="G41" s="213"/>
      <c r="H41" s="213"/>
      <c r="I41" s="213"/>
      <c r="J41" s="213"/>
      <c r="K41" s="213"/>
      <c r="L41" s="213"/>
      <c r="M41" s="195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26.25" customHeight="1" x14ac:dyDescent="0.2">
      <c r="A42" s="94"/>
      <c r="B42" s="94"/>
      <c r="C42" s="98" t="s">
        <v>202</v>
      </c>
      <c r="D42" s="98" t="s">
        <v>203</v>
      </c>
      <c r="E42" s="196" t="s">
        <v>204</v>
      </c>
      <c r="F42" s="152"/>
      <c r="G42" s="98" t="s">
        <v>205</v>
      </c>
      <c r="H42" s="196" t="s">
        <v>238</v>
      </c>
      <c r="I42" s="152"/>
      <c r="J42" s="196" t="s">
        <v>207</v>
      </c>
      <c r="K42" s="152"/>
      <c r="L42" s="196" t="s">
        <v>208</v>
      </c>
      <c r="M42" s="152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221" t="s">
        <v>209</v>
      </c>
      <c r="D43" s="193" t="s">
        <v>220</v>
      </c>
      <c r="E43" s="183" t="s">
        <v>114</v>
      </c>
      <c r="F43" s="183" t="s">
        <v>120</v>
      </c>
      <c r="G43" s="197" t="s">
        <v>205</v>
      </c>
      <c r="H43" s="183" t="s">
        <v>113</v>
      </c>
      <c r="I43" s="183" t="s">
        <v>125</v>
      </c>
      <c r="J43" s="126">
        <v>7</v>
      </c>
      <c r="K43" s="126">
        <v>6</v>
      </c>
      <c r="L43" s="184">
        <f>(IF(J43&gt;K43,1,0)+IF(J44&gt;K44,1,0))</f>
        <v>2</v>
      </c>
      <c r="M43" s="185">
        <f>(IF(J43&lt;K43,1,0)+IF(J44&lt;K44,1,0))</f>
        <v>0</v>
      </c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166"/>
      <c r="D44" s="166"/>
      <c r="E44" s="166"/>
      <c r="F44" s="166"/>
      <c r="G44" s="166"/>
      <c r="H44" s="166"/>
      <c r="I44" s="166"/>
      <c r="J44" s="126">
        <v>6</v>
      </c>
      <c r="K44" s="126">
        <v>1</v>
      </c>
      <c r="L44" s="166"/>
      <c r="M44" s="175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4.5" customHeight="1" x14ac:dyDescent="0.2">
      <c r="A45" s="94"/>
      <c r="B45" s="94"/>
      <c r="C45" s="222"/>
      <c r="D45" s="151"/>
      <c r="E45" s="151"/>
      <c r="F45" s="151"/>
      <c r="G45" s="151"/>
      <c r="H45" s="151"/>
      <c r="I45" s="151"/>
      <c r="J45" s="151"/>
      <c r="K45" s="151"/>
      <c r="L45" s="151"/>
      <c r="M45" s="152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221" t="s">
        <v>211</v>
      </c>
      <c r="D46" s="193" t="s">
        <v>214</v>
      </c>
      <c r="E46" s="183" t="s">
        <v>38</v>
      </c>
      <c r="F46" s="183" t="s">
        <v>52</v>
      </c>
      <c r="G46" s="197" t="s">
        <v>205</v>
      </c>
      <c r="H46" s="183" t="s">
        <v>50</v>
      </c>
      <c r="I46" s="183" t="s">
        <v>250</v>
      </c>
      <c r="J46" s="126">
        <v>2</v>
      </c>
      <c r="K46" s="126">
        <v>6</v>
      </c>
      <c r="L46" s="184">
        <f>(IF(J46&gt;K46,1,0)+IF(J47&gt;K47,1,0))</f>
        <v>0</v>
      </c>
      <c r="M46" s="185">
        <f>(IF(J46&lt;K46,1,0)+IF(J47&lt;K47,1,0))</f>
        <v>2</v>
      </c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166"/>
      <c r="D47" s="166"/>
      <c r="E47" s="166"/>
      <c r="F47" s="166"/>
      <c r="G47" s="166"/>
      <c r="H47" s="166"/>
      <c r="I47" s="166"/>
      <c r="J47" s="126">
        <v>0</v>
      </c>
      <c r="K47" s="126">
        <v>6</v>
      </c>
      <c r="L47" s="166"/>
      <c r="M47" s="175"/>
      <c r="N47" s="130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4.5" customHeight="1" x14ac:dyDescent="0.2">
      <c r="A48" s="94"/>
      <c r="B48" s="94"/>
      <c r="C48" s="222"/>
      <c r="D48" s="151"/>
      <c r="E48" s="151"/>
      <c r="F48" s="151"/>
      <c r="G48" s="151"/>
      <c r="H48" s="151"/>
      <c r="I48" s="151"/>
      <c r="J48" s="151"/>
      <c r="K48" s="151"/>
      <c r="L48" s="151"/>
      <c r="M48" s="152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221" t="s">
        <v>213</v>
      </c>
      <c r="D49" s="193" t="s">
        <v>234</v>
      </c>
      <c r="E49" s="183" t="s">
        <v>17</v>
      </c>
      <c r="F49" s="183" t="s">
        <v>24</v>
      </c>
      <c r="G49" s="197" t="s">
        <v>205</v>
      </c>
      <c r="H49" s="183" t="s">
        <v>22</v>
      </c>
      <c r="I49" s="183" t="s">
        <v>36</v>
      </c>
      <c r="J49" s="126">
        <v>6</v>
      </c>
      <c r="K49" s="126">
        <v>4</v>
      </c>
      <c r="L49" s="184">
        <f>(IF(J49&gt;K49,1,0)+IF(J50&gt;K50,1,0))</f>
        <v>2</v>
      </c>
      <c r="M49" s="185">
        <f>(IF(J49&lt;K49,1,0)+IF(J50&lt;K50,1,0))</f>
        <v>0</v>
      </c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166"/>
      <c r="D50" s="166"/>
      <c r="E50" s="166"/>
      <c r="F50" s="166"/>
      <c r="G50" s="166"/>
      <c r="H50" s="166"/>
      <c r="I50" s="166"/>
      <c r="J50" s="126">
        <v>6</v>
      </c>
      <c r="K50" s="126">
        <v>4</v>
      </c>
      <c r="L50" s="166"/>
      <c r="M50" s="175"/>
      <c r="N50" s="94"/>
      <c r="O50" s="94" t="s">
        <v>243</v>
      </c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4.5" customHeight="1" x14ac:dyDescent="0.2">
      <c r="A51" s="94"/>
      <c r="B51" s="94"/>
      <c r="C51" s="222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221" t="s">
        <v>251</v>
      </c>
      <c r="D52" s="206" t="s">
        <v>223</v>
      </c>
      <c r="E52" s="183" t="s">
        <v>66</v>
      </c>
      <c r="F52" s="183" t="s">
        <v>132</v>
      </c>
      <c r="G52" s="197" t="s">
        <v>205</v>
      </c>
      <c r="H52" s="183" t="s">
        <v>85</v>
      </c>
      <c r="I52" s="183" t="s">
        <v>150</v>
      </c>
      <c r="J52" s="126">
        <v>6</v>
      </c>
      <c r="K52" s="126">
        <v>2</v>
      </c>
      <c r="L52" s="184">
        <f>(IF(J52&gt;K52,1,0)+IF(J53&gt;K53,1,0))</f>
        <v>2</v>
      </c>
      <c r="M52" s="185">
        <f>(IF(J52&lt;K52,1,0)+IF(J53&lt;K53,1,0))</f>
        <v>0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166"/>
      <c r="D53" s="166"/>
      <c r="E53" s="166"/>
      <c r="F53" s="166"/>
      <c r="G53" s="166"/>
      <c r="H53" s="166"/>
      <c r="I53" s="166"/>
      <c r="J53" s="126">
        <v>6</v>
      </c>
      <c r="K53" s="126">
        <v>0</v>
      </c>
      <c r="L53" s="166"/>
      <c r="M53" s="175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4.5" customHeight="1" x14ac:dyDescent="0.2">
      <c r="A54" s="94"/>
      <c r="B54" s="94"/>
      <c r="C54" s="222"/>
      <c r="D54" s="151"/>
      <c r="E54" s="151"/>
      <c r="F54" s="151"/>
      <c r="G54" s="151"/>
      <c r="H54" s="151"/>
      <c r="I54" s="151"/>
      <c r="J54" s="151"/>
      <c r="K54" s="151"/>
      <c r="L54" s="151"/>
      <c r="M54" s="152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2.75" customHeight="1" x14ac:dyDescent="0.2">
      <c r="A55" s="94"/>
      <c r="B55" s="94"/>
      <c r="C55" s="223"/>
      <c r="D55" s="151"/>
      <c r="E55" s="151"/>
      <c r="F55" s="151"/>
      <c r="G55" s="151"/>
      <c r="H55" s="151"/>
      <c r="I55" s="152"/>
      <c r="J55" s="127">
        <f t="shared" ref="J55:M55" si="2">SUM(J43:J53)</f>
        <v>39</v>
      </c>
      <c r="K55" s="127">
        <f t="shared" si="2"/>
        <v>29</v>
      </c>
      <c r="L55" s="127">
        <f t="shared" si="2"/>
        <v>6</v>
      </c>
      <c r="M55" s="127">
        <f t="shared" si="2"/>
        <v>2</v>
      </c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4.5" customHeight="1" x14ac:dyDescent="0.2">
      <c r="A56" s="94"/>
      <c r="B56" s="94"/>
      <c r="C56" s="222"/>
      <c r="D56" s="151"/>
      <c r="E56" s="151"/>
      <c r="F56" s="151"/>
      <c r="G56" s="151"/>
      <c r="H56" s="151"/>
      <c r="I56" s="151"/>
      <c r="J56" s="151"/>
      <c r="K56" s="151"/>
      <c r="L56" s="151"/>
      <c r="M56" s="152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221" t="s">
        <v>209</v>
      </c>
      <c r="D57" s="193" t="s">
        <v>217</v>
      </c>
      <c r="E57" s="183" t="s">
        <v>87</v>
      </c>
      <c r="F57" s="183" t="s">
        <v>252</v>
      </c>
      <c r="G57" s="197" t="s">
        <v>205</v>
      </c>
      <c r="H57" s="183" t="s">
        <v>99</v>
      </c>
      <c r="I57" s="183" t="s">
        <v>106</v>
      </c>
      <c r="J57" s="126">
        <v>4</v>
      </c>
      <c r="K57" s="126">
        <v>6</v>
      </c>
      <c r="L57" s="184">
        <f>(IF(J57&gt;K57,1,0)+IF(J58&gt;K58,1,0))</f>
        <v>1</v>
      </c>
      <c r="M57" s="185">
        <f>(IF(J57&lt;K57,1,0)+IF(J58&lt;K58,1,0))</f>
        <v>1</v>
      </c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166"/>
      <c r="D58" s="166"/>
      <c r="E58" s="166"/>
      <c r="F58" s="166"/>
      <c r="G58" s="166"/>
      <c r="H58" s="166"/>
      <c r="I58" s="166"/>
      <c r="J58" s="126">
        <v>6</v>
      </c>
      <c r="K58" s="126">
        <v>0</v>
      </c>
      <c r="L58" s="166"/>
      <c r="M58" s="175"/>
      <c r="N58" s="131" t="s">
        <v>253</v>
      </c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4.5" customHeight="1" x14ac:dyDescent="0.2">
      <c r="A59" s="94"/>
      <c r="B59" s="94"/>
      <c r="C59" s="222"/>
      <c r="D59" s="151"/>
      <c r="E59" s="151"/>
      <c r="F59" s="151"/>
      <c r="G59" s="151"/>
      <c r="H59" s="151"/>
      <c r="I59" s="151"/>
      <c r="J59" s="151"/>
      <c r="K59" s="151"/>
      <c r="L59" s="151"/>
      <c r="M59" s="152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221" t="s">
        <v>211</v>
      </c>
      <c r="D60" s="193" t="s">
        <v>215</v>
      </c>
      <c r="E60" s="183" t="s">
        <v>126</v>
      </c>
      <c r="F60" s="183" t="s">
        <v>195</v>
      </c>
      <c r="G60" s="197" t="s">
        <v>205</v>
      </c>
      <c r="H60" s="183" t="s">
        <v>131</v>
      </c>
      <c r="I60" s="183" t="s">
        <v>143</v>
      </c>
      <c r="J60" s="126">
        <v>2</v>
      </c>
      <c r="K60" s="126">
        <v>6</v>
      </c>
      <c r="L60" s="184">
        <f>(IF(J60&gt;K60,1,0)+IF(J61&gt;K61,1,0))</f>
        <v>0</v>
      </c>
      <c r="M60" s="185">
        <f>(IF(J60&lt;K60,1,0)+IF(J61&lt;K61,1,0))</f>
        <v>2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166"/>
      <c r="D61" s="166"/>
      <c r="E61" s="166"/>
      <c r="F61" s="166"/>
      <c r="G61" s="166"/>
      <c r="H61" s="166"/>
      <c r="I61" s="166"/>
      <c r="J61" s="126">
        <v>2</v>
      </c>
      <c r="K61" s="126">
        <v>6</v>
      </c>
      <c r="L61" s="166"/>
      <c r="M61" s="175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4.5" customHeight="1" x14ac:dyDescent="0.2">
      <c r="A62" s="94"/>
      <c r="B62" s="94"/>
      <c r="C62" s="222"/>
      <c r="D62" s="151"/>
      <c r="E62" s="151"/>
      <c r="F62" s="151"/>
      <c r="G62" s="151"/>
      <c r="H62" s="151"/>
      <c r="I62" s="151"/>
      <c r="J62" s="151"/>
      <c r="K62" s="151"/>
      <c r="L62" s="151"/>
      <c r="M62" s="152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221" t="s">
        <v>213</v>
      </c>
      <c r="D63" s="193" t="s">
        <v>212</v>
      </c>
      <c r="E63" s="183" t="s">
        <v>59</v>
      </c>
      <c r="F63" s="183" t="s">
        <v>9</v>
      </c>
      <c r="G63" s="197" t="s">
        <v>205</v>
      </c>
      <c r="H63" s="183" t="s">
        <v>71</v>
      </c>
      <c r="I63" s="183" t="s">
        <v>64</v>
      </c>
      <c r="J63" s="126">
        <v>6</v>
      </c>
      <c r="K63" s="126">
        <v>7</v>
      </c>
      <c r="L63" s="184">
        <f>(IF(J63&gt;K63,1,0)+IF(J64&gt;K64,1,0))</f>
        <v>1</v>
      </c>
      <c r="M63" s="185">
        <f>(IF(J63&lt;K63,1,0)+IF(J64&lt;K64,1,0))</f>
        <v>1</v>
      </c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166"/>
      <c r="D64" s="166"/>
      <c r="E64" s="166"/>
      <c r="F64" s="166"/>
      <c r="G64" s="166"/>
      <c r="H64" s="166"/>
      <c r="I64" s="166"/>
      <c r="J64" s="126">
        <v>6</v>
      </c>
      <c r="K64" s="126">
        <v>4</v>
      </c>
      <c r="L64" s="166"/>
      <c r="M64" s="175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4.5" customHeight="1" x14ac:dyDescent="0.2">
      <c r="A65" s="94"/>
      <c r="B65" s="94"/>
      <c r="C65" s="222"/>
      <c r="D65" s="151"/>
      <c r="E65" s="151"/>
      <c r="F65" s="151"/>
      <c r="G65" s="151"/>
      <c r="H65" s="151"/>
      <c r="I65" s="151"/>
      <c r="J65" s="151"/>
      <c r="K65" s="151"/>
      <c r="L65" s="151"/>
      <c r="M65" s="152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221" t="s">
        <v>211</v>
      </c>
      <c r="D66" s="206" t="s">
        <v>210</v>
      </c>
      <c r="E66" s="183" t="s">
        <v>151</v>
      </c>
      <c r="F66" s="183" t="s">
        <v>163</v>
      </c>
      <c r="G66" s="197" t="s">
        <v>205</v>
      </c>
      <c r="H66" s="183" t="s">
        <v>156</v>
      </c>
      <c r="I66" s="183" t="s">
        <v>168</v>
      </c>
      <c r="J66" s="126">
        <v>6</v>
      </c>
      <c r="K66" s="126">
        <v>4</v>
      </c>
      <c r="L66" s="184">
        <f>(IF(J66&gt;K66,1,0)+IF(J67&gt;K67,1,0))</f>
        <v>2</v>
      </c>
      <c r="M66" s="185">
        <f>(IF(J66&lt;K66,1,0)+IF(J67&lt;K67,1,0))</f>
        <v>0</v>
      </c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166"/>
      <c r="D67" s="166"/>
      <c r="E67" s="166"/>
      <c r="F67" s="166"/>
      <c r="G67" s="166"/>
      <c r="H67" s="166"/>
      <c r="I67" s="166"/>
      <c r="J67" s="126">
        <v>7</v>
      </c>
      <c r="K67" s="126">
        <v>5</v>
      </c>
      <c r="L67" s="166"/>
      <c r="M67" s="175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4.5" customHeight="1" x14ac:dyDescent="0.2">
      <c r="A68" s="94"/>
      <c r="B68" s="94"/>
      <c r="C68" s="222"/>
      <c r="D68" s="151"/>
      <c r="E68" s="151"/>
      <c r="F68" s="151"/>
      <c r="G68" s="151"/>
      <c r="H68" s="151"/>
      <c r="I68" s="151"/>
      <c r="J68" s="151"/>
      <c r="K68" s="151"/>
      <c r="L68" s="151"/>
      <c r="M68" s="152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2.75" customHeight="1" x14ac:dyDescent="0.2">
      <c r="A69" s="94"/>
      <c r="B69" s="94"/>
      <c r="C69" s="223" t="s">
        <v>248</v>
      </c>
      <c r="D69" s="151"/>
      <c r="E69" s="151"/>
      <c r="F69" s="151"/>
      <c r="G69" s="151"/>
      <c r="H69" s="151"/>
      <c r="I69" s="152"/>
      <c r="J69" s="127">
        <f t="shared" ref="J69:M69" si="3">SUM(J57:J67)</f>
        <v>39</v>
      </c>
      <c r="K69" s="127">
        <f t="shared" si="3"/>
        <v>38</v>
      </c>
      <c r="L69" s="127">
        <f t="shared" si="3"/>
        <v>4</v>
      </c>
      <c r="M69" s="127">
        <f t="shared" si="3"/>
        <v>4</v>
      </c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4.5" customHeight="1" x14ac:dyDescent="0.2">
      <c r="A70" s="94"/>
      <c r="B70" s="94"/>
      <c r="C70" s="222"/>
      <c r="D70" s="151"/>
      <c r="E70" s="151"/>
      <c r="F70" s="151"/>
      <c r="G70" s="151"/>
      <c r="H70" s="151"/>
      <c r="I70" s="151"/>
      <c r="J70" s="151"/>
      <c r="K70" s="151"/>
      <c r="L70" s="151"/>
      <c r="M70" s="152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2.75" customHeight="1" x14ac:dyDescent="0.2">
      <c r="A71" s="94"/>
      <c r="B71" s="94"/>
      <c r="C71" s="224" t="s">
        <v>249</v>
      </c>
      <c r="D71" s="151"/>
      <c r="E71" s="151"/>
      <c r="F71" s="151"/>
      <c r="G71" s="151"/>
      <c r="H71" s="151"/>
      <c r="I71" s="152"/>
      <c r="J71" s="129">
        <f>J69+J55</f>
        <v>78</v>
      </c>
      <c r="K71" s="129">
        <f>K69+K55</f>
        <v>67</v>
      </c>
      <c r="L71" s="129">
        <f>L69+L55</f>
        <v>10</v>
      </c>
      <c r="M71" s="129">
        <f>M69+M55</f>
        <v>6</v>
      </c>
      <c r="N71" s="94"/>
      <c r="O71" s="94"/>
      <c r="P71" s="94"/>
      <c r="Q71" s="94"/>
      <c r="R71" s="94" t="s">
        <v>243</v>
      </c>
      <c r="S71" s="94"/>
      <c r="T71" s="94"/>
      <c r="U71" s="94"/>
      <c r="V71" s="94"/>
      <c r="W71" s="94"/>
      <c r="X71" s="94"/>
      <c r="Y71" s="94"/>
      <c r="Z71" s="94"/>
    </row>
    <row r="72" spans="1:26" ht="6.75" customHeight="1" x14ac:dyDescent="0.2">
      <c r="A72" s="94"/>
      <c r="B72" s="94"/>
      <c r="C72" s="222"/>
      <c r="D72" s="151"/>
      <c r="E72" s="151"/>
      <c r="F72" s="151"/>
      <c r="G72" s="151"/>
      <c r="H72" s="151"/>
      <c r="I72" s="151"/>
      <c r="J72" s="151"/>
      <c r="K72" s="151"/>
      <c r="L72" s="151"/>
      <c r="M72" s="152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9.75" customHeight="1" x14ac:dyDescent="0.2">
      <c r="A73" s="94"/>
      <c r="B73" s="94"/>
      <c r="C73" s="227" t="s">
        <v>236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28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5.25" customHeight="1" x14ac:dyDescent="0.2">
      <c r="A74" s="94"/>
      <c r="B74" s="94"/>
      <c r="C74" s="199"/>
      <c r="D74" s="213"/>
      <c r="E74" s="213"/>
      <c r="F74" s="213"/>
      <c r="G74" s="213"/>
      <c r="H74" s="213"/>
      <c r="I74" s="213"/>
      <c r="J74" s="213"/>
      <c r="K74" s="213"/>
      <c r="L74" s="213"/>
      <c r="M74" s="195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6.5" customHeight="1" x14ac:dyDescent="0.2">
      <c r="A75" s="94"/>
      <c r="B75" s="94"/>
      <c r="C75" s="132" t="s">
        <v>202</v>
      </c>
      <c r="D75" s="98" t="s">
        <v>203</v>
      </c>
      <c r="E75" s="196" t="s">
        <v>206</v>
      </c>
      <c r="F75" s="152"/>
      <c r="G75" s="98"/>
      <c r="H75" s="196" t="s">
        <v>229</v>
      </c>
      <c r="I75" s="152"/>
      <c r="J75" s="196" t="s">
        <v>207</v>
      </c>
      <c r="K75" s="152"/>
      <c r="L75" s="196" t="s">
        <v>208</v>
      </c>
      <c r="M75" s="152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221" t="s">
        <v>209</v>
      </c>
      <c r="D76" s="193" t="s">
        <v>234</v>
      </c>
      <c r="E76" s="183" t="s">
        <v>221</v>
      </c>
      <c r="F76" s="183" t="s">
        <v>33</v>
      </c>
      <c r="G76" s="197" t="s">
        <v>205</v>
      </c>
      <c r="H76" s="183" t="s">
        <v>21</v>
      </c>
      <c r="I76" s="183" t="s">
        <v>254</v>
      </c>
      <c r="J76" s="126">
        <v>3</v>
      </c>
      <c r="K76" s="126">
        <v>6</v>
      </c>
      <c r="L76" s="184">
        <f>(IF(J76&gt;K76,1,0)+IF(J77&gt;K77,1,0))</f>
        <v>0</v>
      </c>
      <c r="M76" s="185">
        <f>(IF(J76&lt;K76,1,0)+IF(J77&lt;K77,1,0))</f>
        <v>2</v>
      </c>
      <c r="N76" s="94"/>
      <c r="O76" s="94"/>
      <c r="P76" s="94"/>
      <c r="Q76" s="94"/>
      <c r="R76" s="94" t="s">
        <v>243</v>
      </c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166"/>
      <c r="D77" s="166"/>
      <c r="E77" s="166"/>
      <c r="F77" s="166"/>
      <c r="G77" s="166"/>
      <c r="H77" s="166"/>
      <c r="I77" s="166"/>
      <c r="J77" s="126">
        <v>1</v>
      </c>
      <c r="K77" s="126">
        <v>6</v>
      </c>
      <c r="L77" s="166"/>
      <c r="M77" s="175"/>
      <c r="N77" s="94"/>
      <c r="O77" s="94"/>
      <c r="P77" s="226"/>
      <c r="Q77" s="226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4.5" customHeight="1" x14ac:dyDescent="0.2">
      <c r="A78" s="94"/>
      <c r="B78" s="94"/>
      <c r="C78" s="222"/>
      <c r="D78" s="151"/>
      <c r="E78" s="151"/>
      <c r="F78" s="151"/>
      <c r="G78" s="151"/>
      <c r="H78" s="151"/>
      <c r="I78" s="151"/>
      <c r="J78" s="151"/>
      <c r="K78" s="151"/>
      <c r="L78" s="151"/>
      <c r="M78" s="152"/>
      <c r="N78" s="94"/>
      <c r="O78" s="94"/>
      <c r="P78" s="157"/>
      <c r="Q78" s="157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221" t="s">
        <v>211</v>
      </c>
      <c r="D79" s="193" t="s">
        <v>223</v>
      </c>
      <c r="E79" s="183" t="s">
        <v>61</v>
      </c>
      <c r="F79" s="183" t="s">
        <v>140</v>
      </c>
      <c r="G79" s="197" t="s">
        <v>205</v>
      </c>
      <c r="H79" s="183" t="s">
        <v>84</v>
      </c>
      <c r="I79" s="183" t="s">
        <v>142</v>
      </c>
      <c r="J79" s="126">
        <v>4</v>
      </c>
      <c r="K79" s="126">
        <v>6</v>
      </c>
      <c r="L79" s="184">
        <f>(IF(J79&gt;K79,1,0)+IF(J80&gt;K80,1,0))</f>
        <v>1</v>
      </c>
      <c r="M79" s="185">
        <f>(IF(J79&lt;K79,1,0)+IF(J80&lt;K80,1,0))</f>
        <v>1</v>
      </c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166"/>
      <c r="D80" s="166"/>
      <c r="E80" s="166"/>
      <c r="F80" s="166"/>
      <c r="G80" s="166"/>
      <c r="H80" s="166"/>
      <c r="I80" s="166"/>
      <c r="J80" s="126">
        <v>6</v>
      </c>
      <c r="K80" s="126">
        <v>3</v>
      </c>
      <c r="L80" s="166"/>
      <c r="M80" s="175"/>
      <c r="N80" s="94"/>
      <c r="O80" s="94" t="s">
        <v>243</v>
      </c>
      <c r="P80" s="226"/>
      <c r="Q80" s="226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4.5" customHeight="1" x14ac:dyDescent="0.2">
      <c r="A81" s="94"/>
      <c r="B81" s="94"/>
      <c r="C81" s="222"/>
      <c r="D81" s="151"/>
      <c r="E81" s="151"/>
      <c r="F81" s="151"/>
      <c r="G81" s="151"/>
      <c r="H81" s="151"/>
      <c r="I81" s="151"/>
      <c r="J81" s="151"/>
      <c r="K81" s="151"/>
      <c r="L81" s="151"/>
      <c r="M81" s="152"/>
      <c r="N81" s="94"/>
      <c r="O81" s="94"/>
      <c r="P81" s="157"/>
      <c r="Q81" s="157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221" t="s">
        <v>213</v>
      </c>
      <c r="D82" s="193" t="s">
        <v>220</v>
      </c>
      <c r="E82" s="183" t="s">
        <v>110</v>
      </c>
      <c r="F82" s="183" t="s">
        <v>122</v>
      </c>
      <c r="G82" s="197" t="s">
        <v>205</v>
      </c>
      <c r="H82" s="183" t="s">
        <v>112</v>
      </c>
      <c r="I82" s="183" t="s">
        <v>124</v>
      </c>
      <c r="J82" s="126">
        <v>1</v>
      </c>
      <c r="K82" s="126">
        <v>6</v>
      </c>
      <c r="L82" s="184">
        <f>(IF(J82&gt;K82,1,0)+IF(J83&gt;K83,1,0))</f>
        <v>0</v>
      </c>
      <c r="M82" s="185">
        <f>(IF(J82&lt;K82,1,0)+IF(J83&lt;K83,1,0))</f>
        <v>2</v>
      </c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166"/>
      <c r="D83" s="166"/>
      <c r="E83" s="166"/>
      <c r="F83" s="166"/>
      <c r="G83" s="166"/>
      <c r="H83" s="166"/>
      <c r="I83" s="166"/>
      <c r="J83" s="126">
        <v>6</v>
      </c>
      <c r="K83" s="126">
        <v>7</v>
      </c>
      <c r="L83" s="166"/>
      <c r="M83" s="175"/>
      <c r="N83" s="94"/>
      <c r="O83" s="94"/>
      <c r="P83" s="226"/>
      <c r="Q83" s="226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4.5" customHeight="1" x14ac:dyDescent="0.2">
      <c r="A84" s="94"/>
      <c r="B84" s="94"/>
      <c r="C84" s="222"/>
      <c r="D84" s="151"/>
      <c r="E84" s="151"/>
      <c r="F84" s="151"/>
      <c r="G84" s="151"/>
      <c r="H84" s="151"/>
      <c r="I84" s="151"/>
      <c r="J84" s="151"/>
      <c r="K84" s="151"/>
      <c r="L84" s="151"/>
      <c r="M84" s="152"/>
      <c r="N84" s="94"/>
      <c r="O84" s="94"/>
      <c r="P84" s="157"/>
      <c r="Q84" s="157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221" t="s">
        <v>213</v>
      </c>
      <c r="D85" s="206" t="s">
        <v>210</v>
      </c>
      <c r="E85" s="184" t="s">
        <v>255</v>
      </c>
      <c r="F85" s="184" t="s">
        <v>153</v>
      </c>
      <c r="G85" s="197" t="s">
        <v>205</v>
      </c>
      <c r="H85" s="183" t="s">
        <v>167</v>
      </c>
      <c r="I85" s="183" t="s">
        <v>155</v>
      </c>
      <c r="J85" s="126">
        <v>7</v>
      </c>
      <c r="K85" s="126">
        <v>5</v>
      </c>
      <c r="L85" s="184">
        <f>(IF(J85&gt;K85,1,0)+IF(J86&gt;K86,1,0))</f>
        <v>2</v>
      </c>
      <c r="M85" s="185">
        <f>(IF(J85&lt;K85,1,0)+IF(J86&lt;K86,1,0))</f>
        <v>0</v>
      </c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2.75" customHeight="1" x14ac:dyDescent="0.2">
      <c r="A86" s="94"/>
      <c r="B86" s="94"/>
      <c r="C86" s="166"/>
      <c r="D86" s="166"/>
      <c r="E86" s="166"/>
      <c r="F86" s="166"/>
      <c r="G86" s="166"/>
      <c r="H86" s="166"/>
      <c r="I86" s="166"/>
      <c r="J86" s="126">
        <v>6</v>
      </c>
      <c r="K86" s="126">
        <v>2</v>
      </c>
      <c r="L86" s="166"/>
      <c r="M86" s="175"/>
      <c r="N86" s="94"/>
      <c r="O86" s="94"/>
      <c r="P86" s="229"/>
      <c r="Q86" s="229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4.5" customHeight="1" x14ac:dyDescent="0.2">
      <c r="A87" s="94"/>
      <c r="B87" s="94"/>
      <c r="C87" s="222"/>
      <c r="D87" s="151"/>
      <c r="E87" s="151"/>
      <c r="F87" s="151"/>
      <c r="G87" s="151"/>
      <c r="H87" s="151"/>
      <c r="I87" s="151"/>
      <c r="J87" s="151"/>
      <c r="K87" s="151"/>
      <c r="L87" s="151"/>
      <c r="M87" s="152"/>
      <c r="N87" s="94"/>
      <c r="O87" s="94"/>
      <c r="P87" s="157"/>
      <c r="Q87" s="157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2.75" customHeight="1" x14ac:dyDescent="0.2">
      <c r="A88" s="94"/>
      <c r="B88" s="94"/>
      <c r="C88" s="223" t="s">
        <v>246</v>
      </c>
      <c r="D88" s="151"/>
      <c r="E88" s="151"/>
      <c r="F88" s="151"/>
      <c r="G88" s="151"/>
      <c r="H88" s="151"/>
      <c r="I88" s="152"/>
      <c r="J88" s="127">
        <f t="shared" ref="J88:M88" si="4">SUM(J76:J86)</f>
        <v>34</v>
      </c>
      <c r="K88" s="127">
        <f t="shared" si="4"/>
        <v>41</v>
      </c>
      <c r="L88" s="127">
        <f t="shared" si="4"/>
        <v>3</v>
      </c>
      <c r="M88" s="127">
        <f t="shared" si="4"/>
        <v>5</v>
      </c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4.5" customHeight="1" x14ac:dyDescent="0.2">
      <c r="A89" s="94"/>
      <c r="B89" s="94"/>
      <c r="C89" s="222"/>
      <c r="D89" s="151"/>
      <c r="E89" s="151"/>
      <c r="F89" s="151"/>
      <c r="G89" s="151"/>
      <c r="H89" s="151"/>
      <c r="I89" s="151"/>
      <c r="J89" s="151"/>
      <c r="K89" s="151"/>
      <c r="L89" s="151"/>
      <c r="M89" s="152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221" t="s">
        <v>209</v>
      </c>
      <c r="D90" s="193" t="s">
        <v>214</v>
      </c>
      <c r="E90" s="183" t="s">
        <v>40</v>
      </c>
      <c r="F90" s="183" t="s">
        <v>54</v>
      </c>
      <c r="G90" s="197" t="s">
        <v>205</v>
      </c>
      <c r="H90" s="183" t="s">
        <v>49</v>
      </c>
      <c r="I90" s="183" t="s">
        <v>56</v>
      </c>
      <c r="J90" s="126">
        <v>6</v>
      </c>
      <c r="K90" s="126">
        <v>3</v>
      </c>
      <c r="L90" s="184">
        <f>(IF(J90&gt;K90,1,0)+IF(J91&gt;K91,1,0))</f>
        <v>2</v>
      </c>
      <c r="M90" s="185">
        <f>(IF(J90&lt;K90,1,0)+IF(J91&lt;K91,1,0))</f>
        <v>0</v>
      </c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166"/>
      <c r="D91" s="166"/>
      <c r="E91" s="166"/>
      <c r="F91" s="166"/>
      <c r="G91" s="166"/>
      <c r="H91" s="166"/>
      <c r="I91" s="166"/>
      <c r="J91" s="126">
        <v>6</v>
      </c>
      <c r="K91" s="126">
        <v>3</v>
      </c>
      <c r="L91" s="166"/>
      <c r="M91" s="175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4.5" customHeight="1" x14ac:dyDescent="0.2">
      <c r="A92" s="94"/>
      <c r="B92" s="94"/>
      <c r="C92" s="222"/>
      <c r="D92" s="151"/>
      <c r="E92" s="151"/>
      <c r="F92" s="151"/>
      <c r="G92" s="151"/>
      <c r="H92" s="151"/>
      <c r="I92" s="151"/>
      <c r="J92" s="151"/>
      <c r="K92" s="151"/>
      <c r="L92" s="151"/>
      <c r="M92" s="152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221" t="s">
        <v>211</v>
      </c>
      <c r="D93" s="193" t="s">
        <v>212</v>
      </c>
      <c r="E93" s="183" t="s">
        <v>68</v>
      </c>
      <c r="F93" s="183" t="s">
        <v>75</v>
      </c>
      <c r="G93" s="197" t="s">
        <v>205</v>
      </c>
      <c r="H93" s="183" t="s">
        <v>70</v>
      </c>
      <c r="I93" s="183" t="s">
        <v>63</v>
      </c>
      <c r="J93" s="126">
        <v>1</v>
      </c>
      <c r="K93" s="126">
        <v>6</v>
      </c>
      <c r="L93" s="184">
        <f>(IF(J93&gt;K93,1,0)+IF(J94&gt;K94,1,0))</f>
        <v>1</v>
      </c>
      <c r="M93" s="185">
        <f>(IF(J93&lt;K93,1,0)+IF(J94&lt;K94,1,0))</f>
        <v>1</v>
      </c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166"/>
      <c r="D94" s="166"/>
      <c r="E94" s="166"/>
      <c r="F94" s="166"/>
      <c r="G94" s="166"/>
      <c r="H94" s="166"/>
      <c r="I94" s="166"/>
      <c r="J94" s="126">
        <v>6</v>
      </c>
      <c r="K94" s="126">
        <v>3</v>
      </c>
      <c r="L94" s="166"/>
      <c r="M94" s="175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4.5" customHeight="1" x14ac:dyDescent="0.2">
      <c r="A95" s="94"/>
      <c r="B95" s="94"/>
      <c r="C95" s="222"/>
      <c r="D95" s="151"/>
      <c r="E95" s="151"/>
      <c r="F95" s="151"/>
      <c r="G95" s="151"/>
      <c r="H95" s="151"/>
      <c r="I95" s="151"/>
      <c r="J95" s="151"/>
      <c r="K95" s="151"/>
      <c r="L95" s="151"/>
      <c r="M95" s="152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221" t="s">
        <v>213</v>
      </c>
      <c r="D96" s="193" t="s">
        <v>215</v>
      </c>
      <c r="E96" s="183" t="s">
        <v>128</v>
      </c>
      <c r="F96" s="183" t="s">
        <v>134</v>
      </c>
      <c r="G96" s="197" t="s">
        <v>205</v>
      </c>
      <c r="H96" s="183" t="s">
        <v>256</v>
      </c>
      <c r="I96" s="183" t="s">
        <v>198</v>
      </c>
      <c r="J96" s="126">
        <v>6</v>
      </c>
      <c r="K96" s="126">
        <v>4</v>
      </c>
      <c r="L96" s="184">
        <f>(IF(J96&gt;K96,1,0)+IF(J97&gt;K97,1,0))</f>
        <v>1</v>
      </c>
      <c r="M96" s="185">
        <f>(IF(J96&lt;K96,1,0)+IF(J97&lt;K97,1,0))</f>
        <v>1</v>
      </c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166"/>
      <c r="D97" s="166"/>
      <c r="E97" s="166"/>
      <c r="F97" s="166"/>
      <c r="G97" s="166"/>
      <c r="H97" s="166"/>
      <c r="I97" s="166"/>
      <c r="J97" s="126">
        <v>3</v>
      </c>
      <c r="K97" s="126">
        <v>6</v>
      </c>
      <c r="L97" s="166"/>
      <c r="M97" s="175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4.5" customHeight="1" x14ac:dyDescent="0.2">
      <c r="A98" s="94"/>
      <c r="B98" s="94"/>
      <c r="C98" s="222"/>
      <c r="D98" s="151"/>
      <c r="E98" s="151"/>
      <c r="F98" s="151"/>
      <c r="G98" s="151"/>
      <c r="H98" s="151"/>
      <c r="I98" s="151"/>
      <c r="J98" s="151"/>
      <c r="K98" s="151"/>
      <c r="L98" s="151"/>
      <c r="M98" s="152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221" t="s">
        <v>213</v>
      </c>
      <c r="D99" s="206" t="s">
        <v>217</v>
      </c>
      <c r="E99" s="183" t="s">
        <v>89</v>
      </c>
      <c r="F99" s="183" t="s">
        <v>96</v>
      </c>
      <c r="G99" s="197" t="s">
        <v>205</v>
      </c>
      <c r="H99" s="183" t="s">
        <v>233</v>
      </c>
      <c r="I99" s="183" t="s">
        <v>98</v>
      </c>
      <c r="J99" s="126">
        <v>6</v>
      </c>
      <c r="K99" s="126">
        <v>2</v>
      </c>
      <c r="L99" s="184">
        <f>(IF(J99&gt;K99,1,0)+IF(J100&gt;K100,1,0))</f>
        <v>1</v>
      </c>
      <c r="M99" s="185">
        <f>(IF(J99&lt;K99,1,0)+IF(J100&lt;K100,1,0))</f>
        <v>1</v>
      </c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166"/>
      <c r="D100" s="166"/>
      <c r="E100" s="166"/>
      <c r="F100" s="166"/>
      <c r="G100" s="166"/>
      <c r="H100" s="166"/>
      <c r="I100" s="166"/>
      <c r="J100" s="126">
        <v>3</v>
      </c>
      <c r="K100" s="126">
        <v>6</v>
      </c>
      <c r="L100" s="166"/>
      <c r="M100" s="175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4.5" customHeight="1" x14ac:dyDescent="0.2">
      <c r="A101" s="94"/>
      <c r="B101" s="94"/>
      <c r="C101" s="222"/>
      <c r="D101" s="151"/>
      <c r="E101" s="151"/>
      <c r="F101" s="151"/>
      <c r="G101" s="151"/>
      <c r="H101" s="151"/>
      <c r="I101" s="151"/>
      <c r="J101" s="151"/>
      <c r="K101" s="151"/>
      <c r="L101" s="151"/>
      <c r="M101" s="152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2.75" customHeight="1" x14ac:dyDescent="0.2">
      <c r="A102" s="94"/>
      <c r="B102" s="94"/>
      <c r="C102" s="223" t="s">
        <v>248</v>
      </c>
      <c r="D102" s="151"/>
      <c r="E102" s="151"/>
      <c r="F102" s="151"/>
      <c r="G102" s="151"/>
      <c r="H102" s="151"/>
      <c r="I102" s="152"/>
      <c r="J102" s="127">
        <f t="shared" ref="J102:M102" si="5">SUM(J90:J100)</f>
        <v>37</v>
      </c>
      <c r="K102" s="127">
        <f t="shared" si="5"/>
        <v>33</v>
      </c>
      <c r="L102" s="127">
        <f t="shared" si="5"/>
        <v>5</v>
      </c>
      <c r="M102" s="127">
        <f t="shared" si="5"/>
        <v>3</v>
      </c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4.5" customHeight="1" x14ac:dyDescent="0.2">
      <c r="A103" s="94"/>
      <c r="B103" s="94"/>
      <c r="C103" s="222"/>
      <c r="D103" s="151"/>
      <c r="E103" s="151"/>
      <c r="F103" s="151"/>
      <c r="G103" s="151"/>
      <c r="H103" s="151"/>
      <c r="I103" s="151"/>
      <c r="J103" s="151"/>
      <c r="K103" s="151"/>
      <c r="L103" s="151"/>
      <c r="M103" s="152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224" t="s">
        <v>249</v>
      </c>
      <c r="D104" s="151"/>
      <c r="E104" s="151"/>
      <c r="F104" s="151"/>
      <c r="G104" s="151"/>
      <c r="H104" s="151"/>
      <c r="I104" s="152"/>
      <c r="J104" s="129">
        <f>J102+J88</f>
        <v>71</v>
      </c>
      <c r="K104" s="129">
        <f>K102+K88</f>
        <v>74</v>
      </c>
      <c r="L104" s="129">
        <f>L102+L88</f>
        <v>8</v>
      </c>
      <c r="M104" s="129">
        <f>M102+M88</f>
        <v>8</v>
      </c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3" customHeight="1" x14ac:dyDescent="0.2">
      <c r="A105" s="94"/>
      <c r="B105" s="94"/>
      <c r="C105" s="222"/>
      <c r="D105" s="151"/>
      <c r="E105" s="151"/>
      <c r="F105" s="151"/>
      <c r="G105" s="151"/>
      <c r="H105" s="151"/>
      <c r="I105" s="151"/>
      <c r="J105" s="151"/>
      <c r="K105" s="151"/>
      <c r="L105" s="151"/>
      <c r="M105" s="152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 t="s">
        <v>243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</sheetData>
  <mergeCells count="283">
    <mergeCell ref="M49:M50"/>
    <mergeCell ref="D49:D50"/>
    <mergeCell ref="E49:E50"/>
    <mergeCell ref="F49:F50"/>
    <mergeCell ref="G49:G50"/>
    <mergeCell ref="H49:H50"/>
    <mergeCell ref="I49:I50"/>
    <mergeCell ref="C51:M51"/>
    <mergeCell ref="L57:L58"/>
    <mergeCell ref="M57:M58"/>
    <mergeCell ref="D57:D58"/>
    <mergeCell ref="E57:E58"/>
    <mergeCell ref="F57:F58"/>
    <mergeCell ref="G57:G58"/>
    <mergeCell ref="H57:H58"/>
    <mergeCell ref="I57:I58"/>
    <mergeCell ref="C57:C58"/>
    <mergeCell ref="L33:L34"/>
    <mergeCell ref="M33:M34"/>
    <mergeCell ref="I33:I34"/>
    <mergeCell ref="C35:M35"/>
    <mergeCell ref="C36:I36"/>
    <mergeCell ref="C37:M37"/>
    <mergeCell ref="C38:I38"/>
    <mergeCell ref="C39:M39"/>
    <mergeCell ref="C40:M41"/>
    <mergeCell ref="C32:M32"/>
    <mergeCell ref="C30:C31"/>
    <mergeCell ref="C33:C34"/>
    <mergeCell ref="D33:D34"/>
    <mergeCell ref="E33:E34"/>
    <mergeCell ref="F33:F34"/>
    <mergeCell ref="G33:G34"/>
    <mergeCell ref="H33:H34"/>
    <mergeCell ref="G24:G25"/>
    <mergeCell ref="H24:H25"/>
    <mergeCell ref="I24:I25"/>
    <mergeCell ref="L24:L25"/>
    <mergeCell ref="C24:C25"/>
    <mergeCell ref="D24:D25"/>
    <mergeCell ref="M24:M25"/>
    <mergeCell ref="H27:H28"/>
    <mergeCell ref="I27:I28"/>
    <mergeCell ref="L27:L28"/>
    <mergeCell ref="M27:M28"/>
    <mergeCell ref="C29:M29"/>
    <mergeCell ref="E24:E25"/>
    <mergeCell ref="F24:F25"/>
    <mergeCell ref="C26:C28"/>
    <mergeCell ref="D27:D28"/>
    <mergeCell ref="F19:F20"/>
    <mergeCell ref="G19:G20"/>
    <mergeCell ref="H19:H20"/>
    <mergeCell ref="D30:D31"/>
    <mergeCell ref="E30:E31"/>
    <mergeCell ref="F30:F31"/>
    <mergeCell ref="G30:G31"/>
    <mergeCell ref="H30:H31"/>
    <mergeCell ref="I30:I31"/>
    <mergeCell ref="I19:I20"/>
    <mergeCell ref="C21:M21"/>
    <mergeCell ref="C22:I22"/>
    <mergeCell ref="C23:M23"/>
    <mergeCell ref="E27:E28"/>
    <mergeCell ref="F27:F28"/>
    <mergeCell ref="G27:G28"/>
    <mergeCell ref="L30:L31"/>
    <mergeCell ref="M30:M31"/>
    <mergeCell ref="L13:L14"/>
    <mergeCell ref="M13:M14"/>
    <mergeCell ref="L19:L20"/>
    <mergeCell ref="M19:M20"/>
    <mergeCell ref="L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C16:C17"/>
    <mergeCell ref="C19:C20"/>
    <mergeCell ref="D19:D20"/>
    <mergeCell ref="E19:E20"/>
    <mergeCell ref="C1:M3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L16:L17"/>
    <mergeCell ref="M16:M17"/>
    <mergeCell ref="D16:D17"/>
    <mergeCell ref="E16:E17"/>
    <mergeCell ref="F16:F17"/>
    <mergeCell ref="G16:G17"/>
    <mergeCell ref="H16:H17"/>
    <mergeCell ref="I16:I17"/>
    <mergeCell ref="C18:M18"/>
    <mergeCell ref="C101:M101"/>
    <mergeCell ref="C102:I102"/>
    <mergeCell ref="C103:M103"/>
    <mergeCell ref="C104:I104"/>
    <mergeCell ref="C105:M105"/>
    <mergeCell ref="C96:C97"/>
    <mergeCell ref="C99:C100"/>
    <mergeCell ref="D99:D100"/>
    <mergeCell ref="E99:E100"/>
    <mergeCell ref="F99:F100"/>
    <mergeCell ref="G99:G100"/>
    <mergeCell ref="H99:H100"/>
    <mergeCell ref="L99:L100"/>
    <mergeCell ref="M99:M100"/>
    <mergeCell ref="C89:M89"/>
    <mergeCell ref="D90:D91"/>
    <mergeCell ref="E90:E91"/>
    <mergeCell ref="F90:F91"/>
    <mergeCell ref="G90:G91"/>
    <mergeCell ref="C92:M92"/>
    <mergeCell ref="I93:I94"/>
    <mergeCell ref="C95:M95"/>
    <mergeCell ref="C90:C91"/>
    <mergeCell ref="C93:C94"/>
    <mergeCell ref="D93:D94"/>
    <mergeCell ref="E93:E94"/>
    <mergeCell ref="F93:F94"/>
    <mergeCell ref="G93:G94"/>
    <mergeCell ref="H93:H94"/>
    <mergeCell ref="I99:I100"/>
    <mergeCell ref="C98:M98"/>
    <mergeCell ref="I85:I86"/>
    <mergeCell ref="L85:L86"/>
    <mergeCell ref="M85:M86"/>
    <mergeCell ref="P86:P87"/>
    <mergeCell ref="Q86:Q87"/>
    <mergeCell ref="C87:M87"/>
    <mergeCell ref="C88:I88"/>
    <mergeCell ref="H90:H91"/>
    <mergeCell ref="I90:I91"/>
    <mergeCell ref="L90:L91"/>
    <mergeCell ref="M90:M91"/>
    <mergeCell ref="L93:L94"/>
    <mergeCell ref="M93:M94"/>
    <mergeCell ref="C85:C86"/>
    <mergeCell ref="D85:D86"/>
    <mergeCell ref="E85:E86"/>
    <mergeCell ref="F85:F86"/>
    <mergeCell ref="G85:G86"/>
    <mergeCell ref="H85:H86"/>
    <mergeCell ref="L96:L97"/>
    <mergeCell ref="M96:M97"/>
    <mergeCell ref="D96:D97"/>
    <mergeCell ref="E96:E97"/>
    <mergeCell ref="F96:F97"/>
    <mergeCell ref="G96:G97"/>
    <mergeCell ref="H96:H97"/>
    <mergeCell ref="I96:I97"/>
    <mergeCell ref="L79:L80"/>
    <mergeCell ref="M79:M80"/>
    <mergeCell ref="P80:P81"/>
    <mergeCell ref="Q80:Q81"/>
    <mergeCell ref="D76:D77"/>
    <mergeCell ref="E76:E77"/>
    <mergeCell ref="F76:F77"/>
    <mergeCell ref="G76:G77"/>
    <mergeCell ref="H76:H77"/>
    <mergeCell ref="I76:I77"/>
    <mergeCell ref="C78:M78"/>
    <mergeCell ref="I79:I80"/>
    <mergeCell ref="C81:M81"/>
    <mergeCell ref="C76:C77"/>
    <mergeCell ref="C79:C80"/>
    <mergeCell ref="D79:D80"/>
    <mergeCell ref="E79:E80"/>
    <mergeCell ref="F79:F80"/>
    <mergeCell ref="G79:G80"/>
    <mergeCell ref="H79:H80"/>
    <mergeCell ref="E75:F75"/>
    <mergeCell ref="H75:I75"/>
    <mergeCell ref="J75:K75"/>
    <mergeCell ref="L75:M75"/>
    <mergeCell ref="L76:L77"/>
    <mergeCell ref="M76:M77"/>
    <mergeCell ref="P77:P78"/>
    <mergeCell ref="Q77:Q78"/>
    <mergeCell ref="I66:I67"/>
    <mergeCell ref="L66:L67"/>
    <mergeCell ref="M66:M67"/>
    <mergeCell ref="C68:M68"/>
    <mergeCell ref="C69:I69"/>
    <mergeCell ref="C70:M70"/>
    <mergeCell ref="C71:I71"/>
    <mergeCell ref="C72:M72"/>
    <mergeCell ref="C73:M74"/>
    <mergeCell ref="L82:L83"/>
    <mergeCell ref="M82:M83"/>
    <mergeCell ref="P83:P84"/>
    <mergeCell ref="Q83:Q84"/>
    <mergeCell ref="D82:D83"/>
    <mergeCell ref="E82:E83"/>
    <mergeCell ref="F82:F83"/>
    <mergeCell ref="G82:G83"/>
    <mergeCell ref="H82:H83"/>
    <mergeCell ref="I82:I83"/>
    <mergeCell ref="C84:M84"/>
    <mergeCell ref="C82:C83"/>
    <mergeCell ref="F46:F47"/>
    <mergeCell ref="G46:G47"/>
    <mergeCell ref="C63:C64"/>
    <mergeCell ref="C66:C67"/>
    <mergeCell ref="D66:D67"/>
    <mergeCell ref="E66:E67"/>
    <mergeCell ref="F66:F67"/>
    <mergeCell ref="G66:G67"/>
    <mergeCell ref="H66:H67"/>
    <mergeCell ref="C59:M59"/>
    <mergeCell ref="I60:I61"/>
    <mergeCell ref="L60:L61"/>
    <mergeCell ref="M60:M61"/>
    <mergeCell ref="C62:M62"/>
    <mergeCell ref="C60:C61"/>
    <mergeCell ref="D60:D61"/>
    <mergeCell ref="E60:E61"/>
    <mergeCell ref="F60:F61"/>
    <mergeCell ref="G60:G61"/>
    <mergeCell ref="H60:H61"/>
    <mergeCell ref="C65:M65"/>
    <mergeCell ref="G43:G44"/>
    <mergeCell ref="H43:H44"/>
    <mergeCell ref="I43:I44"/>
    <mergeCell ref="L43:L44"/>
    <mergeCell ref="M43:M44"/>
    <mergeCell ref="C45:M45"/>
    <mergeCell ref="E42:F42"/>
    <mergeCell ref="H42:I42"/>
    <mergeCell ref="J42:K42"/>
    <mergeCell ref="L42:M42"/>
    <mergeCell ref="C43:C44"/>
    <mergeCell ref="D43:D44"/>
    <mergeCell ref="H46:H47"/>
    <mergeCell ref="I46:I47"/>
    <mergeCell ref="L46:L47"/>
    <mergeCell ref="M46:M47"/>
    <mergeCell ref="C48:M48"/>
    <mergeCell ref="E43:E44"/>
    <mergeCell ref="F43:F44"/>
    <mergeCell ref="C46:C47"/>
    <mergeCell ref="D46:D47"/>
    <mergeCell ref="E46:E47"/>
    <mergeCell ref="M52:M53"/>
    <mergeCell ref="C54:M54"/>
    <mergeCell ref="C55:I55"/>
    <mergeCell ref="C56:M56"/>
    <mergeCell ref="L63:L64"/>
    <mergeCell ref="M63:M64"/>
    <mergeCell ref="D63:D64"/>
    <mergeCell ref="E63:E64"/>
    <mergeCell ref="F63:F64"/>
    <mergeCell ref="G63:G64"/>
    <mergeCell ref="H63:H64"/>
    <mergeCell ref="I63:I64"/>
    <mergeCell ref="C49:C50"/>
    <mergeCell ref="C52:C53"/>
    <mergeCell ref="D52:D53"/>
    <mergeCell ref="E52:E53"/>
    <mergeCell ref="F52:F53"/>
    <mergeCell ref="G52:G53"/>
    <mergeCell ref="H52:H53"/>
    <mergeCell ref="I52:I53"/>
    <mergeCell ref="L52:L53"/>
    <mergeCell ref="L49:L50"/>
  </mergeCells>
  <pageMargins left="0.23622047244094491" right="0.23622047244094491" top="0.11811023622047245" bottom="0.11811023622047245" header="0.31496062992125984" footer="0.31496062992125984"/>
  <pageSetup scale="7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showGridLines="0" topLeftCell="B1" workbookViewId="0">
      <selection activeCell="I19" sqref="I19:I20"/>
    </sheetView>
  </sheetViews>
  <sheetFormatPr defaultColWidth="14.42578125" defaultRowHeight="15" customHeight="1" x14ac:dyDescent="0.2"/>
  <cols>
    <col min="1" max="1" width="2.7109375" hidden="1" customWidth="1"/>
    <col min="2" max="2" width="3.140625" customWidth="1"/>
    <col min="3" max="3" width="9.28515625" customWidth="1"/>
    <col min="4" max="4" width="8.7109375" customWidth="1"/>
    <col min="5" max="5" width="17.85546875" customWidth="1"/>
    <col min="6" max="6" width="20.7109375" customWidth="1"/>
    <col min="7" max="7" width="4.85546875" customWidth="1"/>
    <col min="8" max="8" width="18.7109375" customWidth="1"/>
    <col min="9" max="9" width="20.7109375" customWidth="1"/>
    <col min="10" max="13" width="5.7109375" customWidth="1"/>
    <col min="14" max="18" width="9.140625" customWidth="1"/>
    <col min="19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2.75" customHeight="1" x14ac:dyDescent="0.2">
      <c r="A2" s="94"/>
      <c r="B2" s="9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4.5" customHeight="1" x14ac:dyDescent="0.2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9.5" customHeight="1" x14ac:dyDescent="0.2">
      <c r="A4" s="94"/>
      <c r="B4" s="94"/>
      <c r="C4" s="218" t="s">
        <v>257</v>
      </c>
      <c r="D4" s="151"/>
      <c r="E4" s="151"/>
      <c r="F4" s="151"/>
      <c r="G4" s="151"/>
      <c r="H4" s="151"/>
      <c r="I4" s="151"/>
      <c r="J4" s="151"/>
      <c r="K4" s="151"/>
      <c r="L4" s="151"/>
      <c r="M4" s="152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4.5" customHeight="1" x14ac:dyDescent="0.2">
      <c r="A5" s="94"/>
      <c r="B5" s="94"/>
      <c r="C5" s="231"/>
      <c r="D5" s="210"/>
      <c r="E5" s="210"/>
      <c r="F5" s="210"/>
      <c r="G5" s="210"/>
      <c r="H5" s="210"/>
      <c r="I5" s="210"/>
      <c r="J5" s="210"/>
      <c r="K5" s="210"/>
      <c r="L5" s="210"/>
      <c r="M5" s="228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4.5" customHeight="1" x14ac:dyDescent="0.2">
      <c r="A6" s="94"/>
      <c r="B6" s="94"/>
      <c r="C6" s="199"/>
      <c r="D6" s="213"/>
      <c r="E6" s="213"/>
      <c r="F6" s="213"/>
      <c r="G6" s="213"/>
      <c r="H6" s="213"/>
      <c r="I6" s="213"/>
      <c r="J6" s="213"/>
      <c r="K6" s="213"/>
      <c r="L6" s="213"/>
      <c r="M6" s="195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2.75" customHeight="1" x14ac:dyDescent="0.2">
      <c r="A7" s="94"/>
      <c r="B7" s="94"/>
      <c r="C7" s="227" t="s">
        <v>201</v>
      </c>
      <c r="D7" s="210"/>
      <c r="E7" s="210"/>
      <c r="F7" s="210"/>
      <c r="G7" s="210"/>
      <c r="H7" s="210"/>
      <c r="I7" s="210"/>
      <c r="J7" s="210"/>
      <c r="K7" s="210"/>
      <c r="L7" s="210"/>
      <c r="M7" s="22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4.5" customHeight="1" x14ac:dyDescent="0.2">
      <c r="A8" s="94"/>
      <c r="B8" s="94"/>
      <c r="C8" s="199"/>
      <c r="D8" s="213"/>
      <c r="E8" s="213"/>
      <c r="F8" s="213"/>
      <c r="G8" s="213"/>
      <c r="H8" s="213"/>
      <c r="I8" s="213"/>
      <c r="J8" s="213"/>
      <c r="K8" s="213"/>
      <c r="L8" s="213"/>
      <c r="M8" s="195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5.75" customHeight="1" x14ac:dyDescent="0.2">
      <c r="A9" s="94"/>
      <c r="B9" s="94"/>
      <c r="C9" s="98" t="s">
        <v>202</v>
      </c>
      <c r="D9" s="98" t="s">
        <v>203</v>
      </c>
      <c r="E9" s="196" t="s">
        <v>229</v>
      </c>
      <c r="F9" s="152"/>
      <c r="G9" s="98" t="s">
        <v>205</v>
      </c>
      <c r="H9" s="196" t="s">
        <v>238</v>
      </c>
      <c r="I9" s="152"/>
      <c r="J9" s="196" t="s">
        <v>207</v>
      </c>
      <c r="K9" s="152"/>
      <c r="L9" s="196" t="s">
        <v>208</v>
      </c>
      <c r="M9" s="152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3.5" customHeight="1" x14ac:dyDescent="0.2">
      <c r="A10" s="94"/>
      <c r="B10" s="94"/>
      <c r="C10" s="221" t="s">
        <v>209</v>
      </c>
      <c r="D10" s="193" t="s">
        <v>234</v>
      </c>
      <c r="E10" s="184" t="s">
        <v>28</v>
      </c>
      <c r="F10" s="184" t="s">
        <v>35</v>
      </c>
      <c r="G10" s="197" t="s">
        <v>205</v>
      </c>
      <c r="H10" s="184" t="s">
        <v>29</v>
      </c>
      <c r="I10" s="184" t="s">
        <v>36</v>
      </c>
      <c r="J10" s="126">
        <v>7</v>
      </c>
      <c r="K10" s="126">
        <v>5</v>
      </c>
      <c r="L10" s="184">
        <f>IF(J10&gt;K10,1,0) + IF(J11&gt;K11,1,0)</f>
        <v>1</v>
      </c>
      <c r="M10" s="185">
        <f>IF(J10&lt;K10,1,0) + IF(J11&lt;K11,1,0)</f>
        <v>1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2.75" customHeight="1" x14ac:dyDescent="0.2">
      <c r="A11" s="94"/>
      <c r="B11" s="94"/>
      <c r="C11" s="166"/>
      <c r="D11" s="166"/>
      <c r="E11" s="166"/>
      <c r="F11" s="166"/>
      <c r="G11" s="166"/>
      <c r="H11" s="166"/>
      <c r="I11" s="166"/>
      <c r="J11" s="126">
        <v>1</v>
      </c>
      <c r="K11" s="126">
        <v>6</v>
      </c>
      <c r="L11" s="166"/>
      <c r="M11" s="175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4.5" customHeight="1" x14ac:dyDescent="0.2">
      <c r="A12" s="94"/>
      <c r="B12" s="94"/>
      <c r="C12" s="222"/>
      <c r="D12" s="151"/>
      <c r="E12" s="151"/>
      <c r="F12" s="151"/>
      <c r="G12" s="151"/>
      <c r="H12" s="151"/>
      <c r="I12" s="151"/>
      <c r="J12" s="151"/>
      <c r="K12" s="151"/>
      <c r="L12" s="151"/>
      <c r="M12" s="152"/>
      <c r="N12" s="131">
        <v>2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.75" customHeight="1" x14ac:dyDescent="0.2">
      <c r="A13" s="94"/>
      <c r="B13" s="94"/>
      <c r="C13" s="221" t="s">
        <v>211</v>
      </c>
      <c r="D13" s="193" t="s">
        <v>220</v>
      </c>
      <c r="E13" s="184" t="s">
        <v>112</v>
      </c>
      <c r="F13" s="184" t="s">
        <v>118</v>
      </c>
      <c r="G13" s="197" t="s">
        <v>205</v>
      </c>
      <c r="H13" s="184" t="s">
        <v>113</v>
      </c>
      <c r="I13" s="184" t="s">
        <v>119</v>
      </c>
      <c r="J13" s="126">
        <v>6</v>
      </c>
      <c r="K13" s="126">
        <v>2</v>
      </c>
      <c r="L13" s="184">
        <f>IF(J13&gt;K13,1,0) + IF(J14&gt;K14,1,0)</f>
        <v>2</v>
      </c>
      <c r="M13" s="184">
        <v>0</v>
      </c>
      <c r="N13" s="131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.75" customHeight="1" x14ac:dyDescent="0.2">
      <c r="A14" s="94"/>
      <c r="B14" s="94"/>
      <c r="C14" s="166"/>
      <c r="D14" s="166"/>
      <c r="E14" s="166"/>
      <c r="F14" s="166"/>
      <c r="G14" s="166"/>
      <c r="H14" s="166"/>
      <c r="I14" s="166"/>
      <c r="J14" s="126">
        <v>6</v>
      </c>
      <c r="K14" s="126">
        <v>0</v>
      </c>
      <c r="L14" s="166"/>
      <c r="M14" s="166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4.5" customHeight="1" x14ac:dyDescent="0.2">
      <c r="A15" s="94"/>
      <c r="B15" s="94"/>
      <c r="C15" s="222"/>
      <c r="D15" s="151"/>
      <c r="E15" s="151"/>
      <c r="F15" s="151"/>
      <c r="G15" s="151"/>
      <c r="H15" s="151"/>
      <c r="I15" s="151"/>
      <c r="J15" s="151"/>
      <c r="K15" s="151"/>
      <c r="L15" s="151"/>
      <c r="M15" s="152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.75" customHeight="1" x14ac:dyDescent="0.2">
      <c r="A16" s="94"/>
      <c r="B16" s="94"/>
      <c r="C16" s="221" t="s">
        <v>213</v>
      </c>
      <c r="D16" s="193" t="s">
        <v>223</v>
      </c>
      <c r="E16" s="184" t="s">
        <v>70</v>
      </c>
      <c r="F16" s="184" t="s">
        <v>198</v>
      </c>
      <c r="G16" s="197" t="s">
        <v>205</v>
      </c>
      <c r="H16" s="184" t="s">
        <v>71</v>
      </c>
      <c r="I16" s="184" t="s">
        <v>131</v>
      </c>
      <c r="J16" s="126">
        <v>6</v>
      </c>
      <c r="K16" s="126">
        <v>4</v>
      </c>
      <c r="L16" s="184">
        <f>(IF(J16&gt;K16,1,0)+IF(J17&gt;K17,1,0))</f>
        <v>2</v>
      </c>
      <c r="M16" s="185">
        <f>(IF(J16&lt;K16,1,0)+IF(J17&lt;K17,1,0))</f>
        <v>0</v>
      </c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.75" customHeight="1" x14ac:dyDescent="0.2">
      <c r="A17" s="94"/>
      <c r="B17" s="94"/>
      <c r="C17" s="166"/>
      <c r="D17" s="166"/>
      <c r="E17" s="166"/>
      <c r="F17" s="166"/>
      <c r="G17" s="166"/>
      <c r="H17" s="166"/>
      <c r="I17" s="166"/>
      <c r="J17" s="126">
        <v>6</v>
      </c>
      <c r="K17" s="126">
        <v>1</v>
      </c>
      <c r="L17" s="166"/>
      <c r="M17" s="175"/>
      <c r="N17" s="94"/>
      <c r="O17" s="94" t="s">
        <v>243</v>
      </c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4.5" customHeight="1" x14ac:dyDescent="0.2">
      <c r="A18" s="94"/>
      <c r="B18" s="94"/>
      <c r="C18" s="222"/>
      <c r="D18" s="151"/>
      <c r="E18" s="151"/>
      <c r="F18" s="151"/>
      <c r="G18" s="151"/>
      <c r="H18" s="151"/>
      <c r="I18" s="151"/>
      <c r="J18" s="151"/>
      <c r="K18" s="151"/>
      <c r="L18" s="151"/>
      <c r="M18" s="152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.75" customHeight="1" x14ac:dyDescent="0.2">
      <c r="A19" s="94"/>
      <c r="B19" s="94"/>
      <c r="C19" s="221" t="s">
        <v>209</v>
      </c>
      <c r="D19" s="206" t="s">
        <v>217</v>
      </c>
      <c r="E19" s="184" t="s">
        <v>233</v>
      </c>
      <c r="F19" s="184" t="s">
        <v>105</v>
      </c>
      <c r="G19" s="197" t="s">
        <v>205</v>
      </c>
      <c r="H19" s="184" t="s">
        <v>99</v>
      </c>
      <c r="I19" s="184" t="s">
        <v>197</v>
      </c>
      <c r="J19" s="126">
        <v>6</v>
      </c>
      <c r="K19" s="126">
        <v>4</v>
      </c>
      <c r="L19" s="184">
        <f>(IF(J19&gt;K19,1,0)+IF(J20&gt;K20,1,0))</f>
        <v>1</v>
      </c>
      <c r="M19" s="185">
        <f>(IF(J19&lt;K19,1,0)+IF(J20&lt;K20,1,0))</f>
        <v>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2.75" customHeight="1" x14ac:dyDescent="0.2">
      <c r="A20" s="94"/>
      <c r="B20" s="94"/>
      <c r="C20" s="166"/>
      <c r="D20" s="166"/>
      <c r="E20" s="166"/>
      <c r="F20" s="166"/>
      <c r="G20" s="166"/>
      <c r="H20" s="166"/>
      <c r="I20" s="166"/>
      <c r="J20" s="126">
        <v>6</v>
      </c>
      <c r="K20" s="126">
        <v>7</v>
      </c>
      <c r="L20" s="166"/>
      <c r="M20" s="175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4.5" customHeight="1" x14ac:dyDescent="0.2">
      <c r="A21" s="94"/>
      <c r="B21" s="94"/>
      <c r="C21" s="222"/>
      <c r="D21" s="151"/>
      <c r="E21" s="151"/>
      <c r="F21" s="151"/>
      <c r="G21" s="151"/>
      <c r="H21" s="151"/>
      <c r="I21" s="151"/>
      <c r="J21" s="151"/>
      <c r="K21" s="151"/>
      <c r="L21" s="151"/>
      <c r="M21" s="152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2.75" customHeight="1" x14ac:dyDescent="0.2">
      <c r="A22" s="94"/>
      <c r="B22" s="94"/>
      <c r="C22" s="223" t="s">
        <v>258</v>
      </c>
      <c r="D22" s="151"/>
      <c r="E22" s="151"/>
      <c r="F22" s="151"/>
      <c r="G22" s="151"/>
      <c r="H22" s="151"/>
      <c r="I22" s="152"/>
      <c r="J22" s="127">
        <f t="shared" ref="J22:M22" si="0">SUM(J10:J20)</f>
        <v>44</v>
      </c>
      <c r="K22" s="127">
        <f t="shared" si="0"/>
        <v>29</v>
      </c>
      <c r="L22" s="127">
        <f t="shared" si="0"/>
        <v>6</v>
      </c>
      <c r="M22" s="127">
        <f t="shared" si="0"/>
        <v>2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4.5" customHeight="1" x14ac:dyDescent="0.2">
      <c r="A23" s="94"/>
      <c r="B23" s="94"/>
      <c r="C23" s="222"/>
      <c r="D23" s="151"/>
      <c r="E23" s="151"/>
      <c r="F23" s="151"/>
      <c r="G23" s="151"/>
      <c r="H23" s="151"/>
      <c r="I23" s="151"/>
      <c r="J23" s="151"/>
      <c r="K23" s="151"/>
      <c r="L23" s="151"/>
      <c r="M23" s="152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.75" customHeight="1" x14ac:dyDescent="0.2">
      <c r="A24" s="94"/>
      <c r="B24" s="94"/>
      <c r="C24" s="221" t="s">
        <v>209</v>
      </c>
      <c r="D24" s="232" t="s">
        <v>212</v>
      </c>
      <c r="E24" s="183" t="s">
        <v>77</v>
      </c>
      <c r="F24" s="183" t="s">
        <v>84</v>
      </c>
      <c r="G24" s="197" t="s">
        <v>205</v>
      </c>
      <c r="H24" s="183" t="s">
        <v>78</v>
      </c>
      <c r="I24" s="183" t="s">
        <v>85</v>
      </c>
      <c r="J24" s="126">
        <v>2</v>
      </c>
      <c r="K24" s="126">
        <v>6</v>
      </c>
      <c r="L24" s="184">
        <f>(IF(J24&gt;K24,1,0)+IF(J25&gt;K25,1,0))</f>
        <v>1</v>
      </c>
      <c r="M24" s="185">
        <f>(IF(J24&lt;K24,1,0)+IF(J25&lt;K25,1,0))</f>
        <v>1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.75" customHeight="1" x14ac:dyDescent="0.2">
      <c r="A25" s="94"/>
      <c r="B25" s="94"/>
      <c r="C25" s="166"/>
      <c r="D25" s="166"/>
      <c r="E25" s="166"/>
      <c r="F25" s="166"/>
      <c r="G25" s="166"/>
      <c r="H25" s="166"/>
      <c r="I25" s="166"/>
      <c r="J25" s="126">
        <v>7</v>
      </c>
      <c r="K25" s="126">
        <v>5</v>
      </c>
      <c r="L25" s="166"/>
      <c r="M25" s="175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4.5" customHeight="1" x14ac:dyDescent="0.2">
      <c r="A26" s="94"/>
      <c r="B26" s="94"/>
      <c r="C26" s="222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.75" customHeight="1" x14ac:dyDescent="0.2">
      <c r="A27" s="96"/>
      <c r="B27" s="94"/>
      <c r="C27" s="221" t="s">
        <v>211</v>
      </c>
      <c r="D27" s="193" t="s">
        <v>215</v>
      </c>
      <c r="E27" s="183" t="s">
        <v>136</v>
      </c>
      <c r="F27" s="183" t="s">
        <v>13</v>
      </c>
      <c r="G27" s="197" t="s">
        <v>205</v>
      </c>
      <c r="H27" s="183" t="s">
        <v>143</v>
      </c>
      <c r="I27" s="183" t="s">
        <v>137</v>
      </c>
      <c r="J27" s="126">
        <v>6</v>
      </c>
      <c r="K27" s="126">
        <v>4</v>
      </c>
      <c r="L27" s="184">
        <f>(IF(J27&gt;K27,1,0)+IF(J28&gt;K28,1,0))</f>
        <v>2</v>
      </c>
      <c r="M27" s="185">
        <f>(IF(J27&lt;K27,1,0)+IF(J28&lt;K28,1,0))</f>
        <v>0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.75" customHeight="1" x14ac:dyDescent="0.2">
      <c r="A28" s="96"/>
      <c r="B28" s="94"/>
      <c r="C28" s="166"/>
      <c r="D28" s="166"/>
      <c r="E28" s="166"/>
      <c r="F28" s="166"/>
      <c r="G28" s="166"/>
      <c r="H28" s="166"/>
      <c r="I28" s="166"/>
      <c r="J28" s="126">
        <v>6</v>
      </c>
      <c r="K28" s="126">
        <v>3</v>
      </c>
      <c r="L28" s="166"/>
      <c r="M28" s="175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4.5" customHeight="1" x14ac:dyDescent="0.2">
      <c r="A29" s="94"/>
      <c r="B29" s="94"/>
      <c r="C29" s="222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221" t="s">
        <v>213</v>
      </c>
      <c r="D30" s="193" t="s">
        <v>214</v>
      </c>
      <c r="E30" s="183" t="s">
        <v>42</v>
      </c>
      <c r="F30" s="183" t="s">
        <v>56</v>
      </c>
      <c r="G30" s="197" t="s">
        <v>205</v>
      </c>
      <c r="H30" s="183" t="s">
        <v>250</v>
      </c>
      <c r="I30" s="183" t="s">
        <v>57</v>
      </c>
      <c r="J30" s="126">
        <v>5</v>
      </c>
      <c r="K30" s="126">
        <v>7</v>
      </c>
      <c r="L30" s="184">
        <f>(IF(J30&gt;K30,1,0)+IF(J31&gt;K31,1,0))</f>
        <v>1</v>
      </c>
      <c r="M30" s="185">
        <f>(IF(J30&lt;K30,1,0)+IF(J31&lt;K31,1,0))</f>
        <v>1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66"/>
      <c r="D31" s="166"/>
      <c r="E31" s="166"/>
      <c r="F31" s="166"/>
      <c r="G31" s="166"/>
      <c r="H31" s="166"/>
      <c r="I31" s="166"/>
      <c r="J31" s="126">
        <v>6</v>
      </c>
      <c r="K31" s="126">
        <v>1</v>
      </c>
      <c r="L31" s="166"/>
      <c r="M31" s="175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4.5" customHeight="1" x14ac:dyDescent="0.2">
      <c r="A32" s="94"/>
      <c r="B32" s="94"/>
      <c r="C32" s="222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2.75" customHeight="1" x14ac:dyDescent="0.2">
      <c r="A33" s="94"/>
      <c r="B33" s="94"/>
      <c r="C33" s="221" t="s">
        <v>259</v>
      </c>
      <c r="D33" s="206" t="s">
        <v>210</v>
      </c>
      <c r="E33" s="184" t="s">
        <v>167</v>
      </c>
      <c r="F33" s="184" t="s">
        <v>161</v>
      </c>
      <c r="G33" s="197" t="s">
        <v>205</v>
      </c>
      <c r="H33" s="184" t="s">
        <v>168</v>
      </c>
      <c r="I33" s="184" t="s">
        <v>156</v>
      </c>
      <c r="J33" s="126">
        <v>4</v>
      </c>
      <c r="K33" s="126">
        <v>6</v>
      </c>
      <c r="L33" s="184">
        <f>(IF(J33&gt;K33,1,0)+IF(J34&gt;K34,1,0))</f>
        <v>0</v>
      </c>
      <c r="M33" s="185">
        <f>(IF(J33&lt;K33,1,0)+IF(J34&lt;K34,1,0))</f>
        <v>2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2.75" customHeight="1" x14ac:dyDescent="0.2">
      <c r="A34" s="94"/>
      <c r="B34" s="94"/>
      <c r="C34" s="166"/>
      <c r="D34" s="166"/>
      <c r="E34" s="166"/>
      <c r="F34" s="166"/>
      <c r="G34" s="166"/>
      <c r="H34" s="166"/>
      <c r="I34" s="166"/>
      <c r="J34" s="126">
        <v>3</v>
      </c>
      <c r="K34" s="126">
        <v>6</v>
      </c>
      <c r="L34" s="166"/>
      <c r="M34" s="175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4.5" customHeight="1" x14ac:dyDescent="0.2">
      <c r="A35" s="94"/>
      <c r="B35" s="94"/>
      <c r="C35" s="222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2.75" customHeight="1" x14ac:dyDescent="0.2">
      <c r="A36" s="94"/>
      <c r="B36" s="94"/>
      <c r="C36" s="223" t="s">
        <v>260</v>
      </c>
      <c r="D36" s="151"/>
      <c r="E36" s="151"/>
      <c r="F36" s="151"/>
      <c r="G36" s="151"/>
      <c r="H36" s="151"/>
      <c r="I36" s="152"/>
      <c r="J36" s="127">
        <f t="shared" ref="J36:M36" si="1">SUM(J24:J34)</f>
        <v>39</v>
      </c>
      <c r="K36" s="127">
        <f t="shared" si="1"/>
        <v>38</v>
      </c>
      <c r="L36" s="127">
        <f t="shared" si="1"/>
        <v>4</v>
      </c>
      <c r="M36" s="127">
        <f t="shared" si="1"/>
        <v>4</v>
      </c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4.5" customHeight="1" x14ac:dyDescent="0.2">
      <c r="A37" s="94"/>
      <c r="B37" s="94"/>
      <c r="C37" s="222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2.75" customHeight="1" x14ac:dyDescent="0.2">
      <c r="A38" s="94"/>
      <c r="B38" s="94"/>
      <c r="C38" s="224" t="s">
        <v>261</v>
      </c>
      <c r="D38" s="151"/>
      <c r="E38" s="151"/>
      <c r="F38" s="151"/>
      <c r="G38" s="151"/>
      <c r="H38" s="151"/>
      <c r="I38" s="152"/>
      <c r="J38" s="129">
        <f>J36+J22</f>
        <v>83</v>
      </c>
      <c r="K38" s="129">
        <f>K36+K22</f>
        <v>67</v>
      </c>
      <c r="L38" s="129">
        <f>L36+L22</f>
        <v>10</v>
      </c>
      <c r="M38" s="129">
        <f>M36+M22</f>
        <v>6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6.75" customHeight="1" x14ac:dyDescent="0.2">
      <c r="A39" s="94"/>
      <c r="B39" s="94"/>
      <c r="C39" s="222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7.5" customHeight="1" x14ac:dyDescent="0.2">
      <c r="A40" s="94"/>
      <c r="B40" s="94"/>
      <c r="C40" s="227" t="s">
        <v>227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28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7.5" customHeight="1" x14ac:dyDescent="0.2">
      <c r="A41" s="94"/>
      <c r="B41" s="94"/>
      <c r="C41" s="199"/>
      <c r="D41" s="213"/>
      <c r="E41" s="213"/>
      <c r="F41" s="213"/>
      <c r="G41" s="213"/>
      <c r="H41" s="213"/>
      <c r="I41" s="213"/>
      <c r="J41" s="213"/>
      <c r="K41" s="213"/>
      <c r="L41" s="213"/>
      <c r="M41" s="195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5" customHeight="1" x14ac:dyDescent="0.2">
      <c r="A42" s="94"/>
      <c r="B42" s="94"/>
      <c r="C42" s="98" t="s">
        <v>202</v>
      </c>
      <c r="D42" s="98" t="s">
        <v>203</v>
      </c>
      <c r="E42" s="196" t="s">
        <v>228</v>
      </c>
      <c r="F42" s="152"/>
      <c r="G42" s="98" t="s">
        <v>205</v>
      </c>
      <c r="H42" s="196" t="s">
        <v>206</v>
      </c>
      <c r="I42" s="152"/>
      <c r="J42" s="196" t="s">
        <v>207</v>
      </c>
      <c r="K42" s="152"/>
      <c r="L42" s="196" t="s">
        <v>208</v>
      </c>
      <c r="M42" s="152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221" t="s">
        <v>209</v>
      </c>
      <c r="D43" s="193" t="s">
        <v>212</v>
      </c>
      <c r="E43" s="183" t="s">
        <v>10</v>
      </c>
      <c r="F43" s="183" t="s">
        <v>67</v>
      </c>
      <c r="G43" s="197" t="s">
        <v>205</v>
      </c>
      <c r="H43" s="183" t="s">
        <v>61</v>
      </c>
      <c r="I43" s="183" t="s">
        <v>75</v>
      </c>
      <c r="J43" s="126">
        <v>1</v>
      </c>
      <c r="K43" s="126">
        <v>6</v>
      </c>
      <c r="L43" s="184">
        <f>(IF(J43&gt;K43,1,0)+IF(J44&gt;K44,1,0))</f>
        <v>1</v>
      </c>
      <c r="M43" s="185">
        <f>(IF(J43&lt;K43,1,0)+IF(J44&lt;K44,1,0))</f>
        <v>1</v>
      </c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166"/>
      <c r="D44" s="166"/>
      <c r="E44" s="166"/>
      <c r="F44" s="166"/>
      <c r="G44" s="166"/>
      <c r="H44" s="166"/>
      <c r="I44" s="166"/>
      <c r="J44" s="126">
        <v>6</v>
      </c>
      <c r="K44" s="126">
        <v>1</v>
      </c>
      <c r="L44" s="166"/>
      <c r="M44" s="175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4.5" customHeight="1" x14ac:dyDescent="0.2">
      <c r="A45" s="94"/>
      <c r="B45" s="94"/>
      <c r="C45" s="222"/>
      <c r="D45" s="151"/>
      <c r="E45" s="151"/>
      <c r="F45" s="151"/>
      <c r="G45" s="151"/>
      <c r="H45" s="151"/>
      <c r="I45" s="151"/>
      <c r="J45" s="151"/>
      <c r="K45" s="151"/>
      <c r="L45" s="151"/>
      <c r="M45" s="152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221" t="s">
        <v>211</v>
      </c>
      <c r="D46" s="193" t="s">
        <v>214</v>
      </c>
      <c r="E46" s="183" t="s">
        <v>46</v>
      </c>
      <c r="F46" s="183" t="s">
        <v>53</v>
      </c>
      <c r="G46" s="197" t="s">
        <v>205</v>
      </c>
      <c r="H46" s="183" t="s">
        <v>40</v>
      </c>
      <c r="I46" s="183" t="s">
        <v>47</v>
      </c>
      <c r="J46" s="126">
        <v>6</v>
      </c>
      <c r="K46" s="126">
        <v>7</v>
      </c>
      <c r="L46" s="184">
        <f>(IF(J46&gt;K46,1,0)+IF(J47&gt;K47,1,0))</f>
        <v>0</v>
      </c>
      <c r="M46" s="185">
        <f>(IF(J46&lt;K46,1,0)+IF(J47&lt;K47,1,0))</f>
        <v>2</v>
      </c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166"/>
      <c r="D47" s="166"/>
      <c r="E47" s="166"/>
      <c r="F47" s="166"/>
      <c r="G47" s="166"/>
      <c r="H47" s="166"/>
      <c r="I47" s="166"/>
      <c r="J47" s="126">
        <v>1</v>
      </c>
      <c r="K47" s="126">
        <v>6</v>
      </c>
      <c r="L47" s="166"/>
      <c r="M47" s="175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4.5" customHeight="1" x14ac:dyDescent="0.2">
      <c r="A48" s="94"/>
      <c r="B48" s="94"/>
      <c r="C48" s="222"/>
      <c r="D48" s="151"/>
      <c r="E48" s="151"/>
      <c r="F48" s="151"/>
      <c r="G48" s="151"/>
      <c r="H48" s="151"/>
      <c r="I48" s="151"/>
      <c r="J48" s="151"/>
      <c r="K48" s="151"/>
      <c r="L48" s="151"/>
      <c r="M48" s="152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221" t="s">
        <v>213</v>
      </c>
      <c r="D49" s="193" t="s">
        <v>234</v>
      </c>
      <c r="E49" s="183" t="s">
        <v>18</v>
      </c>
      <c r="F49" s="183" t="s">
        <v>32</v>
      </c>
      <c r="G49" s="197" t="s">
        <v>205</v>
      </c>
      <c r="H49" s="183" t="s">
        <v>222</v>
      </c>
      <c r="I49" s="183" t="s">
        <v>33</v>
      </c>
      <c r="J49" s="126">
        <v>6</v>
      </c>
      <c r="K49" s="126">
        <v>3</v>
      </c>
      <c r="L49" s="184">
        <f>(IF(J49&gt;K49,1,0)+IF(J50&gt;K50,1,0))</f>
        <v>1</v>
      </c>
      <c r="M49" s="185">
        <f>(IF(J49&lt;K49,1,0)+IF(J50&lt;K50,1,0))</f>
        <v>1</v>
      </c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166"/>
      <c r="D50" s="166"/>
      <c r="E50" s="166"/>
      <c r="F50" s="166"/>
      <c r="G50" s="166"/>
      <c r="H50" s="166"/>
      <c r="I50" s="166"/>
      <c r="J50" s="126">
        <v>3</v>
      </c>
      <c r="K50" s="126">
        <v>6</v>
      </c>
      <c r="L50" s="166"/>
      <c r="M50" s="175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4.5" customHeight="1" x14ac:dyDescent="0.2">
      <c r="A51" s="94"/>
      <c r="B51" s="94"/>
      <c r="C51" s="222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221" t="s">
        <v>211</v>
      </c>
      <c r="D52" s="206" t="s">
        <v>215</v>
      </c>
      <c r="E52" s="183" t="s">
        <v>133</v>
      </c>
      <c r="F52" s="183" t="s">
        <v>146</v>
      </c>
      <c r="G52" s="197" t="s">
        <v>205</v>
      </c>
      <c r="H52" s="183" t="s">
        <v>134</v>
      </c>
      <c r="I52" s="183" t="s">
        <v>147</v>
      </c>
      <c r="J52" s="126">
        <v>3</v>
      </c>
      <c r="K52" s="126">
        <v>6</v>
      </c>
      <c r="L52" s="184">
        <f>(IF(J52&gt;K52,1,0)+IF(J53&gt;K53,1,0))</f>
        <v>1</v>
      </c>
      <c r="M52" s="185">
        <f>(IF(J52&lt;K52,1,0)+IF(J53&lt;K53,1,0))</f>
        <v>1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166"/>
      <c r="D53" s="166"/>
      <c r="E53" s="166"/>
      <c r="F53" s="166"/>
      <c r="G53" s="166"/>
      <c r="H53" s="166"/>
      <c r="I53" s="166"/>
      <c r="J53" s="126">
        <v>6</v>
      </c>
      <c r="K53" s="126">
        <v>4</v>
      </c>
      <c r="L53" s="166"/>
      <c r="M53" s="175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4.5" customHeight="1" x14ac:dyDescent="0.2">
      <c r="A54" s="94"/>
      <c r="B54" s="94"/>
      <c r="C54" s="222"/>
      <c r="D54" s="151"/>
      <c r="E54" s="151"/>
      <c r="F54" s="151"/>
      <c r="G54" s="151"/>
      <c r="H54" s="151"/>
      <c r="I54" s="151"/>
      <c r="J54" s="151"/>
      <c r="K54" s="151"/>
      <c r="L54" s="151"/>
      <c r="M54" s="152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2.75" customHeight="1" x14ac:dyDescent="0.2">
      <c r="A55" s="94"/>
      <c r="B55" s="94"/>
      <c r="C55" s="223" t="s">
        <v>258</v>
      </c>
      <c r="D55" s="151"/>
      <c r="E55" s="151"/>
      <c r="F55" s="151"/>
      <c r="G55" s="151"/>
      <c r="H55" s="151"/>
      <c r="I55" s="152"/>
      <c r="J55" s="127">
        <f t="shared" ref="J55:M55" si="2">SUM(J43:J53)</f>
        <v>32</v>
      </c>
      <c r="K55" s="127">
        <f t="shared" si="2"/>
        <v>39</v>
      </c>
      <c r="L55" s="127">
        <f t="shared" si="2"/>
        <v>3</v>
      </c>
      <c r="M55" s="127">
        <f t="shared" si="2"/>
        <v>5</v>
      </c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4.5" customHeight="1" x14ac:dyDescent="0.2">
      <c r="A56" s="94"/>
      <c r="B56" s="94"/>
      <c r="C56" s="222"/>
      <c r="D56" s="151"/>
      <c r="E56" s="151"/>
      <c r="F56" s="151"/>
      <c r="G56" s="151"/>
      <c r="H56" s="151"/>
      <c r="I56" s="151"/>
      <c r="J56" s="151"/>
      <c r="K56" s="151"/>
      <c r="L56" s="151"/>
      <c r="M56" s="152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221" t="s">
        <v>209</v>
      </c>
      <c r="D57" s="193" t="s">
        <v>210</v>
      </c>
      <c r="E57" s="183" t="s">
        <v>152</v>
      </c>
      <c r="F57" s="183" t="s">
        <v>164</v>
      </c>
      <c r="G57" s="197" t="s">
        <v>205</v>
      </c>
      <c r="H57" s="183" t="s">
        <v>153</v>
      </c>
      <c r="I57" s="183" t="s">
        <v>165</v>
      </c>
      <c r="J57" s="126">
        <v>1</v>
      </c>
      <c r="K57" s="126">
        <v>6</v>
      </c>
      <c r="L57" s="184">
        <f>(IF(J57&gt;K57,1,0)+IF(J58&gt;K58,1,0))</f>
        <v>0</v>
      </c>
      <c r="M57" s="185">
        <f>(IF(J57&lt;K57,1,0)+IF(J58&lt;K58,1,0))</f>
        <v>2</v>
      </c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166"/>
      <c r="D58" s="166"/>
      <c r="E58" s="166"/>
      <c r="F58" s="166"/>
      <c r="G58" s="166"/>
      <c r="H58" s="166"/>
      <c r="I58" s="166"/>
      <c r="J58" s="126">
        <v>0</v>
      </c>
      <c r="K58" s="126">
        <v>6</v>
      </c>
      <c r="L58" s="166"/>
      <c r="M58" s="175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4.5" customHeight="1" x14ac:dyDescent="0.2">
      <c r="A59" s="94"/>
      <c r="B59" s="94"/>
      <c r="C59" s="222"/>
      <c r="D59" s="151"/>
      <c r="E59" s="151"/>
      <c r="F59" s="151"/>
      <c r="G59" s="151"/>
      <c r="H59" s="151"/>
      <c r="I59" s="151"/>
      <c r="J59" s="151"/>
      <c r="K59" s="151"/>
      <c r="L59" s="151"/>
      <c r="M59" s="152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221" t="s">
        <v>211</v>
      </c>
      <c r="D60" s="193" t="s">
        <v>220</v>
      </c>
      <c r="E60" s="183" t="s">
        <v>235</v>
      </c>
      <c r="F60" s="183" t="s">
        <v>121</v>
      </c>
      <c r="G60" s="197" t="s">
        <v>205</v>
      </c>
      <c r="H60" s="183" t="s">
        <v>11</v>
      </c>
      <c r="I60" s="183" t="s">
        <v>262</v>
      </c>
      <c r="J60" s="126">
        <v>6</v>
      </c>
      <c r="K60" s="126">
        <v>4</v>
      </c>
      <c r="L60" s="184">
        <f>(IF(J60&gt;K60,1,0)+IF(J61&gt;K61,1,0))</f>
        <v>2</v>
      </c>
      <c r="M60" s="185">
        <f>(IF(J60&lt;K60,1,0)+IF(J61&lt;K61,1,0))</f>
        <v>0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166"/>
      <c r="D61" s="166"/>
      <c r="E61" s="166"/>
      <c r="F61" s="166"/>
      <c r="G61" s="166"/>
      <c r="H61" s="166"/>
      <c r="I61" s="166"/>
      <c r="J61" s="126">
        <v>7</v>
      </c>
      <c r="K61" s="126">
        <v>5</v>
      </c>
      <c r="L61" s="166"/>
      <c r="M61" s="175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4.5" customHeight="1" x14ac:dyDescent="0.2">
      <c r="A62" s="94"/>
      <c r="B62" s="94"/>
      <c r="C62" s="222"/>
      <c r="D62" s="151"/>
      <c r="E62" s="151"/>
      <c r="F62" s="151"/>
      <c r="G62" s="151"/>
      <c r="H62" s="151"/>
      <c r="I62" s="151"/>
      <c r="J62" s="151"/>
      <c r="K62" s="151"/>
      <c r="L62" s="151"/>
      <c r="M62" s="152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221" t="s">
        <v>213</v>
      </c>
      <c r="D63" s="193" t="s">
        <v>223</v>
      </c>
      <c r="E63" s="183" t="s">
        <v>81</v>
      </c>
      <c r="F63" s="183" t="s">
        <v>127</v>
      </c>
      <c r="G63" s="197" t="s">
        <v>205</v>
      </c>
      <c r="H63" s="183" t="s">
        <v>82</v>
      </c>
      <c r="I63" s="183" t="s">
        <v>128</v>
      </c>
      <c r="J63" s="126">
        <v>6</v>
      </c>
      <c r="K63" s="126">
        <v>4</v>
      </c>
      <c r="L63" s="184">
        <f>(IF(J63&gt;K63,1,0)+IF(J64&gt;K64,1,0))</f>
        <v>2</v>
      </c>
      <c r="M63" s="185">
        <f>(IF(J63&lt;K63,1,0)+IF(J64&lt;K64,1,0))</f>
        <v>0</v>
      </c>
      <c r="N63" s="94"/>
      <c r="O63" s="94"/>
      <c r="P63" s="94" t="s">
        <v>243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166"/>
      <c r="D64" s="166"/>
      <c r="E64" s="166"/>
      <c r="F64" s="166"/>
      <c r="G64" s="166"/>
      <c r="H64" s="166"/>
      <c r="I64" s="166"/>
      <c r="J64" s="126">
        <v>7</v>
      </c>
      <c r="K64" s="126">
        <v>5</v>
      </c>
      <c r="L64" s="166"/>
      <c r="M64" s="175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4.5" customHeight="1" x14ac:dyDescent="0.2">
      <c r="A65" s="94"/>
      <c r="B65" s="94"/>
      <c r="C65" s="222"/>
      <c r="D65" s="151"/>
      <c r="E65" s="151"/>
      <c r="F65" s="151"/>
      <c r="G65" s="151"/>
      <c r="H65" s="151"/>
      <c r="I65" s="151"/>
      <c r="J65" s="151"/>
      <c r="K65" s="151"/>
      <c r="L65" s="151"/>
      <c r="M65" s="152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221" t="s">
        <v>251</v>
      </c>
      <c r="D66" s="206" t="s">
        <v>217</v>
      </c>
      <c r="E66" s="183" t="s">
        <v>95</v>
      </c>
      <c r="F66" s="183" t="s">
        <v>102</v>
      </c>
      <c r="G66" s="197" t="s">
        <v>205</v>
      </c>
      <c r="H66" s="183" t="s">
        <v>103</v>
      </c>
      <c r="I66" s="183" t="s">
        <v>96</v>
      </c>
      <c r="J66" s="126">
        <v>6</v>
      </c>
      <c r="K66" s="126">
        <v>4</v>
      </c>
      <c r="L66" s="184">
        <f>(IF(J66&gt;K66,1,0)+IF(J67&gt;K67,1,0))</f>
        <v>2</v>
      </c>
      <c r="M66" s="185">
        <f>(IF(J66&lt;K66,1,0)+IF(J67&lt;K67,1,0))</f>
        <v>0</v>
      </c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166"/>
      <c r="D67" s="166"/>
      <c r="E67" s="166"/>
      <c r="F67" s="166"/>
      <c r="G67" s="166"/>
      <c r="H67" s="166"/>
      <c r="I67" s="166"/>
      <c r="J67" s="126">
        <v>7</v>
      </c>
      <c r="K67" s="126">
        <v>5</v>
      </c>
      <c r="L67" s="166"/>
      <c r="M67" s="175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4.5" customHeight="1" x14ac:dyDescent="0.2">
      <c r="A68" s="94"/>
      <c r="B68" s="94"/>
      <c r="C68" s="222"/>
      <c r="D68" s="151"/>
      <c r="E68" s="151"/>
      <c r="F68" s="151"/>
      <c r="G68" s="151"/>
      <c r="H68" s="151"/>
      <c r="I68" s="151"/>
      <c r="J68" s="151"/>
      <c r="K68" s="151"/>
      <c r="L68" s="151"/>
      <c r="M68" s="152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2.75" customHeight="1" x14ac:dyDescent="0.2">
      <c r="A69" s="94"/>
      <c r="B69" s="94"/>
      <c r="C69" s="223" t="s">
        <v>260</v>
      </c>
      <c r="D69" s="151"/>
      <c r="E69" s="151"/>
      <c r="F69" s="151"/>
      <c r="G69" s="151"/>
      <c r="H69" s="151"/>
      <c r="I69" s="152"/>
      <c r="J69" s="127">
        <f t="shared" ref="J69:M69" si="3">SUM(J57:J67)</f>
        <v>40</v>
      </c>
      <c r="K69" s="127">
        <f t="shared" si="3"/>
        <v>39</v>
      </c>
      <c r="L69" s="127">
        <f t="shared" si="3"/>
        <v>6</v>
      </c>
      <c r="M69" s="127">
        <f t="shared" si="3"/>
        <v>2</v>
      </c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4.5" customHeight="1" x14ac:dyDescent="0.2">
      <c r="A70" s="94"/>
      <c r="B70" s="94"/>
      <c r="C70" s="222"/>
      <c r="D70" s="151"/>
      <c r="E70" s="151"/>
      <c r="F70" s="151"/>
      <c r="G70" s="151"/>
      <c r="H70" s="151"/>
      <c r="I70" s="151"/>
      <c r="J70" s="151"/>
      <c r="K70" s="151"/>
      <c r="L70" s="151"/>
      <c r="M70" s="152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2.75" customHeight="1" x14ac:dyDescent="0.2">
      <c r="A71" s="94"/>
      <c r="B71" s="94"/>
      <c r="C71" s="224" t="s">
        <v>261</v>
      </c>
      <c r="D71" s="151"/>
      <c r="E71" s="151"/>
      <c r="F71" s="151"/>
      <c r="G71" s="151"/>
      <c r="H71" s="151"/>
      <c r="I71" s="152"/>
      <c r="J71" s="129">
        <f>J69+J55</f>
        <v>72</v>
      </c>
      <c r="K71" s="129">
        <f>K69+K55</f>
        <v>78</v>
      </c>
      <c r="L71" s="129">
        <f>L69+L55</f>
        <v>9</v>
      </c>
      <c r="M71" s="129">
        <f>M69+M55</f>
        <v>7</v>
      </c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6.75" customHeight="1" x14ac:dyDescent="0.2">
      <c r="A72" s="94"/>
      <c r="B72" s="94"/>
      <c r="C72" s="222"/>
      <c r="D72" s="151"/>
      <c r="E72" s="151"/>
      <c r="F72" s="151"/>
      <c r="G72" s="151"/>
      <c r="H72" s="151"/>
      <c r="I72" s="151"/>
      <c r="J72" s="151"/>
      <c r="K72" s="151"/>
      <c r="L72" s="151"/>
      <c r="M72" s="152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2.75" customHeight="1" x14ac:dyDescent="0.2">
      <c r="A73" s="94"/>
      <c r="B73" s="94"/>
      <c r="C73" s="227" t="s">
        <v>236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28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.5" customHeight="1" x14ac:dyDescent="0.2">
      <c r="A74" s="94"/>
      <c r="B74" s="94"/>
      <c r="C74" s="199"/>
      <c r="D74" s="213"/>
      <c r="E74" s="213"/>
      <c r="F74" s="213"/>
      <c r="G74" s="213"/>
      <c r="H74" s="213"/>
      <c r="I74" s="213"/>
      <c r="J74" s="213"/>
      <c r="K74" s="213"/>
      <c r="L74" s="213"/>
      <c r="M74" s="195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7.25" customHeight="1" x14ac:dyDescent="0.2">
      <c r="A75" s="94"/>
      <c r="B75" s="94"/>
      <c r="C75" s="132" t="s">
        <v>202</v>
      </c>
      <c r="D75" s="98" t="s">
        <v>203</v>
      </c>
      <c r="E75" s="196" t="s">
        <v>204</v>
      </c>
      <c r="F75" s="152"/>
      <c r="G75" s="98" t="s">
        <v>205</v>
      </c>
      <c r="H75" s="196" t="s">
        <v>237</v>
      </c>
      <c r="I75" s="152"/>
      <c r="J75" s="196" t="s">
        <v>207</v>
      </c>
      <c r="K75" s="152"/>
      <c r="L75" s="196" t="s">
        <v>208</v>
      </c>
      <c r="M75" s="152"/>
      <c r="N75" s="94"/>
      <c r="O75" s="94"/>
      <c r="P75" s="94"/>
      <c r="Q75" s="94"/>
      <c r="R75" s="94" t="s">
        <v>243</v>
      </c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221" t="s">
        <v>209</v>
      </c>
      <c r="D76" s="193" t="s">
        <v>214</v>
      </c>
      <c r="E76" s="183" t="s">
        <v>52</v>
      </c>
      <c r="F76" s="183" t="s">
        <v>45</v>
      </c>
      <c r="G76" s="197" t="s">
        <v>205</v>
      </c>
      <c r="H76" s="183" t="s">
        <v>48</v>
      </c>
      <c r="I76" s="183" t="s">
        <v>55</v>
      </c>
      <c r="J76" s="126">
        <v>4</v>
      </c>
      <c r="K76" s="126">
        <v>6</v>
      </c>
      <c r="L76" s="184">
        <f>(IF(J76&gt;K76,1,0)+IF(J77&gt;K77,1,0))</f>
        <v>0</v>
      </c>
      <c r="M76" s="185">
        <f>(IF(J76&lt;K76,1,0)+IF(J77&lt;K77,1,0))</f>
        <v>2</v>
      </c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166"/>
      <c r="D77" s="166"/>
      <c r="E77" s="166"/>
      <c r="F77" s="166"/>
      <c r="G77" s="166"/>
      <c r="H77" s="166"/>
      <c r="I77" s="166"/>
      <c r="J77" s="126">
        <v>2</v>
      </c>
      <c r="K77" s="126">
        <v>6</v>
      </c>
      <c r="L77" s="166"/>
      <c r="M77" s="175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4.5" customHeight="1" x14ac:dyDescent="0.2">
      <c r="A78" s="94"/>
      <c r="B78" s="94"/>
      <c r="C78" s="222"/>
      <c r="D78" s="151"/>
      <c r="E78" s="151"/>
      <c r="F78" s="151"/>
      <c r="G78" s="151"/>
      <c r="H78" s="151"/>
      <c r="I78" s="151"/>
      <c r="J78" s="151"/>
      <c r="K78" s="151"/>
      <c r="L78" s="151"/>
      <c r="M78" s="152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221" t="s">
        <v>211</v>
      </c>
      <c r="D79" s="193" t="s">
        <v>234</v>
      </c>
      <c r="E79" s="183" t="s">
        <v>17</v>
      </c>
      <c r="F79" s="183" t="s">
        <v>31</v>
      </c>
      <c r="G79" s="197" t="s">
        <v>205</v>
      </c>
      <c r="H79" s="183" t="s">
        <v>20</v>
      </c>
      <c r="I79" s="183" t="s">
        <v>263</v>
      </c>
      <c r="J79" s="126">
        <v>6</v>
      </c>
      <c r="K79" s="126">
        <v>0</v>
      </c>
      <c r="L79" s="184">
        <f>(IF(J79&gt;K79,1,0)+IF(J80&gt;K80,1,0))</f>
        <v>1</v>
      </c>
      <c r="M79" s="185">
        <f>(IF(J79&lt;K79,1,0)+IF(J80&lt;K80,1,0))</f>
        <v>1</v>
      </c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166"/>
      <c r="D80" s="166"/>
      <c r="E80" s="166"/>
      <c r="F80" s="166"/>
      <c r="G80" s="166"/>
      <c r="H80" s="166"/>
      <c r="I80" s="166"/>
      <c r="J80" s="126">
        <v>4</v>
      </c>
      <c r="K80" s="126">
        <v>6</v>
      </c>
      <c r="L80" s="166"/>
      <c r="M80" s="175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4.5" customHeight="1" x14ac:dyDescent="0.2">
      <c r="A81" s="94"/>
      <c r="B81" s="94"/>
      <c r="C81" s="222"/>
      <c r="D81" s="151"/>
      <c r="E81" s="151"/>
      <c r="F81" s="151"/>
      <c r="G81" s="151"/>
      <c r="H81" s="151"/>
      <c r="I81" s="151"/>
      <c r="J81" s="151"/>
      <c r="K81" s="151"/>
      <c r="L81" s="151"/>
      <c r="M81" s="152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221" t="s">
        <v>213</v>
      </c>
      <c r="D82" s="193" t="s">
        <v>220</v>
      </c>
      <c r="E82" s="183" t="s">
        <v>108</v>
      </c>
      <c r="F82" s="183" t="s">
        <v>114</v>
      </c>
      <c r="G82" s="197" t="s">
        <v>205</v>
      </c>
      <c r="H82" s="183" t="s">
        <v>117</v>
      </c>
      <c r="I82" s="183" t="s">
        <v>123</v>
      </c>
      <c r="J82" s="126">
        <v>6</v>
      </c>
      <c r="K82" s="126">
        <v>2</v>
      </c>
      <c r="L82" s="184">
        <f>(IF(J82&gt;K82,1,0)+IF(J83&gt;K83,1,0))</f>
        <v>2</v>
      </c>
      <c r="M82" s="185">
        <f>(IF(J82&lt;K82,1,0)+IF(J83&lt;K83,1,0))</f>
        <v>0</v>
      </c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166"/>
      <c r="D83" s="166"/>
      <c r="E83" s="166"/>
      <c r="F83" s="166"/>
      <c r="G83" s="166"/>
      <c r="H83" s="166"/>
      <c r="I83" s="166"/>
      <c r="J83" s="126">
        <v>6</v>
      </c>
      <c r="K83" s="126">
        <v>0</v>
      </c>
      <c r="L83" s="166"/>
      <c r="M83" s="175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4.5" customHeight="1" x14ac:dyDescent="0.2">
      <c r="A84" s="94"/>
      <c r="B84" s="94"/>
      <c r="C84" s="222"/>
      <c r="D84" s="151"/>
      <c r="E84" s="151"/>
      <c r="F84" s="151"/>
      <c r="G84" s="151"/>
      <c r="H84" s="151"/>
      <c r="I84" s="151"/>
      <c r="J84" s="151"/>
      <c r="K84" s="151"/>
      <c r="L84" s="151"/>
      <c r="M84" s="152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221" t="s">
        <v>213</v>
      </c>
      <c r="D85" s="206" t="s">
        <v>210</v>
      </c>
      <c r="E85" s="184" t="s">
        <v>157</v>
      </c>
      <c r="F85" s="184" t="s">
        <v>163</v>
      </c>
      <c r="G85" s="197" t="s">
        <v>205</v>
      </c>
      <c r="H85" s="184" t="s">
        <v>154</v>
      </c>
      <c r="I85" s="184" t="s">
        <v>166</v>
      </c>
      <c r="J85" s="126">
        <v>4</v>
      </c>
      <c r="K85" s="126">
        <v>6</v>
      </c>
      <c r="L85" s="184">
        <f>(IF(J85&gt;K85,1,0)+IF(J86&gt;K86,1,0))</f>
        <v>1</v>
      </c>
      <c r="M85" s="185">
        <f>(IF(J85&lt;K85,1,0)+IF(J86&lt;K86,1,0))</f>
        <v>1</v>
      </c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2.75" customHeight="1" x14ac:dyDescent="0.2">
      <c r="A86" s="94"/>
      <c r="B86" s="94"/>
      <c r="C86" s="166"/>
      <c r="D86" s="166"/>
      <c r="E86" s="166"/>
      <c r="F86" s="166"/>
      <c r="G86" s="166"/>
      <c r="H86" s="166"/>
      <c r="I86" s="166"/>
      <c r="J86" s="126">
        <v>6</v>
      </c>
      <c r="K86" s="126">
        <v>4</v>
      </c>
      <c r="L86" s="166"/>
      <c r="M86" s="175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4.5" customHeight="1" x14ac:dyDescent="0.2">
      <c r="A87" s="94"/>
      <c r="B87" s="94"/>
      <c r="C87" s="222"/>
      <c r="D87" s="151"/>
      <c r="E87" s="151"/>
      <c r="F87" s="151"/>
      <c r="G87" s="151"/>
      <c r="H87" s="151"/>
      <c r="I87" s="151"/>
      <c r="J87" s="151"/>
      <c r="K87" s="151"/>
      <c r="L87" s="151"/>
      <c r="M87" s="152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2.75" customHeight="1" x14ac:dyDescent="0.2">
      <c r="A88" s="94"/>
      <c r="B88" s="94"/>
      <c r="C88" s="223" t="s">
        <v>258</v>
      </c>
      <c r="D88" s="151"/>
      <c r="E88" s="151"/>
      <c r="F88" s="151"/>
      <c r="G88" s="151"/>
      <c r="H88" s="151"/>
      <c r="I88" s="152"/>
      <c r="J88" s="127">
        <f t="shared" ref="J88:M88" si="4">SUM(J76:J86)</f>
        <v>38</v>
      </c>
      <c r="K88" s="127">
        <f t="shared" si="4"/>
        <v>30</v>
      </c>
      <c r="L88" s="127">
        <f t="shared" si="4"/>
        <v>4</v>
      </c>
      <c r="M88" s="127">
        <f t="shared" si="4"/>
        <v>4</v>
      </c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4.5" customHeight="1" x14ac:dyDescent="0.2">
      <c r="A89" s="94"/>
      <c r="B89" s="94"/>
      <c r="C89" s="222"/>
      <c r="D89" s="151"/>
      <c r="E89" s="151"/>
      <c r="F89" s="151"/>
      <c r="G89" s="151"/>
      <c r="H89" s="151"/>
      <c r="I89" s="151"/>
      <c r="J89" s="151"/>
      <c r="K89" s="151"/>
      <c r="L89" s="151"/>
      <c r="M89" s="152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221" t="s">
        <v>209</v>
      </c>
      <c r="D90" s="193" t="s">
        <v>212</v>
      </c>
      <c r="E90" s="183" t="s">
        <v>59</v>
      </c>
      <c r="F90" s="183" t="s">
        <v>73</v>
      </c>
      <c r="G90" s="197" t="s">
        <v>205</v>
      </c>
      <c r="H90" s="183" t="s">
        <v>76</v>
      </c>
      <c r="I90" s="183" t="s">
        <v>69</v>
      </c>
      <c r="J90" s="126">
        <v>6</v>
      </c>
      <c r="K90" s="126">
        <v>3</v>
      </c>
      <c r="L90" s="184">
        <f>(IF(J90&gt;K90,1,0)+IF(J91&gt;K91,1,0))</f>
        <v>1</v>
      </c>
      <c r="M90" s="185">
        <f>(IF(J90&lt;K90,1,0)+IF(J91&lt;K91,1,0))</f>
        <v>1</v>
      </c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166"/>
      <c r="D91" s="166"/>
      <c r="E91" s="166"/>
      <c r="F91" s="166"/>
      <c r="G91" s="166"/>
      <c r="H91" s="166"/>
      <c r="I91" s="166"/>
      <c r="J91" s="126">
        <v>6</v>
      </c>
      <c r="K91" s="126">
        <v>7</v>
      </c>
      <c r="L91" s="166"/>
      <c r="M91" s="175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4.5" customHeight="1" x14ac:dyDescent="0.2">
      <c r="A92" s="94"/>
      <c r="B92" s="94"/>
      <c r="C92" s="222"/>
      <c r="D92" s="151"/>
      <c r="E92" s="151"/>
      <c r="F92" s="151"/>
      <c r="G92" s="151"/>
      <c r="H92" s="151"/>
      <c r="I92" s="151"/>
      <c r="J92" s="151"/>
      <c r="K92" s="151"/>
      <c r="L92" s="151"/>
      <c r="M92" s="152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221" t="s">
        <v>211</v>
      </c>
      <c r="D93" s="193" t="s">
        <v>223</v>
      </c>
      <c r="E93" s="183" t="s">
        <v>126</v>
      </c>
      <c r="F93" s="183" t="s">
        <v>9</v>
      </c>
      <c r="G93" s="197" t="s">
        <v>205</v>
      </c>
      <c r="H93" s="183" t="s">
        <v>83</v>
      </c>
      <c r="I93" s="183" t="s">
        <v>141</v>
      </c>
      <c r="J93" s="126">
        <v>4</v>
      </c>
      <c r="K93" s="126">
        <v>6</v>
      </c>
      <c r="L93" s="184">
        <f>(IF(J93&gt;K93,1,0)+IF(J94&gt;K94,1,0))</f>
        <v>1</v>
      </c>
      <c r="M93" s="185">
        <f>(IF(J93&lt;K93,1,0)+IF(J94&lt;K94,1,0))</f>
        <v>1</v>
      </c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166"/>
      <c r="D94" s="166"/>
      <c r="E94" s="166"/>
      <c r="F94" s="166"/>
      <c r="G94" s="166"/>
      <c r="H94" s="166"/>
      <c r="I94" s="166"/>
      <c r="J94" s="126">
        <v>6</v>
      </c>
      <c r="K94" s="126">
        <v>4</v>
      </c>
      <c r="L94" s="166"/>
      <c r="M94" s="175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4.5" customHeight="1" x14ac:dyDescent="0.2">
      <c r="A95" s="94"/>
      <c r="B95" s="94"/>
      <c r="C95" s="222"/>
      <c r="D95" s="151"/>
      <c r="E95" s="151"/>
      <c r="F95" s="151"/>
      <c r="G95" s="151"/>
      <c r="H95" s="151"/>
      <c r="I95" s="151"/>
      <c r="J95" s="151"/>
      <c r="K95" s="151"/>
      <c r="L95" s="151"/>
      <c r="M95" s="152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221" t="s">
        <v>213</v>
      </c>
      <c r="D96" s="193" t="s">
        <v>215</v>
      </c>
      <c r="E96" s="183" t="s">
        <v>138</v>
      </c>
      <c r="F96" s="183" t="s">
        <v>195</v>
      </c>
      <c r="G96" s="197" t="s">
        <v>205</v>
      </c>
      <c r="H96" s="183" t="s">
        <v>129</v>
      </c>
      <c r="I96" s="183" t="s">
        <v>135</v>
      </c>
      <c r="J96" s="126">
        <v>5</v>
      </c>
      <c r="K96" s="126">
        <v>7</v>
      </c>
      <c r="L96" s="184">
        <f>(IF(J96&gt;K96,1,0)+IF(J97&gt;K97,1,0))</f>
        <v>1</v>
      </c>
      <c r="M96" s="185">
        <f>(IF(J96&lt;K96,1,0)+IF(J97&lt;K97,1,0))</f>
        <v>1</v>
      </c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166"/>
      <c r="D97" s="166"/>
      <c r="E97" s="166"/>
      <c r="F97" s="166"/>
      <c r="G97" s="166"/>
      <c r="H97" s="166"/>
      <c r="I97" s="166"/>
      <c r="J97" s="126">
        <v>7</v>
      </c>
      <c r="K97" s="126">
        <v>6</v>
      </c>
      <c r="L97" s="166"/>
      <c r="M97" s="175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4.5" customHeight="1" x14ac:dyDescent="0.2">
      <c r="A98" s="94"/>
      <c r="B98" s="94"/>
      <c r="C98" s="222"/>
      <c r="D98" s="151"/>
      <c r="E98" s="151"/>
      <c r="F98" s="151"/>
      <c r="G98" s="151"/>
      <c r="H98" s="151"/>
      <c r="I98" s="151"/>
      <c r="J98" s="151"/>
      <c r="K98" s="151"/>
      <c r="L98" s="151"/>
      <c r="M98" s="152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221" t="s">
        <v>264</v>
      </c>
      <c r="D99" s="206" t="s">
        <v>217</v>
      </c>
      <c r="E99" s="183" t="s">
        <v>101</v>
      </c>
      <c r="F99" s="183" t="s">
        <v>252</v>
      </c>
      <c r="G99" s="197" t="s">
        <v>205</v>
      </c>
      <c r="H99" s="183" t="s">
        <v>104</v>
      </c>
      <c r="I99" s="183" t="s">
        <v>97</v>
      </c>
      <c r="J99" s="126">
        <v>6</v>
      </c>
      <c r="K99" s="126">
        <v>1</v>
      </c>
      <c r="L99" s="184">
        <f>(IF(J99&gt;K99,1,0)+IF(J100&gt;K100,1,0))</f>
        <v>1</v>
      </c>
      <c r="M99" s="185">
        <f>(IF(J99&lt;K99,1,0)+IF(J100&lt;K100,1,0))</f>
        <v>1</v>
      </c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166"/>
      <c r="D100" s="166"/>
      <c r="E100" s="166"/>
      <c r="F100" s="166"/>
      <c r="G100" s="166"/>
      <c r="H100" s="166"/>
      <c r="I100" s="166"/>
      <c r="J100" s="126">
        <v>3</v>
      </c>
      <c r="K100" s="126">
        <v>6</v>
      </c>
      <c r="L100" s="166"/>
      <c r="M100" s="175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4.5" customHeight="1" x14ac:dyDescent="0.2">
      <c r="A101" s="94"/>
      <c r="B101" s="94"/>
      <c r="C101" s="222"/>
      <c r="D101" s="151"/>
      <c r="E101" s="151"/>
      <c r="F101" s="151"/>
      <c r="G101" s="151"/>
      <c r="H101" s="151"/>
      <c r="I101" s="151"/>
      <c r="J101" s="151"/>
      <c r="K101" s="151"/>
      <c r="L101" s="151"/>
      <c r="M101" s="152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2.75" customHeight="1" x14ac:dyDescent="0.2">
      <c r="A102" s="94"/>
      <c r="B102" s="94"/>
      <c r="C102" s="223" t="s">
        <v>260</v>
      </c>
      <c r="D102" s="151"/>
      <c r="E102" s="151"/>
      <c r="F102" s="151"/>
      <c r="G102" s="151"/>
      <c r="H102" s="151"/>
      <c r="I102" s="152"/>
      <c r="J102" s="127">
        <f t="shared" ref="J102:M102" si="5">SUM(J90:J100)</f>
        <v>43</v>
      </c>
      <c r="K102" s="127">
        <f t="shared" si="5"/>
        <v>40</v>
      </c>
      <c r="L102" s="127">
        <f t="shared" si="5"/>
        <v>4</v>
      </c>
      <c r="M102" s="127">
        <f t="shared" si="5"/>
        <v>4</v>
      </c>
      <c r="N102" s="94"/>
      <c r="O102" s="94"/>
      <c r="P102" s="94"/>
      <c r="Q102" s="94" t="s">
        <v>243</v>
      </c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4.5" customHeight="1" x14ac:dyDescent="0.2">
      <c r="A103" s="94"/>
      <c r="B103" s="94"/>
      <c r="C103" s="222"/>
      <c r="D103" s="151"/>
      <c r="E103" s="151"/>
      <c r="F103" s="151"/>
      <c r="G103" s="151"/>
      <c r="H103" s="151"/>
      <c r="I103" s="151"/>
      <c r="J103" s="151"/>
      <c r="K103" s="151"/>
      <c r="L103" s="151"/>
      <c r="M103" s="152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224" t="s">
        <v>261</v>
      </c>
      <c r="D104" s="151"/>
      <c r="E104" s="151"/>
      <c r="F104" s="151"/>
      <c r="G104" s="151"/>
      <c r="H104" s="151"/>
      <c r="I104" s="152"/>
      <c r="J104" s="129">
        <f>J102+J88</f>
        <v>81</v>
      </c>
      <c r="K104" s="129">
        <f>K102+K88</f>
        <v>70</v>
      </c>
      <c r="L104" s="129">
        <f>L102+L88</f>
        <v>8</v>
      </c>
      <c r="M104" s="129">
        <f>M102+M88</f>
        <v>8</v>
      </c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6.75" customHeight="1" x14ac:dyDescent="0.2">
      <c r="A105" s="94"/>
      <c r="B105" s="94"/>
      <c r="C105" s="222"/>
      <c r="D105" s="151"/>
      <c r="E105" s="151"/>
      <c r="F105" s="151"/>
      <c r="G105" s="151"/>
      <c r="H105" s="151"/>
      <c r="I105" s="151"/>
      <c r="J105" s="151"/>
      <c r="K105" s="151"/>
      <c r="L105" s="151"/>
      <c r="M105" s="152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 t="s">
        <v>243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</sheetData>
  <mergeCells count="276">
    <mergeCell ref="I99:I100"/>
    <mergeCell ref="L99:L100"/>
    <mergeCell ref="M99:M100"/>
    <mergeCell ref="C101:M101"/>
    <mergeCell ref="C102:I102"/>
    <mergeCell ref="C103:M103"/>
    <mergeCell ref="C104:I104"/>
    <mergeCell ref="C105:M105"/>
    <mergeCell ref="C96:C97"/>
    <mergeCell ref="C99:C100"/>
    <mergeCell ref="D99:D100"/>
    <mergeCell ref="E99:E100"/>
    <mergeCell ref="F99:F100"/>
    <mergeCell ref="G99:G100"/>
    <mergeCell ref="H99:H100"/>
    <mergeCell ref="H93:H94"/>
    <mergeCell ref="I93:I94"/>
    <mergeCell ref="L93:L94"/>
    <mergeCell ref="M93:M94"/>
    <mergeCell ref="C95:M95"/>
    <mergeCell ref="E90:E91"/>
    <mergeCell ref="F90:F91"/>
    <mergeCell ref="C93:C94"/>
    <mergeCell ref="D93:D94"/>
    <mergeCell ref="E93:E94"/>
    <mergeCell ref="F93:F94"/>
    <mergeCell ref="G93:G94"/>
    <mergeCell ref="G90:G91"/>
    <mergeCell ref="H90:H91"/>
    <mergeCell ref="I90:I91"/>
    <mergeCell ref="L90:L91"/>
    <mergeCell ref="M90:M91"/>
    <mergeCell ref="C92:M92"/>
    <mergeCell ref="I85:I86"/>
    <mergeCell ref="C87:M87"/>
    <mergeCell ref="C88:I88"/>
    <mergeCell ref="C89:M89"/>
    <mergeCell ref="C90:C91"/>
    <mergeCell ref="D90:D91"/>
    <mergeCell ref="L96:L97"/>
    <mergeCell ref="M96:M97"/>
    <mergeCell ref="D96:D97"/>
    <mergeCell ref="E96:E97"/>
    <mergeCell ref="F96:F97"/>
    <mergeCell ref="G96:G97"/>
    <mergeCell ref="H96:H97"/>
    <mergeCell ref="I96:I97"/>
    <mergeCell ref="C98:M98"/>
    <mergeCell ref="G46:G47"/>
    <mergeCell ref="H46:H47"/>
    <mergeCell ref="C49:C50"/>
    <mergeCell ref="C52:C53"/>
    <mergeCell ref="D52:D53"/>
    <mergeCell ref="E52:E53"/>
    <mergeCell ref="F52:F53"/>
    <mergeCell ref="G52:G53"/>
    <mergeCell ref="H52:H53"/>
    <mergeCell ref="C51:M51"/>
    <mergeCell ref="I33:I34"/>
    <mergeCell ref="L33:L34"/>
    <mergeCell ref="M33:M34"/>
    <mergeCell ref="C35:M35"/>
    <mergeCell ref="C36:I36"/>
    <mergeCell ref="C37:M37"/>
    <mergeCell ref="C38:I38"/>
    <mergeCell ref="C39:M39"/>
    <mergeCell ref="C40:M41"/>
    <mergeCell ref="E42:F42"/>
    <mergeCell ref="H42:I42"/>
    <mergeCell ref="J42:K42"/>
    <mergeCell ref="L42:M42"/>
    <mergeCell ref="L43:L44"/>
    <mergeCell ref="M43:M44"/>
    <mergeCell ref="L46:L47"/>
    <mergeCell ref="M46:M47"/>
    <mergeCell ref="D43:D44"/>
    <mergeCell ref="E43:E44"/>
    <mergeCell ref="F43:F44"/>
    <mergeCell ref="G43:G44"/>
    <mergeCell ref="H43:H44"/>
    <mergeCell ref="C30:C31"/>
    <mergeCell ref="C33:C34"/>
    <mergeCell ref="D33:D34"/>
    <mergeCell ref="E33:E34"/>
    <mergeCell ref="F33:F34"/>
    <mergeCell ref="G33:G34"/>
    <mergeCell ref="H33:H34"/>
    <mergeCell ref="L49:L50"/>
    <mergeCell ref="M49:M50"/>
    <mergeCell ref="D49:D50"/>
    <mergeCell ref="E49:E50"/>
    <mergeCell ref="F49:F50"/>
    <mergeCell ref="G49:G50"/>
    <mergeCell ref="H49:H50"/>
    <mergeCell ref="I49:I50"/>
    <mergeCell ref="I43:I44"/>
    <mergeCell ref="C45:M45"/>
    <mergeCell ref="I46:I47"/>
    <mergeCell ref="C48:M48"/>
    <mergeCell ref="C43:C44"/>
    <mergeCell ref="C46:C47"/>
    <mergeCell ref="D46:D47"/>
    <mergeCell ref="E46:E47"/>
    <mergeCell ref="F46:F47"/>
    <mergeCell ref="H27:H28"/>
    <mergeCell ref="I27:I28"/>
    <mergeCell ref="L27:L28"/>
    <mergeCell ref="M27:M28"/>
    <mergeCell ref="C29:M29"/>
    <mergeCell ref="E24:E25"/>
    <mergeCell ref="F24:F25"/>
    <mergeCell ref="C27:C28"/>
    <mergeCell ref="D27:D28"/>
    <mergeCell ref="E27:E28"/>
    <mergeCell ref="F27:F28"/>
    <mergeCell ref="G27:G28"/>
    <mergeCell ref="I24:I25"/>
    <mergeCell ref="L24:L25"/>
    <mergeCell ref="M24:M25"/>
    <mergeCell ref="C26:M26"/>
    <mergeCell ref="I19:I20"/>
    <mergeCell ref="C21:M21"/>
    <mergeCell ref="C22:I22"/>
    <mergeCell ref="C23:M23"/>
    <mergeCell ref="C24:C25"/>
    <mergeCell ref="D24:D25"/>
    <mergeCell ref="L13:L14"/>
    <mergeCell ref="M13:M14"/>
    <mergeCell ref="L19:L20"/>
    <mergeCell ref="M19:M20"/>
    <mergeCell ref="L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C16:C17"/>
    <mergeCell ref="C19:C20"/>
    <mergeCell ref="D19:D20"/>
    <mergeCell ref="E19:E20"/>
    <mergeCell ref="C1:M2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H85:H86"/>
    <mergeCell ref="L16:L17"/>
    <mergeCell ref="M16:M17"/>
    <mergeCell ref="D16:D17"/>
    <mergeCell ref="E16:E17"/>
    <mergeCell ref="F16:F17"/>
    <mergeCell ref="G16:G17"/>
    <mergeCell ref="H16:H17"/>
    <mergeCell ref="I16:I17"/>
    <mergeCell ref="C18:M18"/>
    <mergeCell ref="F19:F20"/>
    <mergeCell ref="G19:G20"/>
    <mergeCell ref="H19:H20"/>
    <mergeCell ref="L30:L31"/>
    <mergeCell ref="M30:M31"/>
    <mergeCell ref="D30:D31"/>
    <mergeCell ref="E30:E31"/>
    <mergeCell ref="F30:F31"/>
    <mergeCell ref="G30:G31"/>
    <mergeCell ref="H30:H31"/>
    <mergeCell ref="I30:I31"/>
    <mergeCell ref="C32:M32"/>
    <mergeCell ref="G24:G25"/>
    <mergeCell ref="H24:H25"/>
    <mergeCell ref="L85:L86"/>
    <mergeCell ref="M85:M86"/>
    <mergeCell ref="D76:D77"/>
    <mergeCell ref="E76:E77"/>
    <mergeCell ref="F76:F77"/>
    <mergeCell ref="G76:G77"/>
    <mergeCell ref="H76:H77"/>
    <mergeCell ref="I76:I77"/>
    <mergeCell ref="C78:M78"/>
    <mergeCell ref="I79:I80"/>
    <mergeCell ref="C81:M81"/>
    <mergeCell ref="C76:C77"/>
    <mergeCell ref="C79:C80"/>
    <mergeCell ref="D79:D80"/>
    <mergeCell ref="E79:E80"/>
    <mergeCell ref="F79:F80"/>
    <mergeCell ref="G79:G80"/>
    <mergeCell ref="H79:H80"/>
    <mergeCell ref="C82:C83"/>
    <mergeCell ref="C85:C86"/>
    <mergeCell ref="D85:D86"/>
    <mergeCell ref="E85:E86"/>
    <mergeCell ref="F85:F86"/>
    <mergeCell ref="G85:G86"/>
    <mergeCell ref="C84:M84"/>
    <mergeCell ref="I66:I67"/>
    <mergeCell ref="L66:L67"/>
    <mergeCell ref="M66:M67"/>
    <mergeCell ref="C68:M68"/>
    <mergeCell ref="C69:I69"/>
    <mergeCell ref="C70:M70"/>
    <mergeCell ref="C71:I71"/>
    <mergeCell ref="C72:M72"/>
    <mergeCell ref="C73:M74"/>
    <mergeCell ref="E75:F75"/>
    <mergeCell ref="H75:I75"/>
    <mergeCell ref="J75:K75"/>
    <mergeCell ref="L75:M75"/>
    <mergeCell ref="L76:L77"/>
    <mergeCell ref="M76:M77"/>
    <mergeCell ref="L79:L80"/>
    <mergeCell ref="M79:M80"/>
    <mergeCell ref="C66:C67"/>
    <mergeCell ref="D66:D67"/>
    <mergeCell ref="E66:E67"/>
    <mergeCell ref="F66:F67"/>
    <mergeCell ref="G66:G67"/>
    <mergeCell ref="H66:H67"/>
    <mergeCell ref="L82:L83"/>
    <mergeCell ref="M82:M83"/>
    <mergeCell ref="D82:D83"/>
    <mergeCell ref="E82:E83"/>
    <mergeCell ref="F82:F83"/>
    <mergeCell ref="G82:G83"/>
    <mergeCell ref="H82:H83"/>
    <mergeCell ref="I82:I83"/>
    <mergeCell ref="H60:H61"/>
    <mergeCell ref="I60:I61"/>
    <mergeCell ref="L60:L61"/>
    <mergeCell ref="M60:M61"/>
    <mergeCell ref="C62:M62"/>
    <mergeCell ref="E57:E58"/>
    <mergeCell ref="F57:F58"/>
    <mergeCell ref="C60:C61"/>
    <mergeCell ref="D60:D61"/>
    <mergeCell ref="E60:E61"/>
    <mergeCell ref="F60:F61"/>
    <mergeCell ref="G60:G61"/>
    <mergeCell ref="G57:G58"/>
    <mergeCell ref="H57:H58"/>
    <mergeCell ref="I57:I58"/>
    <mergeCell ref="L57:L58"/>
    <mergeCell ref="M57:M58"/>
    <mergeCell ref="C59:M59"/>
    <mergeCell ref="I52:I53"/>
    <mergeCell ref="C54:M54"/>
    <mergeCell ref="C55:I55"/>
    <mergeCell ref="C56:M56"/>
    <mergeCell ref="C57:C58"/>
    <mergeCell ref="D57:D58"/>
    <mergeCell ref="L52:L53"/>
    <mergeCell ref="M52:M53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  <mergeCell ref="C63:C64"/>
  </mergeCells>
  <pageMargins left="0.23622047244094491" right="0.23622047244094491" top="0.15748031496062992" bottom="0.15748031496062992" header="0.31496062992125984" footer="0.31496062992125984"/>
  <pageSetup scale="7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topLeftCell="B1" workbookViewId="0">
      <selection activeCell="N8" sqref="N8"/>
    </sheetView>
  </sheetViews>
  <sheetFormatPr defaultColWidth="14.42578125" defaultRowHeight="15" customHeight="1" x14ac:dyDescent="0.2"/>
  <cols>
    <col min="1" max="1" width="2.7109375" hidden="1" customWidth="1"/>
    <col min="2" max="2" width="2.7109375" customWidth="1"/>
    <col min="3" max="3" width="9.42578125" customWidth="1"/>
    <col min="4" max="4" width="8.85546875" customWidth="1"/>
    <col min="5" max="5" width="17.85546875" customWidth="1"/>
    <col min="6" max="6" width="20.7109375" customWidth="1"/>
    <col min="7" max="7" width="4.85546875" customWidth="1"/>
    <col min="8" max="8" width="18.7109375" customWidth="1"/>
    <col min="9" max="9" width="18.140625" customWidth="1"/>
    <col min="10" max="13" width="5.7109375" customWidth="1"/>
    <col min="14" max="17" width="9.140625" customWidth="1"/>
    <col min="18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6" customHeight="1" x14ac:dyDescent="0.2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9.5" customHeight="1" x14ac:dyDescent="0.2">
      <c r="A3" s="94"/>
      <c r="B3" s="94"/>
      <c r="C3" s="218" t="s">
        <v>265</v>
      </c>
      <c r="D3" s="151"/>
      <c r="E3" s="151"/>
      <c r="F3" s="151"/>
      <c r="G3" s="151"/>
      <c r="H3" s="151"/>
      <c r="I3" s="151"/>
      <c r="J3" s="151"/>
      <c r="K3" s="151"/>
      <c r="L3" s="151"/>
      <c r="M3" s="152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4.5" customHeight="1" x14ac:dyDescent="0.2">
      <c r="A4" s="94"/>
      <c r="B4" s="94"/>
      <c r="C4" s="231"/>
      <c r="D4" s="210"/>
      <c r="E4" s="210"/>
      <c r="F4" s="210"/>
      <c r="G4" s="210"/>
      <c r="H4" s="210"/>
      <c r="I4" s="210"/>
      <c r="J4" s="210"/>
      <c r="K4" s="210"/>
      <c r="L4" s="210"/>
      <c r="M4" s="228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2.25" hidden="1" customHeight="1" x14ac:dyDescent="0.2">
      <c r="A5" s="94"/>
      <c r="B5" s="94"/>
      <c r="C5" s="199"/>
      <c r="D5" s="213"/>
      <c r="E5" s="213"/>
      <c r="F5" s="213"/>
      <c r="G5" s="213"/>
      <c r="H5" s="213"/>
      <c r="I5" s="213"/>
      <c r="J5" s="213"/>
      <c r="K5" s="213"/>
      <c r="L5" s="213"/>
      <c r="M5" s="195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2.75" customHeight="1" x14ac:dyDescent="0.2">
      <c r="A6" s="94"/>
      <c r="B6" s="94"/>
      <c r="C6" s="227" t="s">
        <v>201</v>
      </c>
      <c r="D6" s="210"/>
      <c r="E6" s="210"/>
      <c r="F6" s="210"/>
      <c r="G6" s="210"/>
      <c r="H6" s="210"/>
      <c r="I6" s="210"/>
      <c r="J6" s="210"/>
      <c r="K6" s="210"/>
      <c r="L6" s="210"/>
      <c r="M6" s="228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3.75" customHeight="1" x14ac:dyDescent="0.2">
      <c r="A7" s="94"/>
      <c r="B7" s="94"/>
      <c r="C7" s="199"/>
      <c r="D7" s="213"/>
      <c r="E7" s="213"/>
      <c r="F7" s="213"/>
      <c r="G7" s="213"/>
      <c r="H7" s="213"/>
      <c r="I7" s="213"/>
      <c r="J7" s="213"/>
      <c r="K7" s="213"/>
      <c r="L7" s="213"/>
      <c r="M7" s="195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4.25" customHeight="1" x14ac:dyDescent="0.2">
      <c r="A8" s="94"/>
      <c r="B8" s="94"/>
      <c r="C8" s="98" t="s">
        <v>202</v>
      </c>
      <c r="D8" s="98" t="s">
        <v>203</v>
      </c>
      <c r="E8" s="196" t="s">
        <v>206</v>
      </c>
      <c r="F8" s="152"/>
      <c r="G8" s="98" t="s">
        <v>205</v>
      </c>
      <c r="H8" s="196" t="s">
        <v>237</v>
      </c>
      <c r="I8" s="152"/>
      <c r="J8" s="196" t="s">
        <v>207</v>
      </c>
      <c r="K8" s="152"/>
      <c r="L8" s="196" t="s">
        <v>208</v>
      </c>
      <c r="M8" s="152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2.75" customHeight="1" x14ac:dyDescent="0.2">
      <c r="A9" s="94"/>
      <c r="B9" s="94"/>
      <c r="C9" s="225" t="s">
        <v>201</v>
      </c>
      <c r="D9" s="151"/>
      <c r="E9" s="151"/>
      <c r="F9" s="151"/>
      <c r="G9" s="151"/>
      <c r="H9" s="151"/>
      <c r="I9" s="151"/>
      <c r="J9" s="151"/>
      <c r="K9" s="151"/>
      <c r="L9" s="151"/>
      <c r="M9" s="152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3.5" customHeight="1" x14ac:dyDescent="0.2">
      <c r="A10" s="94"/>
      <c r="B10" s="94"/>
      <c r="C10" s="221" t="s">
        <v>209</v>
      </c>
      <c r="D10" s="193" t="s">
        <v>245</v>
      </c>
      <c r="E10" s="184" t="s">
        <v>221</v>
      </c>
      <c r="F10" s="184" t="s">
        <v>33</v>
      </c>
      <c r="G10" s="197" t="s">
        <v>205</v>
      </c>
      <c r="H10" s="184" t="s">
        <v>20</v>
      </c>
      <c r="I10" s="184" t="s">
        <v>27</v>
      </c>
      <c r="J10" s="126">
        <v>7</v>
      </c>
      <c r="K10" s="126">
        <v>5</v>
      </c>
      <c r="L10" s="184">
        <f>IF(J10&gt;K10,1,0) + IF(J11&gt;K11,1,0)</f>
        <v>2</v>
      </c>
      <c r="M10" s="185">
        <f>IF(J10&lt;K10,1,0) + IF(J11&lt;K11,1,0)</f>
        <v>0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2.75" customHeight="1" x14ac:dyDescent="0.2">
      <c r="A11" s="94"/>
      <c r="B11" s="94"/>
      <c r="C11" s="166"/>
      <c r="D11" s="166"/>
      <c r="E11" s="166"/>
      <c r="F11" s="166"/>
      <c r="G11" s="166"/>
      <c r="H11" s="166"/>
      <c r="I11" s="166"/>
      <c r="J11" s="126">
        <v>6</v>
      </c>
      <c r="K11" s="126">
        <v>3</v>
      </c>
      <c r="L11" s="166"/>
      <c r="M11" s="175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4.5" customHeight="1" x14ac:dyDescent="0.2">
      <c r="A12" s="94"/>
      <c r="B12" s="94"/>
      <c r="C12" s="222"/>
      <c r="D12" s="151"/>
      <c r="E12" s="151"/>
      <c r="F12" s="151"/>
      <c r="G12" s="151"/>
      <c r="H12" s="151"/>
      <c r="I12" s="151"/>
      <c r="J12" s="151"/>
      <c r="K12" s="151"/>
      <c r="L12" s="151"/>
      <c r="M12" s="152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.75" customHeight="1" x14ac:dyDescent="0.2">
      <c r="A13" s="94"/>
      <c r="B13" s="94"/>
      <c r="C13" s="221" t="s">
        <v>211</v>
      </c>
      <c r="D13" s="193" t="s">
        <v>214</v>
      </c>
      <c r="E13" s="184" t="s">
        <v>54</v>
      </c>
      <c r="F13" s="184" t="s">
        <v>47</v>
      </c>
      <c r="G13" s="197" t="s">
        <v>205</v>
      </c>
      <c r="H13" s="184" t="s">
        <v>41</v>
      </c>
      <c r="I13" s="184" t="s">
        <v>48</v>
      </c>
      <c r="J13" s="126">
        <v>6</v>
      </c>
      <c r="K13" s="126">
        <v>3</v>
      </c>
      <c r="L13" s="184">
        <f>IF(J13&gt;K13,1,0) + IF(J14&gt;K14,1,0)</f>
        <v>1</v>
      </c>
      <c r="M13" s="184">
        <f>IF(J13&lt;K13,1,0) + IF(J14&lt;K14,1,0)</f>
        <v>1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.75" customHeight="1" x14ac:dyDescent="0.2">
      <c r="A14" s="94"/>
      <c r="B14" s="94"/>
      <c r="C14" s="166"/>
      <c r="D14" s="166"/>
      <c r="E14" s="166"/>
      <c r="F14" s="166"/>
      <c r="G14" s="166"/>
      <c r="H14" s="166"/>
      <c r="I14" s="166"/>
      <c r="J14" s="126">
        <v>4</v>
      </c>
      <c r="K14" s="126">
        <v>6</v>
      </c>
      <c r="L14" s="166"/>
      <c r="M14" s="166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4.5" customHeight="1" x14ac:dyDescent="0.2">
      <c r="A15" s="94"/>
      <c r="B15" s="94"/>
      <c r="C15" s="222"/>
      <c r="D15" s="151"/>
      <c r="E15" s="151"/>
      <c r="F15" s="151"/>
      <c r="G15" s="151"/>
      <c r="H15" s="151"/>
      <c r="I15" s="151"/>
      <c r="J15" s="151"/>
      <c r="K15" s="151"/>
      <c r="L15" s="151"/>
      <c r="M15" s="152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.75" customHeight="1" x14ac:dyDescent="0.2">
      <c r="A16" s="94"/>
      <c r="B16" s="94"/>
      <c r="C16" s="221" t="s">
        <v>213</v>
      </c>
      <c r="D16" s="193" t="s">
        <v>217</v>
      </c>
      <c r="E16" s="184" t="s">
        <v>89</v>
      </c>
      <c r="F16" s="184" t="s">
        <v>96</v>
      </c>
      <c r="G16" s="197" t="s">
        <v>205</v>
      </c>
      <c r="H16" s="184" t="s">
        <v>90</v>
      </c>
      <c r="I16" s="184" t="s">
        <v>104</v>
      </c>
      <c r="J16" s="126">
        <v>6</v>
      </c>
      <c r="K16" s="126">
        <v>3</v>
      </c>
      <c r="L16" s="184">
        <f>(IF(J16&gt;K16,1,0)+IF(J17&gt;K17,1,0))</f>
        <v>1</v>
      </c>
      <c r="M16" s="185">
        <f>(IF(J16&lt;K16,1,0)+IF(J17&lt;K17,1,0))</f>
        <v>1</v>
      </c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.75" customHeight="1" x14ac:dyDescent="0.2">
      <c r="A17" s="94"/>
      <c r="B17" s="94"/>
      <c r="C17" s="166"/>
      <c r="D17" s="166"/>
      <c r="E17" s="166"/>
      <c r="F17" s="166"/>
      <c r="G17" s="166"/>
      <c r="H17" s="166"/>
      <c r="I17" s="166"/>
      <c r="J17" s="126">
        <v>5</v>
      </c>
      <c r="K17" s="126">
        <v>7</v>
      </c>
      <c r="L17" s="166"/>
      <c r="M17" s="175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4.5" customHeight="1" x14ac:dyDescent="0.2">
      <c r="A18" s="94"/>
      <c r="B18" s="94"/>
      <c r="C18" s="222"/>
      <c r="D18" s="151"/>
      <c r="E18" s="151"/>
      <c r="F18" s="151"/>
      <c r="G18" s="151"/>
      <c r="H18" s="151"/>
      <c r="I18" s="151"/>
      <c r="J18" s="151"/>
      <c r="K18" s="151"/>
      <c r="L18" s="151"/>
      <c r="M18" s="152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.75" customHeight="1" x14ac:dyDescent="0.2">
      <c r="A19" s="94"/>
      <c r="B19" s="94"/>
      <c r="C19" s="221" t="s">
        <v>209</v>
      </c>
      <c r="D19" s="206" t="s">
        <v>210</v>
      </c>
      <c r="E19" s="184" t="s">
        <v>159</v>
      </c>
      <c r="F19" s="184" t="s">
        <v>165</v>
      </c>
      <c r="G19" s="197" t="s">
        <v>205</v>
      </c>
      <c r="H19" s="184" t="s">
        <v>154</v>
      </c>
      <c r="I19" s="184" t="s">
        <v>160</v>
      </c>
      <c r="J19" s="126">
        <v>1</v>
      </c>
      <c r="K19" s="126">
        <v>6</v>
      </c>
      <c r="L19" s="184">
        <f>(IF(J19&gt;K19,1,0)+IF(J20&gt;K20,1,0))</f>
        <v>1</v>
      </c>
      <c r="M19" s="185">
        <f>(IF(J19&lt;K19,1,0)+IF(J20&lt;K20,1,0))</f>
        <v>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2.75" customHeight="1" x14ac:dyDescent="0.2">
      <c r="A20" s="94"/>
      <c r="B20" s="94"/>
      <c r="C20" s="166"/>
      <c r="D20" s="166"/>
      <c r="E20" s="166"/>
      <c r="F20" s="166"/>
      <c r="G20" s="166"/>
      <c r="H20" s="166"/>
      <c r="I20" s="166"/>
      <c r="J20" s="126">
        <v>6</v>
      </c>
      <c r="K20" s="126">
        <v>0</v>
      </c>
      <c r="L20" s="166"/>
      <c r="M20" s="175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4.5" customHeight="1" x14ac:dyDescent="0.2">
      <c r="A21" s="94"/>
      <c r="B21" s="94"/>
      <c r="C21" s="222"/>
      <c r="D21" s="151"/>
      <c r="E21" s="151"/>
      <c r="F21" s="151"/>
      <c r="G21" s="151"/>
      <c r="H21" s="151"/>
      <c r="I21" s="151"/>
      <c r="J21" s="151"/>
      <c r="K21" s="151"/>
      <c r="L21" s="151"/>
      <c r="M21" s="152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2.75" customHeight="1" x14ac:dyDescent="0.2">
      <c r="A22" s="94"/>
      <c r="B22" s="94"/>
      <c r="C22" s="223" t="s">
        <v>266</v>
      </c>
      <c r="D22" s="151"/>
      <c r="E22" s="151"/>
      <c r="F22" s="151"/>
      <c r="G22" s="151"/>
      <c r="H22" s="151"/>
      <c r="I22" s="152"/>
      <c r="J22" s="127">
        <f t="shared" ref="J22:M22" si="0">SUM(J10:J20)</f>
        <v>41</v>
      </c>
      <c r="K22" s="127">
        <f t="shared" si="0"/>
        <v>33</v>
      </c>
      <c r="L22" s="127">
        <f t="shared" si="0"/>
        <v>5</v>
      </c>
      <c r="M22" s="127">
        <f t="shared" si="0"/>
        <v>3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4.5" customHeight="1" x14ac:dyDescent="0.2">
      <c r="A23" s="94"/>
      <c r="B23" s="94"/>
      <c r="C23" s="222"/>
      <c r="D23" s="151"/>
      <c r="E23" s="151"/>
      <c r="F23" s="151"/>
      <c r="G23" s="151"/>
      <c r="H23" s="151"/>
      <c r="I23" s="151"/>
      <c r="J23" s="151"/>
      <c r="K23" s="151"/>
      <c r="L23" s="151"/>
      <c r="M23" s="152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.75" customHeight="1" x14ac:dyDescent="0.2">
      <c r="A24" s="94"/>
      <c r="B24" s="94"/>
      <c r="C24" s="221" t="s">
        <v>209</v>
      </c>
      <c r="D24" s="232" t="s">
        <v>220</v>
      </c>
      <c r="E24" s="183" t="s">
        <v>11</v>
      </c>
      <c r="F24" s="183" t="s">
        <v>110</v>
      </c>
      <c r="G24" s="197" t="s">
        <v>205</v>
      </c>
      <c r="H24" s="183" t="s">
        <v>111</v>
      </c>
      <c r="I24" s="183" t="s">
        <v>117</v>
      </c>
      <c r="J24" s="126">
        <v>6</v>
      </c>
      <c r="K24" s="126">
        <v>1</v>
      </c>
      <c r="L24" s="184">
        <f>(IF(J24&gt;K24,1,0)+IF(J25&gt;K25,1,0))</f>
        <v>2</v>
      </c>
      <c r="M24" s="185">
        <f>(IF(J24&lt;K24,1,0)+IF(J25&lt;K25,1,0))</f>
        <v>0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.75" customHeight="1" x14ac:dyDescent="0.2">
      <c r="A25" s="94"/>
      <c r="B25" s="94"/>
      <c r="C25" s="166"/>
      <c r="D25" s="166"/>
      <c r="E25" s="166"/>
      <c r="F25" s="166"/>
      <c r="G25" s="166"/>
      <c r="H25" s="166"/>
      <c r="I25" s="166"/>
      <c r="J25" s="126">
        <v>6</v>
      </c>
      <c r="K25" s="126">
        <v>2</v>
      </c>
      <c r="L25" s="166"/>
      <c r="M25" s="175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4.5" customHeight="1" x14ac:dyDescent="0.2">
      <c r="A26" s="94"/>
      <c r="B26" s="94"/>
      <c r="C26" s="222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.75" customHeight="1" x14ac:dyDescent="0.2">
      <c r="A27" s="96"/>
      <c r="B27" s="94"/>
      <c r="C27" s="221" t="s">
        <v>211</v>
      </c>
      <c r="D27" s="193" t="s">
        <v>223</v>
      </c>
      <c r="E27" s="183" t="s">
        <v>61</v>
      </c>
      <c r="F27" s="183" t="s">
        <v>134</v>
      </c>
      <c r="G27" s="197" t="s">
        <v>205</v>
      </c>
      <c r="H27" s="183" t="s">
        <v>62</v>
      </c>
      <c r="I27" s="183" t="s">
        <v>129</v>
      </c>
      <c r="J27" s="126">
        <v>6</v>
      </c>
      <c r="K27" s="126">
        <v>4</v>
      </c>
      <c r="L27" s="184">
        <f>(IF(J27&gt;K27,1,0)+IF(J28&gt;K28,1,0))</f>
        <v>2</v>
      </c>
      <c r="M27" s="185">
        <f>(IF(J27&lt;K27,1,0)+IF(J28&lt;K28,1,0))</f>
        <v>0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.75" customHeight="1" x14ac:dyDescent="0.2">
      <c r="A28" s="96"/>
      <c r="B28" s="94"/>
      <c r="C28" s="166"/>
      <c r="D28" s="166"/>
      <c r="E28" s="166"/>
      <c r="F28" s="166"/>
      <c r="G28" s="166"/>
      <c r="H28" s="166"/>
      <c r="I28" s="166"/>
      <c r="J28" s="126">
        <v>6</v>
      </c>
      <c r="K28" s="126">
        <v>2</v>
      </c>
      <c r="L28" s="166"/>
      <c r="M28" s="175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4.5" customHeight="1" x14ac:dyDescent="0.2">
      <c r="A29" s="94"/>
      <c r="B29" s="94"/>
      <c r="C29" s="222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221" t="s">
        <v>213</v>
      </c>
      <c r="D30" s="193" t="s">
        <v>215</v>
      </c>
      <c r="E30" s="183" t="s">
        <v>140</v>
      </c>
      <c r="F30" s="183" t="s">
        <v>147</v>
      </c>
      <c r="G30" s="197" t="s">
        <v>205</v>
      </c>
      <c r="H30" s="183" t="s">
        <v>141</v>
      </c>
      <c r="I30" s="183" t="s">
        <v>12</v>
      </c>
      <c r="J30" s="126">
        <v>4</v>
      </c>
      <c r="K30" s="126">
        <v>6</v>
      </c>
      <c r="L30" s="184">
        <f>(IF(J30&gt;K30,1,0)+IF(J31&gt;K31,1,0))</f>
        <v>1</v>
      </c>
      <c r="M30" s="185">
        <f>(IF(J30&lt;K30,1,0)+IF(J31&lt;K31,1,0))</f>
        <v>1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66"/>
      <c r="D31" s="166"/>
      <c r="E31" s="166"/>
      <c r="F31" s="166"/>
      <c r="G31" s="166"/>
      <c r="H31" s="166"/>
      <c r="I31" s="166"/>
      <c r="J31" s="126">
        <v>6</v>
      </c>
      <c r="K31" s="126">
        <v>4</v>
      </c>
      <c r="L31" s="166"/>
      <c r="M31" s="175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4.5" customHeight="1" x14ac:dyDescent="0.2">
      <c r="A32" s="94"/>
      <c r="B32" s="94"/>
      <c r="C32" s="222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2.75" customHeight="1" x14ac:dyDescent="0.2">
      <c r="A33" s="94"/>
      <c r="B33" s="94"/>
      <c r="C33" s="221" t="s">
        <v>211</v>
      </c>
      <c r="D33" s="206" t="s">
        <v>212</v>
      </c>
      <c r="E33" s="184" t="s">
        <v>68</v>
      </c>
      <c r="F33" s="184" t="s">
        <v>82</v>
      </c>
      <c r="G33" s="197" t="s">
        <v>267</v>
      </c>
      <c r="H33" s="184" t="s">
        <v>76</v>
      </c>
      <c r="I33" s="184" t="s">
        <v>69</v>
      </c>
      <c r="J33" s="126">
        <v>6</v>
      </c>
      <c r="K33" s="126">
        <v>7</v>
      </c>
      <c r="L33" s="184">
        <f>(IF(J33&gt;K33,1,0)+IF(J34&gt;K34,1,0))</f>
        <v>1</v>
      </c>
      <c r="M33" s="185">
        <f>(IF(J33&lt;K33,1,0)+IF(J34&lt;K34,1,0))</f>
        <v>1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2.75" customHeight="1" x14ac:dyDescent="0.2">
      <c r="A34" s="94"/>
      <c r="B34" s="94"/>
      <c r="C34" s="166"/>
      <c r="D34" s="166"/>
      <c r="E34" s="166"/>
      <c r="F34" s="166"/>
      <c r="G34" s="166"/>
      <c r="H34" s="166"/>
      <c r="I34" s="166"/>
      <c r="J34" s="126">
        <v>6</v>
      </c>
      <c r="K34" s="126">
        <v>3</v>
      </c>
      <c r="L34" s="166"/>
      <c r="M34" s="175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4.5" customHeight="1" x14ac:dyDescent="0.2">
      <c r="A35" s="94"/>
      <c r="B35" s="94"/>
      <c r="C35" s="222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2.75" customHeight="1" x14ac:dyDescent="0.2">
      <c r="A36" s="94"/>
      <c r="B36" s="94"/>
      <c r="C36" s="223" t="s">
        <v>268</v>
      </c>
      <c r="D36" s="151"/>
      <c r="E36" s="151"/>
      <c r="F36" s="151"/>
      <c r="G36" s="151"/>
      <c r="H36" s="151"/>
      <c r="I36" s="152"/>
      <c r="J36" s="127">
        <f t="shared" ref="J36:M36" si="1">SUM(J24:J34)</f>
        <v>46</v>
      </c>
      <c r="K36" s="127">
        <f t="shared" si="1"/>
        <v>29</v>
      </c>
      <c r="L36" s="127">
        <f t="shared" si="1"/>
        <v>6</v>
      </c>
      <c r="M36" s="127">
        <f t="shared" si="1"/>
        <v>2</v>
      </c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4.5" customHeight="1" x14ac:dyDescent="0.2">
      <c r="A37" s="94"/>
      <c r="B37" s="94"/>
      <c r="C37" s="222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2.75" customHeight="1" x14ac:dyDescent="0.2">
      <c r="A38" s="94"/>
      <c r="B38" s="94"/>
      <c r="C38" s="224" t="s">
        <v>269</v>
      </c>
      <c r="D38" s="151"/>
      <c r="E38" s="151"/>
      <c r="F38" s="151"/>
      <c r="G38" s="151"/>
      <c r="H38" s="151"/>
      <c r="I38" s="152"/>
      <c r="J38" s="129">
        <f>J36+J22</f>
        <v>87</v>
      </c>
      <c r="K38" s="129">
        <f>K36+K22</f>
        <v>62</v>
      </c>
      <c r="L38" s="129">
        <f>L36+L22</f>
        <v>11</v>
      </c>
      <c r="M38" s="129">
        <f>M36+M22</f>
        <v>5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3" customHeight="1" x14ac:dyDescent="0.2">
      <c r="A39" s="94"/>
      <c r="B39" s="94"/>
      <c r="C39" s="222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7.5" customHeight="1" x14ac:dyDescent="0.2">
      <c r="A40" s="94"/>
      <c r="B40" s="94"/>
      <c r="C40" s="227" t="s">
        <v>227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28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0.5" customHeight="1" x14ac:dyDescent="0.2">
      <c r="A41" s="94"/>
      <c r="B41" s="94"/>
      <c r="C41" s="199"/>
      <c r="D41" s="213"/>
      <c r="E41" s="213"/>
      <c r="F41" s="213"/>
      <c r="G41" s="213"/>
      <c r="H41" s="213"/>
      <c r="I41" s="213"/>
      <c r="J41" s="213"/>
      <c r="K41" s="213"/>
      <c r="L41" s="213"/>
      <c r="M41" s="195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7.25" customHeight="1" x14ac:dyDescent="0.2">
      <c r="A42" s="94"/>
      <c r="B42" s="94"/>
      <c r="C42" s="98" t="s">
        <v>202</v>
      </c>
      <c r="D42" s="98" t="s">
        <v>203</v>
      </c>
      <c r="E42" s="196" t="s">
        <v>204</v>
      </c>
      <c r="F42" s="152"/>
      <c r="G42" s="98" t="s">
        <v>205</v>
      </c>
      <c r="H42" s="196" t="s">
        <v>229</v>
      </c>
      <c r="I42" s="152"/>
      <c r="J42" s="196" t="s">
        <v>207</v>
      </c>
      <c r="K42" s="152"/>
      <c r="L42" s="196" t="s">
        <v>208</v>
      </c>
      <c r="M42" s="152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221" t="s">
        <v>209</v>
      </c>
      <c r="D43" s="193" t="s">
        <v>220</v>
      </c>
      <c r="E43" s="183" t="s">
        <v>108</v>
      </c>
      <c r="F43" s="183" t="s">
        <v>120</v>
      </c>
      <c r="G43" s="197" t="s">
        <v>205</v>
      </c>
      <c r="H43" s="183" t="s">
        <v>112</v>
      </c>
      <c r="I43" s="183" t="s">
        <v>124</v>
      </c>
      <c r="J43" s="126">
        <v>1</v>
      </c>
      <c r="K43" s="126">
        <v>6</v>
      </c>
      <c r="L43" s="184">
        <f>(IF(J43&gt;K43,1,0)+IF(J44&gt;K44,1,0))</f>
        <v>0</v>
      </c>
      <c r="M43" s="185">
        <f>(IF(J43&lt;K43,1,0)+IF(J44&lt;K44,1,0))</f>
        <v>2</v>
      </c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166"/>
      <c r="D44" s="166"/>
      <c r="E44" s="166"/>
      <c r="F44" s="166"/>
      <c r="G44" s="166"/>
      <c r="H44" s="166"/>
      <c r="I44" s="166"/>
      <c r="J44" s="126">
        <v>1</v>
      </c>
      <c r="K44" s="126">
        <v>6</v>
      </c>
      <c r="L44" s="166"/>
      <c r="M44" s="175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4.5" customHeight="1" x14ac:dyDescent="0.2">
      <c r="A45" s="94"/>
      <c r="B45" s="94"/>
      <c r="C45" s="222"/>
      <c r="D45" s="151"/>
      <c r="E45" s="151"/>
      <c r="F45" s="151"/>
      <c r="G45" s="151"/>
      <c r="H45" s="151"/>
      <c r="I45" s="151"/>
      <c r="J45" s="151"/>
      <c r="K45" s="151"/>
      <c r="L45" s="151"/>
      <c r="M45" s="152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221" t="s">
        <v>211</v>
      </c>
      <c r="D46" s="193" t="s">
        <v>234</v>
      </c>
      <c r="E46" s="183" t="s">
        <v>24</v>
      </c>
      <c r="F46" s="183" t="s">
        <v>31</v>
      </c>
      <c r="G46" s="197" t="s">
        <v>205</v>
      </c>
      <c r="H46" s="183" t="s">
        <v>21</v>
      </c>
      <c r="I46" s="183" t="s">
        <v>28</v>
      </c>
      <c r="J46" s="126">
        <v>3</v>
      </c>
      <c r="K46" s="126">
        <v>6</v>
      </c>
      <c r="L46" s="184">
        <f>(IF(J46&gt;K46,1,0)+IF(J47&gt;K47,1,0))</f>
        <v>0</v>
      </c>
      <c r="M46" s="185">
        <f>(IF(J46&lt;K46,1,0)+IF(J47&lt;K47,1,0))</f>
        <v>2</v>
      </c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166"/>
      <c r="D47" s="166"/>
      <c r="E47" s="166"/>
      <c r="F47" s="166"/>
      <c r="G47" s="166"/>
      <c r="H47" s="166"/>
      <c r="I47" s="166"/>
      <c r="J47" s="133">
        <v>2</v>
      </c>
      <c r="K47" s="126">
        <v>6</v>
      </c>
      <c r="L47" s="166"/>
      <c r="M47" s="175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4.5" customHeight="1" x14ac:dyDescent="0.2">
      <c r="A48" s="94"/>
      <c r="B48" s="94"/>
      <c r="C48" s="222"/>
      <c r="D48" s="151"/>
      <c r="E48" s="151"/>
      <c r="F48" s="151"/>
      <c r="G48" s="151"/>
      <c r="H48" s="151"/>
      <c r="I48" s="151"/>
      <c r="J48" s="151"/>
      <c r="K48" s="151"/>
      <c r="L48" s="151"/>
      <c r="M48" s="152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221" t="s">
        <v>213</v>
      </c>
      <c r="D49" s="193" t="s">
        <v>212</v>
      </c>
      <c r="E49" s="183" t="s">
        <v>66</v>
      </c>
      <c r="F49" s="183" t="s">
        <v>9</v>
      </c>
      <c r="G49" s="197" t="s">
        <v>205</v>
      </c>
      <c r="H49" s="183" t="s">
        <v>63</v>
      </c>
      <c r="I49" s="183" t="s">
        <v>84</v>
      </c>
      <c r="J49" s="126">
        <v>1</v>
      </c>
      <c r="K49" s="126">
        <v>6</v>
      </c>
      <c r="L49" s="184">
        <f>(IF(J49&gt;K49,1,0)+IF(J50&gt;K50,1,0))</f>
        <v>0</v>
      </c>
      <c r="M49" s="185">
        <f>(IF(J49&lt;K49,1,0)+IF(J50&lt;K50,1,0))</f>
        <v>2</v>
      </c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166"/>
      <c r="D50" s="166"/>
      <c r="E50" s="166"/>
      <c r="F50" s="166"/>
      <c r="G50" s="166"/>
      <c r="H50" s="166"/>
      <c r="I50" s="166"/>
      <c r="J50" s="126">
        <v>1</v>
      </c>
      <c r="K50" s="126">
        <v>6</v>
      </c>
      <c r="L50" s="166"/>
      <c r="M50" s="175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4.5" customHeight="1" x14ac:dyDescent="0.2">
      <c r="A51" s="94"/>
      <c r="B51" s="94"/>
      <c r="C51" s="222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221" t="s">
        <v>211</v>
      </c>
      <c r="D52" s="206" t="s">
        <v>215</v>
      </c>
      <c r="E52" s="183" t="s">
        <v>132</v>
      </c>
      <c r="F52" s="183" t="s">
        <v>195</v>
      </c>
      <c r="G52" s="197" t="s">
        <v>205</v>
      </c>
      <c r="H52" s="183" t="s">
        <v>142</v>
      </c>
      <c r="I52" s="183" t="s">
        <v>13</v>
      </c>
      <c r="J52" s="126">
        <v>7</v>
      </c>
      <c r="K52" s="126">
        <v>6</v>
      </c>
      <c r="L52" s="184">
        <f>(IF(J52&gt;K52,1,0)+IF(J53&gt;K53,1,0))</f>
        <v>2</v>
      </c>
      <c r="M52" s="185">
        <f>(IF(J52&lt;K52,1,0)+IF(J53&lt;K53,1,0))</f>
        <v>0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166"/>
      <c r="D53" s="166"/>
      <c r="E53" s="166"/>
      <c r="F53" s="166"/>
      <c r="G53" s="166"/>
      <c r="H53" s="166"/>
      <c r="I53" s="166"/>
      <c r="J53" s="126">
        <v>6</v>
      </c>
      <c r="K53" s="126">
        <v>4</v>
      </c>
      <c r="L53" s="166"/>
      <c r="M53" s="175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4.5" customHeight="1" x14ac:dyDescent="0.2">
      <c r="A54" s="94"/>
      <c r="B54" s="94"/>
      <c r="C54" s="222"/>
      <c r="D54" s="151"/>
      <c r="E54" s="151"/>
      <c r="F54" s="151"/>
      <c r="G54" s="151"/>
      <c r="H54" s="151"/>
      <c r="I54" s="151"/>
      <c r="J54" s="151"/>
      <c r="K54" s="151"/>
      <c r="L54" s="151"/>
      <c r="M54" s="152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2.75" customHeight="1" x14ac:dyDescent="0.2">
      <c r="A55" s="94"/>
      <c r="B55" s="94"/>
      <c r="C55" s="223" t="s">
        <v>266</v>
      </c>
      <c r="D55" s="151"/>
      <c r="E55" s="151"/>
      <c r="F55" s="151"/>
      <c r="G55" s="151"/>
      <c r="H55" s="151"/>
      <c r="I55" s="152"/>
      <c r="J55" s="127">
        <f t="shared" ref="J55:M55" si="2">SUM(J43:J53)</f>
        <v>22</v>
      </c>
      <c r="K55" s="127">
        <f t="shared" si="2"/>
        <v>46</v>
      </c>
      <c r="L55" s="127">
        <f t="shared" si="2"/>
        <v>2</v>
      </c>
      <c r="M55" s="127">
        <f t="shared" si="2"/>
        <v>6</v>
      </c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4.5" customHeight="1" x14ac:dyDescent="0.2">
      <c r="A56" s="94"/>
      <c r="B56" s="94"/>
      <c r="C56" s="222"/>
      <c r="D56" s="151"/>
      <c r="E56" s="151"/>
      <c r="F56" s="151"/>
      <c r="G56" s="151"/>
      <c r="H56" s="151"/>
      <c r="I56" s="151"/>
      <c r="J56" s="151"/>
      <c r="K56" s="151"/>
      <c r="L56" s="151"/>
      <c r="M56" s="152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221" t="s">
        <v>209</v>
      </c>
      <c r="D57" s="193" t="s">
        <v>223</v>
      </c>
      <c r="E57" s="183" t="s">
        <v>73</v>
      </c>
      <c r="F57" s="183" t="s">
        <v>138</v>
      </c>
      <c r="G57" s="197" t="s">
        <v>205</v>
      </c>
      <c r="H57" s="183" t="s">
        <v>70</v>
      </c>
      <c r="I57" s="183" t="s">
        <v>198</v>
      </c>
      <c r="J57" s="126">
        <v>7</v>
      </c>
      <c r="K57" s="126">
        <v>6</v>
      </c>
      <c r="L57" s="184">
        <f>(IF(J57&gt;K57,1,0)+IF(J58&gt;K58,1,0))</f>
        <v>1</v>
      </c>
      <c r="M57" s="185">
        <f>(IF(J57&lt;K57,1,0)+IF(J58&lt;K58,1,0))</f>
        <v>1</v>
      </c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166"/>
      <c r="D58" s="166"/>
      <c r="E58" s="166"/>
      <c r="F58" s="166"/>
      <c r="G58" s="166"/>
      <c r="H58" s="166"/>
      <c r="I58" s="166"/>
      <c r="J58" s="126">
        <v>6</v>
      </c>
      <c r="K58" s="126">
        <v>7</v>
      </c>
      <c r="L58" s="166"/>
      <c r="M58" s="175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4.5" customHeight="1" x14ac:dyDescent="0.2">
      <c r="A59" s="94"/>
      <c r="B59" s="94"/>
      <c r="C59" s="222"/>
      <c r="D59" s="151"/>
      <c r="E59" s="151"/>
      <c r="F59" s="151"/>
      <c r="G59" s="151"/>
      <c r="H59" s="151"/>
      <c r="I59" s="151"/>
      <c r="J59" s="151"/>
      <c r="K59" s="151"/>
      <c r="L59" s="151"/>
      <c r="M59" s="152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221" t="s">
        <v>211</v>
      </c>
      <c r="D60" s="193" t="s">
        <v>210</v>
      </c>
      <c r="E60" s="183" t="s">
        <v>157</v>
      </c>
      <c r="F60" s="183" t="s">
        <v>163</v>
      </c>
      <c r="G60" s="197" t="s">
        <v>205</v>
      </c>
      <c r="H60" s="183" t="s">
        <v>161</v>
      </c>
      <c r="I60" s="183" t="s">
        <v>167</v>
      </c>
      <c r="J60" s="126">
        <v>6</v>
      </c>
      <c r="K60" s="126">
        <v>4</v>
      </c>
      <c r="L60" s="184">
        <f>(IF(J60&gt;K60,1,0)+IF(J61&gt;K61,1,0))</f>
        <v>1</v>
      </c>
      <c r="M60" s="185">
        <f>(IF(J60&lt;K60,1,0)+IF(J61&lt;K61,1,0))</f>
        <v>1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166"/>
      <c r="D61" s="166"/>
      <c r="E61" s="166"/>
      <c r="F61" s="166"/>
      <c r="G61" s="166"/>
      <c r="H61" s="166"/>
      <c r="I61" s="166"/>
      <c r="J61" s="126">
        <v>0</v>
      </c>
      <c r="K61" s="126">
        <v>6</v>
      </c>
      <c r="L61" s="166"/>
      <c r="M61" s="175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4.5" customHeight="1" x14ac:dyDescent="0.2">
      <c r="A62" s="94"/>
      <c r="B62" s="94"/>
      <c r="C62" s="222"/>
      <c r="D62" s="151"/>
      <c r="E62" s="151"/>
      <c r="F62" s="151"/>
      <c r="G62" s="151"/>
      <c r="H62" s="151"/>
      <c r="I62" s="151"/>
      <c r="J62" s="151"/>
      <c r="K62" s="151"/>
      <c r="L62" s="151"/>
      <c r="M62" s="152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221" t="s">
        <v>213</v>
      </c>
      <c r="D63" s="193" t="s">
        <v>214</v>
      </c>
      <c r="E63" s="183" t="s">
        <v>38</v>
      </c>
      <c r="F63" s="183" t="s">
        <v>45</v>
      </c>
      <c r="G63" s="197" t="s">
        <v>205</v>
      </c>
      <c r="H63" s="183" t="s">
        <v>42</v>
      </c>
      <c r="I63" s="183" t="s">
        <v>49</v>
      </c>
      <c r="J63" s="126">
        <v>5</v>
      </c>
      <c r="K63" s="126">
        <v>7</v>
      </c>
      <c r="L63" s="184">
        <f>(IF(J63&gt;K63,1,0)+IF(J64&gt;K64,1,0))</f>
        <v>0</v>
      </c>
      <c r="M63" s="185">
        <f>(IF(J63&lt;K63,1,0)+IF(J64&lt;K64,1,0))</f>
        <v>2</v>
      </c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166"/>
      <c r="D64" s="166"/>
      <c r="E64" s="166"/>
      <c r="F64" s="166"/>
      <c r="G64" s="166"/>
      <c r="H64" s="166"/>
      <c r="I64" s="166"/>
      <c r="J64" s="126">
        <v>4</v>
      </c>
      <c r="K64" s="126">
        <v>6</v>
      </c>
      <c r="L64" s="166"/>
      <c r="M64" s="175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4.5" customHeight="1" x14ac:dyDescent="0.2">
      <c r="A65" s="94"/>
      <c r="B65" s="94"/>
      <c r="C65" s="222"/>
      <c r="D65" s="151"/>
      <c r="E65" s="151"/>
      <c r="F65" s="151"/>
      <c r="G65" s="151"/>
      <c r="H65" s="151"/>
      <c r="I65" s="151"/>
      <c r="J65" s="151"/>
      <c r="K65" s="151"/>
      <c r="L65" s="151"/>
      <c r="M65" s="152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221" t="s">
        <v>211</v>
      </c>
      <c r="D66" s="206" t="s">
        <v>217</v>
      </c>
      <c r="E66" s="183" t="s">
        <v>87</v>
      </c>
      <c r="F66" s="183" t="s">
        <v>101</v>
      </c>
      <c r="G66" s="197" t="s">
        <v>205</v>
      </c>
      <c r="H66" s="183" t="s">
        <v>233</v>
      </c>
      <c r="I66" s="183" t="s">
        <v>105</v>
      </c>
      <c r="J66" s="126">
        <v>6</v>
      </c>
      <c r="K66" s="126">
        <v>4</v>
      </c>
      <c r="L66" s="184">
        <f>(IF(J66&gt;K66,1,0)+IF(J67&gt;K67,1,0))</f>
        <v>1</v>
      </c>
      <c r="M66" s="185">
        <f>(IF(J66&lt;K66,1,0)+IF(J67&lt;K67,1,0))</f>
        <v>1</v>
      </c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166"/>
      <c r="D67" s="166"/>
      <c r="E67" s="166"/>
      <c r="F67" s="166"/>
      <c r="G67" s="166"/>
      <c r="H67" s="166"/>
      <c r="I67" s="166"/>
      <c r="J67" s="126">
        <v>5</v>
      </c>
      <c r="K67" s="126">
        <v>7</v>
      </c>
      <c r="L67" s="166"/>
      <c r="M67" s="175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4.5" customHeight="1" x14ac:dyDescent="0.2">
      <c r="A68" s="94"/>
      <c r="B68" s="94"/>
      <c r="C68" s="222"/>
      <c r="D68" s="151"/>
      <c r="E68" s="151"/>
      <c r="F68" s="151"/>
      <c r="G68" s="151"/>
      <c r="H68" s="151"/>
      <c r="I68" s="151"/>
      <c r="J68" s="151"/>
      <c r="K68" s="151"/>
      <c r="L68" s="151"/>
      <c r="M68" s="152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2.75" customHeight="1" x14ac:dyDescent="0.2">
      <c r="A69" s="94"/>
      <c r="B69" s="94"/>
      <c r="C69" s="223" t="s">
        <v>268</v>
      </c>
      <c r="D69" s="151"/>
      <c r="E69" s="151"/>
      <c r="F69" s="151"/>
      <c r="G69" s="151"/>
      <c r="H69" s="151"/>
      <c r="I69" s="152"/>
      <c r="J69" s="127">
        <f t="shared" ref="J69:M69" si="3">SUM(J57:J67)</f>
        <v>39</v>
      </c>
      <c r="K69" s="127">
        <f t="shared" si="3"/>
        <v>47</v>
      </c>
      <c r="L69" s="127">
        <f t="shared" si="3"/>
        <v>3</v>
      </c>
      <c r="M69" s="127">
        <f t="shared" si="3"/>
        <v>5</v>
      </c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4.5" customHeight="1" x14ac:dyDescent="0.2">
      <c r="A70" s="94"/>
      <c r="B70" s="94"/>
      <c r="C70" s="222"/>
      <c r="D70" s="151"/>
      <c r="E70" s="151"/>
      <c r="F70" s="151"/>
      <c r="G70" s="151"/>
      <c r="H70" s="151"/>
      <c r="I70" s="151"/>
      <c r="J70" s="151"/>
      <c r="K70" s="151"/>
      <c r="L70" s="151"/>
      <c r="M70" s="152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2.75" customHeight="1" x14ac:dyDescent="0.2">
      <c r="A71" s="94"/>
      <c r="B71" s="94"/>
      <c r="C71" s="224" t="s">
        <v>269</v>
      </c>
      <c r="D71" s="151"/>
      <c r="E71" s="151"/>
      <c r="F71" s="151"/>
      <c r="G71" s="151"/>
      <c r="H71" s="151"/>
      <c r="I71" s="152"/>
      <c r="J71" s="129">
        <f>J69+J55</f>
        <v>61</v>
      </c>
      <c r="K71" s="129">
        <f>K69+K55</f>
        <v>93</v>
      </c>
      <c r="L71" s="129">
        <f>L69+L55</f>
        <v>5</v>
      </c>
      <c r="M71" s="129">
        <f>M69+M55</f>
        <v>11</v>
      </c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3.75" customHeight="1" x14ac:dyDescent="0.2">
      <c r="A72" s="94"/>
      <c r="B72" s="94"/>
      <c r="C72" s="222"/>
      <c r="D72" s="151"/>
      <c r="E72" s="151"/>
      <c r="F72" s="151"/>
      <c r="G72" s="151"/>
      <c r="H72" s="151"/>
      <c r="I72" s="151"/>
      <c r="J72" s="151"/>
      <c r="K72" s="151"/>
      <c r="L72" s="151"/>
      <c r="M72" s="152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2.75" customHeight="1" x14ac:dyDescent="0.2">
      <c r="A73" s="94"/>
      <c r="B73" s="94"/>
      <c r="C73" s="227" t="s">
        <v>236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28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4.5" customHeight="1" x14ac:dyDescent="0.2">
      <c r="A74" s="94"/>
      <c r="B74" s="94"/>
      <c r="C74" s="199"/>
      <c r="D74" s="213"/>
      <c r="E74" s="213"/>
      <c r="F74" s="213"/>
      <c r="G74" s="213"/>
      <c r="H74" s="213"/>
      <c r="I74" s="213"/>
      <c r="J74" s="213"/>
      <c r="K74" s="213"/>
      <c r="L74" s="213"/>
      <c r="M74" s="195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5.75" customHeight="1" x14ac:dyDescent="0.2">
      <c r="A75" s="94"/>
      <c r="B75" s="94"/>
      <c r="C75" s="132" t="s">
        <v>202</v>
      </c>
      <c r="D75" s="98" t="s">
        <v>203</v>
      </c>
      <c r="E75" s="196" t="s">
        <v>228</v>
      </c>
      <c r="F75" s="152"/>
      <c r="G75" s="98" t="s">
        <v>205</v>
      </c>
      <c r="H75" s="196" t="s">
        <v>238</v>
      </c>
      <c r="I75" s="152"/>
      <c r="J75" s="196" t="s">
        <v>207</v>
      </c>
      <c r="K75" s="152"/>
      <c r="L75" s="196" t="s">
        <v>208</v>
      </c>
      <c r="M75" s="152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221" t="s">
        <v>209</v>
      </c>
      <c r="D76" s="193" t="s">
        <v>210</v>
      </c>
      <c r="E76" s="183" t="s">
        <v>152</v>
      </c>
      <c r="F76" s="183" t="s">
        <v>158</v>
      </c>
      <c r="G76" s="197" t="s">
        <v>205</v>
      </c>
      <c r="H76" s="183" t="s">
        <v>156</v>
      </c>
      <c r="I76" s="183" t="s">
        <v>14</v>
      </c>
      <c r="J76" s="126">
        <v>6</v>
      </c>
      <c r="K76" s="126">
        <v>0</v>
      </c>
      <c r="L76" s="184">
        <f>(IF(J76&gt;K76,1,0)+IF(J77&gt;K77,1,0))</f>
        <v>2</v>
      </c>
      <c r="M76" s="185">
        <f>(IF(J76&lt;K76,1,0)+IF(J77&lt;K77,1,0))</f>
        <v>0</v>
      </c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166"/>
      <c r="D77" s="166"/>
      <c r="E77" s="166"/>
      <c r="F77" s="166"/>
      <c r="G77" s="166"/>
      <c r="H77" s="166"/>
      <c r="I77" s="166"/>
      <c r="J77" s="126">
        <v>6</v>
      </c>
      <c r="K77" s="126">
        <v>4</v>
      </c>
      <c r="L77" s="166"/>
      <c r="M77" s="175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4.5" customHeight="1" x14ac:dyDescent="0.2">
      <c r="A78" s="94"/>
      <c r="B78" s="94"/>
      <c r="C78" s="222"/>
      <c r="D78" s="151"/>
      <c r="E78" s="151"/>
      <c r="F78" s="151"/>
      <c r="G78" s="151"/>
      <c r="H78" s="151"/>
      <c r="I78" s="151"/>
      <c r="J78" s="151"/>
      <c r="K78" s="151"/>
      <c r="L78" s="151"/>
      <c r="M78" s="152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221" t="s">
        <v>211</v>
      </c>
      <c r="D79" s="193" t="s">
        <v>214</v>
      </c>
      <c r="E79" s="183" t="s">
        <v>39</v>
      </c>
      <c r="F79" s="183" t="s">
        <v>53</v>
      </c>
      <c r="G79" s="197" t="s">
        <v>205</v>
      </c>
      <c r="H79" s="183" t="s">
        <v>50</v>
      </c>
      <c r="I79" s="183" t="s">
        <v>250</v>
      </c>
      <c r="J79" s="126">
        <v>1</v>
      </c>
      <c r="K79" s="126">
        <v>6</v>
      </c>
      <c r="L79" s="184">
        <f>(IF(J79&gt;K79,1,0)+IF(J80&gt;K80,1,0))</f>
        <v>0</v>
      </c>
      <c r="M79" s="185">
        <f>(IF(J79&lt;K79,1,0)+IF(J80&lt;K80,1,0))</f>
        <v>2</v>
      </c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166"/>
      <c r="D80" s="166"/>
      <c r="E80" s="166"/>
      <c r="F80" s="166"/>
      <c r="G80" s="166"/>
      <c r="H80" s="166"/>
      <c r="I80" s="166"/>
      <c r="J80" s="126">
        <v>1</v>
      </c>
      <c r="K80" s="126">
        <v>6</v>
      </c>
      <c r="L80" s="166"/>
      <c r="M80" s="175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4.5" customHeight="1" x14ac:dyDescent="0.2">
      <c r="A81" s="94"/>
      <c r="B81" s="94"/>
      <c r="C81" s="222"/>
      <c r="D81" s="151"/>
      <c r="E81" s="151"/>
      <c r="F81" s="151"/>
      <c r="G81" s="151"/>
      <c r="H81" s="151"/>
      <c r="I81" s="151"/>
      <c r="J81" s="151"/>
      <c r="K81" s="151"/>
      <c r="L81" s="151"/>
      <c r="M81" s="152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221" t="s">
        <v>213</v>
      </c>
      <c r="D82" s="193" t="s">
        <v>210</v>
      </c>
      <c r="E82" s="183" t="s">
        <v>133</v>
      </c>
      <c r="F82" s="183" t="s">
        <v>146</v>
      </c>
      <c r="G82" s="197" t="s">
        <v>205</v>
      </c>
      <c r="H82" s="183" t="s">
        <v>143</v>
      </c>
      <c r="I82" s="183" t="s">
        <v>150</v>
      </c>
      <c r="J82" s="126">
        <v>6</v>
      </c>
      <c r="K82" s="126">
        <v>1</v>
      </c>
      <c r="L82" s="184">
        <f>(IF(J82&gt;K82,1,0)+IF(J83&gt;K83,1,0))</f>
        <v>1</v>
      </c>
      <c r="M82" s="185">
        <f>(IF(J82&lt;K82,1,0)+IF(J83&lt;K83,1,0))</f>
        <v>1</v>
      </c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166"/>
      <c r="D83" s="166"/>
      <c r="E83" s="166"/>
      <c r="F83" s="166"/>
      <c r="G83" s="166"/>
      <c r="H83" s="166"/>
      <c r="I83" s="166"/>
      <c r="J83" s="126">
        <v>3</v>
      </c>
      <c r="K83" s="126">
        <v>6</v>
      </c>
      <c r="L83" s="166"/>
      <c r="M83" s="175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4.5" customHeight="1" x14ac:dyDescent="0.2">
      <c r="A84" s="94"/>
      <c r="B84" s="94"/>
      <c r="C84" s="222"/>
      <c r="D84" s="151"/>
      <c r="E84" s="151"/>
      <c r="F84" s="151"/>
      <c r="G84" s="151"/>
      <c r="H84" s="151"/>
      <c r="I84" s="151"/>
      <c r="J84" s="151"/>
      <c r="K84" s="151"/>
      <c r="L84" s="151"/>
      <c r="M84" s="152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221" t="s">
        <v>213</v>
      </c>
      <c r="D85" s="206" t="s">
        <v>223</v>
      </c>
      <c r="E85" s="184" t="s">
        <v>10</v>
      </c>
      <c r="F85" s="184" t="s">
        <v>139</v>
      </c>
      <c r="G85" s="197" t="s">
        <v>205</v>
      </c>
      <c r="H85" s="184" t="s">
        <v>78</v>
      </c>
      <c r="I85" s="184" t="s">
        <v>137</v>
      </c>
      <c r="J85" s="126">
        <v>2</v>
      </c>
      <c r="K85" s="126">
        <v>6</v>
      </c>
      <c r="L85" s="184">
        <f>(IF(J85&gt;K85,1,0)+IF(J86&gt;K86,1,0))</f>
        <v>0</v>
      </c>
      <c r="M85" s="185">
        <f>(IF(J85&lt;K85,1,0)+IF(J86&lt;K86,1,0))</f>
        <v>2</v>
      </c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2.75" customHeight="1" x14ac:dyDescent="0.2">
      <c r="A86" s="94"/>
      <c r="B86" s="94"/>
      <c r="C86" s="166"/>
      <c r="D86" s="166"/>
      <c r="E86" s="166"/>
      <c r="F86" s="166"/>
      <c r="G86" s="166"/>
      <c r="H86" s="166"/>
      <c r="I86" s="166"/>
      <c r="J86" s="126">
        <v>3</v>
      </c>
      <c r="K86" s="126">
        <v>6</v>
      </c>
      <c r="L86" s="166"/>
      <c r="M86" s="175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4.5" customHeight="1" x14ac:dyDescent="0.2">
      <c r="A87" s="94"/>
      <c r="B87" s="94"/>
      <c r="C87" s="222"/>
      <c r="D87" s="151"/>
      <c r="E87" s="151"/>
      <c r="F87" s="151"/>
      <c r="G87" s="151"/>
      <c r="H87" s="151"/>
      <c r="I87" s="151"/>
      <c r="J87" s="151"/>
      <c r="K87" s="151"/>
      <c r="L87" s="151"/>
      <c r="M87" s="152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2.75" customHeight="1" x14ac:dyDescent="0.2">
      <c r="A88" s="94"/>
      <c r="B88" s="94"/>
      <c r="C88" s="223" t="s">
        <v>266</v>
      </c>
      <c r="D88" s="151"/>
      <c r="E88" s="151"/>
      <c r="F88" s="151"/>
      <c r="G88" s="151"/>
      <c r="H88" s="151"/>
      <c r="I88" s="152"/>
      <c r="J88" s="127">
        <f t="shared" ref="J88:M88" si="4">SUM(J76:J86)</f>
        <v>28</v>
      </c>
      <c r="K88" s="127">
        <f t="shared" si="4"/>
        <v>35</v>
      </c>
      <c r="L88" s="127">
        <f t="shared" si="4"/>
        <v>3</v>
      </c>
      <c r="M88" s="127">
        <f t="shared" si="4"/>
        <v>5</v>
      </c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4.5" customHeight="1" x14ac:dyDescent="0.2">
      <c r="A89" s="94"/>
      <c r="B89" s="94"/>
      <c r="C89" s="222"/>
      <c r="D89" s="151"/>
      <c r="E89" s="151"/>
      <c r="F89" s="151"/>
      <c r="G89" s="151"/>
      <c r="H89" s="151"/>
      <c r="I89" s="151"/>
      <c r="J89" s="151"/>
      <c r="K89" s="151"/>
      <c r="L89" s="151"/>
      <c r="M89" s="152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221" t="s">
        <v>209</v>
      </c>
      <c r="D90" s="193" t="s">
        <v>212</v>
      </c>
      <c r="E90" s="183" t="s">
        <v>81</v>
      </c>
      <c r="F90" s="183" t="s">
        <v>74</v>
      </c>
      <c r="G90" s="197" t="s">
        <v>205</v>
      </c>
      <c r="H90" s="183" t="s">
        <v>64</v>
      </c>
      <c r="I90" s="183" t="s">
        <v>85</v>
      </c>
      <c r="J90" s="126">
        <v>7</v>
      </c>
      <c r="K90" s="126">
        <v>6</v>
      </c>
      <c r="L90" s="184">
        <f>(IF(J90&gt;K90,1,0)+IF(J91&gt;K91,1,0))</f>
        <v>2</v>
      </c>
      <c r="M90" s="185">
        <f>(IF(J90&lt;K90,1,0)+IF(J91&lt;K91,1,0))</f>
        <v>0</v>
      </c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166"/>
      <c r="D91" s="166"/>
      <c r="E91" s="166"/>
      <c r="F91" s="166"/>
      <c r="G91" s="166"/>
      <c r="H91" s="166"/>
      <c r="I91" s="166"/>
      <c r="J91" s="126">
        <v>6</v>
      </c>
      <c r="K91" s="126">
        <v>4</v>
      </c>
      <c r="L91" s="166"/>
      <c r="M91" s="175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4.5" customHeight="1" x14ac:dyDescent="0.2">
      <c r="A92" s="94"/>
      <c r="B92" s="94"/>
      <c r="C92" s="222"/>
      <c r="D92" s="151"/>
      <c r="E92" s="151"/>
      <c r="F92" s="151"/>
      <c r="G92" s="151"/>
      <c r="H92" s="151"/>
      <c r="I92" s="151"/>
      <c r="J92" s="151"/>
      <c r="K92" s="151"/>
      <c r="L92" s="151"/>
      <c r="M92" s="152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221" t="s">
        <v>211</v>
      </c>
      <c r="D93" s="193" t="s">
        <v>217</v>
      </c>
      <c r="E93" s="183" t="s">
        <v>88</v>
      </c>
      <c r="F93" s="183" t="s">
        <v>95</v>
      </c>
      <c r="G93" s="197" t="s">
        <v>205</v>
      </c>
      <c r="H93" s="183" t="s">
        <v>92</v>
      </c>
      <c r="I93" s="183" t="s">
        <v>197</v>
      </c>
      <c r="J93" s="126">
        <v>6</v>
      </c>
      <c r="K93" s="126">
        <v>2</v>
      </c>
      <c r="L93" s="184">
        <f>(IF(J93&gt;K93,1,0)+IF(J94&gt;K94,1,0))</f>
        <v>2</v>
      </c>
      <c r="M93" s="185">
        <f>(IF(J93&lt;K93,1,0)+IF(J94&lt;K94,1,0))</f>
        <v>0</v>
      </c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166"/>
      <c r="D94" s="166"/>
      <c r="E94" s="166"/>
      <c r="F94" s="166"/>
      <c r="G94" s="166"/>
      <c r="H94" s="166"/>
      <c r="I94" s="166"/>
      <c r="J94" s="126">
        <v>6</v>
      </c>
      <c r="K94" s="126">
        <v>4</v>
      </c>
      <c r="L94" s="166"/>
      <c r="M94" s="175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4.5" customHeight="1" x14ac:dyDescent="0.2">
      <c r="A95" s="94"/>
      <c r="B95" s="94"/>
      <c r="C95" s="222"/>
      <c r="D95" s="151"/>
      <c r="E95" s="151"/>
      <c r="F95" s="151"/>
      <c r="G95" s="151"/>
      <c r="H95" s="151"/>
      <c r="I95" s="151"/>
      <c r="J95" s="151"/>
      <c r="K95" s="151"/>
      <c r="L95" s="151"/>
      <c r="M95" s="152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221" t="s">
        <v>213</v>
      </c>
      <c r="D96" s="193" t="s">
        <v>220</v>
      </c>
      <c r="E96" s="183" t="s">
        <v>115</v>
      </c>
      <c r="F96" s="183" t="s">
        <v>121</v>
      </c>
      <c r="G96" s="197" t="s">
        <v>205</v>
      </c>
      <c r="H96" s="183" t="s">
        <v>113</v>
      </c>
      <c r="I96" s="183" t="s">
        <v>119</v>
      </c>
      <c r="J96" s="126">
        <v>1</v>
      </c>
      <c r="K96" s="126">
        <v>6</v>
      </c>
      <c r="L96" s="184">
        <f>(IF(J96&gt;K96,1,0)+IF(J97&gt;K97,1,0))</f>
        <v>0</v>
      </c>
      <c r="M96" s="185">
        <f>(IF(J96&lt;K96,1,0)+IF(J97&lt;K97,1,0))</f>
        <v>2</v>
      </c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166"/>
      <c r="D97" s="166"/>
      <c r="E97" s="166"/>
      <c r="F97" s="166"/>
      <c r="G97" s="166"/>
      <c r="H97" s="166"/>
      <c r="I97" s="166"/>
      <c r="J97" s="126">
        <v>2</v>
      </c>
      <c r="K97" s="126">
        <v>6</v>
      </c>
      <c r="L97" s="166"/>
      <c r="M97" s="175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4.5" customHeight="1" x14ac:dyDescent="0.2">
      <c r="A98" s="94"/>
      <c r="B98" s="94"/>
      <c r="C98" s="222"/>
      <c r="D98" s="151"/>
      <c r="E98" s="151"/>
      <c r="F98" s="151"/>
      <c r="G98" s="151"/>
      <c r="H98" s="151"/>
      <c r="I98" s="151"/>
      <c r="J98" s="151"/>
      <c r="K98" s="151"/>
      <c r="L98" s="151"/>
      <c r="M98" s="152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221" t="s">
        <v>213</v>
      </c>
      <c r="D99" s="206" t="s">
        <v>234</v>
      </c>
      <c r="E99" s="183" t="s">
        <v>18</v>
      </c>
      <c r="F99" s="183" t="s">
        <v>32</v>
      </c>
      <c r="G99" s="197" t="s">
        <v>205</v>
      </c>
      <c r="H99" s="183" t="s">
        <v>22</v>
      </c>
      <c r="I99" s="183" t="s">
        <v>29</v>
      </c>
      <c r="J99" s="126">
        <v>7</v>
      </c>
      <c r="K99" s="126">
        <v>5</v>
      </c>
      <c r="L99" s="184">
        <f>(IF(J99&gt;K99,1,0)+IF(J100&gt;K100,1,0))</f>
        <v>1</v>
      </c>
      <c r="M99" s="185">
        <f>(IF(J99&lt;K99,1,0)+IF(J100&lt;K100,1,0))</f>
        <v>1</v>
      </c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166"/>
      <c r="D100" s="166"/>
      <c r="E100" s="166"/>
      <c r="F100" s="166"/>
      <c r="G100" s="166"/>
      <c r="H100" s="166"/>
      <c r="I100" s="166"/>
      <c r="J100" s="126">
        <v>4</v>
      </c>
      <c r="K100" s="126">
        <v>6</v>
      </c>
      <c r="L100" s="166"/>
      <c r="M100" s="175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4.5" customHeight="1" x14ac:dyDescent="0.2">
      <c r="A101" s="94"/>
      <c r="B101" s="94"/>
      <c r="C101" s="222"/>
      <c r="D101" s="151"/>
      <c r="E101" s="151"/>
      <c r="F101" s="151"/>
      <c r="G101" s="151"/>
      <c r="H101" s="151"/>
      <c r="I101" s="151"/>
      <c r="J101" s="151"/>
      <c r="K101" s="151"/>
      <c r="L101" s="151"/>
      <c r="M101" s="152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2.75" customHeight="1" x14ac:dyDescent="0.2">
      <c r="A102" s="94"/>
      <c r="B102" s="94"/>
      <c r="C102" s="223" t="s">
        <v>268</v>
      </c>
      <c r="D102" s="151"/>
      <c r="E102" s="151"/>
      <c r="F102" s="151"/>
      <c r="G102" s="151"/>
      <c r="H102" s="151"/>
      <c r="I102" s="152"/>
      <c r="J102" s="127">
        <f t="shared" ref="J102:M102" si="5">SUM(J90:J100)</f>
        <v>39</v>
      </c>
      <c r="K102" s="127">
        <f t="shared" si="5"/>
        <v>39</v>
      </c>
      <c r="L102" s="127">
        <f t="shared" si="5"/>
        <v>5</v>
      </c>
      <c r="M102" s="127">
        <f t="shared" si="5"/>
        <v>3</v>
      </c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4.5" customHeight="1" x14ac:dyDescent="0.2">
      <c r="A103" s="94"/>
      <c r="B103" s="94"/>
      <c r="C103" s="222"/>
      <c r="D103" s="151"/>
      <c r="E103" s="151"/>
      <c r="F103" s="151"/>
      <c r="G103" s="151"/>
      <c r="H103" s="151"/>
      <c r="I103" s="151"/>
      <c r="J103" s="151"/>
      <c r="K103" s="151"/>
      <c r="L103" s="151"/>
      <c r="M103" s="152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224" t="s">
        <v>269</v>
      </c>
      <c r="D104" s="151"/>
      <c r="E104" s="151"/>
      <c r="F104" s="151"/>
      <c r="G104" s="151"/>
      <c r="H104" s="151"/>
      <c r="I104" s="152"/>
      <c r="J104" s="129">
        <f>J102+J88</f>
        <v>67</v>
      </c>
      <c r="K104" s="129">
        <f>K102+K88</f>
        <v>74</v>
      </c>
      <c r="L104" s="129">
        <f>L102+L88</f>
        <v>8</v>
      </c>
      <c r="M104" s="129">
        <f>M102+M88</f>
        <v>8</v>
      </c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4.5" customHeight="1" x14ac:dyDescent="0.2">
      <c r="A105" s="94"/>
      <c r="B105" s="94"/>
      <c r="C105" s="222"/>
      <c r="D105" s="151"/>
      <c r="E105" s="151"/>
      <c r="F105" s="151"/>
      <c r="G105" s="151"/>
      <c r="H105" s="151"/>
      <c r="I105" s="151"/>
      <c r="J105" s="151"/>
      <c r="K105" s="151"/>
      <c r="L105" s="151"/>
      <c r="M105" s="152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 t="s">
        <v>243</v>
      </c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 t="s">
        <v>243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</sheetData>
  <mergeCells count="277">
    <mergeCell ref="I99:I100"/>
    <mergeCell ref="L99:L100"/>
    <mergeCell ref="M99:M100"/>
    <mergeCell ref="C101:M101"/>
    <mergeCell ref="C102:I102"/>
    <mergeCell ref="C103:M103"/>
    <mergeCell ref="C104:I104"/>
    <mergeCell ref="C105:M105"/>
    <mergeCell ref="C96:C97"/>
    <mergeCell ref="C99:C100"/>
    <mergeCell ref="D99:D100"/>
    <mergeCell ref="E99:E100"/>
    <mergeCell ref="F99:F100"/>
    <mergeCell ref="G99:G100"/>
    <mergeCell ref="H99:H100"/>
    <mergeCell ref="H93:H94"/>
    <mergeCell ref="I93:I94"/>
    <mergeCell ref="L93:L94"/>
    <mergeCell ref="M93:M94"/>
    <mergeCell ref="C95:M95"/>
    <mergeCell ref="E90:E91"/>
    <mergeCell ref="F90:F91"/>
    <mergeCell ref="C93:C94"/>
    <mergeCell ref="D93:D94"/>
    <mergeCell ref="E93:E94"/>
    <mergeCell ref="F93:F94"/>
    <mergeCell ref="G93:G94"/>
    <mergeCell ref="G90:G91"/>
    <mergeCell ref="H90:H91"/>
    <mergeCell ref="I90:I91"/>
    <mergeCell ref="L90:L91"/>
    <mergeCell ref="M90:M91"/>
    <mergeCell ref="C92:M92"/>
    <mergeCell ref="I85:I86"/>
    <mergeCell ref="C87:M87"/>
    <mergeCell ref="C88:I88"/>
    <mergeCell ref="C89:M89"/>
    <mergeCell ref="C90:C91"/>
    <mergeCell ref="D90:D91"/>
    <mergeCell ref="L96:L97"/>
    <mergeCell ref="M96:M97"/>
    <mergeCell ref="D96:D97"/>
    <mergeCell ref="E96:E97"/>
    <mergeCell ref="F96:F97"/>
    <mergeCell ref="G96:G97"/>
    <mergeCell ref="H96:H97"/>
    <mergeCell ref="I96:I97"/>
    <mergeCell ref="C98:M98"/>
    <mergeCell ref="G46:G47"/>
    <mergeCell ref="H46:H47"/>
    <mergeCell ref="C49:C50"/>
    <mergeCell ref="C52:C53"/>
    <mergeCell ref="D52:D53"/>
    <mergeCell ref="E52:E53"/>
    <mergeCell ref="F52:F53"/>
    <mergeCell ref="G52:G53"/>
    <mergeCell ref="H52:H53"/>
    <mergeCell ref="C51:M51"/>
    <mergeCell ref="I33:I34"/>
    <mergeCell ref="L33:L34"/>
    <mergeCell ref="M33:M34"/>
    <mergeCell ref="C35:M35"/>
    <mergeCell ref="C36:I36"/>
    <mergeCell ref="C37:M37"/>
    <mergeCell ref="C38:I38"/>
    <mergeCell ref="C39:M39"/>
    <mergeCell ref="C40:M41"/>
    <mergeCell ref="E42:F42"/>
    <mergeCell ref="H42:I42"/>
    <mergeCell ref="J42:K42"/>
    <mergeCell ref="L42:M42"/>
    <mergeCell ref="L43:L44"/>
    <mergeCell ref="M43:M44"/>
    <mergeCell ref="L46:L47"/>
    <mergeCell ref="M46:M47"/>
    <mergeCell ref="D43:D44"/>
    <mergeCell ref="E43:E44"/>
    <mergeCell ref="F43:F44"/>
    <mergeCell ref="G43:G44"/>
    <mergeCell ref="H43:H44"/>
    <mergeCell ref="C30:C31"/>
    <mergeCell ref="C33:C34"/>
    <mergeCell ref="D33:D34"/>
    <mergeCell ref="E33:E34"/>
    <mergeCell ref="F33:F34"/>
    <mergeCell ref="G33:G34"/>
    <mergeCell ref="H33:H34"/>
    <mergeCell ref="L49:L50"/>
    <mergeCell ref="M49:M50"/>
    <mergeCell ref="D49:D50"/>
    <mergeCell ref="E49:E50"/>
    <mergeCell ref="F49:F50"/>
    <mergeCell ref="G49:G50"/>
    <mergeCell ref="H49:H50"/>
    <mergeCell ref="I49:I50"/>
    <mergeCell ref="I43:I44"/>
    <mergeCell ref="C45:M45"/>
    <mergeCell ref="I46:I47"/>
    <mergeCell ref="C48:M48"/>
    <mergeCell ref="C43:C44"/>
    <mergeCell ref="C46:C47"/>
    <mergeCell ref="D46:D47"/>
    <mergeCell ref="E46:E47"/>
    <mergeCell ref="F46:F47"/>
    <mergeCell ref="H27:H28"/>
    <mergeCell ref="I27:I28"/>
    <mergeCell ref="L27:L28"/>
    <mergeCell ref="M27:M28"/>
    <mergeCell ref="C29:M29"/>
    <mergeCell ref="E24:E25"/>
    <mergeCell ref="F24:F25"/>
    <mergeCell ref="C27:C28"/>
    <mergeCell ref="D27:D28"/>
    <mergeCell ref="E27:E28"/>
    <mergeCell ref="F27:F28"/>
    <mergeCell ref="G27:G28"/>
    <mergeCell ref="I24:I25"/>
    <mergeCell ref="L24:L25"/>
    <mergeCell ref="M24:M25"/>
    <mergeCell ref="C26:M26"/>
    <mergeCell ref="I19:I20"/>
    <mergeCell ref="C21:M21"/>
    <mergeCell ref="C22:I22"/>
    <mergeCell ref="C23:M23"/>
    <mergeCell ref="C24:C25"/>
    <mergeCell ref="D24:D25"/>
    <mergeCell ref="L13:L14"/>
    <mergeCell ref="M13:M14"/>
    <mergeCell ref="L19:L20"/>
    <mergeCell ref="M19:M20"/>
    <mergeCell ref="L8:M8"/>
    <mergeCell ref="C9:M9"/>
    <mergeCell ref="D10:D11"/>
    <mergeCell ref="E10:E11"/>
    <mergeCell ref="F10:F11"/>
    <mergeCell ref="G10:G11"/>
    <mergeCell ref="C12:M12"/>
    <mergeCell ref="I13:I14"/>
    <mergeCell ref="C15:M15"/>
    <mergeCell ref="C10:C11"/>
    <mergeCell ref="C13:C14"/>
    <mergeCell ref="D13:D14"/>
    <mergeCell ref="E13:E14"/>
    <mergeCell ref="F13:F14"/>
    <mergeCell ref="G13:G14"/>
    <mergeCell ref="H13:H14"/>
    <mergeCell ref="C16:C17"/>
    <mergeCell ref="C19:C20"/>
    <mergeCell ref="D19:D20"/>
    <mergeCell ref="E19:E20"/>
    <mergeCell ref="C1:M1"/>
    <mergeCell ref="C3:M3"/>
    <mergeCell ref="C4:M5"/>
    <mergeCell ref="C6:M7"/>
    <mergeCell ref="E8:F8"/>
    <mergeCell ref="H8:I8"/>
    <mergeCell ref="J8:K8"/>
    <mergeCell ref="H10:H11"/>
    <mergeCell ref="I10:I11"/>
    <mergeCell ref="L10:L11"/>
    <mergeCell ref="M10:M11"/>
    <mergeCell ref="H85:H86"/>
    <mergeCell ref="L16:L17"/>
    <mergeCell ref="M16:M17"/>
    <mergeCell ref="D16:D17"/>
    <mergeCell ref="E16:E17"/>
    <mergeCell ref="F16:F17"/>
    <mergeCell ref="G16:G17"/>
    <mergeCell ref="H16:H17"/>
    <mergeCell ref="I16:I17"/>
    <mergeCell ref="C18:M18"/>
    <mergeCell ref="F19:F20"/>
    <mergeCell ref="G19:G20"/>
    <mergeCell ref="H19:H20"/>
    <mergeCell ref="L30:L31"/>
    <mergeCell ref="M30:M31"/>
    <mergeCell ref="D30:D31"/>
    <mergeCell ref="E30:E31"/>
    <mergeCell ref="F30:F31"/>
    <mergeCell ref="G30:G31"/>
    <mergeCell ref="H30:H31"/>
    <mergeCell ref="I30:I31"/>
    <mergeCell ref="C32:M32"/>
    <mergeCell ref="G24:G25"/>
    <mergeCell ref="H24:H25"/>
    <mergeCell ref="L85:L86"/>
    <mergeCell ref="M85:M86"/>
    <mergeCell ref="D76:D77"/>
    <mergeCell ref="E76:E77"/>
    <mergeCell ref="F76:F77"/>
    <mergeCell ref="G76:G77"/>
    <mergeCell ref="H76:H77"/>
    <mergeCell ref="I76:I77"/>
    <mergeCell ref="C78:M78"/>
    <mergeCell ref="I79:I80"/>
    <mergeCell ref="C81:M81"/>
    <mergeCell ref="C76:C77"/>
    <mergeCell ref="C79:C80"/>
    <mergeCell ref="D79:D80"/>
    <mergeCell ref="E79:E80"/>
    <mergeCell ref="F79:F80"/>
    <mergeCell ref="G79:G80"/>
    <mergeCell ref="H79:H80"/>
    <mergeCell ref="C82:C83"/>
    <mergeCell ref="C85:C86"/>
    <mergeCell ref="D85:D86"/>
    <mergeCell ref="E85:E86"/>
    <mergeCell ref="F85:F86"/>
    <mergeCell ref="G85:G86"/>
    <mergeCell ref="C84:M84"/>
    <mergeCell ref="I66:I67"/>
    <mergeCell ref="L66:L67"/>
    <mergeCell ref="M66:M67"/>
    <mergeCell ref="C68:M68"/>
    <mergeCell ref="C69:I69"/>
    <mergeCell ref="C70:M70"/>
    <mergeCell ref="C71:I71"/>
    <mergeCell ref="C72:M72"/>
    <mergeCell ref="C73:M74"/>
    <mergeCell ref="E75:F75"/>
    <mergeCell ref="H75:I75"/>
    <mergeCell ref="J75:K75"/>
    <mergeCell ref="L75:M75"/>
    <mergeCell ref="L76:L77"/>
    <mergeCell ref="M76:M77"/>
    <mergeCell ref="L79:L80"/>
    <mergeCell ref="M79:M80"/>
    <mergeCell ref="C66:C67"/>
    <mergeCell ref="D66:D67"/>
    <mergeCell ref="E66:E67"/>
    <mergeCell ref="F66:F67"/>
    <mergeCell ref="G66:G67"/>
    <mergeCell ref="H66:H67"/>
    <mergeCell ref="L82:L83"/>
    <mergeCell ref="M82:M83"/>
    <mergeCell ref="D82:D83"/>
    <mergeCell ref="E82:E83"/>
    <mergeCell ref="F82:F83"/>
    <mergeCell ref="G82:G83"/>
    <mergeCell ref="H82:H83"/>
    <mergeCell ref="I82:I83"/>
    <mergeCell ref="H60:H61"/>
    <mergeCell ref="I60:I61"/>
    <mergeCell ref="L60:L61"/>
    <mergeCell ref="M60:M61"/>
    <mergeCell ref="C62:M62"/>
    <mergeCell ref="E57:E58"/>
    <mergeCell ref="F57:F58"/>
    <mergeCell ref="C60:C61"/>
    <mergeCell ref="D60:D61"/>
    <mergeCell ref="E60:E61"/>
    <mergeCell ref="F60:F61"/>
    <mergeCell ref="G60:G61"/>
    <mergeCell ref="G57:G58"/>
    <mergeCell ref="H57:H58"/>
    <mergeCell ref="I57:I58"/>
    <mergeCell ref="L57:L58"/>
    <mergeCell ref="M57:M58"/>
    <mergeCell ref="C59:M59"/>
    <mergeCell ref="I52:I53"/>
    <mergeCell ref="C54:M54"/>
    <mergeCell ref="C55:I55"/>
    <mergeCell ref="C56:M56"/>
    <mergeCell ref="C57:C58"/>
    <mergeCell ref="D57:D58"/>
    <mergeCell ref="L52:L53"/>
    <mergeCell ref="M52:M53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  <mergeCell ref="C63:C64"/>
  </mergeCells>
  <pageMargins left="0.23622047244094491" right="0.23622047244094491" top="0.11811023622047245" bottom="0.11811023622047245" header="0.31496062992125984" footer="0.31496062992125984"/>
  <pageSetup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1"/>
  <sheetViews>
    <sheetView topLeftCell="B91" workbookViewId="0">
      <selection activeCell="C3" sqref="C3:M3"/>
    </sheetView>
  </sheetViews>
  <sheetFormatPr defaultColWidth="14.42578125" defaultRowHeight="15" customHeight="1" x14ac:dyDescent="0.2"/>
  <cols>
    <col min="1" max="1" width="2.7109375" hidden="1" customWidth="1"/>
    <col min="2" max="2" width="2.7109375" customWidth="1"/>
    <col min="3" max="3" width="7.5703125" customWidth="1"/>
    <col min="4" max="4" width="7.42578125" customWidth="1"/>
    <col min="5" max="5" width="20.7109375" customWidth="1"/>
    <col min="6" max="6" width="16.28515625" customWidth="1"/>
    <col min="7" max="7" width="4.85546875" customWidth="1"/>
    <col min="8" max="8" width="18.7109375" customWidth="1"/>
    <col min="9" max="9" width="18.140625" customWidth="1"/>
    <col min="10" max="13" width="5.7109375" customWidth="1"/>
    <col min="14" max="17" width="9.140625" customWidth="1"/>
    <col min="18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2.75" customHeight="1" x14ac:dyDescent="0.2">
      <c r="A2" s="94"/>
      <c r="B2" s="9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6.5" customHeight="1" x14ac:dyDescent="0.2">
      <c r="A3" s="94"/>
      <c r="B3" s="94"/>
      <c r="C3" s="218" t="s">
        <v>178</v>
      </c>
      <c r="D3" s="151"/>
      <c r="E3" s="151"/>
      <c r="F3" s="151"/>
      <c r="G3" s="151"/>
      <c r="H3" s="151"/>
      <c r="I3" s="151"/>
      <c r="J3" s="151"/>
      <c r="K3" s="151"/>
      <c r="L3" s="151"/>
      <c r="M3" s="152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4.5" customHeight="1" x14ac:dyDescent="0.2">
      <c r="A4" s="94"/>
      <c r="B4" s="94"/>
      <c r="C4" s="231"/>
      <c r="D4" s="210"/>
      <c r="E4" s="210"/>
      <c r="F4" s="210"/>
      <c r="G4" s="210"/>
      <c r="H4" s="210"/>
      <c r="I4" s="210"/>
      <c r="J4" s="210"/>
      <c r="K4" s="210"/>
      <c r="L4" s="210"/>
      <c r="M4" s="228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4.5" hidden="1" customHeight="1" x14ac:dyDescent="0.2">
      <c r="A5" s="94"/>
      <c r="B5" s="94"/>
      <c r="C5" s="199"/>
      <c r="D5" s="213"/>
      <c r="E5" s="213"/>
      <c r="F5" s="213"/>
      <c r="G5" s="213"/>
      <c r="H5" s="213"/>
      <c r="I5" s="213"/>
      <c r="J5" s="213"/>
      <c r="K5" s="213"/>
      <c r="L5" s="213"/>
      <c r="M5" s="195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2.75" customHeight="1" x14ac:dyDescent="0.2">
      <c r="A6" s="94"/>
      <c r="B6" s="94"/>
      <c r="C6" s="227" t="s">
        <v>201</v>
      </c>
      <c r="D6" s="210"/>
      <c r="E6" s="210"/>
      <c r="F6" s="210"/>
      <c r="G6" s="210"/>
      <c r="H6" s="210"/>
      <c r="I6" s="210"/>
      <c r="J6" s="210"/>
      <c r="K6" s="210"/>
      <c r="L6" s="210"/>
      <c r="M6" s="228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3.75" customHeight="1" x14ac:dyDescent="0.2">
      <c r="A7" s="94"/>
      <c r="B7" s="94"/>
      <c r="C7" s="199"/>
      <c r="D7" s="213"/>
      <c r="E7" s="213"/>
      <c r="F7" s="213"/>
      <c r="G7" s="213"/>
      <c r="H7" s="213"/>
      <c r="I7" s="213"/>
      <c r="J7" s="213"/>
      <c r="K7" s="213"/>
      <c r="L7" s="213"/>
      <c r="M7" s="195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6.5" customHeight="1" x14ac:dyDescent="0.2">
      <c r="A8" s="94"/>
      <c r="B8" s="94"/>
      <c r="C8" s="98" t="s">
        <v>202</v>
      </c>
      <c r="D8" s="98" t="s">
        <v>203</v>
      </c>
      <c r="E8" s="196" t="s">
        <v>206</v>
      </c>
      <c r="F8" s="152"/>
      <c r="G8" s="98" t="s">
        <v>205</v>
      </c>
      <c r="H8" s="196" t="s">
        <v>238</v>
      </c>
      <c r="I8" s="152"/>
      <c r="J8" s="196" t="s">
        <v>207</v>
      </c>
      <c r="K8" s="152"/>
      <c r="L8" s="196" t="s">
        <v>208</v>
      </c>
      <c r="M8" s="152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3.5" customHeight="1" x14ac:dyDescent="0.2">
      <c r="A9" s="94"/>
      <c r="B9" s="94"/>
      <c r="C9" s="221" t="s">
        <v>209</v>
      </c>
      <c r="D9" s="193" t="s">
        <v>220</v>
      </c>
      <c r="E9" s="184" t="s">
        <v>110</v>
      </c>
      <c r="F9" s="184" t="s">
        <v>122</v>
      </c>
      <c r="G9" s="197" t="s">
        <v>205</v>
      </c>
      <c r="H9" s="184" t="s">
        <v>113</v>
      </c>
      <c r="I9" s="184" t="s">
        <v>125</v>
      </c>
      <c r="J9" s="126">
        <v>6</v>
      </c>
      <c r="K9" s="126">
        <v>4</v>
      </c>
      <c r="L9" s="184">
        <f>IF(J9&gt;K9,1,0) + IF(J10&gt;K10,1,0)</f>
        <v>2</v>
      </c>
      <c r="M9" s="185">
        <f>IF(J9&lt;K9,1,0) + IF(J10&lt;K10,1,0)</f>
        <v>0</v>
      </c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2.75" customHeight="1" x14ac:dyDescent="0.2">
      <c r="A10" s="94"/>
      <c r="B10" s="94"/>
      <c r="C10" s="166"/>
      <c r="D10" s="166"/>
      <c r="E10" s="166"/>
      <c r="F10" s="166"/>
      <c r="G10" s="166"/>
      <c r="H10" s="166"/>
      <c r="I10" s="166"/>
      <c r="J10" s="126">
        <v>6</v>
      </c>
      <c r="K10" s="126">
        <v>3</v>
      </c>
      <c r="L10" s="166"/>
      <c r="M10" s="175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4.5" customHeight="1" x14ac:dyDescent="0.2">
      <c r="A11" s="94"/>
      <c r="B11" s="94"/>
      <c r="C11" s="222"/>
      <c r="D11" s="151"/>
      <c r="E11" s="151"/>
      <c r="F11" s="151"/>
      <c r="G11" s="151"/>
      <c r="H11" s="151"/>
      <c r="I11" s="151"/>
      <c r="J11" s="151"/>
      <c r="K11" s="151"/>
      <c r="L11" s="151"/>
      <c r="M11" s="152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2.75" customHeight="1" x14ac:dyDescent="0.2">
      <c r="A12" s="94"/>
      <c r="B12" s="94"/>
      <c r="C12" s="221" t="s">
        <v>211</v>
      </c>
      <c r="D12" s="193" t="s">
        <v>217</v>
      </c>
      <c r="E12" s="184" t="s">
        <v>103</v>
      </c>
      <c r="F12" s="184" t="s">
        <v>89</v>
      </c>
      <c r="G12" s="197" t="s">
        <v>205</v>
      </c>
      <c r="H12" s="184" t="s">
        <v>92</v>
      </c>
      <c r="I12" s="184" t="s">
        <v>99</v>
      </c>
      <c r="J12" s="126">
        <v>4</v>
      </c>
      <c r="K12" s="126">
        <v>6</v>
      </c>
      <c r="L12" s="184">
        <f>IF(J12&gt;K12,1,0) + IF(J13&gt;K13,1,0)</f>
        <v>0</v>
      </c>
      <c r="M12" s="184">
        <f>IF(J12&lt;K12,1,0) + IF(J13&lt;K13,1,0)</f>
        <v>2</v>
      </c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.75" customHeight="1" x14ac:dyDescent="0.2">
      <c r="A13" s="94"/>
      <c r="B13" s="94"/>
      <c r="C13" s="166"/>
      <c r="D13" s="166"/>
      <c r="E13" s="166"/>
      <c r="F13" s="166"/>
      <c r="G13" s="166"/>
      <c r="H13" s="166"/>
      <c r="I13" s="166"/>
      <c r="J13" s="126">
        <v>3</v>
      </c>
      <c r="K13" s="126">
        <v>6</v>
      </c>
      <c r="L13" s="166"/>
      <c r="M13" s="166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4.5" customHeight="1" x14ac:dyDescent="0.2">
      <c r="A14" s="94"/>
      <c r="B14" s="94"/>
      <c r="C14" s="222"/>
      <c r="D14" s="151"/>
      <c r="E14" s="151"/>
      <c r="F14" s="151"/>
      <c r="G14" s="151"/>
      <c r="H14" s="151"/>
      <c r="I14" s="151"/>
      <c r="J14" s="151"/>
      <c r="K14" s="151"/>
      <c r="L14" s="151"/>
      <c r="M14" s="152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2.75" customHeight="1" x14ac:dyDescent="0.2">
      <c r="A15" s="94"/>
      <c r="B15" s="94"/>
      <c r="C15" s="221" t="s">
        <v>213</v>
      </c>
      <c r="D15" s="193" t="s">
        <v>215</v>
      </c>
      <c r="E15" s="184" t="s">
        <v>128</v>
      </c>
      <c r="F15" s="184" t="s">
        <v>140</v>
      </c>
      <c r="G15" s="197" t="s">
        <v>205</v>
      </c>
      <c r="H15" s="184" t="s">
        <v>143</v>
      </c>
      <c r="I15" s="184" t="s">
        <v>131</v>
      </c>
      <c r="J15" s="126">
        <v>6</v>
      </c>
      <c r="K15" s="126">
        <v>3</v>
      </c>
      <c r="L15" s="184">
        <f>(IF(J15&gt;K15,1,0)+IF(J16&gt;K16,1,0))</f>
        <v>1</v>
      </c>
      <c r="M15" s="185">
        <f>(IF(J15&lt;K15,1,0)+IF(J16&lt;K16,1,0))</f>
        <v>1</v>
      </c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.75" customHeight="1" x14ac:dyDescent="0.2">
      <c r="A16" s="94"/>
      <c r="B16" s="94"/>
      <c r="C16" s="166"/>
      <c r="D16" s="166"/>
      <c r="E16" s="166"/>
      <c r="F16" s="166"/>
      <c r="G16" s="166"/>
      <c r="H16" s="166"/>
      <c r="I16" s="166"/>
      <c r="J16" s="126">
        <v>0</v>
      </c>
      <c r="K16" s="126">
        <v>6</v>
      </c>
      <c r="L16" s="166"/>
      <c r="M16" s="175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4.5" customHeight="1" x14ac:dyDescent="0.2">
      <c r="A17" s="94"/>
      <c r="B17" s="94"/>
      <c r="C17" s="222"/>
      <c r="D17" s="151"/>
      <c r="E17" s="151"/>
      <c r="F17" s="151"/>
      <c r="G17" s="151"/>
      <c r="H17" s="151"/>
      <c r="I17" s="151"/>
      <c r="J17" s="151"/>
      <c r="K17" s="151"/>
      <c r="L17" s="151"/>
      <c r="M17" s="152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2.75" customHeight="1" x14ac:dyDescent="0.2">
      <c r="A18" s="94"/>
      <c r="B18" s="94"/>
      <c r="C18" s="221" t="s">
        <v>209</v>
      </c>
      <c r="D18" s="206" t="s">
        <v>270</v>
      </c>
      <c r="E18" s="184" t="s">
        <v>75</v>
      </c>
      <c r="F18" s="184" t="s">
        <v>134</v>
      </c>
      <c r="G18" s="197" t="s">
        <v>205</v>
      </c>
      <c r="H18" s="184" t="s">
        <v>78</v>
      </c>
      <c r="I18" s="184" t="s">
        <v>137</v>
      </c>
      <c r="J18" s="126">
        <v>5</v>
      </c>
      <c r="K18" s="126">
        <v>7</v>
      </c>
      <c r="L18" s="184">
        <f>(IF(J18&gt;K18,1,0)+IF(J19&gt;K19,1,0))</f>
        <v>1</v>
      </c>
      <c r="M18" s="185">
        <f>(IF(J18&lt;K18,1,0)+IF(J19&lt;K19,1,0))</f>
        <v>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.75" customHeight="1" x14ac:dyDescent="0.2">
      <c r="A19" s="94"/>
      <c r="B19" s="94"/>
      <c r="C19" s="166"/>
      <c r="D19" s="166"/>
      <c r="E19" s="166"/>
      <c r="F19" s="166"/>
      <c r="G19" s="166"/>
      <c r="H19" s="166"/>
      <c r="I19" s="166"/>
      <c r="J19" s="126">
        <v>6</v>
      </c>
      <c r="K19" s="126">
        <v>4</v>
      </c>
      <c r="L19" s="166"/>
      <c r="M19" s="175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4.5" customHeight="1" x14ac:dyDescent="0.2">
      <c r="A20" s="94"/>
      <c r="B20" s="94"/>
      <c r="C20" s="222"/>
      <c r="D20" s="151"/>
      <c r="E20" s="151"/>
      <c r="F20" s="151"/>
      <c r="G20" s="151"/>
      <c r="H20" s="151"/>
      <c r="I20" s="151"/>
      <c r="J20" s="151"/>
      <c r="K20" s="151"/>
      <c r="L20" s="151"/>
      <c r="M20" s="152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2.75" customHeight="1" x14ac:dyDescent="0.2">
      <c r="A21" s="94"/>
      <c r="B21" s="94"/>
      <c r="C21" s="223" t="s">
        <v>271</v>
      </c>
      <c r="D21" s="151"/>
      <c r="E21" s="151"/>
      <c r="F21" s="151"/>
      <c r="G21" s="151"/>
      <c r="H21" s="151"/>
      <c r="I21" s="152"/>
      <c r="J21" s="127">
        <f t="shared" ref="J21:M21" si="0">SUM(J9:J19)</f>
        <v>36</v>
      </c>
      <c r="K21" s="127">
        <f t="shared" si="0"/>
        <v>39</v>
      </c>
      <c r="L21" s="127">
        <f t="shared" si="0"/>
        <v>4</v>
      </c>
      <c r="M21" s="127">
        <f t="shared" si="0"/>
        <v>4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4.5" customHeight="1" x14ac:dyDescent="0.2">
      <c r="A22" s="94"/>
      <c r="B22" s="94"/>
      <c r="C22" s="222"/>
      <c r="D22" s="151"/>
      <c r="E22" s="151"/>
      <c r="F22" s="151"/>
      <c r="G22" s="151"/>
      <c r="H22" s="151"/>
      <c r="I22" s="151"/>
      <c r="J22" s="151"/>
      <c r="K22" s="151"/>
      <c r="L22" s="151"/>
      <c r="M22" s="152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2.75" customHeight="1" x14ac:dyDescent="0.2">
      <c r="A23" s="94"/>
      <c r="B23" s="94"/>
      <c r="C23" s="221" t="s">
        <v>209</v>
      </c>
      <c r="D23" s="232" t="s">
        <v>272</v>
      </c>
      <c r="E23" s="183" t="s">
        <v>153</v>
      </c>
      <c r="F23" s="183" t="s">
        <v>159</v>
      </c>
      <c r="G23" s="197" t="s">
        <v>205</v>
      </c>
      <c r="H23" s="183" t="s">
        <v>14</v>
      </c>
      <c r="I23" s="183" t="s">
        <v>168</v>
      </c>
      <c r="J23" s="126">
        <v>6</v>
      </c>
      <c r="K23" s="126">
        <v>1</v>
      </c>
      <c r="L23" s="184">
        <f>(IF(J23&gt;K23,1,0)+IF(J24&gt;K24,1,0))</f>
        <v>2</v>
      </c>
      <c r="M23" s="185">
        <f>(IF(J23&lt;K23,1,0)+IF(J24&lt;K24,1,0))</f>
        <v>0</v>
      </c>
      <c r="N23" s="94"/>
      <c r="O23" s="94"/>
      <c r="P23" s="94"/>
      <c r="Q23" s="94" t="s">
        <v>243</v>
      </c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.75" customHeight="1" x14ac:dyDescent="0.2">
      <c r="A24" s="94"/>
      <c r="B24" s="94"/>
      <c r="C24" s="166"/>
      <c r="D24" s="166"/>
      <c r="E24" s="166"/>
      <c r="F24" s="166"/>
      <c r="G24" s="166"/>
      <c r="H24" s="166"/>
      <c r="I24" s="166"/>
      <c r="J24" s="126">
        <v>6</v>
      </c>
      <c r="K24" s="126">
        <v>3</v>
      </c>
      <c r="L24" s="166"/>
      <c r="M24" s="175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4.5" customHeight="1" x14ac:dyDescent="0.2">
      <c r="A25" s="94"/>
      <c r="B25" s="94"/>
      <c r="C25" s="222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2.75" customHeight="1" x14ac:dyDescent="0.2">
      <c r="A26" s="96"/>
      <c r="B26" s="94"/>
      <c r="C26" s="221" t="s">
        <v>211</v>
      </c>
      <c r="D26" s="193" t="s">
        <v>212</v>
      </c>
      <c r="E26" s="183" t="s">
        <v>68</v>
      </c>
      <c r="F26" s="183" t="s">
        <v>61</v>
      </c>
      <c r="G26" s="197" t="s">
        <v>205</v>
      </c>
      <c r="H26" s="183" t="s">
        <v>64</v>
      </c>
      <c r="I26" s="183" t="s">
        <v>71</v>
      </c>
      <c r="J26" s="126">
        <v>4</v>
      </c>
      <c r="K26" s="126">
        <v>6</v>
      </c>
      <c r="L26" s="184">
        <f>(IF(J26&gt;K26,1,0)+IF(J27&gt;K27,1,0))</f>
        <v>0</v>
      </c>
      <c r="M26" s="185">
        <f>(IF(J26&lt;K26,1,0)+IF(J27&lt;K27,1,0))</f>
        <v>2</v>
      </c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.75" customHeight="1" x14ac:dyDescent="0.2">
      <c r="A27" s="96"/>
      <c r="B27" s="94"/>
      <c r="C27" s="166"/>
      <c r="D27" s="166"/>
      <c r="E27" s="166"/>
      <c r="F27" s="166"/>
      <c r="G27" s="166"/>
      <c r="H27" s="166"/>
      <c r="I27" s="166"/>
      <c r="J27" s="126">
        <v>1</v>
      </c>
      <c r="K27" s="126">
        <v>6</v>
      </c>
      <c r="L27" s="166"/>
      <c r="M27" s="175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4.5" customHeight="1" x14ac:dyDescent="0.2">
      <c r="A28" s="94"/>
      <c r="B28" s="94"/>
      <c r="C28" s="222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2.75" customHeight="1" x14ac:dyDescent="0.2">
      <c r="A29" s="94"/>
      <c r="B29" s="94"/>
      <c r="C29" s="221" t="s">
        <v>213</v>
      </c>
      <c r="D29" s="193" t="s">
        <v>214</v>
      </c>
      <c r="E29" s="183" t="s">
        <v>54</v>
      </c>
      <c r="F29" s="183" t="s">
        <v>40</v>
      </c>
      <c r="G29" s="197" t="s">
        <v>205</v>
      </c>
      <c r="H29" s="183" t="s">
        <v>250</v>
      </c>
      <c r="I29" s="183" t="s">
        <v>57</v>
      </c>
      <c r="J29" s="126">
        <v>3</v>
      </c>
      <c r="K29" s="126">
        <v>6</v>
      </c>
      <c r="L29" s="184">
        <f>(IF(J29&gt;K29,1,0)+IF(J30&gt;K30,1,0))</f>
        <v>1</v>
      </c>
      <c r="M29" s="185">
        <f>(IF(J29&lt;K29,1,0)+IF(J30&lt;K30,1,0))</f>
        <v>1</v>
      </c>
      <c r="N29" s="94"/>
      <c r="O29" s="94"/>
      <c r="P29" s="94"/>
      <c r="Q29" s="94" t="s">
        <v>243</v>
      </c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166"/>
      <c r="D30" s="166"/>
      <c r="E30" s="166"/>
      <c r="F30" s="166"/>
      <c r="G30" s="166"/>
      <c r="H30" s="166"/>
      <c r="I30" s="166"/>
      <c r="J30" s="126">
        <v>7</v>
      </c>
      <c r="K30" s="126">
        <v>6</v>
      </c>
      <c r="L30" s="166"/>
      <c r="M30" s="175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4.5" customHeight="1" x14ac:dyDescent="0.2">
      <c r="A31" s="94"/>
      <c r="B31" s="94"/>
      <c r="C31" s="222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2.75" customHeight="1" x14ac:dyDescent="0.2">
      <c r="A32" s="94"/>
      <c r="B32" s="94"/>
      <c r="C32" s="221" t="s">
        <v>259</v>
      </c>
      <c r="D32" s="206" t="s">
        <v>234</v>
      </c>
      <c r="E32" s="184" t="s">
        <v>222</v>
      </c>
      <c r="F32" s="184" t="s">
        <v>221</v>
      </c>
      <c r="G32" s="197" t="s">
        <v>205</v>
      </c>
      <c r="H32" s="184" t="s">
        <v>22</v>
      </c>
      <c r="I32" s="184" t="s">
        <v>36</v>
      </c>
      <c r="J32" s="126">
        <v>6</v>
      </c>
      <c r="K32" s="126">
        <v>2</v>
      </c>
      <c r="L32" s="184">
        <f>(IF(J32&gt;K32,1,0)+IF(J33&gt;K33,1,0))</f>
        <v>1</v>
      </c>
      <c r="M32" s="185">
        <f>(IF(J32&lt;K32,1,0)+IF(J33&lt;K33,1,0))</f>
        <v>1</v>
      </c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2.75" customHeight="1" x14ac:dyDescent="0.2">
      <c r="A33" s="94"/>
      <c r="B33" s="94"/>
      <c r="C33" s="166"/>
      <c r="D33" s="166"/>
      <c r="E33" s="166"/>
      <c r="F33" s="166"/>
      <c r="G33" s="166"/>
      <c r="H33" s="166"/>
      <c r="I33" s="166"/>
      <c r="J33" s="126">
        <v>1</v>
      </c>
      <c r="K33" s="126">
        <v>6</v>
      </c>
      <c r="L33" s="166"/>
      <c r="M33" s="175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4.5" customHeight="1" x14ac:dyDescent="0.2">
      <c r="A34" s="94"/>
      <c r="B34" s="94"/>
      <c r="C34" s="222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2.75" customHeight="1" x14ac:dyDescent="0.2">
      <c r="A35" s="94"/>
      <c r="B35" s="94"/>
      <c r="C35" s="223" t="s">
        <v>273</v>
      </c>
      <c r="D35" s="151"/>
      <c r="E35" s="151"/>
      <c r="F35" s="151"/>
      <c r="G35" s="151"/>
      <c r="H35" s="151"/>
      <c r="I35" s="152"/>
      <c r="J35" s="127">
        <f t="shared" ref="J35:M35" si="1">SUM(J23:J33)</f>
        <v>34</v>
      </c>
      <c r="K35" s="127">
        <f t="shared" si="1"/>
        <v>36</v>
      </c>
      <c r="L35" s="127">
        <f t="shared" si="1"/>
        <v>4</v>
      </c>
      <c r="M35" s="127">
        <f t="shared" si="1"/>
        <v>4</v>
      </c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4.5" customHeight="1" x14ac:dyDescent="0.2">
      <c r="A36" s="94"/>
      <c r="B36" s="94"/>
      <c r="C36" s="222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2.75" customHeight="1" x14ac:dyDescent="0.2">
      <c r="A37" s="94"/>
      <c r="B37" s="94"/>
      <c r="C37" s="224" t="s">
        <v>274</v>
      </c>
      <c r="D37" s="151"/>
      <c r="E37" s="151"/>
      <c r="F37" s="151"/>
      <c r="G37" s="151"/>
      <c r="H37" s="151"/>
      <c r="I37" s="152"/>
      <c r="J37" s="129">
        <f>J35+J21</f>
        <v>70</v>
      </c>
      <c r="K37" s="129">
        <f>K35+K21</f>
        <v>75</v>
      </c>
      <c r="L37" s="129">
        <f>L35+L21</f>
        <v>8</v>
      </c>
      <c r="M37" s="129">
        <f>M35+M21</f>
        <v>8</v>
      </c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3.75" customHeight="1" x14ac:dyDescent="0.2">
      <c r="A38" s="94"/>
      <c r="B38" s="94"/>
      <c r="C38" s="222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7.5" customHeight="1" x14ac:dyDescent="0.2">
      <c r="A39" s="94"/>
      <c r="B39" s="94"/>
      <c r="C39" s="227" t="s">
        <v>227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28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8.25" customHeight="1" x14ac:dyDescent="0.2">
      <c r="A40" s="94"/>
      <c r="B40" s="94"/>
      <c r="C40" s="199"/>
      <c r="D40" s="213"/>
      <c r="E40" s="213"/>
      <c r="F40" s="213"/>
      <c r="G40" s="213"/>
      <c r="H40" s="213"/>
      <c r="I40" s="213"/>
      <c r="J40" s="213"/>
      <c r="K40" s="213"/>
      <c r="L40" s="213"/>
      <c r="M40" s="195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8" customHeight="1" x14ac:dyDescent="0.2">
      <c r="A41" s="94"/>
      <c r="B41" s="94"/>
      <c r="C41" s="98" t="s">
        <v>202</v>
      </c>
      <c r="D41" s="98" t="s">
        <v>203</v>
      </c>
      <c r="E41" s="196" t="s">
        <v>237</v>
      </c>
      <c r="F41" s="152"/>
      <c r="G41" s="98" t="s">
        <v>205</v>
      </c>
      <c r="H41" s="196" t="s">
        <v>229</v>
      </c>
      <c r="I41" s="152"/>
      <c r="J41" s="196" t="s">
        <v>207</v>
      </c>
      <c r="K41" s="152"/>
      <c r="L41" s="196" t="s">
        <v>208</v>
      </c>
      <c r="M41" s="152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2.75" customHeight="1" x14ac:dyDescent="0.2">
      <c r="A42" s="94"/>
      <c r="B42" s="94"/>
      <c r="C42" s="221" t="s">
        <v>209</v>
      </c>
      <c r="D42" s="193" t="s">
        <v>217</v>
      </c>
      <c r="E42" s="183" t="s">
        <v>90</v>
      </c>
      <c r="F42" s="183" t="s">
        <v>104</v>
      </c>
      <c r="G42" s="197" t="s">
        <v>205</v>
      </c>
      <c r="H42" s="183" t="s">
        <v>105</v>
      </c>
      <c r="I42" s="183" t="s">
        <v>275</v>
      </c>
      <c r="J42" s="126">
        <v>7</v>
      </c>
      <c r="K42" s="126">
        <v>6</v>
      </c>
      <c r="L42" s="184">
        <f>(IF(J42&gt;K42,1,0)+IF(J43&gt;K43,1,0))</f>
        <v>1</v>
      </c>
      <c r="M42" s="185">
        <f>(IF(J42&lt;K42,1,0)+IF(J43&lt;K43,1,0))</f>
        <v>1</v>
      </c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166"/>
      <c r="D43" s="166"/>
      <c r="E43" s="166"/>
      <c r="F43" s="166"/>
      <c r="G43" s="166"/>
      <c r="H43" s="166"/>
      <c r="I43" s="166"/>
      <c r="J43" s="126">
        <v>3</v>
      </c>
      <c r="K43" s="126">
        <v>6</v>
      </c>
      <c r="L43" s="166"/>
      <c r="M43" s="175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4.5" customHeight="1" x14ac:dyDescent="0.2">
      <c r="A44" s="94"/>
      <c r="B44" s="94"/>
      <c r="C44" s="222"/>
      <c r="D44" s="151"/>
      <c r="E44" s="151"/>
      <c r="F44" s="151"/>
      <c r="G44" s="151"/>
      <c r="H44" s="151"/>
      <c r="I44" s="151"/>
      <c r="J44" s="151"/>
      <c r="K44" s="151"/>
      <c r="L44" s="151"/>
      <c r="M44" s="152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2.75" customHeight="1" x14ac:dyDescent="0.2">
      <c r="A45" s="94"/>
      <c r="B45" s="94"/>
      <c r="C45" s="221" t="s">
        <v>211</v>
      </c>
      <c r="D45" s="193" t="s">
        <v>220</v>
      </c>
      <c r="E45" s="183" t="s">
        <v>111</v>
      </c>
      <c r="F45" s="183" t="s">
        <v>123</v>
      </c>
      <c r="G45" s="197" t="s">
        <v>205</v>
      </c>
      <c r="H45" s="183" t="s">
        <v>118</v>
      </c>
      <c r="I45" s="183" t="s">
        <v>124</v>
      </c>
      <c r="J45" s="126">
        <v>6</v>
      </c>
      <c r="K45" s="126">
        <v>1</v>
      </c>
      <c r="L45" s="184">
        <f>(IF(J45&gt;K45,1,0)+IF(J46&gt;K46,1,0))</f>
        <v>1</v>
      </c>
      <c r="M45" s="185">
        <f>(IF(J45&lt;K45,1,0)+IF(J46&lt;K46,1,0))</f>
        <v>1</v>
      </c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166"/>
      <c r="D46" s="166"/>
      <c r="E46" s="166"/>
      <c r="F46" s="166"/>
      <c r="G46" s="166"/>
      <c r="H46" s="166"/>
      <c r="I46" s="166"/>
      <c r="J46" s="126">
        <v>3</v>
      </c>
      <c r="K46" s="126">
        <v>6</v>
      </c>
      <c r="L46" s="166"/>
      <c r="M46" s="175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4.5" customHeight="1" x14ac:dyDescent="0.2">
      <c r="A47" s="94"/>
      <c r="B47" s="94"/>
      <c r="C47" s="222"/>
      <c r="D47" s="151"/>
      <c r="E47" s="151"/>
      <c r="F47" s="151"/>
      <c r="G47" s="151"/>
      <c r="H47" s="151"/>
      <c r="I47" s="151"/>
      <c r="J47" s="151"/>
      <c r="K47" s="151"/>
      <c r="L47" s="151"/>
      <c r="M47" s="152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2.75" customHeight="1" x14ac:dyDescent="0.2">
      <c r="A48" s="94"/>
      <c r="B48" s="94"/>
      <c r="C48" s="221" t="s">
        <v>213</v>
      </c>
      <c r="D48" s="193" t="s">
        <v>270</v>
      </c>
      <c r="E48" s="183" t="s">
        <v>62</v>
      </c>
      <c r="F48" s="183" t="s">
        <v>141</v>
      </c>
      <c r="G48" s="197" t="s">
        <v>205</v>
      </c>
      <c r="H48" s="183" t="s">
        <v>77</v>
      </c>
      <c r="I48" s="183" t="s">
        <v>142</v>
      </c>
      <c r="J48" s="126">
        <v>6</v>
      </c>
      <c r="K48" s="126">
        <v>3</v>
      </c>
      <c r="L48" s="184">
        <f>(IF(J48&gt;K48,1,0)+IF(J49&gt;K49,1,0))</f>
        <v>2</v>
      </c>
      <c r="M48" s="185">
        <f>(IF(J48&lt;K48,1,0)+IF(J49&lt;K49,1,0))</f>
        <v>0</v>
      </c>
      <c r="N48" s="94"/>
      <c r="O48" s="94" t="s">
        <v>243</v>
      </c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166"/>
      <c r="D49" s="166"/>
      <c r="E49" s="166"/>
      <c r="F49" s="166"/>
      <c r="G49" s="166"/>
      <c r="H49" s="166"/>
      <c r="I49" s="166"/>
      <c r="J49" s="126">
        <v>7</v>
      </c>
      <c r="K49" s="126">
        <v>5</v>
      </c>
      <c r="L49" s="166"/>
      <c r="M49" s="175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4.5" customHeight="1" x14ac:dyDescent="0.2">
      <c r="A50" s="94"/>
      <c r="B50" s="94"/>
      <c r="C50" s="222"/>
      <c r="D50" s="151"/>
      <c r="E50" s="151"/>
      <c r="F50" s="151"/>
      <c r="G50" s="151"/>
      <c r="H50" s="151"/>
      <c r="I50" s="151"/>
      <c r="J50" s="151"/>
      <c r="K50" s="151"/>
      <c r="L50" s="151"/>
      <c r="M50" s="152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2.75" customHeight="1" x14ac:dyDescent="0.2">
      <c r="A51" s="94"/>
      <c r="B51" s="94"/>
      <c r="C51" s="221" t="s">
        <v>211</v>
      </c>
      <c r="D51" s="206" t="s">
        <v>234</v>
      </c>
      <c r="E51" s="183" t="s">
        <v>20</v>
      </c>
      <c r="F51" s="183" t="s">
        <v>263</v>
      </c>
      <c r="G51" s="197" t="s">
        <v>205</v>
      </c>
      <c r="H51" s="183" t="s">
        <v>21</v>
      </c>
      <c r="I51" s="183" t="s">
        <v>35</v>
      </c>
      <c r="J51" s="126">
        <v>6</v>
      </c>
      <c r="K51" s="126">
        <v>3</v>
      </c>
      <c r="L51" s="184">
        <f>(IF(J51&gt;K51,1,0)+IF(J52&gt;K52,1,0))</f>
        <v>1</v>
      </c>
      <c r="M51" s="185">
        <f>(IF(J51&lt;K51,1,0)+IF(J52&lt;K52,1,0))</f>
        <v>1</v>
      </c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166"/>
      <c r="D52" s="166"/>
      <c r="E52" s="166"/>
      <c r="F52" s="166"/>
      <c r="G52" s="166"/>
      <c r="H52" s="166"/>
      <c r="I52" s="166"/>
      <c r="J52" s="126">
        <v>2</v>
      </c>
      <c r="K52" s="126">
        <v>6</v>
      </c>
      <c r="L52" s="166"/>
      <c r="M52" s="175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4.5" customHeight="1" x14ac:dyDescent="0.2">
      <c r="A53" s="94"/>
      <c r="B53" s="94"/>
      <c r="C53" s="222"/>
      <c r="D53" s="151"/>
      <c r="E53" s="151"/>
      <c r="F53" s="151"/>
      <c r="G53" s="151"/>
      <c r="H53" s="151"/>
      <c r="I53" s="151"/>
      <c r="J53" s="151"/>
      <c r="K53" s="151"/>
      <c r="L53" s="151"/>
      <c r="M53" s="152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2.75" customHeight="1" x14ac:dyDescent="0.2">
      <c r="A54" s="94"/>
      <c r="B54" s="94"/>
      <c r="C54" s="223" t="s">
        <v>271</v>
      </c>
      <c r="D54" s="151"/>
      <c r="E54" s="151"/>
      <c r="F54" s="151"/>
      <c r="G54" s="151"/>
      <c r="H54" s="151"/>
      <c r="I54" s="152"/>
      <c r="J54" s="127">
        <f t="shared" ref="J54:M54" si="2">SUM(J42:J52)</f>
        <v>40</v>
      </c>
      <c r="K54" s="127">
        <f t="shared" si="2"/>
        <v>36</v>
      </c>
      <c r="L54" s="127">
        <f t="shared" si="2"/>
        <v>5</v>
      </c>
      <c r="M54" s="127">
        <f t="shared" si="2"/>
        <v>3</v>
      </c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4.5" customHeight="1" x14ac:dyDescent="0.2">
      <c r="A55" s="94"/>
      <c r="B55" s="94"/>
      <c r="C55" s="222"/>
      <c r="D55" s="151"/>
      <c r="E55" s="151"/>
      <c r="F55" s="151"/>
      <c r="G55" s="151"/>
      <c r="H55" s="151"/>
      <c r="I55" s="151"/>
      <c r="J55" s="151"/>
      <c r="K55" s="151"/>
      <c r="L55" s="151"/>
      <c r="M55" s="152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2.75" customHeight="1" x14ac:dyDescent="0.2">
      <c r="A56" s="94"/>
      <c r="B56" s="94"/>
      <c r="C56" s="221" t="s">
        <v>209</v>
      </c>
      <c r="D56" s="193" t="s">
        <v>210</v>
      </c>
      <c r="E56" s="183" t="s">
        <v>154</v>
      </c>
      <c r="F56" s="183" t="s">
        <v>166</v>
      </c>
      <c r="G56" s="197" t="s">
        <v>205</v>
      </c>
      <c r="H56" s="183" t="s">
        <v>155</v>
      </c>
      <c r="I56" s="183" t="s">
        <v>167</v>
      </c>
      <c r="J56" s="126">
        <v>2</v>
      </c>
      <c r="K56" s="126">
        <v>6</v>
      </c>
      <c r="L56" s="184">
        <f>(IF(J56&gt;K56,1,0)+IF(J57&gt;K57,1,0))</f>
        <v>1</v>
      </c>
      <c r="M56" s="185">
        <f>(IF(J56&lt;K56,1,0)+IF(J57&lt;K57,1,0))</f>
        <v>1</v>
      </c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166"/>
      <c r="D57" s="166"/>
      <c r="E57" s="166"/>
      <c r="F57" s="166"/>
      <c r="G57" s="166"/>
      <c r="H57" s="166"/>
      <c r="I57" s="166"/>
      <c r="J57" s="126">
        <v>6</v>
      </c>
      <c r="K57" s="126">
        <v>4</v>
      </c>
      <c r="L57" s="166"/>
      <c r="M57" s="175"/>
      <c r="N57" s="94"/>
      <c r="O57" s="94" t="s">
        <v>243</v>
      </c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4.5" customHeight="1" x14ac:dyDescent="0.2">
      <c r="A58" s="94"/>
      <c r="B58" s="94"/>
      <c r="C58" s="222"/>
      <c r="D58" s="151"/>
      <c r="E58" s="151"/>
      <c r="F58" s="151"/>
      <c r="G58" s="151"/>
      <c r="H58" s="151"/>
      <c r="I58" s="151"/>
      <c r="J58" s="151"/>
      <c r="K58" s="151"/>
      <c r="L58" s="151"/>
      <c r="M58" s="152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2.75" customHeight="1" x14ac:dyDescent="0.2">
      <c r="A59" s="94"/>
      <c r="B59" s="94"/>
      <c r="C59" s="221" t="s">
        <v>211</v>
      </c>
      <c r="D59" s="193" t="s">
        <v>214</v>
      </c>
      <c r="E59" s="183" t="s">
        <v>48</v>
      </c>
      <c r="F59" s="183" t="s">
        <v>55</v>
      </c>
      <c r="G59" s="197" t="s">
        <v>205</v>
      </c>
      <c r="H59" s="183" t="s">
        <v>42</v>
      </c>
      <c r="I59" s="183" t="s">
        <v>56</v>
      </c>
      <c r="J59" s="126">
        <v>3</v>
      </c>
      <c r="K59" s="126">
        <v>6</v>
      </c>
      <c r="L59" s="184">
        <f>(IF(J59&gt;K59,1,0)+IF(J60&gt;K60,1,0))</f>
        <v>0</v>
      </c>
      <c r="M59" s="185">
        <f>(IF(J59&lt;K59,1,0)+IF(J60&lt;K60,1,0))</f>
        <v>2</v>
      </c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166"/>
      <c r="D60" s="166"/>
      <c r="E60" s="166"/>
      <c r="F60" s="166"/>
      <c r="G60" s="166"/>
      <c r="H60" s="166"/>
      <c r="I60" s="166"/>
      <c r="J60" s="126">
        <v>6</v>
      </c>
      <c r="K60" s="126">
        <v>7</v>
      </c>
      <c r="L60" s="166"/>
      <c r="M60" s="175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4.5" customHeight="1" x14ac:dyDescent="0.2">
      <c r="A61" s="94"/>
      <c r="B61" s="94"/>
      <c r="C61" s="222"/>
      <c r="D61" s="151"/>
      <c r="E61" s="151"/>
      <c r="F61" s="151"/>
      <c r="G61" s="151"/>
      <c r="H61" s="151"/>
      <c r="I61" s="151"/>
      <c r="J61" s="151"/>
      <c r="K61" s="151"/>
      <c r="L61" s="151"/>
      <c r="M61" s="152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2.75" customHeight="1" x14ac:dyDescent="0.2">
      <c r="A62" s="94"/>
      <c r="B62" s="94"/>
      <c r="C62" s="221" t="s">
        <v>211</v>
      </c>
      <c r="D62" s="193" t="s">
        <v>212</v>
      </c>
      <c r="E62" s="183" t="s">
        <v>69</v>
      </c>
      <c r="F62" s="183" t="s">
        <v>83</v>
      </c>
      <c r="G62" s="197" t="s">
        <v>205</v>
      </c>
      <c r="H62" s="183" t="s">
        <v>63</v>
      </c>
      <c r="I62" s="183" t="s">
        <v>84</v>
      </c>
      <c r="J62" s="126">
        <v>4</v>
      </c>
      <c r="K62" s="126">
        <v>6</v>
      </c>
      <c r="L62" s="184">
        <f>(IF(J62&gt;K62,1,0)+IF(J63&gt;K63,1,0))</f>
        <v>0</v>
      </c>
      <c r="M62" s="185">
        <f>(IF(J62&lt;K62,1,0)+IF(J63&lt;K63,1,0))</f>
        <v>2</v>
      </c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166"/>
      <c r="D63" s="166"/>
      <c r="E63" s="166"/>
      <c r="F63" s="166"/>
      <c r="G63" s="166"/>
      <c r="H63" s="166"/>
      <c r="I63" s="166"/>
      <c r="J63" s="126">
        <v>6</v>
      </c>
      <c r="K63" s="126">
        <v>7</v>
      </c>
      <c r="L63" s="166"/>
      <c r="M63" s="175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4.5" customHeight="1" x14ac:dyDescent="0.2">
      <c r="A64" s="94"/>
      <c r="B64" s="94"/>
      <c r="C64" s="222"/>
      <c r="D64" s="151"/>
      <c r="E64" s="151"/>
      <c r="F64" s="151"/>
      <c r="G64" s="151"/>
      <c r="H64" s="151"/>
      <c r="I64" s="151"/>
      <c r="J64" s="151"/>
      <c r="K64" s="151"/>
      <c r="L64" s="151"/>
      <c r="M64" s="152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2.75" customHeight="1" x14ac:dyDescent="0.2">
      <c r="A65" s="94"/>
      <c r="B65" s="94"/>
      <c r="C65" s="221" t="s">
        <v>251</v>
      </c>
      <c r="D65" s="206" t="s">
        <v>215</v>
      </c>
      <c r="E65" s="183" t="s">
        <v>12</v>
      </c>
      <c r="F65" s="183" t="s">
        <v>135</v>
      </c>
      <c r="G65" s="197" t="s">
        <v>205</v>
      </c>
      <c r="H65" s="183" t="s">
        <v>136</v>
      </c>
      <c r="I65" s="183" t="s">
        <v>13</v>
      </c>
      <c r="J65" s="126">
        <v>3</v>
      </c>
      <c r="K65" s="126">
        <v>6</v>
      </c>
      <c r="L65" s="184">
        <f>(IF(J65&gt;K65,1,0)+IF(J66&gt;K66,1,0))</f>
        <v>1</v>
      </c>
      <c r="M65" s="185">
        <f>(IF(J65&lt;K65,1,0)+IF(J66&lt;K66,1,0))</f>
        <v>1</v>
      </c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166"/>
      <c r="D66" s="166"/>
      <c r="E66" s="166"/>
      <c r="F66" s="166"/>
      <c r="G66" s="166"/>
      <c r="H66" s="166"/>
      <c r="I66" s="166"/>
      <c r="J66" s="126">
        <v>7</v>
      </c>
      <c r="K66" s="126">
        <v>6</v>
      </c>
      <c r="L66" s="166"/>
      <c r="M66" s="175"/>
      <c r="N66" s="94"/>
      <c r="O66" s="94"/>
      <c r="P66" s="94"/>
      <c r="Q66" s="94" t="s">
        <v>243</v>
      </c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4.5" customHeight="1" x14ac:dyDescent="0.2">
      <c r="A67" s="94"/>
      <c r="B67" s="94"/>
      <c r="C67" s="222"/>
      <c r="D67" s="151"/>
      <c r="E67" s="151"/>
      <c r="F67" s="151"/>
      <c r="G67" s="151"/>
      <c r="H67" s="151"/>
      <c r="I67" s="151"/>
      <c r="J67" s="151"/>
      <c r="K67" s="151"/>
      <c r="L67" s="151"/>
      <c r="M67" s="152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2.75" customHeight="1" x14ac:dyDescent="0.2">
      <c r="A68" s="94"/>
      <c r="B68" s="94"/>
      <c r="C68" s="223" t="s">
        <v>273</v>
      </c>
      <c r="D68" s="151"/>
      <c r="E68" s="151"/>
      <c r="F68" s="151"/>
      <c r="G68" s="151"/>
      <c r="H68" s="151"/>
      <c r="I68" s="152"/>
      <c r="J68" s="127">
        <f t="shared" ref="J68:M68" si="3">SUM(J56:J66)</f>
        <v>37</v>
      </c>
      <c r="K68" s="127">
        <f t="shared" si="3"/>
        <v>48</v>
      </c>
      <c r="L68" s="127">
        <f t="shared" si="3"/>
        <v>2</v>
      </c>
      <c r="M68" s="127">
        <f t="shared" si="3"/>
        <v>6</v>
      </c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4.5" customHeight="1" x14ac:dyDescent="0.2">
      <c r="A69" s="94"/>
      <c r="B69" s="94"/>
      <c r="C69" s="222"/>
      <c r="D69" s="151"/>
      <c r="E69" s="151"/>
      <c r="F69" s="151"/>
      <c r="G69" s="151"/>
      <c r="H69" s="151"/>
      <c r="I69" s="151"/>
      <c r="J69" s="151"/>
      <c r="K69" s="151"/>
      <c r="L69" s="151"/>
      <c r="M69" s="152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2.75" customHeight="1" x14ac:dyDescent="0.2">
      <c r="A70" s="94"/>
      <c r="B70" s="94"/>
      <c r="C70" s="224" t="s">
        <v>274</v>
      </c>
      <c r="D70" s="151"/>
      <c r="E70" s="151"/>
      <c r="F70" s="151"/>
      <c r="G70" s="151"/>
      <c r="H70" s="151"/>
      <c r="I70" s="152"/>
      <c r="J70" s="129">
        <f>J68+J54</f>
        <v>77</v>
      </c>
      <c r="K70" s="129">
        <f>K68+K54</f>
        <v>84</v>
      </c>
      <c r="L70" s="129">
        <f>L68+L54</f>
        <v>7</v>
      </c>
      <c r="M70" s="129">
        <f>M68+M54</f>
        <v>9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3" customHeight="1" x14ac:dyDescent="0.2">
      <c r="A71" s="94"/>
      <c r="B71" s="94"/>
      <c r="C71" s="222"/>
      <c r="D71" s="151"/>
      <c r="E71" s="151"/>
      <c r="F71" s="151"/>
      <c r="G71" s="151"/>
      <c r="H71" s="151"/>
      <c r="I71" s="151"/>
      <c r="J71" s="151"/>
      <c r="K71" s="151"/>
      <c r="L71" s="151"/>
      <c r="M71" s="152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2.75" customHeight="1" x14ac:dyDescent="0.2">
      <c r="A72" s="94"/>
      <c r="B72" s="94"/>
      <c r="C72" s="227" t="s">
        <v>236</v>
      </c>
      <c r="D72" s="210"/>
      <c r="E72" s="210"/>
      <c r="F72" s="210"/>
      <c r="G72" s="210"/>
      <c r="H72" s="210"/>
      <c r="I72" s="210"/>
      <c r="J72" s="210"/>
      <c r="K72" s="210"/>
      <c r="L72" s="210"/>
      <c r="M72" s="228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3.75" customHeight="1" x14ac:dyDescent="0.2">
      <c r="A73" s="94"/>
      <c r="B73" s="94"/>
      <c r="C73" s="199"/>
      <c r="D73" s="213"/>
      <c r="E73" s="213"/>
      <c r="F73" s="213"/>
      <c r="G73" s="213"/>
      <c r="H73" s="213"/>
      <c r="I73" s="213"/>
      <c r="J73" s="213"/>
      <c r="K73" s="213"/>
      <c r="L73" s="213"/>
      <c r="M73" s="195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8" customHeight="1" x14ac:dyDescent="0.2">
      <c r="A74" s="94"/>
      <c r="B74" s="94"/>
      <c r="C74" s="132" t="s">
        <v>202</v>
      </c>
      <c r="D74" s="98" t="s">
        <v>203</v>
      </c>
      <c r="E74" s="196" t="s">
        <v>204</v>
      </c>
      <c r="F74" s="152"/>
      <c r="G74" s="98" t="s">
        <v>205</v>
      </c>
      <c r="H74" s="196" t="s">
        <v>276</v>
      </c>
      <c r="I74" s="152"/>
      <c r="J74" s="196" t="s">
        <v>207</v>
      </c>
      <c r="K74" s="152"/>
      <c r="L74" s="196" t="s">
        <v>208</v>
      </c>
      <c r="M74" s="152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2.75" customHeight="1" x14ac:dyDescent="0.2">
      <c r="A75" s="94"/>
      <c r="B75" s="94"/>
      <c r="C75" s="221" t="s">
        <v>209</v>
      </c>
      <c r="D75" s="193" t="s">
        <v>270</v>
      </c>
      <c r="E75" s="183" t="s">
        <v>66</v>
      </c>
      <c r="F75" s="183" t="s">
        <v>195</v>
      </c>
      <c r="G75" s="197" t="s">
        <v>205</v>
      </c>
      <c r="H75" s="183" t="s">
        <v>277</v>
      </c>
      <c r="I75" s="183" t="s">
        <v>139</v>
      </c>
      <c r="J75" s="126">
        <v>6</v>
      </c>
      <c r="K75" s="126">
        <v>0</v>
      </c>
      <c r="L75" s="184">
        <f>(IF(J75&gt;K75,1,0)+IF(J76&gt;K76,1,0))</f>
        <v>2</v>
      </c>
      <c r="M75" s="185">
        <f>(IF(J75&lt;K75,1,0)+IF(J76&lt;K76,1,0))</f>
        <v>0</v>
      </c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166"/>
      <c r="D76" s="166"/>
      <c r="E76" s="166"/>
      <c r="F76" s="166"/>
      <c r="G76" s="166"/>
      <c r="H76" s="166"/>
      <c r="I76" s="166"/>
      <c r="J76" s="126">
        <v>6</v>
      </c>
      <c r="K76" s="126">
        <v>4</v>
      </c>
      <c r="L76" s="166"/>
      <c r="M76" s="175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4.5" customHeight="1" x14ac:dyDescent="0.2">
      <c r="A77" s="94"/>
      <c r="B77" s="94"/>
      <c r="C77" s="222"/>
      <c r="D77" s="151"/>
      <c r="E77" s="151"/>
      <c r="F77" s="151"/>
      <c r="G77" s="151"/>
      <c r="H77" s="151"/>
      <c r="I77" s="151"/>
      <c r="J77" s="151"/>
      <c r="K77" s="151"/>
      <c r="L77" s="151"/>
      <c r="M77" s="152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2.75" customHeight="1" x14ac:dyDescent="0.2">
      <c r="A78" s="94"/>
      <c r="B78" s="94"/>
      <c r="C78" s="221" t="s">
        <v>211</v>
      </c>
      <c r="D78" s="193" t="s">
        <v>212</v>
      </c>
      <c r="E78" s="183" t="s">
        <v>59</v>
      </c>
      <c r="F78" s="183" t="s">
        <v>73</v>
      </c>
      <c r="G78" s="197" t="s">
        <v>205</v>
      </c>
      <c r="H78" s="183" t="s">
        <v>81</v>
      </c>
      <c r="I78" s="183" t="s">
        <v>67</v>
      </c>
      <c r="J78" s="126">
        <v>6</v>
      </c>
      <c r="K78" s="126">
        <v>7</v>
      </c>
      <c r="L78" s="184">
        <f>(IF(J78&gt;K78,1,0)+IF(J79&gt;K79,1,0))</f>
        <v>1</v>
      </c>
      <c r="M78" s="185">
        <f>(IF(J78&lt;K78,1,0)+IF(J79&lt;K79,1,0))</f>
        <v>1</v>
      </c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166"/>
      <c r="D79" s="166"/>
      <c r="E79" s="166"/>
      <c r="F79" s="166"/>
      <c r="G79" s="166"/>
      <c r="H79" s="166"/>
      <c r="I79" s="166"/>
      <c r="J79" s="126">
        <v>6</v>
      </c>
      <c r="K79" s="126">
        <v>1</v>
      </c>
      <c r="L79" s="166"/>
      <c r="M79" s="175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4.5" customHeight="1" x14ac:dyDescent="0.2">
      <c r="A80" s="94"/>
      <c r="B80" s="94"/>
      <c r="C80" s="222"/>
      <c r="D80" s="151"/>
      <c r="E80" s="151"/>
      <c r="F80" s="151"/>
      <c r="G80" s="151"/>
      <c r="H80" s="151"/>
      <c r="I80" s="151"/>
      <c r="J80" s="151"/>
      <c r="K80" s="151"/>
      <c r="L80" s="151"/>
      <c r="M80" s="152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2.75" customHeight="1" x14ac:dyDescent="0.2">
      <c r="A81" s="94"/>
      <c r="B81" s="94"/>
      <c r="C81" s="221" t="s">
        <v>213</v>
      </c>
      <c r="D81" s="193" t="s">
        <v>215</v>
      </c>
      <c r="E81" s="183" t="s">
        <v>126</v>
      </c>
      <c r="F81" s="183" t="s">
        <v>132</v>
      </c>
      <c r="G81" s="197" t="s">
        <v>205</v>
      </c>
      <c r="H81" s="183" t="s">
        <v>127</v>
      </c>
      <c r="I81" s="183" t="s">
        <v>146</v>
      </c>
      <c r="J81" s="126">
        <v>3</v>
      </c>
      <c r="K81" s="126">
        <v>6</v>
      </c>
      <c r="L81" s="184">
        <f>(IF(J81&gt;K81,1,0)+IF(J82&gt;K82,1,0))</f>
        <v>0</v>
      </c>
      <c r="M81" s="185">
        <f>(IF(J81&lt;K81,1,0)+IF(J82&lt;K82,1,0))</f>
        <v>2</v>
      </c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166"/>
      <c r="D82" s="166"/>
      <c r="E82" s="166"/>
      <c r="F82" s="166"/>
      <c r="G82" s="166"/>
      <c r="H82" s="166"/>
      <c r="I82" s="166"/>
      <c r="J82" s="126">
        <v>1</v>
      </c>
      <c r="K82" s="126">
        <v>6</v>
      </c>
      <c r="L82" s="166"/>
      <c r="M82" s="175"/>
      <c r="N82" s="94"/>
      <c r="O82" s="94" t="s">
        <v>243</v>
      </c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4.5" customHeight="1" x14ac:dyDescent="0.2">
      <c r="A83" s="94"/>
      <c r="B83" s="94"/>
      <c r="C83" s="222"/>
      <c r="D83" s="151"/>
      <c r="E83" s="151"/>
      <c r="F83" s="151"/>
      <c r="G83" s="151"/>
      <c r="H83" s="151"/>
      <c r="I83" s="151"/>
      <c r="J83" s="151"/>
      <c r="K83" s="151"/>
      <c r="L83" s="151"/>
      <c r="M83" s="152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2.75" customHeight="1" x14ac:dyDescent="0.2">
      <c r="A84" s="94"/>
      <c r="B84" s="94"/>
      <c r="C84" s="206" t="s">
        <v>213</v>
      </c>
      <c r="D84" s="206" t="s">
        <v>234</v>
      </c>
      <c r="E84" s="184" t="s">
        <v>17</v>
      </c>
      <c r="F84" s="184" t="s">
        <v>31</v>
      </c>
      <c r="G84" s="197" t="s">
        <v>205</v>
      </c>
      <c r="H84" s="184" t="s">
        <v>25</v>
      </c>
      <c r="I84" s="184" t="s">
        <v>32</v>
      </c>
      <c r="J84" s="126">
        <v>6</v>
      </c>
      <c r="K84" s="126">
        <v>3</v>
      </c>
      <c r="L84" s="184">
        <f>(IF(J84&gt;K84,1,0)+IF(J85&gt;K85,1,0))</f>
        <v>2</v>
      </c>
      <c r="M84" s="185">
        <f>(IF(J84&lt;K84,1,0)+IF(J85&lt;K85,1,0))</f>
        <v>0</v>
      </c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166"/>
      <c r="D85" s="166"/>
      <c r="E85" s="166"/>
      <c r="F85" s="166"/>
      <c r="G85" s="166"/>
      <c r="H85" s="166"/>
      <c r="I85" s="166"/>
      <c r="J85" s="126">
        <v>6</v>
      </c>
      <c r="K85" s="126">
        <v>3</v>
      </c>
      <c r="L85" s="166"/>
      <c r="M85" s="175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4.5" customHeight="1" x14ac:dyDescent="0.2">
      <c r="A86" s="94"/>
      <c r="B86" s="94"/>
      <c r="C86" s="222"/>
      <c r="D86" s="151"/>
      <c r="E86" s="151"/>
      <c r="F86" s="151"/>
      <c r="G86" s="151"/>
      <c r="H86" s="151"/>
      <c r="I86" s="151"/>
      <c r="J86" s="151"/>
      <c r="K86" s="151"/>
      <c r="L86" s="151"/>
      <c r="M86" s="152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2.75" customHeight="1" x14ac:dyDescent="0.2">
      <c r="A87" s="94"/>
      <c r="B87" s="94"/>
      <c r="C87" s="223" t="s">
        <v>271</v>
      </c>
      <c r="D87" s="151"/>
      <c r="E87" s="151"/>
      <c r="F87" s="151"/>
      <c r="G87" s="151"/>
      <c r="H87" s="151"/>
      <c r="I87" s="152"/>
      <c r="J87" s="127">
        <f t="shared" ref="J87:M87" si="4">SUM(J75:J85)</f>
        <v>40</v>
      </c>
      <c r="K87" s="127">
        <f t="shared" si="4"/>
        <v>30</v>
      </c>
      <c r="L87" s="127">
        <f t="shared" si="4"/>
        <v>5</v>
      </c>
      <c r="M87" s="127">
        <f t="shared" si="4"/>
        <v>3</v>
      </c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4.5" customHeight="1" x14ac:dyDescent="0.2">
      <c r="A88" s="94"/>
      <c r="B88" s="94"/>
      <c r="C88" s="222"/>
      <c r="D88" s="151"/>
      <c r="E88" s="151"/>
      <c r="F88" s="151"/>
      <c r="G88" s="151"/>
      <c r="H88" s="151"/>
      <c r="I88" s="151"/>
      <c r="J88" s="151"/>
      <c r="K88" s="151"/>
      <c r="L88" s="151"/>
      <c r="M88" s="152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2.75" customHeight="1" x14ac:dyDescent="0.2">
      <c r="A89" s="94"/>
      <c r="B89" s="94"/>
      <c r="C89" s="221" t="s">
        <v>209</v>
      </c>
      <c r="D89" s="193" t="s">
        <v>214</v>
      </c>
      <c r="E89" s="183" t="s">
        <v>52</v>
      </c>
      <c r="F89" s="183" t="s">
        <v>278</v>
      </c>
      <c r="G89" s="197" t="s">
        <v>205</v>
      </c>
      <c r="H89" s="183" t="s">
        <v>39</v>
      </c>
      <c r="I89" s="183" t="s">
        <v>46</v>
      </c>
      <c r="J89" s="126">
        <v>1</v>
      </c>
      <c r="K89" s="126">
        <v>6</v>
      </c>
      <c r="L89" s="184">
        <f>(IF(J89&gt;K89,1,0)+IF(J90&gt;K90,1,0))</f>
        <v>1</v>
      </c>
      <c r="M89" s="185">
        <f>(IF(J89&lt;K89,1,0)+IF(J90&lt;K90,1,0))</f>
        <v>1</v>
      </c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166"/>
      <c r="D90" s="166"/>
      <c r="E90" s="166"/>
      <c r="F90" s="166"/>
      <c r="G90" s="166"/>
      <c r="H90" s="166"/>
      <c r="I90" s="166"/>
      <c r="J90" s="126">
        <v>6</v>
      </c>
      <c r="K90" s="126">
        <v>0</v>
      </c>
      <c r="L90" s="166"/>
      <c r="M90" s="175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4.5" customHeight="1" x14ac:dyDescent="0.2">
      <c r="A91" s="94"/>
      <c r="B91" s="94"/>
      <c r="C91" s="222"/>
      <c r="D91" s="151"/>
      <c r="E91" s="151"/>
      <c r="F91" s="151"/>
      <c r="G91" s="151"/>
      <c r="H91" s="151"/>
      <c r="I91" s="151"/>
      <c r="J91" s="151"/>
      <c r="K91" s="151"/>
      <c r="L91" s="151"/>
      <c r="M91" s="152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2.75" customHeight="1" x14ac:dyDescent="0.2">
      <c r="A92" s="94"/>
      <c r="B92" s="94"/>
      <c r="C92" s="221" t="s">
        <v>211</v>
      </c>
      <c r="D92" s="193" t="s">
        <v>210</v>
      </c>
      <c r="E92" s="183" t="s">
        <v>151</v>
      </c>
      <c r="F92" s="183" t="s">
        <v>157</v>
      </c>
      <c r="G92" s="197" t="s">
        <v>205</v>
      </c>
      <c r="H92" s="183" t="s">
        <v>158</v>
      </c>
      <c r="I92" s="183" t="s">
        <v>164</v>
      </c>
      <c r="J92" s="126">
        <v>3</v>
      </c>
      <c r="K92" s="126">
        <v>6</v>
      </c>
      <c r="L92" s="184">
        <f>(IF(J92&gt;K92,1,0)+IF(J93&gt;K93,1,0))</f>
        <v>1</v>
      </c>
      <c r="M92" s="185">
        <f>(IF(J92&lt;K92,1,0)+IF(J93&lt;K93,1,0))</f>
        <v>1</v>
      </c>
      <c r="N92" s="131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166"/>
      <c r="D93" s="166"/>
      <c r="E93" s="166"/>
      <c r="F93" s="166"/>
      <c r="G93" s="166"/>
      <c r="H93" s="166"/>
      <c r="I93" s="166"/>
      <c r="J93" s="126">
        <v>6</v>
      </c>
      <c r="K93" s="126">
        <v>2</v>
      </c>
      <c r="L93" s="166"/>
      <c r="M93" s="175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4.5" customHeight="1" x14ac:dyDescent="0.2">
      <c r="A94" s="94"/>
      <c r="B94" s="94"/>
      <c r="C94" s="222"/>
      <c r="D94" s="151"/>
      <c r="E94" s="151"/>
      <c r="F94" s="151"/>
      <c r="G94" s="151"/>
      <c r="H94" s="151"/>
      <c r="I94" s="151"/>
      <c r="J94" s="151"/>
      <c r="K94" s="151"/>
      <c r="L94" s="151"/>
      <c r="M94" s="152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2.75" customHeight="1" x14ac:dyDescent="0.2">
      <c r="A95" s="94"/>
      <c r="B95" s="94"/>
      <c r="C95" s="221" t="s">
        <v>213</v>
      </c>
      <c r="D95" s="193" t="s">
        <v>220</v>
      </c>
      <c r="E95" s="183" t="s">
        <v>108</v>
      </c>
      <c r="F95" s="183" t="s">
        <v>114</v>
      </c>
      <c r="G95" s="197" t="s">
        <v>205</v>
      </c>
      <c r="H95" s="183" t="s">
        <v>235</v>
      </c>
      <c r="I95" s="183" t="s">
        <v>115</v>
      </c>
      <c r="J95" s="126">
        <v>6</v>
      </c>
      <c r="K95" s="126">
        <v>4</v>
      </c>
      <c r="L95" s="184">
        <f>(IF(J95&gt;K95,1,0)+IF(J96&gt;K96,1,0))</f>
        <v>2</v>
      </c>
      <c r="M95" s="185">
        <f>(IF(J95&lt;K95,1,0)+IF(J96&lt;K96,1,0))</f>
        <v>0</v>
      </c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166"/>
      <c r="D96" s="166"/>
      <c r="E96" s="166"/>
      <c r="F96" s="166"/>
      <c r="G96" s="166"/>
      <c r="H96" s="166"/>
      <c r="I96" s="166"/>
      <c r="J96" s="133">
        <v>6</v>
      </c>
      <c r="K96" s="126">
        <v>4</v>
      </c>
      <c r="L96" s="166"/>
      <c r="M96" s="175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4.5" customHeight="1" x14ac:dyDescent="0.2">
      <c r="A97" s="94"/>
      <c r="B97" s="94"/>
      <c r="C97" s="222"/>
      <c r="D97" s="151"/>
      <c r="E97" s="151"/>
      <c r="F97" s="151"/>
      <c r="G97" s="151"/>
      <c r="H97" s="151"/>
      <c r="I97" s="151"/>
      <c r="J97" s="151"/>
      <c r="K97" s="151"/>
      <c r="L97" s="151"/>
      <c r="M97" s="152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2.75" customHeight="1" x14ac:dyDescent="0.2">
      <c r="A98" s="94"/>
      <c r="B98" s="94"/>
      <c r="C98" s="221" t="s">
        <v>213</v>
      </c>
      <c r="D98" s="206" t="s">
        <v>217</v>
      </c>
      <c r="E98" s="183" t="s">
        <v>87</v>
      </c>
      <c r="F98" s="183" t="s">
        <v>279</v>
      </c>
      <c r="G98" s="197" t="s">
        <v>205</v>
      </c>
      <c r="H98" s="183" t="s">
        <v>88</v>
      </c>
      <c r="I98" s="183" t="s">
        <v>102</v>
      </c>
      <c r="J98" s="126">
        <v>6</v>
      </c>
      <c r="K98" s="126">
        <v>0</v>
      </c>
      <c r="L98" s="184">
        <f>(IF(J98&gt;K98,1,0)+IF(J99&gt;K99,1,0))</f>
        <v>2</v>
      </c>
      <c r="M98" s="185">
        <f>(IF(J98&lt;K98,1,0)+IF(J99&lt;K99,1,0))</f>
        <v>0</v>
      </c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166"/>
      <c r="D99" s="166"/>
      <c r="E99" s="166"/>
      <c r="F99" s="166"/>
      <c r="G99" s="166"/>
      <c r="H99" s="166"/>
      <c r="I99" s="166"/>
      <c r="J99" s="126">
        <v>6</v>
      </c>
      <c r="K99" s="126">
        <v>0</v>
      </c>
      <c r="L99" s="166"/>
      <c r="M99" s="175"/>
      <c r="N99" s="94"/>
      <c r="O99" s="94" t="s">
        <v>243</v>
      </c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4.5" customHeight="1" x14ac:dyDescent="0.2">
      <c r="A100" s="94"/>
      <c r="B100" s="94"/>
      <c r="C100" s="222"/>
      <c r="D100" s="151"/>
      <c r="E100" s="151"/>
      <c r="F100" s="151"/>
      <c r="G100" s="151"/>
      <c r="H100" s="151"/>
      <c r="I100" s="151"/>
      <c r="J100" s="151"/>
      <c r="K100" s="151"/>
      <c r="L100" s="151"/>
      <c r="M100" s="152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2.75" customHeight="1" x14ac:dyDescent="0.2">
      <c r="A101" s="94"/>
      <c r="B101" s="94"/>
      <c r="C101" s="223" t="s">
        <v>280</v>
      </c>
      <c r="D101" s="151"/>
      <c r="E101" s="151"/>
      <c r="F101" s="151"/>
      <c r="G101" s="151"/>
      <c r="H101" s="151"/>
      <c r="I101" s="152"/>
      <c r="J101" s="127">
        <f t="shared" ref="J101:M101" si="5">SUM(J89:J99)</f>
        <v>40</v>
      </c>
      <c r="K101" s="127">
        <f t="shared" si="5"/>
        <v>22</v>
      </c>
      <c r="L101" s="127">
        <f t="shared" si="5"/>
        <v>6</v>
      </c>
      <c r="M101" s="127">
        <f t="shared" si="5"/>
        <v>2</v>
      </c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4.5" customHeight="1" x14ac:dyDescent="0.2">
      <c r="A102" s="94"/>
      <c r="B102" s="94"/>
      <c r="C102" s="222"/>
      <c r="D102" s="151"/>
      <c r="E102" s="151"/>
      <c r="F102" s="151"/>
      <c r="G102" s="151"/>
      <c r="H102" s="151"/>
      <c r="I102" s="151"/>
      <c r="J102" s="151"/>
      <c r="K102" s="151"/>
      <c r="L102" s="151"/>
      <c r="M102" s="152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2.75" customHeight="1" x14ac:dyDescent="0.2">
      <c r="A103" s="94"/>
      <c r="B103" s="94"/>
      <c r="C103" s="224" t="s">
        <v>274</v>
      </c>
      <c r="D103" s="151"/>
      <c r="E103" s="151"/>
      <c r="F103" s="151"/>
      <c r="G103" s="151"/>
      <c r="H103" s="151"/>
      <c r="I103" s="152"/>
      <c r="J103" s="129">
        <f>J101+J87</f>
        <v>80</v>
      </c>
      <c r="K103" s="129">
        <f>K101+K87</f>
        <v>52</v>
      </c>
      <c r="L103" s="129">
        <f>L101+L87</f>
        <v>11</v>
      </c>
      <c r="M103" s="129">
        <f>M101+M87</f>
        <v>5</v>
      </c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4.5" customHeight="1" x14ac:dyDescent="0.2">
      <c r="A104" s="94"/>
      <c r="B104" s="94"/>
      <c r="C104" s="222"/>
      <c r="D104" s="151"/>
      <c r="E104" s="151"/>
      <c r="F104" s="151"/>
      <c r="G104" s="151"/>
      <c r="H104" s="151"/>
      <c r="I104" s="151"/>
      <c r="J104" s="151"/>
      <c r="K104" s="151"/>
      <c r="L104" s="151"/>
      <c r="M104" s="152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2.75" customHeight="1" x14ac:dyDescent="0.2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 t="s">
        <v>243</v>
      </c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 t="s">
        <v>243</v>
      </c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</sheetData>
  <mergeCells count="276">
    <mergeCell ref="I98:I99"/>
    <mergeCell ref="L98:L99"/>
    <mergeCell ref="M98:M99"/>
    <mergeCell ref="C100:M100"/>
    <mergeCell ref="C101:I101"/>
    <mergeCell ref="C102:M102"/>
    <mergeCell ref="C103:I103"/>
    <mergeCell ref="C104:M104"/>
    <mergeCell ref="C95:C96"/>
    <mergeCell ref="C98:C99"/>
    <mergeCell ref="D98:D99"/>
    <mergeCell ref="E98:E99"/>
    <mergeCell ref="F98:F99"/>
    <mergeCell ref="G98:G99"/>
    <mergeCell ref="H98:H99"/>
    <mergeCell ref="H92:H93"/>
    <mergeCell ref="I92:I93"/>
    <mergeCell ref="L92:L93"/>
    <mergeCell ref="M92:M93"/>
    <mergeCell ref="C94:M94"/>
    <mergeCell ref="E89:E90"/>
    <mergeCell ref="F89:F90"/>
    <mergeCell ref="C92:C93"/>
    <mergeCell ref="D92:D93"/>
    <mergeCell ref="E92:E93"/>
    <mergeCell ref="F92:F93"/>
    <mergeCell ref="G92:G93"/>
    <mergeCell ref="G89:G90"/>
    <mergeCell ref="H89:H90"/>
    <mergeCell ref="I89:I90"/>
    <mergeCell ref="L89:L90"/>
    <mergeCell ref="M89:M90"/>
    <mergeCell ref="C91:M91"/>
    <mergeCell ref="I84:I85"/>
    <mergeCell ref="C86:M86"/>
    <mergeCell ref="C87:I87"/>
    <mergeCell ref="C88:M88"/>
    <mergeCell ref="C89:C90"/>
    <mergeCell ref="D89:D90"/>
    <mergeCell ref="L95:L96"/>
    <mergeCell ref="M95:M96"/>
    <mergeCell ref="D95:D96"/>
    <mergeCell ref="E95:E96"/>
    <mergeCell ref="F95:F96"/>
    <mergeCell ref="G95:G96"/>
    <mergeCell ref="H95:H96"/>
    <mergeCell ref="I95:I96"/>
    <mergeCell ref="C97:M97"/>
    <mergeCell ref="G45:G46"/>
    <mergeCell ref="H45:H46"/>
    <mergeCell ref="C48:C49"/>
    <mergeCell ref="C51:C52"/>
    <mergeCell ref="D51:D52"/>
    <mergeCell ref="E51:E52"/>
    <mergeCell ref="F51:F52"/>
    <mergeCell ref="G51:G52"/>
    <mergeCell ref="H51:H52"/>
    <mergeCell ref="C50:M50"/>
    <mergeCell ref="I32:I33"/>
    <mergeCell ref="L32:L33"/>
    <mergeCell ref="M32:M33"/>
    <mergeCell ref="C34:M34"/>
    <mergeCell ref="C35:I35"/>
    <mergeCell ref="C36:M36"/>
    <mergeCell ref="C37:I37"/>
    <mergeCell ref="C38:M38"/>
    <mergeCell ref="C39:M40"/>
    <mergeCell ref="E41:F41"/>
    <mergeCell ref="H41:I41"/>
    <mergeCell ref="J41:K41"/>
    <mergeCell ref="L41:M41"/>
    <mergeCell ref="L42:L43"/>
    <mergeCell ref="M42:M43"/>
    <mergeCell ref="L45:L46"/>
    <mergeCell ref="M45:M46"/>
    <mergeCell ref="D42:D43"/>
    <mergeCell ref="E42:E43"/>
    <mergeCell ref="F42:F43"/>
    <mergeCell ref="G42:G43"/>
    <mergeCell ref="H42:H43"/>
    <mergeCell ref="C29:C30"/>
    <mergeCell ref="C32:C33"/>
    <mergeCell ref="D32:D33"/>
    <mergeCell ref="E32:E33"/>
    <mergeCell ref="F32:F33"/>
    <mergeCell ref="G32:G33"/>
    <mergeCell ref="H32:H33"/>
    <mergeCell ref="L48:L49"/>
    <mergeCell ref="M48:M49"/>
    <mergeCell ref="D48:D49"/>
    <mergeCell ref="E48:E49"/>
    <mergeCell ref="F48:F49"/>
    <mergeCell ref="G48:G49"/>
    <mergeCell ref="H48:H49"/>
    <mergeCell ref="I48:I49"/>
    <mergeCell ref="I42:I43"/>
    <mergeCell ref="C44:M44"/>
    <mergeCell ref="I45:I46"/>
    <mergeCell ref="C47:M47"/>
    <mergeCell ref="C42:C43"/>
    <mergeCell ref="C45:C46"/>
    <mergeCell ref="D45:D46"/>
    <mergeCell ref="E45:E46"/>
    <mergeCell ref="F45:F46"/>
    <mergeCell ref="H26:H27"/>
    <mergeCell ref="I26:I27"/>
    <mergeCell ref="L26:L27"/>
    <mergeCell ref="M26:M27"/>
    <mergeCell ref="C28:M28"/>
    <mergeCell ref="E23:E24"/>
    <mergeCell ref="F23:F24"/>
    <mergeCell ref="C26:C27"/>
    <mergeCell ref="D26:D27"/>
    <mergeCell ref="E26:E27"/>
    <mergeCell ref="F26:F27"/>
    <mergeCell ref="G26:G27"/>
    <mergeCell ref="I23:I24"/>
    <mergeCell ref="L23:L24"/>
    <mergeCell ref="M23:M24"/>
    <mergeCell ref="C25:M25"/>
    <mergeCell ref="I18:I19"/>
    <mergeCell ref="C20:M20"/>
    <mergeCell ref="C21:I21"/>
    <mergeCell ref="C22:M22"/>
    <mergeCell ref="C23:C24"/>
    <mergeCell ref="D23:D24"/>
    <mergeCell ref="L12:L13"/>
    <mergeCell ref="M12:M13"/>
    <mergeCell ref="L18:L19"/>
    <mergeCell ref="M18:M19"/>
    <mergeCell ref="L8:M8"/>
    <mergeCell ref="D9:D10"/>
    <mergeCell ref="E9:E10"/>
    <mergeCell ref="F9:F10"/>
    <mergeCell ref="G9:G10"/>
    <mergeCell ref="C11:M11"/>
    <mergeCell ref="I12:I13"/>
    <mergeCell ref="C14:M14"/>
    <mergeCell ref="C9:C10"/>
    <mergeCell ref="C12:C13"/>
    <mergeCell ref="D12:D13"/>
    <mergeCell ref="E12:E13"/>
    <mergeCell ref="F12:F13"/>
    <mergeCell ref="G12:G13"/>
    <mergeCell ref="H12:H13"/>
    <mergeCell ref="C15:C16"/>
    <mergeCell ref="C18:C19"/>
    <mergeCell ref="D18:D19"/>
    <mergeCell ref="E18:E19"/>
    <mergeCell ref="C1:M2"/>
    <mergeCell ref="C3:M3"/>
    <mergeCell ref="C4:M5"/>
    <mergeCell ref="C6:M7"/>
    <mergeCell ref="E8:F8"/>
    <mergeCell ref="H8:I8"/>
    <mergeCell ref="J8:K8"/>
    <mergeCell ref="H9:H10"/>
    <mergeCell ref="I9:I10"/>
    <mergeCell ref="L9:L10"/>
    <mergeCell ref="M9:M10"/>
    <mergeCell ref="H84:H85"/>
    <mergeCell ref="L15:L16"/>
    <mergeCell ref="M15:M16"/>
    <mergeCell ref="D15:D16"/>
    <mergeCell ref="E15:E16"/>
    <mergeCell ref="F15:F16"/>
    <mergeCell ref="G15:G16"/>
    <mergeCell ref="H15:H16"/>
    <mergeCell ref="I15:I16"/>
    <mergeCell ref="C17:M17"/>
    <mergeCell ref="F18:F19"/>
    <mergeCell ref="G18:G19"/>
    <mergeCell ref="H18:H19"/>
    <mergeCell ref="L29:L30"/>
    <mergeCell ref="M29:M30"/>
    <mergeCell ref="D29:D30"/>
    <mergeCell ref="E29:E30"/>
    <mergeCell ref="F29:F30"/>
    <mergeCell ref="G29:G30"/>
    <mergeCell ref="H29:H30"/>
    <mergeCell ref="I29:I30"/>
    <mergeCell ref="C31:M31"/>
    <mergeCell ref="G23:G24"/>
    <mergeCell ref="H23:H24"/>
    <mergeCell ref="L84:L85"/>
    <mergeCell ref="M84:M85"/>
    <mergeCell ref="D75:D76"/>
    <mergeCell ref="E75:E76"/>
    <mergeCell ref="F75:F76"/>
    <mergeCell ref="G75:G76"/>
    <mergeCell ref="H75:H76"/>
    <mergeCell ref="I75:I76"/>
    <mergeCell ref="C77:M77"/>
    <mergeCell ref="I78:I79"/>
    <mergeCell ref="C80:M80"/>
    <mergeCell ref="C75:C76"/>
    <mergeCell ref="C78:C79"/>
    <mergeCell ref="D78:D79"/>
    <mergeCell ref="E78:E79"/>
    <mergeCell ref="F78:F79"/>
    <mergeCell ref="G78:G79"/>
    <mergeCell ref="H78:H79"/>
    <mergeCell ref="C81:C82"/>
    <mergeCell ref="C84:C85"/>
    <mergeCell ref="D84:D85"/>
    <mergeCell ref="E84:E85"/>
    <mergeCell ref="F84:F85"/>
    <mergeCell ref="G84:G85"/>
    <mergeCell ref="C83:M83"/>
    <mergeCell ref="I65:I66"/>
    <mergeCell ref="L65:L66"/>
    <mergeCell ref="M65:M66"/>
    <mergeCell ref="C67:M67"/>
    <mergeCell ref="C68:I68"/>
    <mergeCell ref="C69:M69"/>
    <mergeCell ref="C70:I70"/>
    <mergeCell ref="C71:M71"/>
    <mergeCell ref="C72:M73"/>
    <mergeCell ref="E74:F74"/>
    <mergeCell ref="H74:I74"/>
    <mergeCell ref="J74:K74"/>
    <mergeCell ref="L74:M74"/>
    <mergeCell ref="L75:L76"/>
    <mergeCell ref="M75:M76"/>
    <mergeCell ref="L78:L79"/>
    <mergeCell ref="M78:M79"/>
    <mergeCell ref="C65:C66"/>
    <mergeCell ref="D65:D66"/>
    <mergeCell ref="E65:E66"/>
    <mergeCell ref="F65:F66"/>
    <mergeCell ref="G65:G66"/>
    <mergeCell ref="H65:H66"/>
    <mergeCell ref="L81:L82"/>
    <mergeCell ref="M81:M82"/>
    <mergeCell ref="D81:D82"/>
    <mergeCell ref="E81:E82"/>
    <mergeCell ref="F81:F82"/>
    <mergeCell ref="G81:G82"/>
    <mergeCell ref="H81:H82"/>
    <mergeCell ref="I81:I82"/>
    <mergeCell ref="H59:H60"/>
    <mergeCell ref="I59:I60"/>
    <mergeCell ref="L59:L60"/>
    <mergeCell ref="M59:M60"/>
    <mergeCell ref="C61:M61"/>
    <mergeCell ref="E56:E57"/>
    <mergeCell ref="F56:F57"/>
    <mergeCell ref="C59:C60"/>
    <mergeCell ref="D59:D60"/>
    <mergeCell ref="E59:E60"/>
    <mergeCell ref="F59:F60"/>
    <mergeCell ref="G59:G60"/>
    <mergeCell ref="G56:G57"/>
    <mergeCell ref="H56:H57"/>
    <mergeCell ref="I56:I57"/>
    <mergeCell ref="L56:L57"/>
    <mergeCell ref="M56:M57"/>
    <mergeCell ref="C58:M58"/>
    <mergeCell ref="I51:I52"/>
    <mergeCell ref="C53:M53"/>
    <mergeCell ref="C54:I54"/>
    <mergeCell ref="C55:M55"/>
    <mergeCell ref="C56:C57"/>
    <mergeCell ref="D56:D57"/>
    <mergeCell ref="L51:L52"/>
    <mergeCell ref="M51:M52"/>
    <mergeCell ref="L62:L63"/>
    <mergeCell ref="M62:M63"/>
    <mergeCell ref="D62:D63"/>
    <mergeCell ref="E62:E63"/>
    <mergeCell ref="F62:F63"/>
    <mergeCell ref="G62:G63"/>
    <mergeCell ref="H62:H63"/>
    <mergeCell ref="I62:I63"/>
    <mergeCell ref="C64:M64"/>
    <mergeCell ref="C62:C63"/>
  </mergeCells>
  <pageMargins left="0.23622047244094491" right="0.23622047244094491" top="0.11811023622047245" bottom="9.8425196850393706E-2" header="0.31496062992125984" footer="0.31496062992125984"/>
  <pageSetup scale="7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showGridLines="0" topLeftCell="B50" workbookViewId="0">
      <selection activeCell="H57" sqref="H57:H58"/>
    </sheetView>
  </sheetViews>
  <sheetFormatPr defaultColWidth="14.42578125" defaultRowHeight="15" customHeight="1" x14ac:dyDescent="0.2"/>
  <cols>
    <col min="1" max="1" width="2.7109375" hidden="1" customWidth="1"/>
    <col min="2" max="2" width="1.85546875" customWidth="1"/>
    <col min="3" max="3" width="8.28515625" bestFit="1" customWidth="1"/>
    <col min="4" max="4" width="7.42578125" customWidth="1"/>
    <col min="5" max="5" width="17.85546875" customWidth="1"/>
    <col min="6" max="6" width="20.7109375" customWidth="1"/>
    <col min="7" max="7" width="3.140625" bestFit="1" customWidth="1"/>
    <col min="8" max="8" width="20.7109375" customWidth="1"/>
    <col min="9" max="9" width="18.140625" customWidth="1"/>
    <col min="10" max="13" width="5.7109375" customWidth="1"/>
    <col min="14" max="18" width="9.140625" customWidth="1"/>
    <col min="19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2.75" customHeight="1" x14ac:dyDescent="0.2">
      <c r="A2" s="94"/>
      <c r="B2" s="9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2.75" customHeight="1" x14ac:dyDescent="0.2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9.5" customHeight="1" x14ac:dyDescent="0.2">
      <c r="A4" s="94"/>
      <c r="B4" s="94"/>
      <c r="C4" s="218" t="s">
        <v>281</v>
      </c>
      <c r="D4" s="151"/>
      <c r="E4" s="151"/>
      <c r="F4" s="151"/>
      <c r="G4" s="151"/>
      <c r="H4" s="151"/>
      <c r="I4" s="151"/>
      <c r="J4" s="151"/>
      <c r="K4" s="151"/>
      <c r="L4" s="151"/>
      <c r="M4" s="152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4.5" customHeight="1" x14ac:dyDescent="0.2">
      <c r="A5" s="94"/>
      <c r="B5" s="94"/>
      <c r="C5" s="231"/>
      <c r="D5" s="210"/>
      <c r="E5" s="210"/>
      <c r="F5" s="210"/>
      <c r="G5" s="210"/>
      <c r="H5" s="210"/>
      <c r="I5" s="210"/>
      <c r="J5" s="210"/>
      <c r="K5" s="210"/>
      <c r="L5" s="210"/>
      <c r="M5" s="228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4.5" customHeight="1" x14ac:dyDescent="0.2">
      <c r="A6" s="94"/>
      <c r="B6" s="94"/>
      <c r="C6" s="199"/>
      <c r="D6" s="213"/>
      <c r="E6" s="213"/>
      <c r="F6" s="213"/>
      <c r="G6" s="213"/>
      <c r="H6" s="213"/>
      <c r="I6" s="213"/>
      <c r="J6" s="213"/>
      <c r="K6" s="213"/>
      <c r="L6" s="213"/>
      <c r="M6" s="195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2" customHeight="1" x14ac:dyDescent="0.2">
      <c r="A7" s="94"/>
      <c r="B7" s="94"/>
      <c r="C7" s="227" t="s">
        <v>201</v>
      </c>
      <c r="D7" s="210"/>
      <c r="E7" s="210"/>
      <c r="F7" s="210"/>
      <c r="G7" s="210"/>
      <c r="H7" s="210"/>
      <c r="I7" s="210"/>
      <c r="J7" s="210"/>
      <c r="K7" s="210"/>
      <c r="L7" s="210"/>
      <c r="M7" s="22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6" customHeight="1" x14ac:dyDescent="0.2">
      <c r="A8" s="94"/>
      <c r="B8" s="94"/>
      <c r="C8" s="199"/>
      <c r="D8" s="213"/>
      <c r="E8" s="213"/>
      <c r="F8" s="213"/>
      <c r="G8" s="213"/>
      <c r="H8" s="213"/>
      <c r="I8" s="213"/>
      <c r="J8" s="213"/>
      <c r="K8" s="213"/>
      <c r="L8" s="213"/>
      <c r="M8" s="195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2" customHeight="1" x14ac:dyDescent="0.2">
      <c r="A9" s="94"/>
      <c r="B9" s="94"/>
      <c r="C9" s="98" t="s">
        <v>202</v>
      </c>
      <c r="D9" s="98" t="s">
        <v>203</v>
      </c>
      <c r="E9" s="196" t="s">
        <v>282</v>
      </c>
      <c r="F9" s="152"/>
      <c r="G9" s="98" t="s">
        <v>205</v>
      </c>
      <c r="H9" s="196" t="s">
        <v>283</v>
      </c>
      <c r="I9" s="152"/>
      <c r="J9" s="196" t="s">
        <v>207</v>
      </c>
      <c r="K9" s="152"/>
      <c r="L9" s="196" t="s">
        <v>208</v>
      </c>
      <c r="M9" s="152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2.75" customHeight="1" x14ac:dyDescent="0.2">
      <c r="A10" s="94"/>
      <c r="B10" s="94"/>
      <c r="C10" s="221" t="s">
        <v>209</v>
      </c>
      <c r="D10" s="193" t="s">
        <v>214</v>
      </c>
      <c r="E10" s="184" t="s">
        <v>42</v>
      </c>
      <c r="F10" s="184" t="s">
        <v>49</v>
      </c>
      <c r="G10" s="197" t="s">
        <v>205</v>
      </c>
      <c r="H10" s="184" t="s">
        <v>284</v>
      </c>
      <c r="I10" s="184" t="s">
        <v>285</v>
      </c>
      <c r="J10" s="126">
        <v>6</v>
      </c>
      <c r="K10" s="126">
        <v>4</v>
      </c>
      <c r="L10" s="184">
        <f>(IF(J10&gt;K10,1,0)+IF(J11&gt;K11,1,0))</f>
        <v>2</v>
      </c>
      <c r="M10" s="185">
        <f>(IF(J10&lt;K10,1,0)+IF(J11&lt;K11,1,0))</f>
        <v>0</v>
      </c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2.75" customHeight="1" x14ac:dyDescent="0.2">
      <c r="A11" s="94"/>
      <c r="B11" s="94"/>
      <c r="C11" s="166"/>
      <c r="D11" s="166"/>
      <c r="E11" s="166"/>
      <c r="F11" s="166"/>
      <c r="G11" s="166"/>
      <c r="H11" s="166"/>
      <c r="I11" s="166"/>
      <c r="J11" s="126">
        <v>7</v>
      </c>
      <c r="K11" s="126">
        <v>5</v>
      </c>
      <c r="L11" s="166"/>
      <c r="M11" s="175"/>
      <c r="N11" s="226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2.75" customHeight="1" x14ac:dyDescent="0.2">
      <c r="A12" s="94"/>
      <c r="B12" s="94"/>
      <c r="C12" s="222"/>
      <c r="D12" s="151"/>
      <c r="E12" s="151"/>
      <c r="F12" s="151"/>
      <c r="G12" s="151"/>
      <c r="H12" s="151"/>
      <c r="I12" s="151"/>
      <c r="J12" s="151"/>
      <c r="K12" s="151"/>
      <c r="L12" s="151"/>
      <c r="M12" s="152"/>
      <c r="N12" s="157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.75" customHeight="1" x14ac:dyDescent="0.2">
      <c r="A13" s="94"/>
      <c r="B13" s="94"/>
      <c r="C13" s="221" t="s">
        <v>211</v>
      </c>
      <c r="D13" s="193" t="s">
        <v>217</v>
      </c>
      <c r="E13" s="184" t="s">
        <v>233</v>
      </c>
      <c r="F13" s="184" t="s">
        <v>105</v>
      </c>
      <c r="G13" s="197" t="s">
        <v>205</v>
      </c>
      <c r="H13" s="184" t="s">
        <v>90</v>
      </c>
      <c r="I13" s="184" t="s">
        <v>286</v>
      </c>
      <c r="J13" s="126">
        <v>3</v>
      </c>
      <c r="K13" s="126">
        <v>6</v>
      </c>
      <c r="L13" s="184">
        <f>(IF(J13&gt;K13,1,0)+IF(J14&gt;K14,1,0))</f>
        <v>0</v>
      </c>
      <c r="M13" s="185">
        <f>(IF(J13&lt;K13,1,0)+IF(J14&lt;K14,1,0))</f>
        <v>2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.75" customHeight="1" x14ac:dyDescent="0.2">
      <c r="A14" s="94"/>
      <c r="B14" s="94"/>
      <c r="C14" s="166"/>
      <c r="D14" s="166"/>
      <c r="E14" s="166"/>
      <c r="F14" s="166"/>
      <c r="G14" s="166"/>
      <c r="H14" s="166"/>
      <c r="I14" s="166"/>
      <c r="J14" s="126">
        <v>3</v>
      </c>
      <c r="K14" s="126">
        <v>6</v>
      </c>
      <c r="L14" s="166"/>
      <c r="M14" s="175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2.75" customHeight="1" x14ac:dyDescent="0.2">
      <c r="A15" s="94"/>
      <c r="B15" s="94"/>
      <c r="C15" s="222"/>
      <c r="D15" s="151"/>
      <c r="E15" s="151"/>
      <c r="F15" s="151"/>
      <c r="G15" s="151"/>
      <c r="H15" s="151"/>
      <c r="I15" s="151"/>
      <c r="J15" s="151"/>
      <c r="K15" s="151"/>
      <c r="L15" s="151"/>
      <c r="M15" s="152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.75" customHeight="1" x14ac:dyDescent="0.2">
      <c r="A16" s="94"/>
      <c r="B16" s="94"/>
      <c r="C16" s="221" t="s">
        <v>213</v>
      </c>
      <c r="D16" s="193" t="s">
        <v>212</v>
      </c>
      <c r="E16" s="184" t="s">
        <v>70</v>
      </c>
      <c r="F16" s="184" t="s">
        <v>63</v>
      </c>
      <c r="G16" s="197" t="s">
        <v>205</v>
      </c>
      <c r="H16" s="184" t="s">
        <v>76</v>
      </c>
      <c r="I16" s="184" t="s">
        <v>62</v>
      </c>
      <c r="J16" s="126">
        <v>6</v>
      </c>
      <c r="K16" s="126">
        <v>3</v>
      </c>
      <c r="L16" s="184">
        <f>(IF(J16&gt;K16,1,0)+IF(J17&gt;K17,1,0))</f>
        <v>1</v>
      </c>
      <c r="M16" s="185">
        <f>(IF(J16&lt;K16,1,0)+IF(J17&lt;K17,1,0))</f>
        <v>1</v>
      </c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.75" customHeight="1" x14ac:dyDescent="0.2">
      <c r="A17" s="94"/>
      <c r="B17" s="94"/>
      <c r="C17" s="166"/>
      <c r="D17" s="166"/>
      <c r="E17" s="166"/>
      <c r="F17" s="166"/>
      <c r="G17" s="166"/>
      <c r="H17" s="166"/>
      <c r="I17" s="166"/>
      <c r="J17" s="126">
        <v>3</v>
      </c>
      <c r="K17" s="126">
        <v>6</v>
      </c>
      <c r="L17" s="166"/>
      <c r="M17" s="175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2.75" customHeight="1" x14ac:dyDescent="0.2">
      <c r="A18" s="94"/>
      <c r="B18" s="94"/>
      <c r="C18" s="222"/>
      <c r="D18" s="151"/>
      <c r="E18" s="151"/>
      <c r="F18" s="151"/>
      <c r="G18" s="151"/>
      <c r="H18" s="151"/>
      <c r="I18" s="151"/>
      <c r="J18" s="151"/>
      <c r="K18" s="151"/>
      <c r="L18" s="151"/>
      <c r="M18" s="152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.75" customHeight="1" x14ac:dyDescent="0.2">
      <c r="A19" s="94"/>
      <c r="B19" s="94"/>
      <c r="C19" s="221" t="s">
        <v>209</v>
      </c>
      <c r="D19" s="206" t="s">
        <v>215</v>
      </c>
      <c r="E19" s="184" t="s">
        <v>136</v>
      </c>
      <c r="F19" s="184" t="s">
        <v>198</v>
      </c>
      <c r="G19" s="197" t="s">
        <v>205</v>
      </c>
      <c r="H19" s="184" t="s">
        <v>129</v>
      </c>
      <c r="I19" s="184" t="s">
        <v>135</v>
      </c>
      <c r="J19" s="126">
        <v>3</v>
      </c>
      <c r="K19" s="126">
        <v>6</v>
      </c>
      <c r="L19" s="184">
        <f>(IF(J19&gt;K19,1,0)+IF(J20&gt;K20,1,0))</f>
        <v>1</v>
      </c>
      <c r="M19" s="185">
        <f>(IF(J19&lt;K19,1,0)+IF(J20&lt;K20,1,0))</f>
        <v>1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2.75" customHeight="1" x14ac:dyDescent="0.2">
      <c r="A20" s="94"/>
      <c r="B20" s="94"/>
      <c r="C20" s="166"/>
      <c r="D20" s="166"/>
      <c r="E20" s="166"/>
      <c r="F20" s="166"/>
      <c r="G20" s="166"/>
      <c r="H20" s="166"/>
      <c r="I20" s="166"/>
      <c r="J20" s="126">
        <v>6</v>
      </c>
      <c r="K20" s="126">
        <v>4</v>
      </c>
      <c r="L20" s="166"/>
      <c r="M20" s="175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2.75" customHeight="1" x14ac:dyDescent="0.2">
      <c r="A21" s="94"/>
      <c r="B21" s="94"/>
      <c r="C21" s="222"/>
      <c r="D21" s="151"/>
      <c r="E21" s="151"/>
      <c r="F21" s="151"/>
      <c r="G21" s="151"/>
      <c r="H21" s="151"/>
      <c r="I21" s="151"/>
      <c r="J21" s="151"/>
      <c r="K21" s="151"/>
      <c r="L21" s="151"/>
      <c r="M21" s="152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2.75" customHeight="1" x14ac:dyDescent="0.2">
      <c r="A22" s="94"/>
      <c r="B22" s="94"/>
      <c r="C22" s="223" t="s">
        <v>246</v>
      </c>
      <c r="D22" s="151"/>
      <c r="E22" s="151"/>
      <c r="F22" s="151"/>
      <c r="G22" s="151"/>
      <c r="H22" s="151"/>
      <c r="I22" s="152"/>
      <c r="J22" s="127">
        <f t="shared" ref="J22:M22" si="0">SUM(J10:J20)</f>
        <v>37</v>
      </c>
      <c r="K22" s="127">
        <f t="shared" si="0"/>
        <v>40</v>
      </c>
      <c r="L22" s="127">
        <f t="shared" si="0"/>
        <v>4</v>
      </c>
      <c r="M22" s="127">
        <f t="shared" si="0"/>
        <v>4</v>
      </c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2.75" customHeight="1" x14ac:dyDescent="0.2">
      <c r="A23" s="94"/>
      <c r="B23" s="94"/>
      <c r="C23" s="222"/>
      <c r="D23" s="151"/>
      <c r="E23" s="151"/>
      <c r="F23" s="151"/>
      <c r="G23" s="151"/>
      <c r="H23" s="151"/>
      <c r="I23" s="151"/>
      <c r="J23" s="151"/>
      <c r="K23" s="151"/>
      <c r="L23" s="151"/>
      <c r="M23" s="152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.75" customHeight="1" x14ac:dyDescent="0.2">
      <c r="A24" s="94"/>
      <c r="B24" s="94"/>
      <c r="C24" s="221" t="s">
        <v>209</v>
      </c>
      <c r="D24" s="232" t="s">
        <v>210</v>
      </c>
      <c r="E24" s="183" t="s">
        <v>155</v>
      </c>
      <c r="F24" s="183" t="s">
        <v>167</v>
      </c>
      <c r="G24" s="197" t="s">
        <v>205</v>
      </c>
      <c r="H24" s="183" t="s">
        <v>154</v>
      </c>
      <c r="I24" s="183" t="s">
        <v>160</v>
      </c>
      <c r="J24" s="126">
        <v>2</v>
      </c>
      <c r="K24" s="126">
        <v>6</v>
      </c>
      <c r="L24" s="184">
        <f>(IF(J24&gt;K24,1,0)+IF(J25&gt;K25,1,0))</f>
        <v>0</v>
      </c>
      <c r="M24" s="185">
        <f>(IF(J24&lt;K24,1,0)+IF(J25&lt;K25,1,0))</f>
        <v>2</v>
      </c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.75" customHeight="1" x14ac:dyDescent="0.2">
      <c r="A25" s="94"/>
      <c r="B25" s="94"/>
      <c r="C25" s="166"/>
      <c r="D25" s="166"/>
      <c r="E25" s="166"/>
      <c r="F25" s="166"/>
      <c r="G25" s="166"/>
      <c r="H25" s="166"/>
      <c r="I25" s="166"/>
      <c r="J25" s="126">
        <v>3</v>
      </c>
      <c r="K25" s="126">
        <v>6</v>
      </c>
      <c r="L25" s="166"/>
      <c r="M25" s="175"/>
      <c r="N25" s="131" t="s">
        <v>287</v>
      </c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2.75" customHeight="1" x14ac:dyDescent="0.2">
      <c r="A26" s="94"/>
      <c r="B26" s="94"/>
      <c r="C26" s="222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.75" customHeight="1" x14ac:dyDescent="0.2">
      <c r="A27" s="94"/>
      <c r="B27" s="94"/>
      <c r="C27" s="221" t="s">
        <v>211</v>
      </c>
      <c r="D27" s="193" t="s">
        <v>220</v>
      </c>
      <c r="E27" s="183" t="s">
        <v>112</v>
      </c>
      <c r="F27" s="183" t="s">
        <v>118</v>
      </c>
      <c r="G27" s="197" t="s">
        <v>205</v>
      </c>
      <c r="H27" s="183" t="s">
        <v>111</v>
      </c>
      <c r="I27" s="183" t="s">
        <v>117</v>
      </c>
      <c r="J27" s="126">
        <v>7</v>
      </c>
      <c r="K27" s="126">
        <v>5</v>
      </c>
      <c r="L27" s="184">
        <f>(IF(J27&gt;K27,1,0)+IF(J28&gt;K28,1,0))</f>
        <v>2</v>
      </c>
      <c r="M27" s="185">
        <f>(IF(J27&lt;K27,1,0)+IF(J28&lt;K28,1,0))</f>
        <v>0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.75" customHeight="1" x14ac:dyDescent="0.2">
      <c r="A28" s="94"/>
      <c r="B28" s="94"/>
      <c r="C28" s="166"/>
      <c r="D28" s="166"/>
      <c r="E28" s="166"/>
      <c r="F28" s="166"/>
      <c r="G28" s="166"/>
      <c r="H28" s="166"/>
      <c r="I28" s="166"/>
      <c r="J28" s="126">
        <v>6</v>
      </c>
      <c r="K28" s="126">
        <v>3</v>
      </c>
      <c r="L28" s="166"/>
      <c r="M28" s="175"/>
      <c r="N28" s="130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2.75" customHeight="1" x14ac:dyDescent="0.2">
      <c r="A29" s="94"/>
      <c r="B29" s="94"/>
      <c r="C29" s="222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34"/>
      <c r="O29" s="94"/>
      <c r="P29" s="94"/>
      <c r="Q29" s="94"/>
      <c r="R29" s="94" t="s">
        <v>243</v>
      </c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221" t="s">
        <v>213</v>
      </c>
      <c r="D30" s="193" t="s">
        <v>270</v>
      </c>
      <c r="E30" s="183" t="s">
        <v>84</v>
      </c>
      <c r="F30" s="183" t="s">
        <v>142</v>
      </c>
      <c r="G30" s="197" t="s">
        <v>205</v>
      </c>
      <c r="H30" s="183" t="s">
        <v>69</v>
      </c>
      <c r="I30" s="183" t="s">
        <v>141</v>
      </c>
      <c r="J30" s="126">
        <v>6</v>
      </c>
      <c r="K30" s="126">
        <v>7</v>
      </c>
      <c r="L30" s="184">
        <f>(IF(J30&gt;K30,1,0)+IF(J31&gt;K31,1,0))</f>
        <v>1</v>
      </c>
      <c r="M30" s="185">
        <f>(IF(J30&lt;K30,1,0)+IF(J31&lt;K31,1,0))</f>
        <v>1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66"/>
      <c r="D31" s="166"/>
      <c r="E31" s="166"/>
      <c r="F31" s="166"/>
      <c r="G31" s="166"/>
      <c r="H31" s="166"/>
      <c r="I31" s="166"/>
      <c r="J31" s="126">
        <v>6</v>
      </c>
      <c r="K31" s="126">
        <v>3</v>
      </c>
      <c r="L31" s="166"/>
      <c r="M31" s="175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2.75" customHeight="1" x14ac:dyDescent="0.2">
      <c r="A32" s="94"/>
      <c r="B32" s="94"/>
      <c r="C32" s="222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2.75" customHeight="1" x14ac:dyDescent="0.2">
      <c r="A33" s="94"/>
      <c r="B33" s="94"/>
      <c r="C33" s="221" t="s">
        <v>211</v>
      </c>
      <c r="D33" s="206" t="s">
        <v>234</v>
      </c>
      <c r="E33" s="183" t="s">
        <v>21</v>
      </c>
      <c r="F33" s="184" t="s">
        <v>35</v>
      </c>
      <c r="G33" s="197"/>
      <c r="H33" s="184" t="s">
        <v>27</v>
      </c>
      <c r="I33" s="183" t="s">
        <v>263</v>
      </c>
      <c r="J33" s="126">
        <v>6</v>
      </c>
      <c r="K33" s="126">
        <v>4</v>
      </c>
      <c r="L33" s="184">
        <f>(IF(J33&gt;K33,1,0)+IF(J34&gt;K34,1,0))</f>
        <v>1</v>
      </c>
      <c r="M33" s="185">
        <f>(IF(J33&lt;K33,1,0)+IF(J34&lt;K34,1,0))</f>
        <v>1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2.75" customHeight="1" x14ac:dyDescent="0.2">
      <c r="A34" s="94"/>
      <c r="B34" s="94"/>
      <c r="C34" s="166"/>
      <c r="D34" s="166"/>
      <c r="E34" s="166"/>
      <c r="F34" s="166"/>
      <c r="G34" s="166"/>
      <c r="H34" s="166"/>
      <c r="I34" s="166"/>
      <c r="J34" s="126">
        <v>4</v>
      </c>
      <c r="K34" s="126">
        <v>6</v>
      </c>
      <c r="L34" s="166"/>
      <c r="M34" s="175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2.75" customHeight="1" x14ac:dyDescent="0.2">
      <c r="A35" s="94"/>
      <c r="B35" s="94"/>
      <c r="C35" s="222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2.75" customHeight="1" x14ac:dyDescent="0.2">
      <c r="A36" s="94"/>
      <c r="B36" s="94"/>
      <c r="C36" s="223" t="s">
        <v>288</v>
      </c>
      <c r="D36" s="151"/>
      <c r="E36" s="151"/>
      <c r="F36" s="151"/>
      <c r="G36" s="151"/>
      <c r="H36" s="151"/>
      <c r="I36" s="152"/>
      <c r="J36" s="127">
        <f t="shared" ref="J36:M36" si="1">SUM(J24:J34)</f>
        <v>40</v>
      </c>
      <c r="K36" s="127">
        <f t="shared" si="1"/>
        <v>40</v>
      </c>
      <c r="L36" s="127">
        <f t="shared" si="1"/>
        <v>4</v>
      </c>
      <c r="M36" s="127">
        <f t="shared" si="1"/>
        <v>4</v>
      </c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2.75" customHeight="1" x14ac:dyDescent="0.2">
      <c r="A37" s="94"/>
      <c r="B37" s="94"/>
      <c r="C37" s="222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2.75" customHeight="1" x14ac:dyDescent="0.2">
      <c r="A38" s="94"/>
      <c r="B38" s="94"/>
      <c r="C38" s="224" t="s">
        <v>249</v>
      </c>
      <c r="D38" s="151"/>
      <c r="E38" s="151"/>
      <c r="F38" s="151"/>
      <c r="G38" s="151"/>
      <c r="H38" s="151"/>
      <c r="I38" s="152"/>
      <c r="J38" s="129">
        <f>J36+J22</f>
        <v>77</v>
      </c>
      <c r="K38" s="129">
        <f>K36+K22</f>
        <v>80</v>
      </c>
      <c r="L38" s="129">
        <f>L36+L22</f>
        <v>8</v>
      </c>
      <c r="M38" s="129">
        <f>M36+M22</f>
        <v>8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2.75" customHeight="1" x14ac:dyDescent="0.2">
      <c r="A39" s="94"/>
      <c r="B39" s="94"/>
      <c r="C39" s="222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2.75" customHeight="1" x14ac:dyDescent="0.2">
      <c r="A40" s="94"/>
      <c r="B40" s="94"/>
      <c r="C40" s="227" t="s">
        <v>227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28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6" customHeight="1" x14ac:dyDescent="0.2">
      <c r="A41" s="94"/>
      <c r="B41" s="94"/>
      <c r="C41" s="199"/>
      <c r="D41" s="213"/>
      <c r="E41" s="213"/>
      <c r="F41" s="213"/>
      <c r="G41" s="213"/>
      <c r="H41" s="213"/>
      <c r="I41" s="213"/>
      <c r="J41" s="213"/>
      <c r="K41" s="213"/>
      <c r="L41" s="213"/>
      <c r="M41" s="195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2.75" customHeight="1" x14ac:dyDescent="0.2">
      <c r="A42" s="94"/>
      <c r="B42" s="94"/>
      <c r="C42" s="98" t="s">
        <v>202</v>
      </c>
      <c r="D42" s="98" t="s">
        <v>203</v>
      </c>
      <c r="E42" s="196" t="s">
        <v>289</v>
      </c>
      <c r="F42" s="152"/>
      <c r="G42" s="98" t="s">
        <v>205</v>
      </c>
      <c r="H42" s="196" t="s">
        <v>206</v>
      </c>
      <c r="I42" s="152"/>
      <c r="J42" s="196" t="s">
        <v>207</v>
      </c>
      <c r="K42" s="152"/>
      <c r="L42" s="196" t="s">
        <v>208</v>
      </c>
      <c r="M42" s="152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221" t="s">
        <v>209</v>
      </c>
      <c r="D43" s="193" t="s">
        <v>234</v>
      </c>
      <c r="E43" s="183" t="s">
        <v>17</v>
      </c>
      <c r="F43" s="183" t="s">
        <v>24</v>
      </c>
      <c r="G43" s="197" t="s">
        <v>205</v>
      </c>
      <c r="H43" s="183" t="s">
        <v>222</v>
      </c>
      <c r="I43" s="183" t="s">
        <v>19</v>
      </c>
      <c r="J43" s="126">
        <v>7</v>
      </c>
      <c r="K43" s="126">
        <v>6</v>
      </c>
      <c r="L43" s="184">
        <f>(IF(J43&gt;K43,1,0)+IF(J44&gt;K44,1,0))</f>
        <v>2</v>
      </c>
      <c r="M43" s="185">
        <f>(IF(J43&lt;K43,1,0)+IF(J44&lt;K44,1,0))</f>
        <v>0</v>
      </c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166"/>
      <c r="D44" s="166"/>
      <c r="E44" s="166"/>
      <c r="F44" s="166"/>
      <c r="G44" s="166"/>
      <c r="H44" s="166"/>
      <c r="I44" s="166"/>
      <c r="J44" s="126">
        <v>6</v>
      </c>
      <c r="K44" s="126">
        <v>3</v>
      </c>
      <c r="L44" s="166"/>
      <c r="M44" s="175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2.75" customHeight="1" x14ac:dyDescent="0.2">
      <c r="A45" s="94"/>
      <c r="B45" s="94"/>
      <c r="C45" s="222"/>
      <c r="D45" s="151"/>
      <c r="E45" s="151"/>
      <c r="F45" s="151"/>
      <c r="G45" s="151"/>
      <c r="H45" s="151"/>
      <c r="I45" s="151"/>
      <c r="J45" s="151"/>
      <c r="K45" s="151"/>
      <c r="L45" s="151"/>
      <c r="M45" s="152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221" t="s">
        <v>211</v>
      </c>
      <c r="D46" s="193" t="s">
        <v>270</v>
      </c>
      <c r="E46" s="183" t="s">
        <v>66</v>
      </c>
      <c r="F46" s="183" t="s">
        <v>132</v>
      </c>
      <c r="G46" s="197" t="s">
        <v>205</v>
      </c>
      <c r="H46" s="183" t="s">
        <v>61</v>
      </c>
      <c r="I46" s="183" t="s">
        <v>134</v>
      </c>
      <c r="J46" s="126">
        <v>2</v>
      </c>
      <c r="K46" s="126">
        <v>6</v>
      </c>
      <c r="L46" s="184">
        <f>(IF(J46&gt;K46,1,0)+IF(J47&gt;K47,1,0))</f>
        <v>0</v>
      </c>
      <c r="M46" s="185">
        <f>(IF(J46&lt;K46,1,0)+IF(J47&lt;K47,1,0))</f>
        <v>2</v>
      </c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166"/>
      <c r="D47" s="166"/>
      <c r="E47" s="166"/>
      <c r="F47" s="166"/>
      <c r="G47" s="166"/>
      <c r="H47" s="166"/>
      <c r="I47" s="166"/>
      <c r="J47" s="126">
        <v>4</v>
      </c>
      <c r="K47" s="126">
        <v>6</v>
      </c>
      <c r="L47" s="166"/>
      <c r="M47" s="175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2.75" customHeight="1" x14ac:dyDescent="0.2">
      <c r="A48" s="94"/>
      <c r="B48" s="94"/>
      <c r="C48" s="222"/>
      <c r="D48" s="151"/>
      <c r="E48" s="151"/>
      <c r="F48" s="151"/>
      <c r="G48" s="151"/>
      <c r="H48" s="151"/>
      <c r="I48" s="151"/>
      <c r="J48" s="151"/>
      <c r="K48" s="151"/>
      <c r="L48" s="151"/>
      <c r="M48" s="152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221" t="s">
        <v>213</v>
      </c>
      <c r="D49" s="193" t="s">
        <v>220</v>
      </c>
      <c r="E49" s="183" t="s">
        <v>108</v>
      </c>
      <c r="F49" s="183" t="s">
        <v>120</v>
      </c>
      <c r="G49" s="197" t="s">
        <v>205</v>
      </c>
      <c r="H49" s="183" t="s">
        <v>110</v>
      </c>
      <c r="I49" s="183" t="s">
        <v>11</v>
      </c>
      <c r="J49" s="126">
        <v>0</v>
      </c>
      <c r="K49" s="126">
        <v>6</v>
      </c>
      <c r="L49" s="184">
        <f>(IF(J49&gt;K49,1,0)+IF(J50&gt;K50,1,0))</f>
        <v>0</v>
      </c>
      <c r="M49" s="185">
        <f>(IF(J49&lt;K49,1,0)+IF(J50&lt;K50,1,0))</f>
        <v>2</v>
      </c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166"/>
      <c r="D50" s="166"/>
      <c r="E50" s="166"/>
      <c r="F50" s="166"/>
      <c r="G50" s="166"/>
      <c r="H50" s="166"/>
      <c r="I50" s="166"/>
      <c r="J50" s="126">
        <v>0</v>
      </c>
      <c r="K50" s="126">
        <v>6</v>
      </c>
      <c r="L50" s="166"/>
      <c r="M50" s="175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2.75" customHeight="1" x14ac:dyDescent="0.2">
      <c r="A51" s="94"/>
      <c r="B51" s="94"/>
      <c r="C51" s="222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221" t="s">
        <v>211</v>
      </c>
      <c r="D52" s="206" t="s">
        <v>214</v>
      </c>
      <c r="E52" s="183" t="s">
        <v>38</v>
      </c>
      <c r="F52" s="183" t="s">
        <v>52</v>
      </c>
      <c r="G52" s="197" t="s">
        <v>205</v>
      </c>
      <c r="H52" s="183" t="s">
        <v>40</v>
      </c>
      <c r="I52" s="183" t="s">
        <v>290</v>
      </c>
      <c r="J52" s="126">
        <v>2</v>
      </c>
      <c r="K52" s="126">
        <v>6</v>
      </c>
      <c r="L52" s="184">
        <f>(IF(J52&gt;K52,1,0)+IF(J53&gt;K53,1,0))</f>
        <v>0</v>
      </c>
      <c r="M52" s="185">
        <f>(IF(J52&lt;K52,1,0)+IF(J53&lt;K53,1,0))</f>
        <v>2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166"/>
      <c r="D53" s="166"/>
      <c r="E53" s="166"/>
      <c r="F53" s="166"/>
      <c r="G53" s="166"/>
      <c r="H53" s="166"/>
      <c r="I53" s="166"/>
      <c r="J53" s="126">
        <v>0</v>
      </c>
      <c r="K53" s="126">
        <v>6</v>
      </c>
      <c r="L53" s="166"/>
      <c r="M53" s="175"/>
      <c r="N53" s="226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2.75" customHeight="1" x14ac:dyDescent="0.2">
      <c r="A54" s="94"/>
      <c r="B54" s="94"/>
      <c r="C54" s="222"/>
      <c r="D54" s="151"/>
      <c r="E54" s="151"/>
      <c r="F54" s="151"/>
      <c r="G54" s="151"/>
      <c r="H54" s="151"/>
      <c r="I54" s="151"/>
      <c r="J54" s="151"/>
      <c r="K54" s="151"/>
      <c r="L54" s="151"/>
      <c r="M54" s="152"/>
      <c r="N54" s="157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2.75" customHeight="1" x14ac:dyDescent="0.2">
      <c r="A55" s="94"/>
      <c r="B55" s="94"/>
      <c r="C55" s="223" t="s">
        <v>246</v>
      </c>
      <c r="D55" s="151"/>
      <c r="E55" s="151"/>
      <c r="F55" s="151"/>
      <c r="G55" s="151"/>
      <c r="H55" s="151"/>
      <c r="I55" s="152"/>
      <c r="J55" s="127">
        <f t="shared" ref="J55:M55" si="2">SUM(J43:J53)</f>
        <v>21</v>
      </c>
      <c r="K55" s="127">
        <f t="shared" si="2"/>
        <v>45</v>
      </c>
      <c r="L55" s="127">
        <f t="shared" si="2"/>
        <v>2</v>
      </c>
      <c r="M55" s="127">
        <f t="shared" si="2"/>
        <v>6</v>
      </c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2.75" customHeight="1" x14ac:dyDescent="0.2">
      <c r="A56" s="94"/>
      <c r="B56" s="94"/>
      <c r="C56" s="222"/>
      <c r="D56" s="151"/>
      <c r="E56" s="151"/>
      <c r="F56" s="151"/>
      <c r="G56" s="151"/>
      <c r="H56" s="151"/>
      <c r="I56" s="151"/>
      <c r="J56" s="151"/>
      <c r="K56" s="151"/>
      <c r="L56" s="151"/>
      <c r="M56" s="152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221" t="s">
        <v>209</v>
      </c>
      <c r="D57" s="193" t="s">
        <v>217</v>
      </c>
      <c r="E57" s="183" t="s">
        <v>87</v>
      </c>
      <c r="F57" s="183" t="s">
        <v>101</v>
      </c>
      <c r="G57" s="197" t="s">
        <v>205</v>
      </c>
      <c r="H57" s="183" t="s">
        <v>89</v>
      </c>
      <c r="I57" s="183" t="s">
        <v>291</v>
      </c>
      <c r="J57" s="126">
        <v>7</v>
      </c>
      <c r="K57" s="126">
        <v>6</v>
      </c>
      <c r="L57" s="184">
        <f>(IF(J57&gt;K57,1,0)+IF(J58&gt;K58,1,0))</f>
        <v>1</v>
      </c>
      <c r="M57" s="185">
        <f>(IF(J57&lt;K57,1,0)+IF(J58&lt;K58,1,0))</f>
        <v>1</v>
      </c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166"/>
      <c r="D58" s="166"/>
      <c r="E58" s="166"/>
      <c r="F58" s="166"/>
      <c r="G58" s="166"/>
      <c r="H58" s="166"/>
      <c r="I58" s="166"/>
      <c r="J58" s="126">
        <v>3</v>
      </c>
      <c r="K58" s="126">
        <v>6</v>
      </c>
      <c r="L58" s="166"/>
      <c r="M58" s="175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2.75" customHeight="1" x14ac:dyDescent="0.2">
      <c r="A59" s="94"/>
      <c r="B59" s="94"/>
      <c r="C59" s="222"/>
      <c r="D59" s="151"/>
      <c r="E59" s="151"/>
      <c r="F59" s="151"/>
      <c r="G59" s="151"/>
      <c r="H59" s="151"/>
      <c r="I59" s="151"/>
      <c r="J59" s="151"/>
      <c r="K59" s="151"/>
      <c r="L59" s="151"/>
      <c r="M59" s="152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221" t="s">
        <v>211</v>
      </c>
      <c r="D60" s="193" t="s">
        <v>210</v>
      </c>
      <c r="E60" s="183" t="s">
        <v>292</v>
      </c>
      <c r="F60" s="183" t="s">
        <v>163</v>
      </c>
      <c r="G60" s="197" t="s">
        <v>205</v>
      </c>
      <c r="H60" s="183" t="s">
        <v>153</v>
      </c>
      <c r="I60" s="183" t="s">
        <v>159</v>
      </c>
      <c r="J60" s="126">
        <v>6</v>
      </c>
      <c r="K60" s="126">
        <v>2</v>
      </c>
      <c r="L60" s="184">
        <f>(IF(J60&gt;K60,1,0)+IF(J61&gt;K61,1,0))</f>
        <v>2</v>
      </c>
      <c r="M60" s="185">
        <f>(IF(J60&lt;K60,1,0)+IF(J61&lt;K61,1,0))</f>
        <v>0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166"/>
      <c r="D61" s="166"/>
      <c r="E61" s="166"/>
      <c r="F61" s="166"/>
      <c r="G61" s="166"/>
      <c r="H61" s="166"/>
      <c r="I61" s="166"/>
      <c r="J61" s="126">
        <v>7</v>
      </c>
      <c r="K61" s="126">
        <v>5</v>
      </c>
      <c r="L61" s="166"/>
      <c r="M61" s="175"/>
      <c r="N61" s="130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2.75" customHeight="1" x14ac:dyDescent="0.2">
      <c r="A62" s="94"/>
      <c r="B62" s="94"/>
      <c r="C62" s="222"/>
      <c r="D62" s="151"/>
      <c r="E62" s="151"/>
      <c r="F62" s="151"/>
      <c r="G62" s="151"/>
      <c r="H62" s="151"/>
      <c r="I62" s="151"/>
      <c r="J62" s="151"/>
      <c r="K62" s="151"/>
      <c r="L62" s="151"/>
      <c r="M62" s="152"/>
      <c r="N62" s="13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221" t="s">
        <v>213</v>
      </c>
      <c r="D63" s="193" t="s">
        <v>212</v>
      </c>
      <c r="E63" s="183" t="s">
        <v>59</v>
      </c>
      <c r="F63" s="183" t="s">
        <v>73</v>
      </c>
      <c r="G63" s="197" t="s">
        <v>205</v>
      </c>
      <c r="H63" s="183" t="s">
        <v>293</v>
      </c>
      <c r="I63" s="183" t="s">
        <v>82</v>
      </c>
      <c r="J63" s="126">
        <v>6</v>
      </c>
      <c r="K63" s="126">
        <v>4</v>
      </c>
      <c r="L63" s="184">
        <f>(IF(J63&gt;K63,1,0)+IF(J64&gt;K64,1,0))</f>
        <v>2</v>
      </c>
      <c r="M63" s="185">
        <f>(IF(J63&lt;K63,1,0)+IF(J64&lt;K64,1,0))</f>
        <v>0</v>
      </c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166"/>
      <c r="D64" s="166"/>
      <c r="E64" s="166"/>
      <c r="F64" s="166"/>
      <c r="G64" s="166"/>
      <c r="H64" s="166"/>
      <c r="I64" s="166"/>
      <c r="J64" s="126">
        <v>6</v>
      </c>
      <c r="K64" s="126">
        <v>2</v>
      </c>
      <c r="L64" s="166"/>
      <c r="M64" s="175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2.75" customHeight="1" x14ac:dyDescent="0.2">
      <c r="A65" s="94"/>
      <c r="B65" s="94"/>
      <c r="C65" s="222"/>
      <c r="D65" s="151"/>
      <c r="E65" s="151"/>
      <c r="F65" s="151"/>
      <c r="G65" s="151"/>
      <c r="H65" s="151"/>
      <c r="I65" s="151"/>
      <c r="J65" s="151"/>
      <c r="K65" s="151"/>
      <c r="L65" s="151"/>
      <c r="M65" s="152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221" t="s">
        <v>211</v>
      </c>
      <c r="D66" s="206" t="s">
        <v>215</v>
      </c>
      <c r="E66" s="183" t="s">
        <v>126</v>
      </c>
      <c r="F66" s="183" t="s">
        <v>195</v>
      </c>
      <c r="G66" s="197" t="s">
        <v>205</v>
      </c>
      <c r="H66" s="183" t="s">
        <v>128</v>
      </c>
      <c r="I66" s="183" t="s">
        <v>294</v>
      </c>
      <c r="J66" s="126">
        <v>3</v>
      </c>
      <c r="K66" s="126">
        <v>6</v>
      </c>
      <c r="L66" s="184">
        <f>(IF(J66&gt;K66,1,0)+IF(J67&gt;K67,1,0))</f>
        <v>1</v>
      </c>
      <c r="M66" s="185">
        <f>(IF(J66&lt;K66,1,0)+IF(J67&lt;K67,1,0))</f>
        <v>1</v>
      </c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166"/>
      <c r="D67" s="166"/>
      <c r="E67" s="166"/>
      <c r="F67" s="166"/>
      <c r="G67" s="166"/>
      <c r="H67" s="166"/>
      <c r="I67" s="166"/>
      <c r="J67" s="126">
        <v>7</v>
      </c>
      <c r="K67" s="126">
        <v>5</v>
      </c>
      <c r="L67" s="166"/>
      <c r="M67" s="175"/>
      <c r="N67" s="131" t="s">
        <v>295</v>
      </c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2.75" customHeight="1" x14ac:dyDescent="0.2">
      <c r="A68" s="94"/>
      <c r="B68" s="94"/>
      <c r="C68" s="222"/>
      <c r="D68" s="151"/>
      <c r="E68" s="151"/>
      <c r="F68" s="151"/>
      <c r="G68" s="151"/>
      <c r="H68" s="151"/>
      <c r="I68" s="151"/>
      <c r="J68" s="151"/>
      <c r="K68" s="151"/>
      <c r="L68" s="151"/>
      <c r="M68" s="152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2.75" customHeight="1" x14ac:dyDescent="0.2">
      <c r="A69" s="94"/>
      <c r="B69" s="94"/>
      <c r="C69" s="223" t="s">
        <v>288</v>
      </c>
      <c r="D69" s="151"/>
      <c r="E69" s="151"/>
      <c r="F69" s="151"/>
      <c r="G69" s="151"/>
      <c r="H69" s="151"/>
      <c r="I69" s="152"/>
      <c r="J69" s="127">
        <f t="shared" ref="J69:M69" si="3">SUM(J57:J67)</f>
        <v>45</v>
      </c>
      <c r="K69" s="127">
        <f t="shared" si="3"/>
        <v>36</v>
      </c>
      <c r="L69" s="127">
        <f t="shared" si="3"/>
        <v>6</v>
      </c>
      <c r="M69" s="127">
        <f t="shared" si="3"/>
        <v>2</v>
      </c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7.5" customHeight="1" x14ac:dyDescent="0.2">
      <c r="A70" s="94"/>
      <c r="B70" s="94"/>
      <c r="C70" s="239"/>
      <c r="D70" s="240"/>
      <c r="E70" s="240"/>
      <c r="F70" s="240"/>
      <c r="G70" s="240"/>
      <c r="H70" s="240"/>
      <c r="I70" s="240"/>
      <c r="J70" s="240"/>
      <c r="K70" s="240"/>
      <c r="L70" s="240"/>
      <c r="M70" s="241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2.75" customHeight="1" x14ac:dyDescent="0.2">
      <c r="A71" s="94"/>
      <c r="B71" s="94"/>
      <c r="C71" s="224" t="s">
        <v>249</v>
      </c>
      <c r="D71" s="151"/>
      <c r="E71" s="151"/>
      <c r="F71" s="151"/>
      <c r="G71" s="151"/>
      <c r="H71" s="151"/>
      <c r="I71" s="152"/>
      <c r="J71" s="129">
        <f>J69+J55</f>
        <v>66</v>
      </c>
      <c r="K71" s="129">
        <f>K69+K55</f>
        <v>81</v>
      </c>
      <c r="L71" s="129">
        <f>L69+L55</f>
        <v>8</v>
      </c>
      <c r="M71" s="129">
        <f>M69+M55</f>
        <v>8</v>
      </c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9" customHeight="1" x14ac:dyDescent="0.2">
      <c r="A72" s="94"/>
      <c r="B72" s="94"/>
      <c r="C72" s="222"/>
      <c r="D72" s="151"/>
      <c r="E72" s="151"/>
      <c r="F72" s="151"/>
      <c r="G72" s="151"/>
      <c r="H72" s="151"/>
      <c r="I72" s="151"/>
      <c r="J72" s="151"/>
      <c r="K72" s="151"/>
      <c r="L72" s="151"/>
      <c r="M72" s="152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2.75" customHeight="1" x14ac:dyDescent="0.2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2.75" customHeight="1" x14ac:dyDescent="0.2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2.75" customHeight="1" x14ac:dyDescent="0.2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2.75" customHeight="1" x14ac:dyDescent="0.2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2.75" customHeight="1" x14ac:dyDescent="0.2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2.75" customHeight="1" x14ac:dyDescent="0.2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2.75" customHeight="1" x14ac:dyDescent="0.2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2.75" customHeight="1" x14ac:dyDescent="0.2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2.75" customHeight="1" x14ac:dyDescent="0.2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2.75" customHeight="1" x14ac:dyDescent="0.2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2.75" customHeight="1" x14ac:dyDescent="0.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2.75" customHeight="1" x14ac:dyDescent="0.2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2.75" customHeight="1" x14ac:dyDescent="0.2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2.75" customHeight="1" x14ac:dyDescent="0.2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2.75" customHeight="1" x14ac:dyDescent="0.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2.75" customHeight="1" x14ac:dyDescent="0.2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2.75" customHeight="1" x14ac:dyDescent="0.2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2.75" customHeight="1" x14ac:dyDescent="0.2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2.75" customHeight="1" x14ac:dyDescent="0.2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</sheetData>
  <mergeCells count="187">
    <mergeCell ref="I66:I67"/>
    <mergeCell ref="L66:L67"/>
    <mergeCell ref="M66:M67"/>
    <mergeCell ref="C68:M68"/>
    <mergeCell ref="C69:I69"/>
    <mergeCell ref="C70:M70"/>
    <mergeCell ref="C71:I71"/>
    <mergeCell ref="C72:M72"/>
    <mergeCell ref="C63:C64"/>
    <mergeCell ref="C66:C67"/>
    <mergeCell ref="D66:D67"/>
    <mergeCell ref="E66:E67"/>
    <mergeCell ref="F66:F67"/>
    <mergeCell ref="G66:G67"/>
    <mergeCell ref="H66:H67"/>
    <mergeCell ref="H60:H61"/>
    <mergeCell ref="I60:I61"/>
    <mergeCell ref="L60:L61"/>
    <mergeCell ref="M60:M61"/>
    <mergeCell ref="C62:M62"/>
    <mergeCell ref="E57:E58"/>
    <mergeCell ref="F57:F58"/>
    <mergeCell ref="C60:C61"/>
    <mergeCell ref="D60:D61"/>
    <mergeCell ref="E60:E61"/>
    <mergeCell ref="F60:F61"/>
    <mergeCell ref="G60:G61"/>
    <mergeCell ref="G57:G58"/>
    <mergeCell ref="H57:H58"/>
    <mergeCell ref="I57:I58"/>
    <mergeCell ref="L57:L58"/>
    <mergeCell ref="M57:M58"/>
    <mergeCell ref="C59:M59"/>
    <mergeCell ref="I52:I53"/>
    <mergeCell ref="C54:M54"/>
    <mergeCell ref="C55:I55"/>
    <mergeCell ref="C56:M56"/>
    <mergeCell ref="C57:C58"/>
    <mergeCell ref="D57:D58"/>
    <mergeCell ref="L63:L64"/>
    <mergeCell ref="M63:M64"/>
    <mergeCell ref="D63:D64"/>
    <mergeCell ref="E63:E64"/>
    <mergeCell ref="F63:F64"/>
    <mergeCell ref="G63:G64"/>
    <mergeCell ref="H63:H64"/>
    <mergeCell ref="I63:I64"/>
    <mergeCell ref="C65:M65"/>
    <mergeCell ref="C15:M15"/>
    <mergeCell ref="C10:C11"/>
    <mergeCell ref="C13:C14"/>
    <mergeCell ref="D13:D14"/>
    <mergeCell ref="E13:E14"/>
    <mergeCell ref="F13:F14"/>
    <mergeCell ref="G13:G14"/>
    <mergeCell ref="H13:H14"/>
    <mergeCell ref="C30:C31"/>
    <mergeCell ref="N11:N12"/>
    <mergeCell ref="L13:L14"/>
    <mergeCell ref="M13:M14"/>
    <mergeCell ref="L9:M9"/>
    <mergeCell ref="D10:D11"/>
    <mergeCell ref="E10:E11"/>
    <mergeCell ref="F10:F11"/>
    <mergeCell ref="G10:G11"/>
    <mergeCell ref="C12:M12"/>
    <mergeCell ref="I13:I14"/>
    <mergeCell ref="C1:M2"/>
    <mergeCell ref="C4:M4"/>
    <mergeCell ref="C5:M6"/>
    <mergeCell ref="C7:M8"/>
    <mergeCell ref="E9:F9"/>
    <mergeCell ref="H9:I9"/>
    <mergeCell ref="J9:K9"/>
    <mergeCell ref="H10:H11"/>
    <mergeCell ref="I10:I11"/>
    <mergeCell ref="L10:L11"/>
    <mergeCell ref="M10:M11"/>
    <mergeCell ref="L30:L31"/>
    <mergeCell ref="M30:M31"/>
    <mergeCell ref="D30:D31"/>
    <mergeCell ref="E30:E31"/>
    <mergeCell ref="F30:F31"/>
    <mergeCell ref="G30:G31"/>
    <mergeCell ref="H30:H31"/>
    <mergeCell ref="I30:I31"/>
    <mergeCell ref="C32:M32"/>
    <mergeCell ref="C26:M26"/>
    <mergeCell ref="I27:I28"/>
    <mergeCell ref="L27:L28"/>
    <mergeCell ref="M27:M28"/>
    <mergeCell ref="C29:M29"/>
    <mergeCell ref="C24:C25"/>
    <mergeCell ref="C27:C28"/>
    <mergeCell ref="D27:D28"/>
    <mergeCell ref="E27:E28"/>
    <mergeCell ref="F27:F28"/>
    <mergeCell ref="G27:G28"/>
    <mergeCell ref="H27:H28"/>
    <mergeCell ref="L24:L25"/>
    <mergeCell ref="M24:M25"/>
    <mergeCell ref="D24:D25"/>
    <mergeCell ref="E24:E25"/>
    <mergeCell ref="F24:F25"/>
    <mergeCell ref="G24:G25"/>
    <mergeCell ref="H24:H25"/>
    <mergeCell ref="I24:I25"/>
    <mergeCell ref="G52:G53"/>
    <mergeCell ref="H52:H53"/>
    <mergeCell ref="L16:L17"/>
    <mergeCell ref="M16:M17"/>
    <mergeCell ref="D16:D17"/>
    <mergeCell ref="E16:E17"/>
    <mergeCell ref="F16:F17"/>
    <mergeCell ref="G16:G17"/>
    <mergeCell ref="H16:H17"/>
    <mergeCell ref="I16:I17"/>
    <mergeCell ref="C18:M18"/>
    <mergeCell ref="C16:C17"/>
    <mergeCell ref="C19:C20"/>
    <mergeCell ref="D19:D20"/>
    <mergeCell ref="E19:E20"/>
    <mergeCell ref="F19:F20"/>
    <mergeCell ref="G19:G20"/>
    <mergeCell ref="H19:H20"/>
    <mergeCell ref="I19:I20"/>
    <mergeCell ref="L19:L20"/>
    <mergeCell ref="M19:M20"/>
    <mergeCell ref="C21:M21"/>
    <mergeCell ref="C22:I22"/>
    <mergeCell ref="C23:M23"/>
    <mergeCell ref="L52:L53"/>
    <mergeCell ref="M52:M53"/>
    <mergeCell ref="N53:N54"/>
    <mergeCell ref="D43:D44"/>
    <mergeCell ref="E43:E44"/>
    <mergeCell ref="F43:F44"/>
    <mergeCell ref="G43:G44"/>
    <mergeCell ref="H43:H44"/>
    <mergeCell ref="I43:I44"/>
    <mergeCell ref="C45:M45"/>
    <mergeCell ref="I46:I47"/>
    <mergeCell ref="C48:M48"/>
    <mergeCell ref="C43:C44"/>
    <mergeCell ref="C46:C47"/>
    <mergeCell ref="D46:D47"/>
    <mergeCell ref="E46:E47"/>
    <mergeCell ref="F46:F47"/>
    <mergeCell ref="G46:G47"/>
    <mergeCell ref="H46:H47"/>
    <mergeCell ref="C49:C50"/>
    <mergeCell ref="C52:C53"/>
    <mergeCell ref="D52:D53"/>
    <mergeCell ref="E52:E53"/>
    <mergeCell ref="F52:F53"/>
    <mergeCell ref="E42:F42"/>
    <mergeCell ref="H42:I42"/>
    <mergeCell ref="J42:K42"/>
    <mergeCell ref="L42:M42"/>
    <mergeCell ref="L43:L44"/>
    <mergeCell ref="M43:M44"/>
    <mergeCell ref="L46:L47"/>
    <mergeCell ref="M46:M47"/>
    <mergeCell ref="I33:I34"/>
    <mergeCell ref="L33:L34"/>
    <mergeCell ref="M33:M34"/>
    <mergeCell ref="C35:M35"/>
    <mergeCell ref="C36:I36"/>
    <mergeCell ref="C37:M37"/>
    <mergeCell ref="C38:I38"/>
    <mergeCell ref="C39:M39"/>
    <mergeCell ref="C40:M41"/>
    <mergeCell ref="C33:C34"/>
    <mergeCell ref="D33:D34"/>
    <mergeCell ref="E33:E34"/>
    <mergeCell ref="F33:F34"/>
    <mergeCell ref="G33:G34"/>
    <mergeCell ref="H33:H34"/>
    <mergeCell ref="L49:L50"/>
    <mergeCell ref="M49:M50"/>
    <mergeCell ref="D49:D50"/>
    <mergeCell ref="E49:E50"/>
    <mergeCell ref="F49:F50"/>
    <mergeCell ref="G49:G50"/>
    <mergeCell ref="H49:H50"/>
    <mergeCell ref="I49:I50"/>
    <mergeCell ref="C51:M51"/>
  </mergeCells>
  <pageMargins left="0.23622047244094491" right="0.23622047244094491" top="0.74803149606299213" bottom="0.74803149606299213" header="0.31496062992125984" footer="0.31496062992125984"/>
  <pageSetup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tabSelected="1" topLeftCell="B7" workbookViewId="0">
      <selection activeCell="J25" sqref="J25"/>
    </sheetView>
  </sheetViews>
  <sheetFormatPr defaultColWidth="14.42578125" defaultRowHeight="15" customHeight="1" x14ac:dyDescent="0.2"/>
  <cols>
    <col min="1" max="1" width="2.7109375" hidden="1" customWidth="1"/>
    <col min="2" max="2" width="1.28515625" customWidth="1"/>
    <col min="3" max="3" width="10.140625" customWidth="1"/>
    <col min="4" max="4" width="7.42578125" customWidth="1"/>
    <col min="5" max="5" width="17.85546875" customWidth="1"/>
    <col min="6" max="6" width="16.28515625" customWidth="1"/>
    <col min="7" max="7" width="3.140625" bestFit="1" customWidth="1"/>
    <col min="8" max="8" width="18.7109375" customWidth="1"/>
    <col min="9" max="9" width="18.140625" customWidth="1"/>
    <col min="10" max="13" width="5.7109375" customWidth="1"/>
    <col min="14" max="17" width="9.140625" customWidth="1"/>
    <col min="18" max="26" width="8" customWidth="1"/>
  </cols>
  <sheetData>
    <row r="1" spans="1:26" ht="12.75" customHeight="1" x14ac:dyDescent="0.2">
      <c r="A1" s="94"/>
      <c r="B1" s="94"/>
      <c r="C1" s="230" t="s">
        <v>199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6" customHeight="1" x14ac:dyDescent="0.2">
      <c r="A2" s="94"/>
      <c r="B2" s="9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6" customHeight="1" x14ac:dyDescent="0.2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9.5" customHeight="1" x14ac:dyDescent="0.2">
      <c r="A4" s="94"/>
      <c r="B4" s="94"/>
      <c r="C4" s="238" t="s">
        <v>296</v>
      </c>
      <c r="D4" s="169"/>
      <c r="E4" s="169"/>
      <c r="F4" s="169"/>
      <c r="G4" s="169"/>
      <c r="H4" s="169"/>
      <c r="I4" s="169"/>
      <c r="J4" s="169"/>
      <c r="K4" s="169"/>
      <c r="L4" s="169"/>
      <c r="M4" s="170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4.5" customHeight="1" x14ac:dyDescent="0.2">
      <c r="A5" s="94"/>
      <c r="B5" s="94"/>
      <c r="C5" s="219"/>
      <c r="D5" s="210"/>
      <c r="E5" s="210"/>
      <c r="F5" s="210"/>
      <c r="G5" s="210"/>
      <c r="H5" s="210"/>
      <c r="I5" s="210"/>
      <c r="J5" s="210"/>
      <c r="K5" s="210"/>
      <c r="L5" s="210"/>
      <c r="M5" s="211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4.5" customHeight="1" x14ac:dyDescent="0.2">
      <c r="A6" s="94"/>
      <c r="B6" s="94"/>
      <c r="C6" s="212"/>
      <c r="D6" s="213"/>
      <c r="E6" s="213"/>
      <c r="F6" s="213"/>
      <c r="G6" s="213"/>
      <c r="H6" s="213"/>
      <c r="I6" s="213"/>
      <c r="J6" s="213"/>
      <c r="K6" s="213"/>
      <c r="L6" s="213"/>
      <c r="M6" s="21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2.75" customHeight="1" x14ac:dyDescent="0.2">
      <c r="A7" s="94"/>
      <c r="B7" s="94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9.5" customHeight="1" x14ac:dyDescent="0.2">
      <c r="A8" s="94"/>
      <c r="B8" s="94"/>
      <c r="C8" s="97" t="s">
        <v>202</v>
      </c>
      <c r="D8" s="98" t="s">
        <v>203</v>
      </c>
      <c r="E8" s="196" t="s">
        <v>297</v>
      </c>
      <c r="F8" s="152"/>
      <c r="G8" s="98" t="s">
        <v>205</v>
      </c>
      <c r="H8" s="196" t="s">
        <v>298</v>
      </c>
      <c r="I8" s="152"/>
      <c r="J8" s="196" t="s">
        <v>207</v>
      </c>
      <c r="K8" s="152"/>
      <c r="L8" s="196" t="s">
        <v>208</v>
      </c>
      <c r="M8" s="160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2" customHeight="1" x14ac:dyDescent="0.2">
      <c r="A9" s="94"/>
      <c r="B9" s="94"/>
      <c r="C9" s="242" t="s">
        <v>299</v>
      </c>
      <c r="D9" s="193" t="s">
        <v>220</v>
      </c>
      <c r="E9" s="184" t="s">
        <v>11</v>
      </c>
      <c r="F9" s="184" t="s">
        <v>110</v>
      </c>
      <c r="G9" s="197" t="s">
        <v>205</v>
      </c>
      <c r="H9" s="184" t="s">
        <v>111</v>
      </c>
      <c r="I9" s="184" t="s">
        <v>117</v>
      </c>
      <c r="J9" s="100">
        <v>6</v>
      </c>
      <c r="K9" s="101">
        <v>3</v>
      </c>
      <c r="L9" s="184">
        <f>(IF(J9&gt;K9,1,0)+IF(J10&gt;K10,1,0))</f>
        <v>2</v>
      </c>
      <c r="M9" s="185">
        <f>(IF(J9&lt;K9,1,0)+IF(J10&lt;K10,1,0))</f>
        <v>0</v>
      </c>
      <c r="N9" s="130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2" customHeight="1" x14ac:dyDescent="0.2">
      <c r="A10" s="94"/>
      <c r="B10" s="94"/>
      <c r="C10" s="192"/>
      <c r="D10" s="166"/>
      <c r="E10" s="166"/>
      <c r="F10" s="166"/>
      <c r="G10" s="166"/>
      <c r="H10" s="166"/>
      <c r="I10" s="166"/>
      <c r="J10" s="102">
        <v>6</v>
      </c>
      <c r="K10" s="103">
        <v>1</v>
      </c>
      <c r="L10" s="166"/>
      <c r="M10" s="175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2" customHeight="1" x14ac:dyDescent="0.2">
      <c r="A11" s="94"/>
      <c r="B11" s="94"/>
      <c r="C11" s="190"/>
      <c r="D11" s="151"/>
      <c r="E11" s="151"/>
      <c r="F11" s="151"/>
      <c r="G11" s="151"/>
      <c r="H11" s="151"/>
      <c r="I11" s="151"/>
      <c r="J11" s="151"/>
      <c r="K11" s="151"/>
      <c r="L11" s="151"/>
      <c r="M11" s="160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2" customHeight="1" x14ac:dyDescent="0.2">
      <c r="A12" s="94"/>
      <c r="B12" s="94"/>
      <c r="C12" s="242" t="s">
        <v>300</v>
      </c>
      <c r="D12" s="193" t="s">
        <v>210</v>
      </c>
      <c r="E12" s="184" t="s">
        <v>159</v>
      </c>
      <c r="F12" s="184" t="s">
        <v>153</v>
      </c>
      <c r="G12" s="197" t="s">
        <v>205</v>
      </c>
      <c r="H12" s="184" t="s">
        <v>154</v>
      </c>
      <c r="I12" s="184" t="s">
        <v>160</v>
      </c>
      <c r="J12" s="100">
        <v>6</v>
      </c>
      <c r="K12" s="101">
        <v>4</v>
      </c>
      <c r="L12" s="184">
        <f>(IF(J12&gt;K12,1,0)+IF(J13&gt;K13,1,0))</f>
        <v>2</v>
      </c>
      <c r="M12" s="185">
        <f>(IF(J12&lt;K12,1,0)+IF(J13&lt;K13,1,0))</f>
        <v>0</v>
      </c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2" customHeight="1" x14ac:dyDescent="0.2">
      <c r="A13" s="94"/>
      <c r="B13" s="94"/>
      <c r="C13" s="192"/>
      <c r="D13" s="166"/>
      <c r="E13" s="166"/>
      <c r="F13" s="166"/>
      <c r="G13" s="166"/>
      <c r="H13" s="166"/>
      <c r="I13" s="166"/>
      <c r="J13" s="102">
        <v>6</v>
      </c>
      <c r="K13" s="103">
        <v>3</v>
      </c>
      <c r="L13" s="166"/>
      <c r="M13" s="175"/>
      <c r="N13" s="131" t="s">
        <v>301</v>
      </c>
      <c r="O13" s="94"/>
      <c r="P13" s="94" t="s">
        <v>243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2" customHeight="1" x14ac:dyDescent="0.2">
      <c r="A14" s="94"/>
      <c r="B14" s="94"/>
      <c r="C14" s="190"/>
      <c r="D14" s="151"/>
      <c r="E14" s="151"/>
      <c r="F14" s="151"/>
      <c r="G14" s="151"/>
      <c r="H14" s="151"/>
      <c r="I14" s="151"/>
      <c r="J14" s="151"/>
      <c r="K14" s="151"/>
      <c r="L14" s="151"/>
      <c r="M14" s="160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2" customHeight="1" x14ac:dyDescent="0.2">
      <c r="A15" s="94"/>
      <c r="B15" s="94"/>
      <c r="C15" s="242" t="s">
        <v>302</v>
      </c>
      <c r="D15" s="193" t="s">
        <v>223</v>
      </c>
      <c r="E15" s="184" t="s">
        <v>61</v>
      </c>
      <c r="F15" s="184" t="s">
        <v>134</v>
      </c>
      <c r="G15" s="197" t="s">
        <v>205</v>
      </c>
      <c r="H15" s="184" t="s">
        <v>62</v>
      </c>
      <c r="I15" s="184" t="s">
        <v>141</v>
      </c>
      <c r="J15" s="100">
        <v>3</v>
      </c>
      <c r="K15" s="101">
        <v>6</v>
      </c>
      <c r="L15" s="184">
        <f>(IF(J15&gt;K15,1,0)+IF(J16&gt;K16,1,0))</f>
        <v>0</v>
      </c>
      <c r="M15" s="185">
        <f>(IF(J15&lt;K15,1,0)+IF(J16&lt;K16,1,0))</f>
        <v>2</v>
      </c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2" customHeight="1" x14ac:dyDescent="0.2">
      <c r="A16" s="94"/>
      <c r="B16" s="94"/>
      <c r="C16" s="192"/>
      <c r="D16" s="166"/>
      <c r="E16" s="166"/>
      <c r="F16" s="166"/>
      <c r="G16" s="166"/>
      <c r="H16" s="166"/>
      <c r="I16" s="166"/>
      <c r="J16" s="102">
        <v>2</v>
      </c>
      <c r="K16" s="103">
        <v>6</v>
      </c>
      <c r="L16" s="166"/>
      <c r="M16" s="175"/>
      <c r="N16" s="135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2" customHeight="1" x14ac:dyDescent="0.2">
      <c r="A17" s="94"/>
      <c r="B17" s="94"/>
      <c r="C17" s="190"/>
      <c r="D17" s="151"/>
      <c r="E17" s="151"/>
      <c r="F17" s="151"/>
      <c r="G17" s="151"/>
      <c r="H17" s="151"/>
      <c r="I17" s="151"/>
      <c r="J17" s="151"/>
      <c r="K17" s="151"/>
      <c r="L17" s="151"/>
      <c r="M17" s="160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2" customHeight="1" x14ac:dyDescent="0.2">
      <c r="A18" s="94"/>
      <c r="B18" s="94"/>
      <c r="C18" s="242" t="s">
        <v>303</v>
      </c>
      <c r="D18" s="193" t="s">
        <v>214</v>
      </c>
      <c r="E18" s="184" t="s">
        <v>40</v>
      </c>
      <c r="F18" s="184" t="s">
        <v>47</v>
      </c>
      <c r="G18" s="197" t="s">
        <v>205</v>
      </c>
      <c r="H18" s="184" t="s">
        <v>48</v>
      </c>
      <c r="I18" s="184" t="s">
        <v>41</v>
      </c>
      <c r="J18" s="100">
        <v>6</v>
      </c>
      <c r="K18" s="101">
        <v>3</v>
      </c>
      <c r="L18" s="184">
        <f>(IF(J18&gt;K18,1,0)+IF(J19&gt;K19,1,0))</f>
        <v>1</v>
      </c>
      <c r="M18" s="185">
        <f>(IF(J18&lt;K18,1,0)+IF(J19&lt;K19,1,0))</f>
        <v>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2" customHeight="1" x14ac:dyDescent="0.2">
      <c r="A19" s="94"/>
      <c r="B19" s="94"/>
      <c r="C19" s="192"/>
      <c r="D19" s="166"/>
      <c r="E19" s="166"/>
      <c r="F19" s="166"/>
      <c r="G19" s="166"/>
      <c r="H19" s="166"/>
      <c r="I19" s="166"/>
      <c r="J19" s="102">
        <v>3</v>
      </c>
      <c r="K19" s="103">
        <v>6</v>
      </c>
      <c r="L19" s="166"/>
      <c r="M19" s="175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2" customHeight="1" x14ac:dyDescent="0.2">
      <c r="A20" s="94"/>
      <c r="B20" s="94"/>
      <c r="C20" s="190"/>
      <c r="D20" s="151"/>
      <c r="E20" s="151"/>
      <c r="F20" s="151"/>
      <c r="G20" s="151"/>
      <c r="H20" s="151"/>
      <c r="I20" s="151"/>
      <c r="J20" s="151"/>
      <c r="K20" s="151"/>
      <c r="L20" s="151"/>
      <c r="M20" s="160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2" customHeight="1" x14ac:dyDescent="0.2">
      <c r="A21" s="94"/>
      <c r="B21" s="94"/>
      <c r="C21" s="242" t="s">
        <v>304</v>
      </c>
      <c r="D21" s="193" t="s">
        <v>215</v>
      </c>
      <c r="E21" s="184" t="s">
        <v>140</v>
      </c>
      <c r="F21" s="184" t="s">
        <v>128</v>
      </c>
      <c r="G21" s="197" t="s">
        <v>205</v>
      </c>
      <c r="H21" s="184" t="s">
        <v>129</v>
      </c>
      <c r="I21" s="184" t="s">
        <v>135</v>
      </c>
      <c r="J21" s="100">
        <v>6</v>
      </c>
      <c r="K21" s="101">
        <v>3</v>
      </c>
      <c r="L21" s="184">
        <f>(IF(J21&gt;K21,1,0)+IF(J22&gt;K22,1,0))</f>
        <v>2</v>
      </c>
      <c r="M21" s="185">
        <f>(IF(J21&lt;K21,1,0)+IF(J22&lt;K22,1,0))</f>
        <v>0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2" customHeight="1" x14ac:dyDescent="0.2">
      <c r="A22" s="94"/>
      <c r="B22" s="94"/>
      <c r="C22" s="192"/>
      <c r="D22" s="166"/>
      <c r="E22" s="166"/>
      <c r="F22" s="166"/>
      <c r="G22" s="166"/>
      <c r="H22" s="166"/>
      <c r="I22" s="166"/>
      <c r="J22" s="102">
        <v>6</v>
      </c>
      <c r="K22" s="103">
        <v>4</v>
      </c>
      <c r="L22" s="166"/>
      <c r="M22" s="175"/>
      <c r="N22" s="130"/>
      <c r="O22" s="94"/>
      <c r="P22" s="94"/>
      <c r="Q22" s="94" t="s">
        <v>243</v>
      </c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2" customHeight="1" x14ac:dyDescent="0.2">
      <c r="A23" s="94"/>
      <c r="B23" s="94"/>
      <c r="C23" s="190"/>
      <c r="D23" s="151"/>
      <c r="E23" s="151"/>
      <c r="F23" s="151"/>
      <c r="G23" s="151"/>
      <c r="H23" s="151"/>
      <c r="I23" s="151"/>
      <c r="J23" s="151"/>
      <c r="K23" s="151"/>
      <c r="L23" s="151"/>
      <c r="M23" s="160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2" customHeight="1" x14ac:dyDescent="0.2">
      <c r="A24" s="94"/>
      <c r="B24" s="94"/>
      <c r="C24" s="242" t="s">
        <v>305</v>
      </c>
      <c r="D24" s="193" t="s">
        <v>212</v>
      </c>
      <c r="E24" s="184" t="s">
        <v>82</v>
      </c>
      <c r="F24" s="184" t="s">
        <v>75</v>
      </c>
      <c r="G24" s="197"/>
      <c r="H24" s="184" t="s">
        <v>76</v>
      </c>
      <c r="I24" s="184" t="s">
        <v>69</v>
      </c>
      <c r="J24" s="136">
        <v>0</v>
      </c>
      <c r="K24" s="137">
        <v>0</v>
      </c>
      <c r="L24" s="184">
        <f>(IF(J24&gt;K24,1,0)+IF(J25&gt;K25,1,0))</f>
        <v>0</v>
      </c>
      <c r="M24" s="185">
        <f>(IF(J24&lt;K24,1,0)+IF(J25&lt;K25,1,0))</f>
        <v>0</v>
      </c>
      <c r="N24" s="94"/>
      <c r="O24" s="94"/>
      <c r="P24" s="94" t="s">
        <v>243</v>
      </c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2" customHeight="1" x14ac:dyDescent="0.2">
      <c r="A25" s="94"/>
      <c r="B25" s="94"/>
      <c r="C25" s="192"/>
      <c r="D25" s="166"/>
      <c r="E25" s="166"/>
      <c r="F25" s="166"/>
      <c r="G25" s="166"/>
      <c r="H25" s="166"/>
      <c r="I25" s="166"/>
      <c r="J25" s="138">
        <v>0</v>
      </c>
      <c r="K25" s="139">
        <v>0</v>
      </c>
      <c r="L25" s="166"/>
      <c r="M25" s="175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2" customHeight="1" x14ac:dyDescent="0.2">
      <c r="A26" s="94"/>
      <c r="B26" s="94"/>
      <c r="C26" s="190"/>
      <c r="D26" s="151"/>
      <c r="E26" s="151"/>
      <c r="F26" s="151"/>
      <c r="G26" s="151"/>
      <c r="H26" s="151"/>
      <c r="I26" s="151"/>
      <c r="J26" s="151"/>
      <c r="K26" s="151"/>
      <c r="L26" s="151"/>
      <c r="M26" s="160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2" customHeight="1" x14ac:dyDescent="0.2">
      <c r="A27" s="94"/>
      <c r="B27" s="94"/>
      <c r="C27" s="242" t="s">
        <v>306</v>
      </c>
      <c r="D27" s="193" t="s">
        <v>217</v>
      </c>
      <c r="E27" s="183" t="s">
        <v>89</v>
      </c>
      <c r="F27" s="183" t="s">
        <v>291</v>
      </c>
      <c r="G27" s="197" t="s">
        <v>205</v>
      </c>
      <c r="H27" s="183" t="s">
        <v>104</v>
      </c>
      <c r="I27" s="183" t="s">
        <v>90</v>
      </c>
      <c r="J27" s="110">
        <v>6</v>
      </c>
      <c r="K27" s="101">
        <v>3</v>
      </c>
      <c r="L27" s="184">
        <f>(IF(J27&gt;K27,1,0)+IF(J28&gt;K28,1,0))</f>
        <v>1</v>
      </c>
      <c r="M27" s="185">
        <f>(IF(J27&lt;K27,1,0)+IF(J28&lt;K28,1,0))</f>
        <v>1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2" customHeight="1" x14ac:dyDescent="0.2">
      <c r="A28" s="94"/>
      <c r="B28" s="94"/>
      <c r="C28" s="192"/>
      <c r="D28" s="166"/>
      <c r="E28" s="166"/>
      <c r="F28" s="166"/>
      <c r="G28" s="166"/>
      <c r="H28" s="166"/>
      <c r="I28" s="166"/>
      <c r="J28" s="111">
        <v>0</v>
      </c>
      <c r="K28" s="103">
        <v>6</v>
      </c>
      <c r="L28" s="166"/>
      <c r="M28" s="175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2.75" customHeight="1" x14ac:dyDescent="0.2">
      <c r="A29" s="94"/>
      <c r="B29" s="94"/>
      <c r="C29" s="190"/>
      <c r="D29" s="151"/>
      <c r="E29" s="151"/>
      <c r="F29" s="151"/>
      <c r="G29" s="151"/>
      <c r="H29" s="151"/>
      <c r="I29" s="151"/>
      <c r="J29" s="151"/>
      <c r="K29" s="151"/>
      <c r="L29" s="151"/>
      <c r="M29" s="160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2.75" customHeight="1" x14ac:dyDescent="0.2">
      <c r="A30" s="94"/>
      <c r="B30" s="94"/>
      <c r="C30" s="242" t="s">
        <v>307</v>
      </c>
      <c r="D30" s="233" t="s">
        <v>234</v>
      </c>
      <c r="E30" s="234" t="s">
        <v>222</v>
      </c>
      <c r="F30" s="234" t="s">
        <v>221</v>
      </c>
      <c r="G30" s="233" t="s">
        <v>205</v>
      </c>
      <c r="H30" s="234" t="s">
        <v>27</v>
      </c>
      <c r="I30" s="235" t="s">
        <v>34</v>
      </c>
      <c r="J30" s="140">
        <v>6</v>
      </c>
      <c r="K30" s="141">
        <v>2</v>
      </c>
      <c r="L30" s="184">
        <f>(IF(J30&gt;K30,1,0)+IF(J31&gt;K31,1,0))</f>
        <v>1</v>
      </c>
      <c r="M30" s="185">
        <f>(IF(J30&lt;K30,1,0)+IF(J31&lt;K31,1,0))</f>
        <v>1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2.75" customHeight="1" x14ac:dyDescent="0.2">
      <c r="A31" s="94"/>
      <c r="B31" s="94"/>
      <c r="C31" s="192"/>
      <c r="D31" s="166"/>
      <c r="E31" s="166"/>
      <c r="F31" s="166"/>
      <c r="G31" s="166"/>
      <c r="H31" s="166"/>
      <c r="I31" s="236"/>
      <c r="J31" s="142">
        <v>2</v>
      </c>
      <c r="K31" s="143">
        <v>6</v>
      </c>
      <c r="L31" s="166"/>
      <c r="M31" s="175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2.75" customHeight="1" x14ac:dyDescent="0.2">
      <c r="A32" s="94"/>
      <c r="B32" s="94"/>
      <c r="C32" s="144"/>
      <c r="D32" s="145"/>
      <c r="E32" s="145"/>
      <c r="F32" s="145"/>
      <c r="G32" s="145"/>
      <c r="H32" s="145"/>
      <c r="I32" s="145"/>
      <c r="J32" s="146"/>
      <c r="K32" s="147"/>
      <c r="L32" s="145"/>
      <c r="M32" s="148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5" customHeight="1" x14ac:dyDescent="0.2">
      <c r="A33" s="94"/>
      <c r="B33" s="94"/>
      <c r="C33" s="237" t="s">
        <v>308</v>
      </c>
      <c r="D33" s="151"/>
      <c r="E33" s="151"/>
      <c r="F33" s="151"/>
      <c r="G33" s="151"/>
      <c r="H33" s="151"/>
      <c r="I33" s="152"/>
      <c r="J33" s="149">
        <f t="shared" ref="J33:M33" si="0">SUM(J9+J10+J12+J13+J15+J16+J18+J19+J21+J22+J24+J25+J27+J28+J30+J31)</f>
        <v>64</v>
      </c>
      <c r="K33" s="149">
        <f t="shared" si="0"/>
        <v>56</v>
      </c>
      <c r="L33" s="149">
        <f t="shared" si="0"/>
        <v>9</v>
      </c>
      <c r="M33" s="149">
        <f t="shared" si="0"/>
        <v>5</v>
      </c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3.5" customHeight="1" x14ac:dyDescent="0.2">
      <c r="A34" s="94"/>
      <c r="B34" s="94"/>
      <c r="C34" s="215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2.75" customHeight="1" x14ac:dyDescent="0.2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2.75" customHeight="1" x14ac:dyDescent="0.2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2.75" customHeight="1" x14ac:dyDescent="0.2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2.75" customHeight="1" x14ac:dyDescent="0.2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2.75" customHeight="1" x14ac:dyDescent="0.2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2.75" customHeight="1" x14ac:dyDescent="0.2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2.75" customHeight="1" x14ac:dyDescent="0.2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2.75" customHeight="1" x14ac:dyDescent="0.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2.75" customHeight="1" x14ac:dyDescent="0.2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2.75" customHeight="1" x14ac:dyDescent="0.2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2.75" customHeight="1" x14ac:dyDescent="0.2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2.75" customHeight="1" x14ac:dyDescent="0.2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2.75" customHeight="1" x14ac:dyDescent="0.2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2.75" customHeight="1" x14ac:dyDescent="0.2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2.75" customHeight="1" x14ac:dyDescent="0.2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2.75" customHeight="1" x14ac:dyDescent="0.2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2.75" customHeight="1" x14ac:dyDescent="0.2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2.75" customHeight="1" x14ac:dyDescent="0.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2.75" customHeight="1" x14ac:dyDescent="0.2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2.75" customHeight="1" x14ac:dyDescent="0.2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2.75" customHeight="1" x14ac:dyDescent="0.2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2.75" customHeight="1" x14ac:dyDescent="0.2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2.75" customHeight="1" x14ac:dyDescent="0.2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2.75" customHeight="1" x14ac:dyDescent="0.2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2.75" customHeight="1" x14ac:dyDescent="0.2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2.75" customHeight="1" x14ac:dyDescent="0.2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2.75" customHeight="1" x14ac:dyDescent="0.2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2.75" customHeight="1" x14ac:dyDescent="0.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2.75" customHeight="1" x14ac:dyDescent="0.2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2.75" customHeight="1" x14ac:dyDescent="0.2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2.75" customHeight="1" x14ac:dyDescent="0.2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2.75" customHeight="1" x14ac:dyDescent="0.2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2.75" customHeight="1" x14ac:dyDescent="0.2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2.75" customHeight="1" x14ac:dyDescent="0.2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2.75" customHeight="1" x14ac:dyDescent="0.2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2.75" customHeight="1" x14ac:dyDescent="0.2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2.75" customHeight="1" x14ac:dyDescent="0.2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2.75" customHeight="1" x14ac:dyDescent="0.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2.75" customHeight="1" x14ac:dyDescent="0.2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2.75" customHeight="1" x14ac:dyDescent="0.2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2.75" customHeight="1" x14ac:dyDescent="0.2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2.75" customHeight="1" x14ac:dyDescent="0.2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2.75" customHeight="1" x14ac:dyDescent="0.2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2.75" customHeight="1" x14ac:dyDescent="0.2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2.75" customHeight="1" x14ac:dyDescent="0.2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2.75" customHeight="1" x14ac:dyDescent="0.2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2.75" customHeight="1" x14ac:dyDescent="0.2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2.75" customHeight="1" x14ac:dyDescent="0.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2.75" customHeight="1" x14ac:dyDescent="0.2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2.75" customHeight="1" x14ac:dyDescent="0.2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2.75" customHeight="1" x14ac:dyDescent="0.2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2.75" customHeight="1" x14ac:dyDescent="0.2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2.75" customHeight="1" x14ac:dyDescent="0.2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2.75" customHeight="1" x14ac:dyDescent="0.2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2.75" customHeight="1" x14ac:dyDescent="0.2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2.75" customHeight="1" x14ac:dyDescent="0.2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2.75" customHeight="1" x14ac:dyDescent="0.2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2.75" customHeight="1" x14ac:dyDescent="0.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2.75" customHeight="1" x14ac:dyDescent="0.2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2.75" customHeight="1" x14ac:dyDescent="0.2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2.75" customHeight="1" x14ac:dyDescent="0.2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2.75" customHeight="1" x14ac:dyDescent="0.2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2.75" customHeight="1" x14ac:dyDescent="0.2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2.75" customHeight="1" x14ac:dyDescent="0.2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2.75" customHeight="1" x14ac:dyDescent="0.2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2.75" customHeight="1" x14ac:dyDescent="0.2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2.75" customHeight="1" x14ac:dyDescent="0.2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2.75" customHeight="1" x14ac:dyDescent="0.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2.75" customHeight="1" x14ac:dyDescent="0.2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2.75" customHeight="1" x14ac:dyDescent="0.2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2.75" customHeight="1" x14ac:dyDescent="0.2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2.75" customHeight="1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2.75" customHeight="1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2.75" customHeight="1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2.75" customHeight="1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2.75" customHeight="1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2.75" customHeight="1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2.75" customHeight="1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2.75" customHeight="1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2.75" customHeight="1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2.75" customHeight="1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2.75" customHeight="1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2.75" customHeight="1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2.75" customHeight="1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2.75" customHeight="1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2.75" customHeight="1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2.75" customHeight="1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2.75" customHeight="1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2.75" customHeight="1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2.75" customHeight="1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2.75" customHeight="1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2.75" customHeight="1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2.75" customHeight="1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2.75" customHeight="1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2.75" customHeight="1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2.75" customHeight="1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2.75" customHeight="1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2.75" customHeight="1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2.75" customHeight="1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2.75" customHeight="1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2.75" customHeight="1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2.75" customHeight="1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2.75" customHeight="1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2.75" customHeight="1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2.75" customHeight="1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2.75" customHeight="1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2.75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2.75" customHeight="1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2.75" customHeight="1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2.75" customHeight="1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2.75" customHeight="1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2.75" customHeight="1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2.75" customHeight="1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2.75" customHeight="1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2.75" customHeight="1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2.75" customHeight="1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2.75" customHeight="1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2.75" customHeight="1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2.75" customHeight="1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2.75" customHeight="1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2.75" customHeight="1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2.75" customHeight="1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2.75" customHeight="1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2.75" customHeight="1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2.75" customHeight="1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2.75" customHeight="1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2.75" customHeight="1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2.75" customHeight="1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2.75" customHeight="1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2.75" customHeight="1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2.75" customHeight="1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2.75" customHeight="1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2.75" customHeight="1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2.75" customHeight="1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2.75" customHeight="1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2.75" customHeight="1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2.75" customHeight="1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2.75" customHeight="1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2.75" customHeight="1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2.75" customHeight="1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2.75" customHeight="1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2.75" customHeight="1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2.75" customHeight="1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2.75" customHeight="1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2.75" customHeight="1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2.75" customHeight="1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2.75" customHeight="1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2.75" customHeight="1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2.75" customHeight="1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2.75" customHeight="1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2.75" customHeight="1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2.75" customHeight="1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2.75" customHeight="1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2.75" customHeight="1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2.75" customHeight="1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2.75" customHeight="1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2.75" customHeight="1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2.75" customHeight="1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2.75" customHeight="1" x14ac:dyDescent="0.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2.75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2.75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2.75" customHeight="1" x14ac:dyDescent="0.2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2.75" customHeight="1" x14ac:dyDescent="0.2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2.75" customHeight="1" x14ac:dyDescent="0.2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2.75" customHeight="1" x14ac:dyDescent="0.2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2.75" customHeight="1" x14ac:dyDescent="0.2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2.75" customHeight="1" x14ac:dyDescent="0.2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2.75" customHeight="1" x14ac:dyDescent="0.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2.75" customHeight="1" x14ac:dyDescent="0.2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2.75" customHeight="1" x14ac:dyDescent="0.2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2.75" customHeight="1" x14ac:dyDescent="0.2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2.75" customHeight="1" x14ac:dyDescent="0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2.75" customHeight="1" x14ac:dyDescent="0.2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2.75" customHeight="1" x14ac:dyDescent="0.2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2.75" customHeight="1" x14ac:dyDescent="0.2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2.75" customHeight="1" x14ac:dyDescent="0.2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2.75" customHeight="1" x14ac:dyDescent="0.2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2.75" customHeight="1" x14ac:dyDescent="0.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2.75" customHeight="1" x14ac:dyDescent="0.2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2.75" customHeight="1" x14ac:dyDescent="0.2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2.75" customHeight="1" x14ac:dyDescent="0.2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2.75" customHeight="1" x14ac:dyDescent="0.2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2.75" customHeight="1" x14ac:dyDescent="0.2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2.75" customHeight="1" x14ac:dyDescent="0.2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2.75" customHeight="1" x14ac:dyDescent="0.2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2.75" customHeight="1" x14ac:dyDescent="0.2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2.75" customHeight="1" x14ac:dyDescent="0.2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2.75" customHeight="1" x14ac:dyDescent="0.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2.75" customHeight="1" x14ac:dyDescent="0.2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2.75" customHeight="1" x14ac:dyDescent="0.2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2.75" customHeight="1" x14ac:dyDescent="0.2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2.75" customHeight="1" x14ac:dyDescent="0.2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2.75" customHeight="1" x14ac:dyDescent="0.2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2.75" customHeight="1" x14ac:dyDescent="0.2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2.75" customHeight="1" x14ac:dyDescent="0.2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2.75" customHeight="1" x14ac:dyDescent="0.2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2.75" customHeight="1" x14ac:dyDescent="0.2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2.75" customHeight="1" x14ac:dyDescent="0.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2.75" customHeight="1" x14ac:dyDescent="0.2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2.75" customHeight="1" x14ac:dyDescent="0.2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2.75" customHeight="1" x14ac:dyDescent="0.2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2.75" customHeight="1" x14ac:dyDescent="0.2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2.75" customHeight="1" x14ac:dyDescent="0.2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2.75" customHeight="1" x14ac:dyDescent="0.2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2.75" customHeight="1" x14ac:dyDescent="0.2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2.75" customHeight="1" x14ac:dyDescent="0.2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2.75" customHeight="1" x14ac:dyDescent="0.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2.75" customHeight="1" x14ac:dyDescent="0.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2.75" customHeight="1" x14ac:dyDescent="0.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2.75" customHeight="1" x14ac:dyDescent="0.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2.75" customHeight="1" x14ac:dyDescent="0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2.75" customHeight="1" x14ac:dyDescent="0.2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2.75" customHeight="1" x14ac:dyDescent="0.2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2.75" customHeight="1" x14ac:dyDescent="0.2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2.75" customHeight="1" x14ac:dyDescent="0.2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2.75" customHeight="1" x14ac:dyDescent="0.2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2.75" customHeight="1" x14ac:dyDescent="0.2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2.75" customHeight="1" x14ac:dyDescent="0.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2.75" customHeight="1" x14ac:dyDescent="0.2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2.75" customHeight="1" x14ac:dyDescent="0.2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2.75" customHeight="1" x14ac:dyDescent="0.2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2.75" customHeight="1" x14ac:dyDescent="0.2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2.75" customHeight="1" x14ac:dyDescent="0.2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2.75" customHeight="1" x14ac:dyDescent="0.2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2.75" customHeight="1" x14ac:dyDescent="0.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2.75" customHeight="1" x14ac:dyDescent="0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2.75" customHeight="1" x14ac:dyDescent="0.2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2.75" customHeight="1" x14ac:dyDescent="0.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2.75" customHeight="1" x14ac:dyDescent="0.2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2.75" customHeight="1" x14ac:dyDescent="0.2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2.75" customHeight="1" x14ac:dyDescent="0.2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2.75" customHeight="1" x14ac:dyDescent="0.2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2.75" customHeight="1" x14ac:dyDescent="0.2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2.75" customHeight="1" x14ac:dyDescent="0.2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2.75" customHeight="1" x14ac:dyDescent="0.2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2.75" customHeight="1" x14ac:dyDescent="0.2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2.75" customHeight="1" x14ac:dyDescent="0.2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2.75" customHeight="1" x14ac:dyDescent="0.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2.75" customHeight="1" x14ac:dyDescent="0.2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2.75" customHeight="1" x14ac:dyDescent="0.2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2.75" customHeight="1" x14ac:dyDescent="0.2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2.75" customHeight="1" x14ac:dyDescent="0.2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2.75" customHeight="1" x14ac:dyDescent="0.2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2.75" customHeight="1" x14ac:dyDescent="0.2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2.75" customHeight="1" x14ac:dyDescent="0.2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2.75" customHeight="1" x14ac:dyDescent="0.2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2.75" customHeight="1" x14ac:dyDescent="0.2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2.75" customHeight="1" x14ac:dyDescent="0.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2.75" customHeight="1" x14ac:dyDescent="0.2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2.75" customHeight="1" x14ac:dyDescent="0.2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2.75" customHeight="1" x14ac:dyDescent="0.2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2.75" customHeight="1" x14ac:dyDescent="0.2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2.75" customHeight="1" x14ac:dyDescent="0.2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2.75" customHeight="1" x14ac:dyDescent="0.2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2.75" customHeight="1" x14ac:dyDescent="0.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2.75" customHeight="1" x14ac:dyDescent="0.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2.75" customHeight="1" x14ac:dyDescent="0.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2.75" customHeight="1" x14ac:dyDescent="0.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2.75" customHeight="1" x14ac:dyDescent="0.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2.75" customHeight="1" x14ac:dyDescent="0.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2.75" customHeight="1" x14ac:dyDescent="0.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2.75" customHeight="1" x14ac:dyDescent="0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2.75" customHeight="1" x14ac:dyDescent="0.2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2.75" customHeight="1" x14ac:dyDescent="0.2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2.75" customHeight="1" x14ac:dyDescent="0.2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2.75" customHeight="1" x14ac:dyDescent="0.2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2.75" customHeight="1" x14ac:dyDescent="0.2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2.75" customHeight="1" x14ac:dyDescent="0.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2.75" customHeight="1" x14ac:dyDescent="0.2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2.75" customHeight="1" x14ac:dyDescent="0.2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2.75" customHeight="1" x14ac:dyDescent="0.2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2.75" customHeight="1" x14ac:dyDescent="0.2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2.75" customHeight="1" x14ac:dyDescent="0.2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2.75" customHeight="1" x14ac:dyDescent="0.2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2.75" customHeight="1" x14ac:dyDescent="0.2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2.75" customHeight="1" x14ac:dyDescent="0.2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2.75" customHeight="1" x14ac:dyDescent="0.2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2.75" customHeight="1" x14ac:dyDescent="0.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2.75" customHeight="1" x14ac:dyDescent="0.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2.75" customHeight="1" x14ac:dyDescent="0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2.75" customHeight="1" x14ac:dyDescent="0.2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2.75" customHeight="1" x14ac:dyDescent="0.2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2.75" customHeight="1" x14ac:dyDescent="0.2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2.75" customHeight="1" x14ac:dyDescent="0.2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2.75" customHeight="1" x14ac:dyDescent="0.2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2.75" customHeight="1" x14ac:dyDescent="0.2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2.75" customHeight="1" x14ac:dyDescent="0.2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2.75" customHeight="1" x14ac:dyDescent="0.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2.75" customHeight="1" x14ac:dyDescent="0.2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2.75" customHeight="1" x14ac:dyDescent="0.2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2.75" customHeight="1" x14ac:dyDescent="0.2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2.75" customHeight="1" x14ac:dyDescent="0.2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2.75" customHeight="1" x14ac:dyDescent="0.2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2.75" customHeight="1" x14ac:dyDescent="0.2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2.75" customHeight="1" x14ac:dyDescent="0.2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2.75" customHeight="1" x14ac:dyDescent="0.2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2.75" customHeight="1" x14ac:dyDescent="0.2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2.75" customHeight="1" x14ac:dyDescent="0.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2.75" customHeight="1" x14ac:dyDescent="0.2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2.75" customHeight="1" x14ac:dyDescent="0.2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2.75" customHeight="1" x14ac:dyDescent="0.2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2.75" customHeight="1" x14ac:dyDescent="0.2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2.75" customHeight="1" x14ac:dyDescent="0.2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2.75" customHeight="1" x14ac:dyDescent="0.2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2.75" customHeight="1" x14ac:dyDescent="0.2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2.75" customHeight="1" x14ac:dyDescent="0.2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2.75" customHeight="1" x14ac:dyDescent="0.2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2.75" customHeight="1" x14ac:dyDescent="0.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2.75" customHeight="1" x14ac:dyDescent="0.2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2.75" customHeight="1" x14ac:dyDescent="0.2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2.75" customHeight="1" x14ac:dyDescent="0.2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2.75" customHeight="1" x14ac:dyDescent="0.2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2.75" customHeight="1" x14ac:dyDescent="0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2.75" customHeight="1" x14ac:dyDescent="0.2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2.75" customHeight="1" x14ac:dyDescent="0.2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2.75" customHeight="1" x14ac:dyDescent="0.2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2.75" customHeight="1" x14ac:dyDescent="0.2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2.75" customHeight="1" x14ac:dyDescent="0.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2.75" customHeight="1" x14ac:dyDescent="0.2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2.75" customHeight="1" x14ac:dyDescent="0.2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2.75" customHeight="1" x14ac:dyDescent="0.2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2.75" customHeight="1" x14ac:dyDescent="0.2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2.75" customHeight="1" x14ac:dyDescent="0.2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2.75" customHeight="1" x14ac:dyDescent="0.2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2.75" customHeight="1" x14ac:dyDescent="0.2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2.75" customHeight="1" x14ac:dyDescent="0.2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2.75" customHeight="1" x14ac:dyDescent="0.2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2.75" customHeight="1" x14ac:dyDescent="0.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2.75" customHeight="1" x14ac:dyDescent="0.2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2.75" customHeight="1" x14ac:dyDescent="0.2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2.75" customHeight="1" x14ac:dyDescent="0.2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2.75" customHeight="1" x14ac:dyDescent="0.2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2.75" customHeight="1" x14ac:dyDescent="0.2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2.75" customHeight="1" x14ac:dyDescent="0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2.75" customHeight="1" x14ac:dyDescent="0.2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2.75" customHeight="1" x14ac:dyDescent="0.2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2.75" customHeight="1" x14ac:dyDescent="0.2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2.75" customHeight="1" x14ac:dyDescent="0.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2.75" customHeight="1" x14ac:dyDescent="0.2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2.75" customHeight="1" x14ac:dyDescent="0.2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2.75" customHeight="1" x14ac:dyDescent="0.2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2.75" customHeight="1" x14ac:dyDescent="0.2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2.75" customHeight="1" x14ac:dyDescent="0.2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2.75" customHeight="1" x14ac:dyDescent="0.2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2.75" customHeight="1" x14ac:dyDescent="0.2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2.75" customHeight="1" x14ac:dyDescent="0.2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2.75" customHeight="1" x14ac:dyDescent="0.2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2.75" customHeight="1" x14ac:dyDescent="0.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2.75" customHeight="1" x14ac:dyDescent="0.2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2.75" customHeight="1" x14ac:dyDescent="0.2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2.75" customHeight="1" x14ac:dyDescent="0.2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2.75" customHeight="1" x14ac:dyDescent="0.2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2.75" customHeight="1" x14ac:dyDescent="0.2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2.75" customHeight="1" x14ac:dyDescent="0.2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2.75" customHeight="1" x14ac:dyDescent="0.2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2.75" customHeight="1" x14ac:dyDescent="0.2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2.75" customHeight="1" x14ac:dyDescent="0.2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2.75" customHeight="1" x14ac:dyDescent="0.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2.75" customHeight="1" x14ac:dyDescent="0.2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2.75" customHeight="1" x14ac:dyDescent="0.2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2.75" customHeight="1" x14ac:dyDescent="0.2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2.75" customHeight="1" x14ac:dyDescent="0.2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2.75" customHeight="1" x14ac:dyDescent="0.2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2.75" customHeight="1" x14ac:dyDescent="0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2.75" customHeight="1" x14ac:dyDescent="0.2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2.75" customHeight="1" x14ac:dyDescent="0.2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2.75" customHeight="1" x14ac:dyDescent="0.2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2.75" customHeight="1" x14ac:dyDescent="0.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2.75" customHeight="1" x14ac:dyDescent="0.2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2.75" customHeight="1" x14ac:dyDescent="0.2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2.75" customHeight="1" x14ac:dyDescent="0.2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2.75" customHeight="1" x14ac:dyDescent="0.2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2.75" customHeight="1" x14ac:dyDescent="0.2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2.75" customHeight="1" x14ac:dyDescent="0.2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2.75" customHeight="1" x14ac:dyDescent="0.2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2.75" customHeight="1" x14ac:dyDescent="0.2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2.75" customHeight="1" x14ac:dyDescent="0.2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2.75" customHeight="1" x14ac:dyDescent="0.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2.75" customHeight="1" x14ac:dyDescent="0.2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2.75" customHeight="1" x14ac:dyDescent="0.2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2.75" customHeight="1" x14ac:dyDescent="0.2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2.75" customHeight="1" x14ac:dyDescent="0.2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2.75" customHeight="1" x14ac:dyDescent="0.2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2.75" customHeight="1" x14ac:dyDescent="0.2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2.75" customHeight="1" x14ac:dyDescent="0.2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2.75" customHeight="1" x14ac:dyDescent="0.2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2.75" customHeight="1" x14ac:dyDescent="0.2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2.75" customHeight="1" x14ac:dyDescent="0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2.75" customHeight="1" x14ac:dyDescent="0.2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2.75" customHeight="1" x14ac:dyDescent="0.2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2.75" customHeight="1" x14ac:dyDescent="0.2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2.75" customHeight="1" x14ac:dyDescent="0.2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2.75" customHeight="1" x14ac:dyDescent="0.2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2.75" customHeight="1" x14ac:dyDescent="0.2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2.75" customHeight="1" x14ac:dyDescent="0.2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2.75" customHeight="1" x14ac:dyDescent="0.2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2.75" customHeight="1" x14ac:dyDescent="0.2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2.75" customHeight="1" x14ac:dyDescent="0.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2.75" customHeight="1" x14ac:dyDescent="0.2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2.75" customHeight="1" x14ac:dyDescent="0.2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2.75" customHeight="1" x14ac:dyDescent="0.2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2.75" customHeight="1" x14ac:dyDescent="0.2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2.75" customHeight="1" x14ac:dyDescent="0.2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2.75" customHeight="1" x14ac:dyDescent="0.2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2.75" customHeight="1" x14ac:dyDescent="0.2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2.75" customHeight="1" x14ac:dyDescent="0.2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2.75" customHeight="1" x14ac:dyDescent="0.2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2.75" customHeight="1" x14ac:dyDescent="0.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2.75" customHeight="1" x14ac:dyDescent="0.2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2.75" customHeight="1" x14ac:dyDescent="0.2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2.75" customHeight="1" x14ac:dyDescent="0.2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2.75" customHeight="1" x14ac:dyDescent="0.2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2.75" customHeight="1" x14ac:dyDescent="0.2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2.75" customHeight="1" x14ac:dyDescent="0.2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2.75" customHeight="1" x14ac:dyDescent="0.2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2.75" customHeight="1" x14ac:dyDescent="0.2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2.75" customHeight="1" x14ac:dyDescent="0.2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2.75" customHeight="1" x14ac:dyDescent="0.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2.75" customHeight="1" x14ac:dyDescent="0.2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2.75" customHeight="1" x14ac:dyDescent="0.2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2.75" customHeight="1" x14ac:dyDescent="0.2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2.75" customHeight="1" x14ac:dyDescent="0.2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2.75" customHeight="1" x14ac:dyDescent="0.2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2.75" customHeight="1" x14ac:dyDescent="0.2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2.75" customHeight="1" x14ac:dyDescent="0.2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2.75" customHeight="1" x14ac:dyDescent="0.2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2.75" customHeight="1" x14ac:dyDescent="0.2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2.75" customHeight="1" x14ac:dyDescent="0.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2.75" customHeight="1" x14ac:dyDescent="0.2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2.75" customHeight="1" x14ac:dyDescent="0.2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2.75" customHeight="1" x14ac:dyDescent="0.2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2.75" customHeight="1" x14ac:dyDescent="0.2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2.75" customHeight="1" x14ac:dyDescent="0.2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2.75" customHeight="1" x14ac:dyDescent="0.2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2.75" customHeight="1" x14ac:dyDescent="0.2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2.75" customHeight="1" x14ac:dyDescent="0.2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2.75" customHeight="1" x14ac:dyDescent="0.2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2.75" customHeight="1" x14ac:dyDescent="0.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2.75" customHeight="1" x14ac:dyDescent="0.2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2.75" customHeight="1" x14ac:dyDescent="0.2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2.75" customHeight="1" x14ac:dyDescent="0.2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2.75" customHeight="1" x14ac:dyDescent="0.2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2.75" customHeight="1" x14ac:dyDescent="0.2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2.75" customHeight="1" x14ac:dyDescent="0.2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2.75" customHeight="1" x14ac:dyDescent="0.2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2.75" customHeight="1" x14ac:dyDescent="0.2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2.75" customHeight="1" x14ac:dyDescent="0.2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2.75" customHeight="1" x14ac:dyDescent="0.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2.75" customHeight="1" x14ac:dyDescent="0.2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2.75" customHeight="1" x14ac:dyDescent="0.2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2.75" customHeight="1" x14ac:dyDescent="0.2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2.75" customHeight="1" x14ac:dyDescent="0.2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2.75" customHeight="1" x14ac:dyDescent="0.2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2.75" customHeight="1" x14ac:dyDescent="0.2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2.75" customHeight="1" x14ac:dyDescent="0.2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2.75" customHeight="1" x14ac:dyDescent="0.2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2.75" customHeight="1" x14ac:dyDescent="0.2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2.75" customHeight="1" x14ac:dyDescent="0.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2.75" customHeight="1" x14ac:dyDescent="0.2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2.75" customHeight="1" x14ac:dyDescent="0.2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2.75" customHeight="1" x14ac:dyDescent="0.2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2.75" customHeight="1" x14ac:dyDescent="0.2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2.75" customHeight="1" x14ac:dyDescent="0.2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2.75" customHeight="1" x14ac:dyDescent="0.2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2.75" customHeight="1" x14ac:dyDescent="0.2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2.75" customHeight="1" x14ac:dyDescent="0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2.75" customHeight="1" x14ac:dyDescent="0.2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2.75" customHeight="1" x14ac:dyDescent="0.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2.75" customHeight="1" x14ac:dyDescent="0.2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2.75" customHeight="1" x14ac:dyDescent="0.2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2.75" customHeight="1" x14ac:dyDescent="0.2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2.75" customHeight="1" x14ac:dyDescent="0.2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2.75" customHeight="1" x14ac:dyDescent="0.2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2.75" customHeight="1" x14ac:dyDescent="0.2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2.75" customHeight="1" x14ac:dyDescent="0.2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2.75" customHeight="1" x14ac:dyDescent="0.2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2.75" customHeight="1" x14ac:dyDescent="0.2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2.75" customHeight="1" x14ac:dyDescent="0.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2.75" customHeight="1" x14ac:dyDescent="0.2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2.75" customHeight="1" x14ac:dyDescent="0.2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2.75" customHeight="1" x14ac:dyDescent="0.2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2.75" customHeight="1" x14ac:dyDescent="0.2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2.75" customHeight="1" x14ac:dyDescent="0.2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2.75" customHeight="1" x14ac:dyDescent="0.2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2.75" customHeight="1" x14ac:dyDescent="0.2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2.75" customHeight="1" x14ac:dyDescent="0.2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2.75" customHeight="1" x14ac:dyDescent="0.2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2.75" customHeight="1" x14ac:dyDescent="0.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2.75" customHeight="1" x14ac:dyDescent="0.2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2.75" customHeight="1" x14ac:dyDescent="0.2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2.75" customHeight="1" x14ac:dyDescent="0.2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2.75" customHeight="1" x14ac:dyDescent="0.2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2.75" customHeight="1" x14ac:dyDescent="0.2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2.75" customHeight="1" x14ac:dyDescent="0.2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2.75" customHeight="1" x14ac:dyDescent="0.2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2.75" customHeight="1" x14ac:dyDescent="0.2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2.75" customHeight="1" x14ac:dyDescent="0.2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2.75" customHeight="1" x14ac:dyDescent="0.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2.75" customHeight="1" x14ac:dyDescent="0.2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2.75" customHeight="1" x14ac:dyDescent="0.2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2.75" customHeight="1" x14ac:dyDescent="0.2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2.75" customHeight="1" x14ac:dyDescent="0.2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2.75" customHeight="1" x14ac:dyDescent="0.2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2.75" customHeight="1" x14ac:dyDescent="0.2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2.75" customHeight="1" x14ac:dyDescent="0.2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2.75" customHeight="1" x14ac:dyDescent="0.2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2.75" customHeight="1" x14ac:dyDescent="0.2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2.75" customHeight="1" x14ac:dyDescent="0.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2.75" customHeight="1" x14ac:dyDescent="0.2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2.75" customHeight="1" x14ac:dyDescent="0.2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2.75" customHeight="1" x14ac:dyDescent="0.2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2.75" customHeight="1" x14ac:dyDescent="0.2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2.75" customHeight="1" x14ac:dyDescent="0.2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2.75" customHeight="1" x14ac:dyDescent="0.2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2.75" customHeight="1" x14ac:dyDescent="0.2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2.75" customHeight="1" x14ac:dyDescent="0.2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2.75" customHeight="1" x14ac:dyDescent="0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2.75" customHeight="1" x14ac:dyDescent="0.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2.75" customHeight="1" x14ac:dyDescent="0.2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2.75" customHeight="1" x14ac:dyDescent="0.2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2.75" customHeight="1" x14ac:dyDescent="0.2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2.75" customHeight="1" x14ac:dyDescent="0.2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2.75" customHeight="1" x14ac:dyDescent="0.2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2.75" customHeight="1" x14ac:dyDescent="0.2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2.75" customHeight="1" x14ac:dyDescent="0.2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2.75" customHeight="1" x14ac:dyDescent="0.2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2.75" customHeight="1" x14ac:dyDescent="0.2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2.75" customHeight="1" x14ac:dyDescent="0.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2.75" customHeight="1" x14ac:dyDescent="0.2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2.75" customHeight="1" x14ac:dyDescent="0.2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2.75" customHeight="1" x14ac:dyDescent="0.2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2.75" customHeight="1" x14ac:dyDescent="0.2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2.75" customHeight="1" x14ac:dyDescent="0.2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2.75" customHeight="1" x14ac:dyDescent="0.2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2.75" customHeight="1" x14ac:dyDescent="0.2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2.75" customHeight="1" x14ac:dyDescent="0.2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2.75" customHeight="1" x14ac:dyDescent="0.2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2.75" customHeight="1" x14ac:dyDescent="0.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2.75" customHeight="1" x14ac:dyDescent="0.2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2.75" customHeight="1" x14ac:dyDescent="0.2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2.75" customHeight="1" x14ac:dyDescent="0.2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2.75" customHeight="1" x14ac:dyDescent="0.2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2.75" customHeight="1" x14ac:dyDescent="0.2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2.75" customHeight="1" x14ac:dyDescent="0.2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2.75" customHeight="1" x14ac:dyDescent="0.2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2.75" customHeight="1" x14ac:dyDescent="0.2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2.75" customHeight="1" x14ac:dyDescent="0.2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2.75" customHeight="1" x14ac:dyDescent="0.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2.75" customHeight="1" x14ac:dyDescent="0.2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2.75" customHeight="1" x14ac:dyDescent="0.2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2.75" customHeight="1" x14ac:dyDescent="0.2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2.75" customHeight="1" x14ac:dyDescent="0.2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2.75" customHeight="1" x14ac:dyDescent="0.2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2.75" customHeight="1" x14ac:dyDescent="0.2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2.75" customHeight="1" x14ac:dyDescent="0.2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2.75" customHeight="1" x14ac:dyDescent="0.2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2.75" customHeight="1" x14ac:dyDescent="0.2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2.75" customHeight="1" x14ac:dyDescent="0.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2.75" customHeight="1" x14ac:dyDescent="0.2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2.75" customHeight="1" x14ac:dyDescent="0.2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2.75" customHeight="1" x14ac:dyDescent="0.2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2.75" customHeight="1" x14ac:dyDescent="0.2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2.75" customHeight="1" x14ac:dyDescent="0.2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2.75" customHeight="1" x14ac:dyDescent="0.2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2.75" customHeight="1" x14ac:dyDescent="0.2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2.75" customHeight="1" x14ac:dyDescent="0.2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2.75" customHeight="1" x14ac:dyDescent="0.2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2.75" customHeight="1" x14ac:dyDescent="0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2.75" customHeight="1" x14ac:dyDescent="0.2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2.75" customHeight="1" x14ac:dyDescent="0.2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2.75" customHeight="1" x14ac:dyDescent="0.2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2.75" customHeight="1" x14ac:dyDescent="0.2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2.75" customHeight="1" x14ac:dyDescent="0.2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2.75" customHeight="1" x14ac:dyDescent="0.2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2.75" customHeight="1" x14ac:dyDescent="0.2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2.75" customHeight="1" x14ac:dyDescent="0.2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2.75" customHeight="1" x14ac:dyDescent="0.2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2.75" customHeight="1" x14ac:dyDescent="0.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2.75" customHeight="1" x14ac:dyDescent="0.2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2.75" customHeight="1" x14ac:dyDescent="0.2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2.75" customHeight="1" x14ac:dyDescent="0.2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2.75" customHeight="1" x14ac:dyDescent="0.2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2.75" customHeight="1" x14ac:dyDescent="0.2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2.75" customHeight="1" x14ac:dyDescent="0.2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2.75" customHeight="1" x14ac:dyDescent="0.2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2.75" customHeight="1" x14ac:dyDescent="0.2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2.75" customHeight="1" x14ac:dyDescent="0.2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2.75" customHeight="1" x14ac:dyDescent="0.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2.75" customHeight="1" x14ac:dyDescent="0.2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2.75" customHeight="1" x14ac:dyDescent="0.2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2.75" customHeight="1" x14ac:dyDescent="0.2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2.75" customHeight="1" x14ac:dyDescent="0.2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2.75" customHeight="1" x14ac:dyDescent="0.2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2.75" customHeight="1" x14ac:dyDescent="0.2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2.75" customHeight="1" x14ac:dyDescent="0.2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2.75" customHeight="1" x14ac:dyDescent="0.2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2.75" customHeight="1" x14ac:dyDescent="0.2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2.75" customHeight="1" x14ac:dyDescent="0.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2.75" customHeight="1" x14ac:dyDescent="0.2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2.75" customHeight="1" x14ac:dyDescent="0.2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2.75" customHeight="1" x14ac:dyDescent="0.2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2.75" customHeight="1" x14ac:dyDescent="0.2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2.75" customHeight="1" x14ac:dyDescent="0.2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2.75" customHeight="1" x14ac:dyDescent="0.2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2.75" customHeight="1" x14ac:dyDescent="0.2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2.75" customHeight="1" x14ac:dyDescent="0.2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2.75" customHeight="1" x14ac:dyDescent="0.2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2.75" customHeight="1" x14ac:dyDescent="0.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2.75" customHeight="1" x14ac:dyDescent="0.2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2.75" customHeight="1" x14ac:dyDescent="0.2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2.75" customHeight="1" x14ac:dyDescent="0.2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2.75" customHeight="1" x14ac:dyDescent="0.2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2.75" customHeight="1" x14ac:dyDescent="0.2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2.75" customHeight="1" x14ac:dyDescent="0.2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2.75" customHeight="1" x14ac:dyDescent="0.2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2.75" customHeight="1" x14ac:dyDescent="0.2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2.75" customHeight="1" x14ac:dyDescent="0.2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2.75" customHeight="1" x14ac:dyDescent="0.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2.75" customHeight="1" x14ac:dyDescent="0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2.75" customHeight="1" x14ac:dyDescent="0.2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2.75" customHeight="1" x14ac:dyDescent="0.2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2.75" customHeight="1" x14ac:dyDescent="0.2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2.75" customHeight="1" x14ac:dyDescent="0.2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2.75" customHeight="1" x14ac:dyDescent="0.2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2.75" customHeight="1" x14ac:dyDescent="0.2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2.75" customHeight="1" x14ac:dyDescent="0.2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2.75" customHeight="1" x14ac:dyDescent="0.2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2.75" customHeight="1" x14ac:dyDescent="0.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2.75" customHeight="1" x14ac:dyDescent="0.2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2.75" customHeight="1" x14ac:dyDescent="0.2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2.75" customHeight="1" x14ac:dyDescent="0.2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2.75" customHeight="1" x14ac:dyDescent="0.2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2.75" customHeight="1" x14ac:dyDescent="0.2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2.75" customHeight="1" x14ac:dyDescent="0.2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2.75" customHeight="1" x14ac:dyDescent="0.2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2.75" customHeight="1" x14ac:dyDescent="0.2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2.75" customHeight="1" x14ac:dyDescent="0.2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2.75" customHeight="1" x14ac:dyDescent="0.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2.75" customHeight="1" x14ac:dyDescent="0.2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2.75" customHeight="1" x14ac:dyDescent="0.2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2.75" customHeight="1" x14ac:dyDescent="0.2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2.75" customHeight="1" x14ac:dyDescent="0.2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2.75" customHeight="1" x14ac:dyDescent="0.2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2.75" customHeight="1" x14ac:dyDescent="0.2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2.75" customHeight="1" x14ac:dyDescent="0.2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2.75" customHeight="1" x14ac:dyDescent="0.2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2.75" customHeight="1" x14ac:dyDescent="0.2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2.75" customHeight="1" x14ac:dyDescent="0.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2.75" customHeight="1" x14ac:dyDescent="0.2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2.75" customHeight="1" x14ac:dyDescent="0.2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2.75" customHeight="1" x14ac:dyDescent="0.2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2.75" customHeight="1" x14ac:dyDescent="0.2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2.75" customHeight="1" x14ac:dyDescent="0.2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2.75" customHeight="1" x14ac:dyDescent="0.2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2.75" customHeight="1" x14ac:dyDescent="0.2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2.75" customHeight="1" x14ac:dyDescent="0.2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2.75" customHeight="1" x14ac:dyDescent="0.2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2.75" customHeight="1" x14ac:dyDescent="0.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2.75" customHeight="1" x14ac:dyDescent="0.2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2.75" customHeight="1" x14ac:dyDescent="0.2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2.75" customHeight="1" x14ac:dyDescent="0.2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2.75" customHeight="1" x14ac:dyDescent="0.2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2.75" customHeight="1" x14ac:dyDescent="0.2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2.75" customHeight="1" x14ac:dyDescent="0.2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2.75" customHeight="1" x14ac:dyDescent="0.2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2.75" customHeight="1" x14ac:dyDescent="0.2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2.75" customHeight="1" x14ac:dyDescent="0.2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2.75" customHeight="1" x14ac:dyDescent="0.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2.75" customHeight="1" x14ac:dyDescent="0.2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2.75" customHeight="1" x14ac:dyDescent="0.2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2.75" customHeight="1" x14ac:dyDescent="0.2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2.75" customHeight="1" x14ac:dyDescent="0.2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2.75" customHeight="1" x14ac:dyDescent="0.2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2.75" customHeight="1" x14ac:dyDescent="0.2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2.75" customHeight="1" x14ac:dyDescent="0.2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2.75" customHeight="1" x14ac:dyDescent="0.2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2.75" customHeight="1" x14ac:dyDescent="0.2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2.75" customHeight="1" x14ac:dyDescent="0.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2.75" customHeight="1" x14ac:dyDescent="0.2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2.75" customHeight="1" x14ac:dyDescent="0.2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2.75" customHeight="1" x14ac:dyDescent="0.2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2.75" customHeight="1" x14ac:dyDescent="0.2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2.75" customHeight="1" x14ac:dyDescent="0.2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2.75" customHeight="1" x14ac:dyDescent="0.2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2.75" customHeight="1" x14ac:dyDescent="0.2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2.75" customHeight="1" x14ac:dyDescent="0.2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2.75" customHeight="1" x14ac:dyDescent="0.2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2.75" customHeight="1" x14ac:dyDescent="0.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2.75" customHeight="1" x14ac:dyDescent="0.2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2.75" customHeight="1" x14ac:dyDescent="0.2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2.75" customHeight="1" x14ac:dyDescent="0.2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2.75" customHeight="1" x14ac:dyDescent="0.2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2.75" customHeight="1" x14ac:dyDescent="0.2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2.75" customHeight="1" x14ac:dyDescent="0.2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2.75" customHeight="1" x14ac:dyDescent="0.2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2.75" customHeight="1" x14ac:dyDescent="0.2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2.75" customHeight="1" x14ac:dyDescent="0.2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2.75" customHeight="1" x14ac:dyDescent="0.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2.75" customHeight="1" x14ac:dyDescent="0.2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2.75" customHeight="1" x14ac:dyDescent="0.2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2.75" customHeight="1" x14ac:dyDescent="0.2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2.75" customHeight="1" x14ac:dyDescent="0.2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2.75" customHeight="1" x14ac:dyDescent="0.2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2.75" customHeight="1" x14ac:dyDescent="0.2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2.75" customHeight="1" x14ac:dyDescent="0.2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2.75" customHeight="1" x14ac:dyDescent="0.2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2.75" customHeight="1" x14ac:dyDescent="0.2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2.75" customHeight="1" x14ac:dyDescent="0.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2.75" customHeight="1" x14ac:dyDescent="0.2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2.75" customHeight="1" x14ac:dyDescent="0.2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2.75" customHeight="1" x14ac:dyDescent="0.2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2.75" customHeight="1" x14ac:dyDescent="0.2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2.75" customHeight="1" x14ac:dyDescent="0.2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2.75" customHeight="1" x14ac:dyDescent="0.2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2.75" customHeight="1" x14ac:dyDescent="0.2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2.75" customHeight="1" x14ac:dyDescent="0.2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2.75" customHeight="1" x14ac:dyDescent="0.2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2.75" customHeight="1" x14ac:dyDescent="0.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2.75" customHeight="1" x14ac:dyDescent="0.2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2.75" customHeight="1" x14ac:dyDescent="0.2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2.75" customHeight="1" x14ac:dyDescent="0.2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2.75" customHeight="1" x14ac:dyDescent="0.2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2.75" customHeight="1" x14ac:dyDescent="0.2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2.75" customHeight="1" x14ac:dyDescent="0.2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2.75" customHeight="1" x14ac:dyDescent="0.2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2.75" customHeight="1" x14ac:dyDescent="0.2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2.75" customHeight="1" x14ac:dyDescent="0.2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2.75" customHeight="1" x14ac:dyDescent="0.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2.75" customHeight="1" x14ac:dyDescent="0.2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2.75" customHeight="1" x14ac:dyDescent="0.2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2.75" customHeight="1" x14ac:dyDescent="0.2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2.75" customHeight="1" x14ac:dyDescent="0.2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2.75" customHeight="1" x14ac:dyDescent="0.2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2.75" customHeight="1" x14ac:dyDescent="0.2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2.75" customHeight="1" x14ac:dyDescent="0.2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2.75" customHeight="1" x14ac:dyDescent="0.2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2.75" customHeight="1" x14ac:dyDescent="0.2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2.75" customHeight="1" x14ac:dyDescent="0.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2.75" customHeight="1" x14ac:dyDescent="0.2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2.75" customHeight="1" x14ac:dyDescent="0.2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2.75" customHeight="1" x14ac:dyDescent="0.2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2.75" customHeight="1" x14ac:dyDescent="0.2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2.75" customHeight="1" x14ac:dyDescent="0.2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2.75" customHeight="1" x14ac:dyDescent="0.2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2.75" customHeight="1" x14ac:dyDescent="0.2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2.75" customHeight="1" x14ac:dyDescent="0.2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2.75" customHeight="1" x14ac:dyDescent="0.2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2.75" customHeight="1" x14ac:dyDescent="0.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2.75" customHeight="1" x14ac:dyDescent="0.2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2.75" customHeight="1" x14ac:dyDescent="0.2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2.75" customHeight="1" x14ac:dyDescent="0.2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2.75" customHeight="1" x14ac:dyDescent="0.2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2.75" customHeight="1" x14ac:dyDescent="0.2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2.75" customHeight="1" x14ac:dyDescent="0.2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2.75" customHeight="1" x14ac:dyDescent="0.2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2.75" customHeight="1" x14ac:dyDescent="0.2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2.75" customHeight="1" x14ac:dyDescent="0.2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2.75" customHeight="1" x14ac:dyDescent="0.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2.75" customHeight="1" x14ac:dyDescent="0.2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2.75" customHeight="1" x14ac:dyDescent="0.2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2.75" customHeight="1" x14ac:dyDescent="0.2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2.75" customHeight="1" x14ac:dyDescent="0.2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2.75" customHeight="1" x14ac:dyDescent="0.2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2.75" customHeight="1" x14ac:dyDescent="0.2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2.75" customHeight="1" x14ac:dyDescent="0.2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2.75" customHeight="1" x14ac:dyDescent="0.2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2.75" customHeight="1" x14ac:dyDescent="0.2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2.75" customHeight="1" x14ac:dyDescent="0.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2.75" customHeight="1" x14ac:dyDescent="0.2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2.75" customHeight="1" x14ac:dyDescent="0.2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2.75" customHeight="1" x14ac:dyDescent="0.2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2.75" customHeight="1" x14ac:dyDescent="0.2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2.75" customHeight="1" x14ac:dyDescent="0.2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2.75" customHeight="1" x14ac:dyDescent="0.2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2.75" customHeight="1" x14ac:dyDescent="0.2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2.75" customHeight="1" x14ac:dyDescent="0.2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2.75" customHeight="1" x14ac:dyDescent="0.2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2.75" customHeight="1" x14ac:dyDescent="0.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2.75" customHeight="1" x14ac:dyDescent="0.2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2.75" customHeight="1" x14ac:dyDescent="0.2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2.75" customHeight="1" x14ac:dyDescent="0.2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2.75" customHeight="1" x14ac:dyDescent="0.2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2.75" customHeight="1" x14ac:dyDescent="0.2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2.75" customHeight="1" x14ac:dyDescent="0.2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2.75" customHeight="1" x14ac:dyDescent="0.2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2.75" customHeight="1" x14ac:dyDescent="0.2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2.75" customHeight="1" x14ac:dyDescent="0.2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2.75" customHeight="1" x14ac:dyDescent="0.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2.75" customHeight="1" x14ac:dyDescent="0.2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2.75" customHeight="1" x14ac:dyDescent="0.2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2.75" customHeight="1" x14ac:dyDescent="0.2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2.75" customHeight="1" x14ac:dyDescent="0.2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2.75" customHeight="1" x14ac:dyDescent="0.2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2.75" customHeight="1" x14ac:dyDescent="0.2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2.75" customHeight="1" x14ac:dyDescent="0.2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2.75" customHeight="1" x14ac:dyDescent="0.2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2.75" customHeight="1" x14ac:dyDescent="0.2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2.75" customHeight="1" x14ac:dyDescent="0.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2.75" customHeight="1" x14ac:dyDescent="0.2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2.75" customHeight="1" x14ac:dyDescent="0.2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2.75" customHeight="1" x14ac:dyDescent="0.2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2.75" customHeight="1" x14ac:dyDescent="0.2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2.75" customHeight="1" x14ac:dyDescent="0.2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2.75" customHeight="1" x14ac:dyDescent="0.2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2.75" customHeight="1" x14ac:dyDescent="0.2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2.75" customHeight="1" x14ac:dyDescent="0.2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2.75" customHeight="1" x14ac:dyDescent="0.2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2.75" customHeight="1" x14ac:dyDescent="0.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2.75" customHeight="1" x14ac:dyDescent="0.2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2.75" customHeight="1" x14ac:dyDescent="0.2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2.75" customHeight="1" x14ac:dyDescent="0.2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2.75" customHeight="1" x14ac:dyDescent="0.2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2.75" customHeight="1" x14ac:dyDescent="0.2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2.75" customHeight="1" x14ac:dyDescent="0.2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2.75" customHeight="1" x14ac:dyDescent="0.2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2.75" customHeight="1" x14ac:dyDescent="0.2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2.75" customHeight="1" x14ac:dyDescent="0.2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2.75" customHeight="1" x14ac:dyDescent="0.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2.75" customHeight="1" x14ac:dyDescent="0.2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2.75" customHeight="1" x14ac:dyDescent="0.2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2.75" customHeight="1" x14ac:dyDescent="0.2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2.75" customHeight="1" x14ac:dyDescent="0.2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2.75" customHeight="1" x14ac:dyDescent="0.2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2.75" customHeight="1" x14ac:dyDescent="0.2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2.75" customHeight="1" x14ac:dyDescent="0.2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2.75" customHeight="1" x14ac:dyDescent="0.2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2.75" customHeight="1" x14ac:dyDescent="0.2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2.75" customHeight="1" x14ac:dyDescent="0.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2.75" customHeight="1" x14ac:dyDescent="0.2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2.75" customHeight="1" x14ac:dyDescent="0.2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2.75" customHeight="1" x14ac:dyDescent="0.2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2.75" customHeight="1" x14ac:dyDescent="0.2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2.75" customHeight="1" x14ac:dyDescent="0.2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2.75" customHeight="1" x14ac:dyDescent="0.2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2.75" customHeight="1" x14ac:dyDescent="0.2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2.75" customHeight="1" x14ac:dyDescent="0.2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2.75" customHeight="1" x14ac:dyDescent="0.2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2.75" customHeight="1" x14ac:dyDescent="0.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2.75" customHeight="1" x14ac:dyDescent="0.2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2.75" customHeight="1" x14ac:dyDescent="0.2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2.75" customHeight="1" x14ac:dyDescent="0.2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2.75" customHeight="1" x14ac:dyDescent="0.2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2.75" customHeight="1" x14ac:dyDescent="0.2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2.75" customHeight="1" x14ac:dyDescent="0.2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2.75" customHeight="1" x14ac:dyDescent="0.2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2.75" customHeight="1" x14ac:dyDescent="0.2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2.75" customHeight="1" x14ac:dyDescent="0.2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2.75" customHeight="1" x14ac:dyDescent="0.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2.75" customHeight="1" x14ac:dyDescent="0.2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2.75" customHeight="1" x14ac:dyDescent="0.2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2.75" customHeight="1" x14ac:dyDescent="0.2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2.75" customHeight="1" x14ac:dyDescent="0.2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2.75" customHeight="1" x14ac:dyDescent="0.2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2.75" customHeight="1" x14ac:dyDescent="0.2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2.75" customHeight="1" x14ac:dyDescent="0.2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2.75" customHeight="1" x14ac:dyDescent="0.2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2.75" customHeight="1" x14ac:dyDescent="0.2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2.75" customHeight="1" x14ac:dyDescent="0.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2.75" customHeight="1" x14ac:dyDescent="0.2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2.75" customHeight="1" x14ac:dyDescent="0.2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2.75" customHeight="1" x14ac:dyDescent="0.2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2.75" customHeight="1" x14ac:dyDescent="0.2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2.75" customHeight="1" x14ac:dyDescent="0.2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2.75" customHeight="1" x14ac:dyDescent="0.2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2.75" customHeight="1" x14ac:dyDescent="0.2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2.75" customHeight="1" x14ac:dyDescent="0.2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2.75" customHeight="1" x14ac:dyDescent="0.2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2.75" customHeight="1" x14ac:dyDescent="0.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2.75" customHeight="1" x14ac:dyDescent="0.2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2.75" customHeight="1" x14ac:dyDescent="0.2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2.75" customHeight="1" x14ac:dyDescent="0.2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2.75" customHeight="1" x14ac:dyDescent="0.2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2.75" customHeight="1" x14ac:dyDescent="0.2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2.75" customHeight="1" x14ac:dyDescent="0.2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2.75" customHeight="1" x14ac:dyDescent="0.2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2.75" customHeight="1" x14ac:dyDescent="0.2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2.75" customHeight="1" x14ac:dyDescent="0.2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2.75" customHeight="1" x14ac:dyDescent="0.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2.75" customHeight="1" x14ac:dyDescent="0.2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2.75" customHeight="1" x14ac:dyDescent="0.2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2.75" customHeight="1" x14ac:dyDescent="0.2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2.75" customHeight="1" x14ac:dyDescent="0.2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2.75" customHeight="1" x14ac:dyDescent="0.2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2.75" customHeight="1" x14ac:dyDescent="0.2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2.75" customHeight="1" x14ac:dyDescent="0.2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2.75" customHeight="1" x14ac:dyDescent="0.2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2.75" customHeight="1" x14ac:dyDescent="0.2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2.75" customHeight="1" x14ac:dyDescent="0.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2.75" customHeight="1" x14ac:dyDescent="0.2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2.75" customHeight="1" x14ac:dyDescent="0.2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2.75" customHeight="1" x14ac:dyDescent="0.2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2.75" customHeight="1" x14ac:dyDescent="0.2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2.75" customHeight="1" x14ac:dyDescent="0.2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2.75" customHeight="1" x14ac:dyDescent="0.2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2.75" customHeight="1" x14ac:dyDescent="0.2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2.75" customHeight="1" x14ac:dyDescent="0.2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2.75" customHeight="1" x14ac:dyDescent="0.2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2.75" customHeight="1" x14ac:dyDescent="0.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2.75" customHeight="1" x14ac:dyDescent="0.2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2.75" customHeight="1" x14ac:dyDescent="0.2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2.75" customHeight="1" x14ac:dyDescent="0.2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2.75" customHeight="1" x14ac:dyDescent="0.2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2.75" customHeight="1" x14ac:dyDescent="0.2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2.75" customHeight="1" x14ac:dyDescent="0.2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2.75" customHeight="1" x14ac:dyDescent="0.2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2.75" customHeight="1" x14ac:dyDescent="0.2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2.75" customHeight="1" x14ac:dyDescent="0.2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2.75" customHeight="1" x14ac:dyDescent="0.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2.75" customHeight="1" x14ac:dyDescent="0.2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2.75" customHeight="1" x14ac:dyDescent="0.2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2.75" customHeight="1" x14ac:dyDescent="0.2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2.75" customHeight="1" x14ac:dyDescent="0.2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2.75" customHeight="1" x14ac:dyDescent="0.2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2.75" customHeight="1" x14ac:dyDescent="0.2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2.75" customHeight="1" x14ac:dyDescent="0.2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2.75" customHeight="1" x14ac:dyDescent="0.2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2.75" customHeight="1" x14ac:dyDescent="0.2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2.75" customHeight="1" x14ac:dyDescent="0.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2.75" customHeight="1" x14ac:dyDescent="0.2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2.75" customHeight="1" x14ac:dyDescent="0.2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2.75" customHeight="1" x14ac:dyDescent="0.2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2.75" customHeight="1" x14ac:dyDescent="0.2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2.75" customHeight="1" x14ac:dyDescent="0.2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2.75" customHeight="1" x14ac:dyDescent="0.2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2.75" customHeight="1" x14ac:dyDescent="0.2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2.75" customHeight="1" x14ac:dyDescent="0.2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2.75" customHeight="1" x14ac:dyDescent="0.2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2.75" customHeight="1" x14ac:dyDescent="0.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2.75" customHeight="1" x14ac:dyDescent="0.2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2.75" customHeight="1" x14ac:dyDescent="0.2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2.75" customHeight="1" x14ac:dyDescent="0.2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2.75" customHeight="1" x14ac:dyDescent="0.2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2.75" customHeight="1" x14ac:dyDescent="0.2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2.75" customHeight="1" x14ac:dyDescent="0.2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2.75" customHeight="1" x14ac:dyDescent="0.2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2.75" customHeight="1" x14ac:dyDescent="0.2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2.75" customHeight="1" x14ac:dyDescent="0.2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2.75" customHeight="1" x14ac:dyDescent="0.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2.75" customHeight="1" x14ac:dyDescent="0.2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2.75" customHeight="1" x14ac:dyDescent="0.2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2.75" customHeight="1" x14ac:dyDescent="0.2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2.75" customHeight="1" x14ac:dyDescent="0.2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2.75" customHeight="1" x14ac:dyDescent="0.2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2.75" customHeight="1" x14ac:dyDescent="0.2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2.75" customHeight="1" x14ac:dyDescent="0.2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2.75" customHeight="1" x14ac:dyDescent="0.2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2.75" customHeight="1" x14ac:dyDescent="0.2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2.75" customHeight="1" x14ac:dyDescent="0.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2.75" customHeight="1" x14ac:dyDescent="0.2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2.75" customHeight="1" x14ac:dyDescent="0.2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2.75" customHeight="1" x14ac:dyDescent="0.2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2.75" customHeight="1" x14ac:dyDescent="0.2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2.75" customHeight="1" x14ac:dyDescent="0.2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2.75" customHeight="1" x14ac:dyDescent="0.2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2.75" customHeight="1" x14ac:dyDescent="0.2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2.75" customHeight="1" x14ac:dyDescent="0.2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2.75" customHeight="1" x14ac:dyDescent="0.2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2.75" customHeight="1" x14ac:dyDescent="0.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2.75" customHeight="1" x14ac:dyDescent="0.2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</sheetData>
  <mergeCells count="89">
    <mergeCell ref="C11:M11"/>
    <mergeCell ref="I12:I13"/>
    <mergeCell ref="C14:M14"/>
    <mergeCell ref="C9:C10"/>
    <mergeCell ref="C12:C13"/>
    <mergeCell ref="D12:D13"/>
    <mergeCell ref="E12:E13"/>
    <mergeCell ref="F12:F13"/>
    <mergeCell ref="G12:G13"/>
    <mergeCell ref="H12:H13"/>
    <mergeCell ref="L9:L10"/>
    <mergeCell ref="M9:M10"/>
    <mergeCell ref="L12:L13"/>
    <mergeCell ref="M12:M13"/>
    <mergeCell ref="H9:H10"/>
    <mergeCell ref="I9:I10"/>
    <mergeCell ref="L8:M8"/>
    <mergeCell ref="D9:D10"/>
    <mergeCell ref="E9:E10"/>
    <mergeCell ref="F9:F10"/>
    <mergeCell ref="G9:G10"/>
    <mergeCell ref="C1:M2"/>
    <mergeCell ref="C4:M4"/>
    <mergeCell ref="C5:M6"/>
    <mergeCell ref="C7:M7"/>
    <mergeCell ref="E8:F8"/>
    <mergeCell ref="H8:I8"/>
    <mergeCell ref="J8:K8"/>
    <mergeCell ref="C34:M34"/>
    <mergeCell ref="C30:C31"/>
    <mergeCell ref="L30:L31"/>
    <mergeCell ref="M30:M31"/>
    <mergeCell ref="C33:I33"/>
    <mergeCell ref="C29:M29"/>
    <mergeCell ref="C27:C28"/>
    <mergeCell ref="D30:D31"/>
    <mergeCell ref="E30:E31"/>
    <mergeCell ref="F30:F31"/>
    <mergeCell ref="G30:G31"/>
    <mergeCell ref="H30:H31"/>
    <mergeCell ref="I30:I31"/>
    <mergeCell ref="L27:L28"/>
    <mergeCell ref="M27:M28"/>
    <mergeCell ref="D27:D28"/>
    <mergeCell ref="E27:E28"/>
    <mergeCell ref="F27:F28"/>
    <mergeCell ref="G27:G28"/>
    <mergeCell ref="H27:H28"/>
    <mergeCell ref="I27:I28"/>
    <mergeCell ref="C23:M23"/>
    <mergeCell ref="I24:I25"/>
    <mergeCell ref="C26:M26"/>
    <mergeCell ref="C21:C22"/>
    <mergeCell ref="C24:C25"/>
    <mergeCell ref="D24:D25"/>
    <mergeCell ref="E24:E25"/>
    <mergeCell ref="F24:F25"/>
    <mergeCell ref="G24:G25"/>
    <mergeCell ref="H24:H25"/>
    <mergeCell ref="L24:L25"/>
    <mergeCell ref="M24:M25"/>
    <mergeCell ref="L21:L22"/>
    <mergeCell ref="M21:M22"/>
    <mergeCell ref="D21:D22"/>
    <mergeCell ref="E21:E22"/>
    <mergeCell ref="F21:F22"/>
    <mergeCell ref="G21:G22"/>
    <mergeCell ref="H21:H22"/>
    <mergeCell ref="I21:I22"/>
    <mergeCell ref="C17:M17"/>
    <mergeCell ref="I18:I19"/>
    <mergeCell ref="C20:M20"/>
    <mergeCell ref="C15:C16"/>
    <mergeCell ref="C18:C19"/>
    <mergeCell ref="D18:D19"/>
    <mergeCell ref="E18:E19"/>
    <mergeCell ref="F18:F19"/>
    <mergeCell ref="G18:G19"/>
    <mergeCell ref="H18:H19"/>
    <mergeCell ref="L18:L19"/>
    <mergeCell ref="M18:M19"/>
    <mergeCell ref="L15:L16"/>
    <mergeCell ref="M15:M16"/>
    <mergeCell ref="D15:D16"/>
    <mergeCell ref="E15:E16"/>
    <mergeCell ref="F15:F16"/>
    <mergeCell ref="G15:G16"/>
    <mergeCell ref="H15:H16"/>
    <mergeCell ref="I15:I1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Team Selection</vt:lpstr>
      <vt:lpstr>Standings</vt:lpstr>
      <vt:lpstr>Encounters played</vt:lpstr>
      <vt:lpstr>Day 1</vt:lpstr>
      <vt:lpstr>Day 2</vt:lpstr>
      <vt:lpstr>Day 3</vt:lpstr>
      <vt:lpstr>Day 4</vt:lpstr>
      <vt:lpstr>Day 5</vt:lpstr>
      <vt:lpstr>Semi Final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Tournament</cp:lastModifiedBy>
  <cp:lastPrinted>2022-11-18T20:17:04Z</cp:lastPrinted>
  <dcterms:created xsi:type="dcterms:W3CDTF">2002-09-30T22:10:22Z</dcterms:created>
  <dcterms:modified xsi:type="dcterms:W3CDTF">2022-11-18T20:20:37Z</dcterms:modified>
</cp:coreProperties>
</file>