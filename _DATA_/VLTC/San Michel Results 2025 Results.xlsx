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Selection" sheetId="1" r:id="rId4"/>
    <sheet state="visible" name="Encounters Played" sheetId="2" r:id="rId5"/>
    <sheet state="visible" name="Standings" sheetId="3" r:id="rId6"/>
    <sheet state="visible" name="Day 1" sheetId="4" r:id="rId7"/>
    <sheet state="visible" name="Day 2 " sheetId="5" r:id="rId8"/>
    <sheet state="visible" name="Day 3" sheetId="6" r:id="rId9"/>
    <sheet state="visible" name="Day 4" sheetId="7" r:id="rId10"/>
    <sheet state="visible" name="Day 5" sheetId="8" r:id="rId11"/>
    <sheet state="visible" name="Day 6" sheetId="9" r:id="rId12"/>
    <sheet state="visible" name="Day 7" sheetId="10" r:id="rId13"/>
    <sheet state="visible" name="Day 8" sheetId="11" r:id="rId14"/>
    <sheet state="visible" name="Day 9" sheetId="12" r:id="rId15"/>
    <sheet state="visible" name="Day 10" sheetId="13" r:id="rId16"/>
    <sheet state="visible" name="Semi Final" sheetId="14" r:id="rId17"/>
    <sheet state="visible" name="Final" sheetId="15" r:id="rId18"/>
    <sheet state="visible" name="Sheet1" sheetId="16" r:id="rId19"/>
  </sheets>
  <definedNames/>
  <calcPr/>
  <extLst>
    <ext uri="GoogleSheetsCustomDataVersion2">
      <go:sheetsCustomData xmlns:go="http://customooxmlschemas.google.com/" r:id="rId20" roundtripDataChecksum="vpRNYTYRSnvdDb1kLOQIWGiWbgWygqLFPDWR8zURSQU="/>
    </ext>
  </extLst>
</workbook>
</file>

<file path=xl/sharedStrings.xml><?xml version="1.0" encoding="utf-8"?>
<sst xmlns="http://schemas.openxmlformats.org/spreadsheetml/2006/main" count="2609" uniqueCount="375">
  <si>
    <t>VITTORIOSA LAWN TENNIS CLUB</t>
  </si>
  <si>
    <t>SAN MICHEL TEAM TOURNAMENT - 2025</t>
  </si>
  <si>
    <t>TEAM A</t>
  </si>
  <si>
    <t>TEAM B</t>
  </si>
  <si>
    <t>TEAM C</t>
  </si>
  <si>
    <t>TEAM D</t>
  </si>
  <si>
    <t>TEAM E</t>
  </si>
  <si>
    <t>TEAM F</t>
  </si>
  <si>
    <t>CAPTAIN</t>
  </si>
  <si>
    <t>Roberto Murdocco</t>
  </si>
  <si>
    <t>Kelsey Gauci</t>
  </si>
  <si>
    <t>Gabriel Pace</t>
  </si>
  <si>
    <t>Lucienne Meli</t>
  </si>
  <si>
    <t>Juan Sammut</t>
  </si>
  <si>
    <t>Francesca Sciortino</t>
  </si>
  <si>
    <t>MEN</t>
  </si>
  <si>
    <t>A1</t>
  </si>
  <si>
    <t>Clayton Zammit Cesare</t>
  </si>
  <si>
    <t>Melchior Farrugia</t>
  </si>
  <si>
    <t>Matthew Mifsud</t>
  </si>
  <si>
    <t>Matthew Borg</t>
  </si>
  <si>
    <t>Duncan D'Alessandro</t>
  </si>
  <si>
    <t>Adrian Chetcuti</t>
  </si>
  <si>
    <t>A2</t>
  </si>
  <si>
    <t>Marco Mercieca</t>
  </si>
  <si>
    <t>Manuel Bonello</t>
  </si>
  <si>
    <t>Nikolai Belli</t>
  </si>
  <si>
    <t>Trevor Rutter</t>
  </si>
  <si>
    <t>Clyde Grech</t>
  </si>
  <si>
    <t>Jean Attard</t>
  </si>
  <si>
    <t>A3</t>
  </si>
  <si>
    <t>David Mifsud</t>
  </si>
  <si>
    <t>Keith Micallef</t>
  </si>
  <si>
    <t>Fotios Evangelou</t>
  </si>
  <si>
    <t>Andrew Pule'</t>
  </si>
  <si>
    <t>Eric Roca</t>
  </si>
  <si>
    <t>B1</t>
  </si>
  <si>
    <t>Luigi Porto</t>
  </si>
  <si>
    <t>Kurt Cassar</t>
  </si>
  <si>
    <t>Ivan Cachia</t>
  </si>
  <si>
    <t>David Schembri</t>
  </si>
  <si>
    <t>JP Holland</t>
  </si>
  <si>
    <t>Kristen Cachia</t>
  </si>
  <si>
    <t>B2</t>
  </si>
  <si>
    <t>Clint Agius</t>
  </si>
  <si>
    <t>Jonathan Martinelli</t>
  </si>
  <si>
    <t>Jonathan Vella</t>
  </si>
  <si>
    <t>Ivan Cassar</t>
  </si>
  <si>
    <t>Jayboy Lastimosa</t>
  </si>
  <si>
    <t>B3</t>
  </si>
  <si>
    <t>Emman Xuereb</t>
  </si>
  <si>
    <t>Kevin Formosa</t>
  </si>
  <si>
    <t>Gene Zammit</t>
  </si>
  <si>
    <t>Cyril Lastimosa</t>
  </si>
  <si>
    <t>Kyle Magro</t>
  </si>
  <si>
    <t>Willem Steenkamer</t>
  </si>
  <si>
    <t>C1</t>
  </si>
  <si>
    <t>Manuel Mifsud</t>
  </si>
  <si>
    <t>Matthias Sciriha</t>
  </si>
  <si>
    <t>Etienne Formosa Carabez</t>
  </si>
  <si>
    <t>Artiom Kirichenko</t>
  </si>
  <si>
    <t>Jean Paul Vella</t>
  </si>
  <si>
    <t>Julian Esposito</t>
  </si>
  <si>
    <t>C2</t>
  </si>
  <si>
    <t>James Brincat</t>
  </si>
  <si>
    <t>Aaron Micallef Piccione</t>
  </si>
  <si>
    <t>Steve Gambin</t>
  </si>
  <si>
    <t>Charles Sacco</t>
  </si>
  <si>
    <t>Juan Debono</t>
  </si>
  <si>
    <t>Matthew Schembri</t>
  </si>
  <si>
    <t>C3</t>
  </si>
  <si>
    <t>Kenneth Farrugia</t>
  </si>
  <si>
    <t>David Camilleri</t>
  </si>
  <si>
    <t>Darrell Pace</t>
  </si>
  <si>
    <t>Victor Rutter</t>
  </si>
  <si>
    <t>Maurice Borg</t>
  </si>
  <si>
    <t>D1</t>
  </si>
  <si>
    <t>Simone Re</t>
  </si>
  <si>
    <t>Donald Deguzman</t>
  </si>
  <si>
    <t>Conrad Treeby Ward</t>
  </si>
  <si>
    <t>Antoine Bugeja</t>
  </si>
  <si>
    <t>Kenneth Caruana</t>
  </si>
  <si>
    <t>Dunstan Vella</t>
  </si>
  <si>
    <t>D2</t>
  </si>
  <si>
    <t>Joseph Randich</t>
  </si>
  <si>
    <t>Matthew Micallef</t>
  </si>
  <si>
    <t>Cory Greenland</t>
  </si>
  <si>
    <t>Glenn Micallef</t>
  </si>
  <si>
    <t>Robert Attard</t>
  </si>
  <si>
    <t>Jason Lee Evans</t>
  </si>
  <si>
    <t>D3</t>
  </si>
  <si>
    <t>Arthur Napier</t>
  </si>
  <si>
    <t>JP Sciberras</t>
  </si>
  <si>
    <t>Mario Abdilla</t>
  </si>
  <si>
    <t>Twanny Pule'</t>
  </si>
  <si>
    <t>Kevin Sciberras</t>
  </si>
  <si>
    <t>Chris Vella</t>
  </si>
  <si>
    <t>LADIES</t>
  </si>
  <si>
    <t>Natalya Abela</t>
  </si>
  <si>
    <t>Alexia Spiteri Willets</t>
  </si>
  <si>
    <t>Martina Cuschieri</t>
  </si>
  <si>
    <t>AnnMarie Mangion</t>
  </si>
  <si>
    <t>Leanne Vassallo</t>
  </si>
  <si>
    <t>Renette Magro</t>
  </si>
  <si>
    <t>Diane Fenech</t>
  </si>
  <si>
    <t>Kirsty Mercieca</t>
  </si>
  <si>
    <t>Becky Hayes</t>
  </si>
  <si>
    <t>Pierina Holmin</t>
  </si>
  <si>
    <t>Elaine Grech</t>
  </si>
  <si>
    <t>Lara Pule'</t>
  </si>
  <si>
    <t>Annabelle Abela</t>
  </si>
  <si>
    <t>Rebecca Pace</t>
  </si>
  <si>
    <t>Kaya Sammut</t>
  </si>
  <si>
    <t>Alison Muscat</t>
  </si>
  <si>
    <t>Olivia Belli</t>
  </si>
  <si>
    <t>Anabel Borg</t>
  </si>
  <si>
    <t>Anthea Gauci</t>
  </si>
  <si>
    <t>Julie Spiteri</t>
  </si>
  <si>
    <t>Yanika Pace</t>
  </si>
  <si>
    <t>Amanda Falzon</t>
  </si>
  <si>
    <t>Rowena Caruana</t>
  </si>
  <si>
    <t>Marcette Sciriha</t>
  </si>
  <si>
    <t>Kristina Briffa</t>
  </si>
  <si>
    <t>Dorianne Buhagiar</t>
  </si>
  <si>
    <t>Romina Gauci</t>
  </si>
  <si>
    <t>Stephanie Farrugia</t>
  </si>
  <si>
    <t>Silvana Portelli</t>
  </si>
  <si>
    <t>Brenda Baldacchino</t>
  </si>
  <si>
    <t>Deborah Farrugia</t>
  </si>
  <si>
    <t>Nancy Wong</t>
  </si>
  <si>
    <t>Ann-Marie Attard</t>
  </si>
  <si>
    <t>Mariska Steenkamer</t>
  </si>
  <si>
    <t>Angele Pule'</t>
  </si>
  <si>
    <t>Tanya Cassar</t>
  </si>
  <si>
    <t>Maria Angela Gambin</t>
  </si>
  <si>
    <t>Ruth Micallef</t>
  </si>
  <si>
    <t>Maria Ellul</t>
  </si>
  <si>
    <t>Jin Attard</t>
  </si>
  <si>
    <t>Lonia Carabott</t>
  </si>
  <si>
    <t>Jodie Stivala</t>
  </si>
  <si>
    <t>Janice Galea</t>
  </si>
  <si>
    <t>Ceridwen Scerri</t>
  </si>
  <si>
    <t>Christine Seychell</t>
  </si>
  <si>
    <t>Jennifer Roca</t>
  </si>
  <si>
    <t>Mary Borg</t>
  </si>
  <si>
    <t>Leanne Sammut</t>
  </si>
  <si>
    <t>Christine Scerri</t>
  </si>
  <si>
    <t>Karolina Papiernik</t>
  </si>
  <si>
    <t>Chirstabelle Chetcuti</t>
  </si>
  <si>
    <t>Daphne Vella</t>
  </si>
  <si>
    <t>A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</si>
  <si>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</si>
  <si>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</si>
  <si>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</si>
  <si>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</si>
  <si>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</si>
  <si>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</si>
  <si>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</si>
  <si>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</si>
  <si>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</si>
  <si>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</si>
  <si>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TOTAL</t>
  </si>
  <si>
    <t>B</t>
  </si>
  <si>
    <t>C</t>
  </si>
  <si>
    <t>D</t>
  </si>
  <si>
    <t>E</t>
  </si>
  <si>
    <t>F</t>
  </si>
  <si>
    <t>.</t>
  </si>
  <si>
    <t>ROUND 1</t>
  </si>
  <si>
    <t>Total Day 1</t>
  </si>
  <si>
    <t>Total Day 2</t>
  </si>
  <si>
    <t>Total Day 3</t>
  </si>
  <si>
    <t>Total Day 4</t>
  </si>
  <si>
    <t>Total Day 5</t>
  </si>
  <si>
    <t>Total Round 1</t>
  </si>
  <si>
    <t>G</t>
  </si>
  <si>
    <t>S</t>
  </si>
  <si>
    <t>TEAM A: Roberto Murdocco</t>
  </si>
  <si>
    <t>Fri</t>
  </si>
  <si>
    <t>Sat</t>
  </si>
  <si>
    <t>TEAM B: Kelsey Gauci</t>
  </si>
  <si>
    <t>TEAM C: Gabriel Pace</t>
  </si>
  <si>
    <t>TEAM D:  Lucienne Meli</t>
  </si>
  <si>
    <t>TEAM E: Juan Sammut</t>
  </si>
  <si>
    <t>TEAM F: Francesca Sciortino</t>
  </si>
  <si>
    <t>ROUND 2</t>
  </si>
  <si>
    <t>Total Day 6</t>
  </si>
  <si>
    <t>Total Day 7</t>
  </si>
  <si>
    <t>Total Day 8</t>
  </si>
  <si>
    <t>Total Day 9</t>
  </si>
  <si>
    <t>Total Day 10</t>
  </si>
  <si>
    <t>Total   Rounds  1 &amp; 2</t>
  </si>
  <si>
    <t>`</t>
  </si>
  <si>
    <t>VLTC SAN MICHEL TEAM TOURNAMENT 2025</t>
  </si>
  <si>
    <t>DAY 1 - 31/01/2025 &amp; 01/02/2025</t>
  </si>
  <si>
    <t>Court 1</t>
  </si>
  <si>
    <t>Time</t>
  </si>
  <si>
    <t>Rubber</t>
  </si>
  <si>
    <t>vs</t>
  </si>
  <si>
    <t>Games</t>
  </si>
  <si>
    <t>Sets</t>
  </si>
  <si>
    <t>6.30 pm</t>
  </si>
  <si>
    <t>Lad A</t>
  </si>
  <si>
    <t>Yana Cachia</t>
  </si>
  <si>
    <t>7.45 pm</t>
  </si>
  <si>
    <t>Lad B</t>
  </si>
  <si>
    <t>9.00 pm</t>
  </si>
  <si>
    <t>Men A</t>
  </si>
  <si>
    <t>6.30pm</t>
  </si>
  <si>
    <t>Lad C</t>
  </si>
  <si>
    <t>Total Day 1 A</t>
  </si>
  <si>
    <t>3.30pm</t>
  </si>
  <si>
    <t>Men B</t>
  </si>
  <si>
    <t>5.00pm</t>
  </si>
  <si>
    <t>Men D</t>
  </si>
  <si>
    <t>Kenneth Farrugia (Dem Joseph Randich)</t>
  </si>
  <si>
    <t>Men C</t>
  </si>
  <si>
    <t>Total Day 1B</t>
  </si>
  <si>
    <t xml:space="preserve">Total Day 1 </t>
  </si>
  <si>
    <t>Court 2</t>
  </si>
  <si>
    <t>TEAM D: Lucienne Meli</t>
  </si>
  <si>
    <t>Yanika Pace(pro Lucienne Meli)</t>
  </si>
  <si>
    <t>Christabelle Chetcuti</t>
  </si>
  <si>
    <t>3.30 pm</t>
  </si>
  <si>
    <t>Jean Paul Tabone (Pro Stefan Holmin)</t>
  </si>
  <si>
    <t>Court 4</t>
  </si>
  <si>
    <t>9.00pm</t>
  </si>
  <si>
    <t xml:space="preserve"> </t>
  </si>
  <si>
    <t>SAN MICHEL TEAM TOURNAMENT 2025</t>
  </si>
  <si>
    <t>Day 2- 14/02/2025 &amp; 15/02/2025</t>
  </si>
  <si>
    <t>Team B: Kelsey Gauci</t>
  </si>
  <si>
    <t>Team E: Juan Sammut</t>
  </si>
  <si>
    <t>8.30pm</t>
  </si>
  <si>
    <t>w/o due to injury</t>
  </si>
  <si>
    <t>Ann Marie Attard</t>
  </si>
  <si>
    <t xml:space="preserve"> vs</t>
  </si>
  <si>
    <t>Total Day 2 A</t>
  </si>
  <si>
    <t>3.00 pm</t>
  </si>
  <si>
    <t>4.15 pm</t>
  </si>
  <si>
    <t>Total Day 2B</t>
  </si>
  <si>
    <t xml:space="preserve">Total Day 2 </t>
  </si>
  <si>
    <t>Team A: Roberto Murdocco</t>
  </si>
  <si>
    <t>Team F: Francesca Sciortino</t>
  </si>
  <si>
    <t>Alain Frendo</t>
  </si>
  <si>
    <t>Stephania Farrugia</t>
  </si>
  <si>
    <t>7.00pm</t>
  </si>
  <si>
    <t>5.30 pm</t>
  </si>
  <si>
    <t xml:space="preserve">Kristen Cachia </t>
  </si>
  <si>
    <t>Team C: Gabriel Pace</t>
  </si>
  <si>
    <t>Team D: Lucienne Meli</t>
  </si>
  <si>
    <t>Janice Galea (Pro Deborah Farrugia)</t>
  </si>
  <si>
    <t>Artiom Kiricenko</t>
  </si>
  <si>
    <t>Annmarie Mangion</t>
  </si>
  <si>
    <t>4.45 pm</t>
  </si>
  <si>
    <t>6.00 pm</t>
  </si>
  <si>
    <t>Day 3 - 21/02/2025 &amp; 22/02/2025</t>
  </si>
  <si>
    <t xml:space="preserve">Court 1 </t>
  </si>
  <si>
    <t>Total Day 3 A</t>
  </si>
  <si>
    <t>Jin Atard</t>
  </si>
  <si>
    <t>Total Day 3B</t>
  </si>
  <si>
    <t xml:space="preserve">Total Day 3 </t>
  </si>
  <si>
    <t>Tanya Cassar (Pro Anthea Gauci)</t>
  </si>
  <si>
    <t>Isaac Joseph Zammit</t>
  </si>
  <si>
    <t>Donald Dugazman</t>
  </si>
  <si>
    <t>Ret</t>
  </si>
  <si>
    <t>Glenn Micallef (pro Victor Rutter)</t>
  </si>
  <si>
    <t>Duncan D'alessandro</t>
  </si>
  <si>
    <t>6.45pm</t>
  </si>
  <si>
    <t>SAN MICHEL TEAM TOURNAMENT 2020</t>
  </si>
  <si>
    <t>Day 4 - 24/02/2025 &amp; 28/02/2025</t>
  </si>
  <si>
    <t>Karolina Papiernak</t>
  </si>
  <si>
    <t>Anthony Pule'</t>
  </si>
  <si>
    <t>Total Day 4 A</t>
  </si>
  <si>
    <t xml:space="preserve">Renette Magro </t>
  </si>
  <si>
    <t>Total Day 4B</t>
  </si>
  <si>
    <t xml:space="preserve">Total Day 4 </t>
  </si>
  <si>
    <t>Clyde Magro</t>
  </si>
  <si>
    <t>7.45pm</t>
  </si>
  <si>
    <t xml:space="preserve">Luigi Porto </t>
  </si>
  <si>
    <t xml:space="preserve">Marco Mercieca </t>
  </si>
  <si>
    <t>RET</t>
  </si>
  <si>
    <t>Kenneth Farrugia (Dem Simone Re)</t>
  </si>
  <si>
    <t xml:space="preserve">Kirsty Mercieca </t>
  </si>
  <si>
    <t>Anthea Gauci (Pro Rebecca Mifsud)</t>
  </si>
  <si>
    <t>Day 5 - 08/03/2025 &amp; 08/03/2025</t>
  </si>
  <si>
    <t>Angele Pule</t>
  </si>
  <si>
    <t>Total Day 5 A</t>
  </si>
  <si>
    <t>Total Day 5B</t>
  </si>
  <si>
    <t xml:space="preserve">Total Day 5 </t>
  </si>
  <si>
    <t>Melchior Farriuga</t>
  </si>
  <si>
    <t>Emmanuel Bonello</t>
  </si>
  <si>
    <t xml:space="preserve">vs </t>
  </si>
  <si>
    <t>w/o</t>
  </si>
  <si>
    <t>Juan Sammut (Pro JP Holland)</t>
  </si>
  <si>
    <t>Day 6 - 14/03/2025 &amp; 15/03/2025</t>
  </si>
  <si>
    <t>Total Day 6 A</t>
  </si>
  <si>
    <t>Athur Napier</t>
  </si>
  <si>
    <t>Maria Abdilla</t>
  </si>
  <si>
    <t>Total Day 6B</t>
  </si>
  <si>
    <t xml:space="preserve">Total Day 6 </t>
  </si>
  <si>
    <t>TEAM E: Juan Debono</t>
  </si>
  <si>
    <t>Annemarie Mangion</t>
  </si>
  <si>
    <t>Ivan Cassar (pro Andrew Pule')</t>
  </si>
  <si>
    <t>Chalres Sacco</t>
  </si>
  <si>
    <t>David Camilleri (pro Aaron Micallef Piccione)</t>
  </si>
  <si>
    <t>Dunstsan Vella</t>
  </si>
  <si>
    <t>Day 7 - 21/03/2025 &amp; 14/04/2025</t>
  </si>
  <si>
    <t>Christine Seychelle</t>
  </si>
  <si>
    <t>Mattias Sciriha</t>
  </si>
  <si>
    <t>8.30 pm</t>
  </si>
  <si>
    <t>Total Day 7 A</t>
  </si>
  <si>
    <t>Brenda Baldacchino (pro Anthea Gauci)</t>
  </si>
  <si>
    <t>Tanya Cassar (pro Marcette Sciriha)</t>
  </si>
  <si>
    <t>Total Day 7B</t>
  </si>
  <si>
    <t xml:space="preserve">Total Day 7 </t>
  </si>
  <si>
    <t>Oliva Belli</t>
  </si>
  <si>
    <t>Willem Stennkamer</t>
  </si>
  <si>
    <t>7.00 pm</t>
  </si>
  <si>
    <t>8.00 pm</t>
  </si>
  <si>
    <t>Julie SPiteri</t>
  </si>
  <si>
    <t>Kaya Sammut (Pro Becky Hayes)</t>
  </si>
  <si>
    <t>Pierina Holmina</t>
  </si>
  <si>
    <t>Day 8 - 04/04/2025 &amp; 05/04/2025</t>
  </si>
  <si>
    <t>Mariksa Steenkamer</t>
  </si>
  <si>
    <t>Marina Cuschieri</t>
  </si>
  <si>
    <t>Total Day 8 A</t>
  </si>
  <si>
    <t>Kristen Cachia (pro Jean Attard)</t>
  </si>
  <si>
    <t>5.00 pm</t>
  </si>
  <si>
    <t>Etieene Formosa Carabez</t>
  </si>
  <si>
    <t>steve Gambin</t>
  </si>
  <si>
    <t>Total Day 8 B</t>
  </si>
  <si>
    <t xml:space="preserve">Total Day 8 </t>
  </si>
  <si>
    <t>Matthias Scihira</t>
  </si>
  <si>
    <t>Annmari Mangion</t>
  </si>
  <si>
    <t>TEAM E: Juan Smmut</t>
  </si>
  <si>
    <t>Day 9 -  11/04/2025 &amp; 12/04/2025</t>
  </si>
  <si>
    <t>Total Day 9 A</t>
  </si>
  <si>
    <t>Total Day 9B</t>
  </si>
  <si>
    <t xml:space="preserve">Total Day 9 </t>
  </si>
  <si>
    <t>6.30 pm
crt 3</t>
  </si>
  <si>
    <t>Ann Marie Attard (dem) Maria Ellul</t>
  </si>
  <si>
    <t>Angele Pule' (Dem Lonia Carabott)</t>
  </si>
  <si>
    <t>Dem -2</t>
  </si>
  <si>
    <t>7.45 pm
crt 3</t>
  </si>
  <si>
    <t>Kurt Cassar (Pro Manuel Bonello)</t>
  </si>
  <si>
    <t>Brenda Baldacchino (pro) Anthea Gauci</t>
  </si>
  <si>
    <t>Jodie Stivala (pro) Marcette Sciriha</t>
  </si>
  <si>
    <t>Natalaya Abela</t>
  </si>
  <si>
    <t>Day 10 - 25/04/2025 &amp; 26/04/2025</t>
  </si>
  <si>
    <t>Total Day 10 A</t>
  </si>
  <si>
    <t>Total Day 10B</t>
  </si>
  <si>
    <t xml:space="preserve">Total Day 10 </t>
  </si>
  <si>
    <t xml:space="preserve">Brenda Baldacchino </t>
  </si>
  <si>
    <t>Tanya Cassar (Pro Marcette Sciriha)</t>
  </si>
  <si>
    <t xml:space="preserve">9.00 pm </t>
  </si>
  <si>
    <t xml:space="preserve">Rebecca Pace </t>
  </si>
  <si>
    <t>Julie Spiteri (pro Kaya Sammut)</t>
  </si>
  <si>
    <t>Jin Attard (pro Mariska Steenkamer)</t>
  </si>
  <si>
    <t>Kevin Sciberras (pro Kenneth Caruana)</t>
  </si>
  <si>
    <t>Semi Final - 03/05/2025 &amp; 07/05/2025</t>
  </si>
  <si>
    <t xml:space="preserve">3.30pm </t>
  </si>
  <si>
    <t>T/B 5-7</t>
  </si>
  <si>
    <t>6.30pm
(Wed)</t>
  </si>
  <si>
    <t>6.30pm
(crt 4)</t>
  </si>
  <si>
    <t>7.45 pm
(crt 3)</t>
  </si>
  <si>
    <t>Ann Marie Mangion</t>
  </si>
  <si>
    <t>Joe Randich</t>
  </si>
  <si>
    <t>6.30pm
(crt 3)</t>
  </si>
  <si>
    <t>Final</t>
  </si>
  <si>
    <t>Court 1/2</t>
  </si>
  <si>
    <t>TEAM C:Gabriel Pace</t>
  </si>
  <si>
    <t>10.30am</t>
  </si>
  <si>
    <t>4.00pm</t>
  </si>
  <si>
    <t>TB 8-6</t>
  </si>
  <si>
    <t>5.30pm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</si>
</sst>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 d mmmm h:mm am/pm"/>
  </numFmts>
  <fonts count="48">
    <font>
      <sz val="10.0"/>
      <color rgb="FF000000"/>
      <name val="Arial"/>
      <scheme val="minor"/>
    </font>
    <font>
      <b/>
      <u/>
      <sz val="18.0"/>
      <color rgb="FF000000"/>
      <name val="Arial"/>
    </font>
    <font>
      <b/>
      <u/>
      <sz val="16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sz val="12.0"/>
      <color theme="1"/>
      <name val="Arial"/>
    </font>
    <font>
      <b/>
      <sz val="14.0"/>
      <color rgb="FF800000"/>
      <name val="Arial"/>
    </font>
    <font/>
    <font>
      <sz val="14.0"/>
      <color theme="1"/>
      <name val="Arial"/>
    </font>
    <font>
      <b/>
      <sz val="10.0"/>
      <color theme="1"/>
      <name val="Arial"/>
    </font>
    <font>
      <b/>
      <sz val="11.0"/>
      <color theme="1"/>
      <name val="Arial"/>
    </font>
    <font>
      <sz val="11.0"/>
      <color rgb="FF000000"/>
      <name val="Arial"/>
    </font>
    <font>
      <b/>
      <sz val="10.0"/>
      <color rgb="FF000000"/>
      <name val="Arial"/>
    </font>
    <font>
      <b/>
      <u/>
      <sz val="18.0"/>
      <color theme="1"/>
      <name val="Arial"/>
    </font>
    <font>
      <b/>
      <sz val="20.0"/>
      <color rgb="FF000080"/>
      <name val="Arial"/>
    </font>
    <font>
      <sz val="11.0"/>
      <color theme="1"/>
      <name val="Arial"/>
    </font>
    <font>
      <b/>
      <sz val="16.0"/>
      <color rgb="FF000080"/>
      <name val="Arial"/>
    </font>
    <font>
      <b/>
      <sz val="12.0"/>
      <color rgb="FF000080"/>
      <name val="Arial"/>
    </font>
    <font>
      <b/>
      <sz val="11.0"/>
      <color rgb="FF000080"/>
      <name val="Arial"/>
    </font>
    <font>
      <b/>
      <sz val="11.0"/>
      <color rgb="FF008000"/>
      <name val="Arial"/>
    </font>
    <font>
      <b/>
      <sz val="11.0"/>
      <color rgb="FF800000"/>
      <name val="Arial"/>
    </font>
    <font>
      <b/>
      <sz val="12.0"/>
      <color rgb="FF008000"/>
      <name val="Arial"/>
    </font>
    <font>
      <sz val="11.0"/>
      <color rgb="FF000080"/>
      <name val="Arial"/>
    </font>
    <font>
      <b/>
      <sz val="12.0"/>
      <color rgb="FF800000"/>
      <name val="Arial"/>
    </font>
    <font>
      <b/>
      <sz val="14.0"/>
      <color rgb="FF3366FF"/>
      <name val="Arial"/>
    </font>
    <font>
      <sz val="11.0"/>
      <color rgb="FF3366FF"/>
      <name val="Arial"/>
    </font>
    <font>
      <b/>
      <sz val="14.0"/>
      <color rgb="FF000080"/>
      <name val="Arial"/>
    </font>
    <font>
      <b/>
      <sz val="12.0"/>
      <color rgb="FF3366FF"/>
      <name val="Arial"/>
    </font>
    <font>
      <color theme="1"/>
      <name val="Arial"/>
      <scheme val="minor"/>
    </font>
    <font>
      <sz val="10.0"/>
      <color theme="1"/>
      <name val="Tahoma"/>
    </font>
    <font>
      <b/>
      <sz val="12.0"/>
      <color rgb="FF000080"/>
      <name val="Tahoma"/>
    </font>
    <font>
      <b/>
      <sz val="16.0"/>
      <color rgb="FF000080"/>
      <name val="Tahoma"/>
    </font>
    <font>
      <b/>
      <sz val="14.0"/>
      <color rgb="FF000080"/>
      <name val="Tahoma"/>
    </font>
    <font>
      <b/>
      <sz val="10.0"/>
      <color rgb="FF000080"/>
      <name val="Tahoma"/>
    </font>
    <font>
      <b/>
      <sz val="10.0"/>
      <color theme="1"/>
      <name val="Tahoma"/>
    </font>
    <font>
      <b/>
      <sz val="9.0"/>
      <color theme="1"/>
      <name val="Tahoma"/>
    </font>
    <font>
      <b/>
      <sz val="10.0"/>
      <color rgb="FF3366FF"/>
      <name val="Tahoma"/>
    </font>
    <font>
      <sz val="10.0"/>
      <color rgb="FF000080"/>
      <name val="Tahoma"/>
    </font>
    <font>
      <sz val="9.0"/>
      <color theme="1"/>
      <name val="Tahoma"/>
    </font>
    <font>
      <b/>
      <sz val="10.0"/>
      <color rgb="FF800000"/>
      <name val="Tahoma"/>
    </font>
    <font>
      <sz val="8.0"/>
      <color theme="1"/>
      <name val="Tahoma"/>
    </font>
    <font>
      <color theme="1"/>
      <name val="Tahoma"/>
    </font>
    <font>
      <b/>
      <u/>
      <sz val="16.0"/>
      <color rgb="FF000080"/>
      <name val="Tahoma"/>
    </font>
    <font>
      <b/>
      <sz val="12.0"/>
      <color theme="1"/>
      <name val="Tahoma"/>
    </font>
    <font>
      <sz val="12.0"/>
      <color theme="1"/>
      <name val="Tahoma"/>
    </font>
    <font>
      <b/>
      <sz val="12.0"/>
      <color rgb="FF3366FF"/>
      <name val="Tahoma"/>
    </font>
    <font>
      <sz val="12.0"/>
      <color rgb="FF000080"/>
      <name val="Tahoma"/>
    </font>
  </fonts>
  <fills count="13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  <fill>
      <patternFill patternType="solid">
        <fgColor rgb="FF333399"/>
        <bgColor rgb="FF333399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C6D9F0"/>
        <bgColor rgb="FFC6D9F0"/>
      </patternFill>
    </fill>
    <fill>
      <patternFill patternType="solid">
        <fgColor theme="0"/>
        <bgColor theme="0"/>
      </patternFill>
    </fill>
    <fill>
      <patternFill patternType="solid">
        <fgColor rgb="FFE5B8B7"/>
        <bgColor rgb="FFE5B8B7"/>
      </patternFill>
    </fill>
    <fill>
      <patternFill patternType="solid">
        <fgColor rgb="FF0066CC"/>
        <bgColor rgb="FF0066CC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000080"/>
        <bgColor rgb="FF000080"/>
      </patternFill>
    </fill>
  </fills>
  <borders count="117">
    <border/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/>
      <right style="thin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ck">
        <color rgb="FF000000"/>
      </right>
      <top style="thin">
        <color rgb="FF000000"/>
      </top>
      <bottom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/>
      <bottom/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3366FF"/>
      </left>
      <right/>
      <top style="medium">
        <color rgb="FF3366FF"/>
      </top>
      <bottom/>
    </border>
    <border>
      <left/>
      <top style="medium">
        <color rgb="FF3366FF"/>
      </top>
    </border>
    <border>
      <top style="medium">
        <color rgb="FF3366FF"/>
      </top>
    </border>
    <border>
      <right style="medium">
        <color rgb="FF3366FF"/>
      </right>
      <top style="medium">
        <color rgb="FF3366FF"/>
      </top>
    </border>
    <border>
      <left style="medium">
        <color rgb="FF3366FF"/>
      </left>
      <right/>
      <top/>
      <bottom/>
    </border>
    <border>
      <left/>
      <bottom/>
    </border>
    <border>
      <bottom/>
    </border>
    <border>
      <right style="medium">
        <color rgb="FF3366FF"/>
      </right>
      <bottom/>
    </border>
    <border>
      <left style="medium">
        <color rgb="FF3366FF"/>
      </left>
    </border>
    <border>
      <left style="thin">
        <color rgb="FF3366FF"/>
      </left>
      <top style="thin">
        <color rgb="FF3366FF"/>
      </top>
      <bottom style="thin">
        <color rgb="FF3366FF"/>
      </bottom>
    </border>
    <border>
      <right style="thin">
        <color rgb="FF3366FF"/>
      </right>
      <top style="thin">
        <color rgb="FF3366FF"/>
      </top>
      <bottom style="thin">
        <color rgb="FF3366FF"/>
      </bottom>
    </border>
    <border>
      <left style="thin">
        <color rgb="FF3366FF"/>
      </left>
      <right style="thin">
        <color rgb="FF3366FF"/>
      </right>
      <top style="thin">
        <color rgb="FF3366FF"/>
      </top>
      <bottom style="thin">
        <color rgb="FF3366FF"/>
      </bottom>
    </border>
    <border>
      <right style="medium">
        <color rgb="FF3366FF"/>
      </right>
      <top style="thin">
        <color rgb="FF3366FF"/>
      </top>
      <bottom style="thin">
        <color rgb="FF3366FF"/>
      </bottom>
    </border>
    <border>
      <left style="thin">
        <color rgb="FF3366FF"/>
      </left>
      <right style="medium">
        <color rgb="FF3366FF"/>
      </right>
      <top style="thin">
        <color rgb="FF3366FF"/>
      </top>
      <bottom style="thin">
        <color rgb="FF3366FF"/>
      </bottom>
    </border>
    <border>
      <left style="medium">
        <color rgb="FF3366FF"/>
      </left>
      <right/>
      <top/>
      <bottom style="thin">
        <color rgb="FF3366FF"/>
      </bottom>
    </border>
    <border>
      <left/>
      <right/>
      <top/>
      <bottom style="thin">
        <color rgb="FF3366FF"/>
      </bottom>
    </border>
    <border>
      <left/>
      <right style="medium">
        <color rgb="FF3366FF"/>
      </right>
      <top/>
      <bottom/>
    </border>
    <border>
      <left style="medium">
        <color rgb="FF3366FF"/>
      </left>
      <right style="thin">
        <color rgb="FF3366FF"/>
      </right>
    </border>
    <border>
      <right style="thin">
        <color rgb="FF3366FF"/>
      </right>
      <bottom style="thin">
        <color rgb="FF3366FF"/>
      </bottom>
    </border>
    <border>
      <left style="thin">
        <color rgb="FF3366FF"/>
      </left>
      <right style="thin">
        <color rgb="FF3366FF"/>
      </right>
      <top style="thin">
        <color rgb="FF3366FF"/>
      </top>
    </border>
    <border>
      <left style="thin">
        <color rgb="FF3366FF"/>
      </left>
      <top style="thin">
        <color rgb="FF3366FF"/>
      </top>
    </border>
    <border>
      <left style="thin">
        <color rgb="FF3366FF"/>
      </left>
      <right style="medium">
        <color rgb="FF3366FF"/>
      </right>
      <top style="thin">
        <color rgb="FF3366FF"/>
      </top>
    </border>
    <border>
      <left style="thin">
        <color rgb="FF3366FF"/>
      </left>
      <right style="thin">
        <color rgb="FF3366FF"/>
      </right>
      <bottom style="thin">
        <color rgb="FF3366FF"/>
      </bottom>
    </border>
    <border>
      <left style="thin">
        <color rgb="FF3366FF"/>
      </left>
    </border>
    <border>
      <left style="thin">
        <color rgb="FF3366FF"/>
      </left>
      <right style="medium">
        <color rgb="FF3366FF"/>
      </right>
    </border>
    <border>
      <left style="medium">
        <color rgb="FF3366FF"/>
      </left>
      <right style="thin">
        <color rgb="FF3366FF"/>
      </right>
      <top/>
      <bottom/>
    </border>
    <border>
      <left/>
      <right style="thin">
        <color rgb="FF3366FF"/>
      </right>
      <top style="thin">
        <color rgb="FF3366FF"/>
      </top>
      <bottom style="thin">
        <color rgb="FF3366FF"/>
      </bottom>
    </border>
    <border>
      <left style="thin">
        <color rgb="FF3366FF"/>
      </left>
      <right style="medium">
        <color rgb="FF3366FF"/>
      </right>
      <top/>
      <bottom/>
    </border>
    <border>
      <left style="thin">
        <color rgb="FF3366FF"/>
      </left>
      <right style="thin">
        <color rgb="FF3366FF"/>
      </right>
      <top style="thin">
        <color rgb="FF3366FF"/>
      </top>
      <bottom style="medium">
        <color rgb="FF3366FF"/>
      </bottom>
    </border>
    <border>
      <left style="medium">
        <color rgb="FF3366FF"/>
      </left>
      <right style="thin">
        <color rgb="FF3366FF"/>
      </right>
      <bottom style="medium">
        <color rgb="FF3366FF"/>
      </bottom>
    </border>
    <border>
      <right style="thin">
        <color rgb="FF3366FF"/>
      </right>
      <top style="thin">
        <color rgb="FF3366FF"/>
      </top>
      <bottom style="medium">
        <color rgb="FF3366FF"/>
      </bottom>
    </border>
    <border>
      <left style="thin">
        <color rgb="FF3366FF"/>
      </left>
      <right style="thin">
        <color rgb="FF3366FF"/>
      </right>
      <bottom style="medium">
        <color rgb="FF3366FF"/>
      </bottom>
    </border>
    <border>
      <left/>
      <right/>
      <top/>
      <bottom style="medium">
        <color rgb="FF3366FF"/>
      </bottom>
    </border>
    <border>
      <left style="thin">
        <color rgb="FF3366FF"/>
      </left>
      <bottom style="medium">
        <color rgb="FF3366FF"/>
      </bottom>
    </border>
    <border>
      <left style="thin">
        <color rgb="FF3366FF"/>
      </left>
      <right style="medium">
        <color rgb="FF3366FF"/>
      </right>
      <bottom style="medium">
        <color rgb="FF3366FF"/>
      </bottom>
    </border>
    <border>
      <right style="medium">
        <color rgb="FF3366FF"/>
      </right>
    </border>
    <border>
      <left/>
      <right style="thin">
        <color rgb="FF3366FF"/>
      </right>
      <top/>
      <bottom style="thin">
        <color rgb="FF0000FF"/>
      </bottom>
    </border>
    <border>
      <left/>
      <right/>
      <top/>
      <bottom style="thin">
        <color rgb="FF0000FF"/>
      </bottom>
    </border>
    <border>
      <left/>
      <right style="thin">
        <color rgb="FF0000FF"/>
      </right>
      <top/>
      <bottom style="thin">
        <color rgb="FF0000FF"/>
      </bottom>
    </border>
    <border>
      <left/>
      <right style="medium">
        <color rgb="FF3366FF"/>
      </right>
      <top/>
      <bottom style="medium">
        <color rgb="FF3366FF"/>
      </bottom>
    </border>
    <border>
      <left style="medium">
        <color rgb="FF3366FF"/>
      </left>
      <top style="medium">
        <color rgb="FF3366FF"/>
      </top>
    </border>
    <border>
      <left style="medium">
        <color rgb="FF3366FF"/>
      </left>
      <top style="thin">
        <color rgb="FF000000"/>
      </top>
    </border>
    <border>
      <top style="thin">
        <color rgb="FF000000"/>
      </top>
    </border>
    <border>
      <right style="medium">
        <color rgb="FF3366FF"/>
      </right>
      <top style="thin">
        <color rgb="FF000000"/>
      </top>
    </border>
    <border>
      <left style="medium">
        <color rgb="FF3366FF"/>
      </left>
      <bottom style="thin">
        <color rgb="FF000000"/>
      </bottom>
    </border>
    <border>
      <bottom style="thin">
        <color rgb="FF000000"/>
      </bottom>
    </border>
    <border>
      <right style="medium">
        <color rgb="FF3366FF"/>
      </right>
      <bottom style="thin">
        <color rgb="FF000000"/>
      </bottom>
    </border>
    <border>
      <left style="medium">
        <color rgb="FF3366FF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3366FF"/>
      </right>
      <top style="thin">
        <color rgb="FF000000"/>
      </top>
      <bottom style="thin">
        <color rgb="FF000000"/>
      </bottom>
    </border>
    <border>
      <left style="medium">
        <color rgb="FF3366FF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hair">
        <color rgb="FF3366FF"/>
      </right>
      <top style="thin">
        <color rgb="FF000000"/>
      </top>
      <bottom style="hair">
        <color rgb="FF3366FF"/>
      </bottom>
    </border>
    <border>
      <right style="thin">
        <color rgb="FF000000"/>
      </right>
      <top style="thin">
        <color rgb="FF000000"/>
      </top>
      <bottom style="hair">
        <color rgb="FF3366FF"/>
      </bottom>
    </border>
    <border>
      <left style="medium">
        <color rgb="FF3366FF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3366FF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3366FF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3366FF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hair">
        <color rgb="FF3366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3366FF"/>
      </left>
      <top style="thin">
        <color rgb="FF000000"/>
      </top>
      <bottom style="medium">
        <color rgb="FF3366FF"/>
      </bottom>
    </border>
    <border>
      <top style="thin">
        <color rgb="FF000000"/>
      </top>
      <bottom style="medium">
        <color rgb="FF3366FF"/>
      </bottom>
    </border>
    <border>
      <right style="medium">
        <color rgb="FF3366FF"/>
      </right>
      <top style="thin">
        <color rgb="FF000000"/>
      </top>
      <bottom style="medium">
        <color rgb="FF3366FF"/>
      </bottom>
    </border>
    <border>
      <left style="medium">
        <color rgb="FF3366FF"/>
      </left>
      <top style="medium">
        <color rgb="FF3366FF"/>
      </top>
      <bottom style="thin">
        <color rgb="FF000000"/>
      </bottom>
    </border>
    <border>
      <top style="medium">
        <color rgb="FF3366FF"/>
      </top>
      <bottom style="thin">
        <color rgb="FF000000"/>
      </bottom>
    </border>
    <border>
      <right style="medium">
        <color rgb="FF3366FF"/>
      </right>
      <top style="medium">
        <color rgb="FF3366FF"/>
      </top>
      <bottom style="thin">
        <color rgb="FF000000"/>
      </bottom>
    </border>
    <border>
      <left style="medium">
        <color rgb="FF3366FF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3366FF"/>
      </right>
      <top/>
      <bottom style="thin">
        <color rgb="FF000000"/>
      </bottom>
    </border>
    <border>
      <bottom style="medium">
        <color rgb="FF3366FF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3366FF"/>
      </right>
      <top style="thin">
        <color rgb="FF000000"/>
      </top>
      <bottom style="thin">
        <color rgb="FF000000"/>
      </bottom>
    </border>
    <border>
      <right style="hair">
        <color rgb="FF3366FF"/>
      </right>
      <top style="thin">
        <color rgb="FF000000"/>
      </top>
      <bottom style="hair">
        <color rgb="FF3366FF"/>
      </bottom>
    </border>
    <border>
      <right style="hair">
        <color rgb="FF3366FF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hair">
        <color rgb="FF3366FF"/>
      </bottom>
    </border>
    <border>
      <left style="hair">
        <color rgb="FF3366FF"/>
      </left>
      <right style="thin">
        <color rgb="FF000000"/>
      </right>
      <top style="thin">
        <color rgb="FF000000"/>
      </top>
      <bottom style="hair">
        <color rgb="FF3366FF"/>
      </bottom>
    </border>
    <border>
      <left style="hair">
        <color rgb="FF3366FF"/>
      </left>
      <right style="thin">
        <color rgb="FF000000"/>
      </right>
      <bottom style="thin">
        <color rgb="FF000000"/>
      </bottom>
    </border>
    <border>
      <left style="medium">
        <color rgb="FF3366FF"/>
      </left>
      <top style="thin">
        <color rgb="FF000000"/>
      </top>
      <bottom/>
    </border>
    <border>
      <right style="medium">
        <color rgb="FF3366FF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3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2" fillId="2" fontId="4" numFmtId="0" xfId="0" applyAlignment="1" applyBorder="1" applyFont="1">
      <alignment horizontal="center" shrinkToFit="0" vertical="center" wrapText="0"/>
    </xf>
    <xf borderId="3" fillId="2" fontId="4" numFmtId="0" xfId="0" applyAlignment="1" applyBorder="1" applyFont="1">
      <alignment horizontal="center" shrinkToFit="0" vertical="center" wrapText="0"/>
    </xf>
    <xf borderId="4" fillId="2" fontId="4" numFmtId="0" xfId="0" applyAlignment="1" applyBorder="1" applyFont="1">
      <alignment horizontal="center" shrinkToFit="0" vertical="center" wrapText="0"/>
    </xf>
    <xf borderId="5" fillId="2" fontId="4" numFmtId="0" xfId="0" applyAlignment="1" applyBorder="1" applyFont="1">
      <alignment horizontal="center" shrinkToFit="0" vertical="center" wrapText="0"/>
    </xf>
    <xf borderId="6" fillId="0" fontId="5" numFmtId="0" xfId="0" applyAlignment="1" applyBorder="1" applyFont="1">
      <alignment horizontal="center" readingOrder="0" shrinkToFit="0" vertical="center" wrapText="0"/>
    </xf>
    <xf borderId="7" fillId="0" fontId="5" numFmtId="0" xfId="0" applyAlignment="1" applyBorder="1" applyFont="1">
      <alignment horizontal="center" readingOrder="0" shrinkToFit="0" vertical="center" wrapText="0"/>
    </xf>
    <xf borderId="8" fillId="2" fontId="4" numFmtId="0" xfId="0" applyAlignment="1" applyBorder="1" applyFont="1">
      <alignment horizontal="center" shrinkToFit="0" vertical="center" wrapText="0"/>
    </xf>
    <xf borderId="9" fillId="3" fontId="5" numFmtId="0" xfId="0" applyAlignment="1" applyBorder="1" applyFill="1" applyFont="1">
      <alignment horizontal="center" shrinkToFit="0" vertical="center" wrapText="0"/>
    </xf>
    <xf borderId="10" fillId="3" fontId="5" numFmtId="0" xfId="0" applyAlignment="1" applyBorder="1" applyFont="1">
      <alignment horizontal="center" shrinkToFit="0" vertical="center" wrapText="0"/>
    </xf>
    <xf borderId="11" fillId="3" fontId="5" numFmtId="0" xfId="0" applyAlignment="1" applyBorder="1" applyFont="1">
      <alignment horizontal="center" shrinkToFit="0" vertical="center" wrapText="0"/>
    </xf>
    <xf borderId="12" fillId="2" fontId="5" numFmtId="0" xfId="0" applyAlignment="1" applyBorder="1" applyFont="1">
      <alignment horizontal="center" shrinkToFit="0" vertical="center" wrapText="0"/>
    </xf>
    <xf borderId="6" fillId="0" fontId="6" numFmtId="0" xfId="0" applyAlignment="1" applyBorder="1" applyFont="1">
      <alignment horizontal="center" readingOrder="0" shrinkToFit="0" vertical="center" wrapText="0"/>
    </xf>
    <xf borderId="7" fillId="0" fontId="6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bottom" wrapText="0"/>
    </xf>
    <xf borderId="13" fillId="0" fontId="6" numFmtId="0" xfId="0" applyAlignment="1" applyBorder="1" applyFont="1">
      <alignment horizontal="center" readingOrder="0" shrinkToFit="0" vertical="center" wrapText="0"/>
    </xf>
    <xf borderId="14" fillId="0" fontId="6" numFmtId="0" xfId="0" applyAlignment="1" applyBorder="1" applyFont="1">
      <alignment horizontal="center" readingOrder="0" shrinkToFit="0" vertical="center" wrapText="0"/>
    </xf>
    <xf borderId="13" fillId="0" fontId="4" numFmtId="0" xfId="0" applyAlignment="1" applyBorder="1" applyFont="1">
      <alignment horizontal="center" readingOrder="0" shrinkToFit="0" vertical="center" wrapText="0"/>
    </xf>
    <xf borderId="15" fillId="3" fontId="7" numFmtId="0" xfId="0" applyAlignment="1" applyBorder="1" applyFont="1">
      <alignment horizontal="center" shrinkToFit="0" vertical="center" wrapText="0"/>
    </xf>
    <xf borderId="16" fillId="0" fontId="8" numFmtId="0" xfId="0" applyBorder="1" applyFont="1"/>
    <xf borderId="17" fillId="0" fontId="8" numFmtId="0" xfId="0" applyBorder="1" applyFont="1"/>
    <xf borderId="8" fillId="2" fontId="5" numFmtId="0" xfId="0" applyAlignment="1" applyBorder="1" applyFont="1">
      <alignment horizontal="center" shrinkToFit="0" vertical="center" wrapText="0"/>
    </xf>
    <xf borderId="18" fillId="0" fontId="6" numFmtId="0" xfId="0" applyAlignment="1" applyBorder="1" applyFont="1">
      <alignment horizontal="center" readingOrder="0" shrinkToFit="0" vertical="center" wrapText="0"/>
    </xf>
    <xf borderId="13" fillId="4" fontId="6" numFmtId="0" xfId="0" applyAlignment="1" applyBorder="1" applyFill="1" applyFont="1">
      <alignment horizontal="center" readingOrder="0" shrinkToFit="0" vertical="center" wrapText="0"/>
    </xf>
    <xf borderId="6" fillId="4" fontId="6" numFmtId="0" xfId="0" applyAlignment="1" applyBorder="1" applyFont="1">
      <alignment horizontal="center" readingOrder="0" shrinkToFit="0" vertical="center" wrapText="0"/>
    </xf>
    <xf borderId="19" fillId="0" fontId="6" numFmtId="0" xfId="0" applyAlignment="1" applyBorder="1" applyFont="1">
      <alignment horizontal="center" readingOrder="0" shrinkToFit="0" vertical="center" wrapText="0"/>
    </xf>
    <xf borderId="15" fillId="3" fontId="5" numFmtId="0" xfId="0" applyAlignment="1" applyBorder="1" applyFont="1">
      <alignment horizontal="center" shrinkToFit="0" vertical="center" wrapText="0"/>
    </xf>
    <xf borderId="14" fillId="4" fontId="6" numFmtId="0" xfId="0" applyAlignment="1" applyBorder="1" applyFont="1">
      <alignment horizontal="center" readingOrder="0" shrinkToFit="0" vertical="center" wrapText="0"/>
    </xf>
    <xf borderId="20" fillId="3" fontId="5" numFmtId="0" xfId="0" applyAlignment="1" applyBorder="1" applyFont="1">
      <alignment horizontal="center" shrinkToFit="0" vertical="center" wrapText="0"/>
    </xf>
    <xf borderId="21" fillId="0" fontId="8" numFmtId="0" xfId="0" applyBorder="1" applyFont="1"/>
    <xf borderId="22" fillId="0" fontId="8" numFmtId="0" xfId="0" applyBorder="1" applyFont="1"/>
    <xf borderId="0" fillId="4" fontId="6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14" fillId="0" fontId="4" numFmtId="0" xfId="0" applyAlignment="1" applyBorder="1" applyFont="1">
      <alignment horizontal="center" readingOrder="0" shrinkToFit="0" vertical="center" wrapText="0"/>
    </xf>
    <xf borderId="20" fillId="3" fontId="4" numFmtId="0" xfId="0" applyAlignment="1" applyBorder="1" applyFont="1">
      <alignment horizontal="center" shrinkToFit="0" vertical="center" wrapText="0"/>
    </xf>
    <xf borderId="13" fillId="0" fontId="6" numFmtId="0" xfId="0" applyAlignment="1" applyBorder="1" applyFont="1">
      <alignment horizontal="center" readingOrder="0" shrinkToFit="0" vertical="bottom" wrapText="0"/>
    </xf>
    <xf borderId="14" fillId="0" fontId="6" numFmtId="0" xfId="0" applyAlignment="1" applyBorder="1" applyFont="1">
      <alignment horizontal="center" readingOrder="0" shrinkToFit="0" vertical="bottom" wrapText="0"/>
    </xf>
    <xf borderId="23" fillId="3" fontId="5" numFmtId="0" xfId="0" applyAlignment="1" applyBorder="1" applyFont="1">
      <alignment horizontal="center" shrinkToFit="0" vertical="center" wrapText="0"/>
    </xf>
    <xf borderId="24" fillId="3" fontId="9" numFmtId="0" xfId="0" applyAlignment="1" applyBorder="1" applyFont="1">
      <alignment horizontal="center" shrinkToFit="0" vertical="center" wrapText="0"/>
    </xf>
    <xf borderId="24" fillId="3" fontId="5" numFmtId="0" xfId="0" applyAlignment="1" applyBorder="1" applyFont="1">
      <alignment horizontal="center" shrinkToFit="0" vertical="center" wrapText="0"/>
    </xf>
    <xf borderId="25" fillId="3" fontId="9" numFmtId="0" xfId="0" applyAlignment="1" applyBorder="1" applyFont="1">
      <alignment horizontal="center" shrinkToFit="0" vertical="center" wrapText="0"/>
    </xf>
    <xf borderId="13" fillId="5" fontId="10" numFmtId="0" xfId="0" applyAlignment="1" applyBorder="1" applyFill="1" applyFont="1">
      <alignment horizontal="center" readingOrder="0" shrinkToFit="0" vertical="center" wrapText="0"/>
    </xf>
    <xf borderId="26" fillId="5" fontId="10" numFmtId="0" xfId="0" applyAlignment="1" applyBorder="1" applyFont="1">
      <alignment horizontal="center" readingOrder="0" shrinkToFit="0" vertical="center" wrapText="0"/>
    </xf>
    <xf borderId="12" fillId="0" fontId="3" numFmtId="0" xfId="0" applyAlignment="1" applyBorder="1" applyFont="1">
      <alignment horizontal="center" shrinkToFit="0" vertical="bottom" wrapText="0"/>
    </xf>
    <xf borderId="13" fillId="0" fontId="3" numFmtId="0" xfId="0" applyAlignment="1" applyBorder="1" applyFont="1">
      <alignment horizontal="center" shrinkToFit="0" vertical="bottom" wrapText="0"/>
    </xf>
    <xf borderId="13" fillId="0" fontId="11" numFmtId="0" xfId="0" applyAlignment="1" applyBorder="1" applyFont="1">
      <alignment horizontal="center" shrinkToFit="0" vertical="bottom" wrapText="0"/>
    </xf>
    <xf borderId="13" fillId="6" fontId="3" numFmtId="0" xfId="0" applyAlignment="1" applyBorder="1" applyFill="1" applyFont="1">
      <alignment horizontal="center" readingOrder="0" shrinkToFit="0" vertical="center" wrapText="0"/>
    </xf>
    <xf borderId="26" fillId="6" fontId="3" numFmtId="0" xfId="0" applyAlignment="1" applyBorder="1" applyFont="1">
      <alignment horizontal="center" readingOrder="0" shrinkToFit="0" vertical="center" wrapText="0"/>
    </xf>
    <xf borderId="12" fillId="0" fontId="12" numFmtId="0" xfId="0" applyAlignment="1" applyBorder="1" applyFont="1">
      <alignment horizontal="center" readingOrder="0" shrinkToFit="0" vertical="bottom" wrapText="0"/>
    </xf>
    <xf borderId="13" fillId="0" fontId="12" numFmtId="0" xfId="0" applyAlignment="1" applyBorder="1" applyFont="1">
      <alignment horizontal="center" readingOrder="0" shrinkToFit="0" vertical="bottom" wrapText="0"/>
    </xf>
    <xf borderId="13" fillId="0" fontId="12" numFmtId="0" xfId="0" applyAlignment="1" applyBorder="1" applyFont="1">
      <alignment horizontal="center" shrinkToFit="0" vertical="bottom" wrapText="0"/>
    </xf>
    <xf borderId="13" fillId="6" fontId="3" numFmtId="0" xfId="0" applyAlignment="1" applyBorder="1" applyFont="1">
      <alignment horizontal="center" readingOrder="0" shrinkToFit="0" vertical="bottom" wrapText="0"/>
    </xf>
    <xf borderId="26" fillId="6" fontId="3" numFmtId="0" xfId="0" applyAlignment="1" applyBorder="1" applyFont="1">
      <alignment horizontal="center" readingOrder="0" shrinkToFit="0" vertical="bottom" wrapText="0"/>
    </xf>
    <xf borderId="12" fillId="0" fontId="12" numFmtId="0" xfId="0" applyAlignment="1" applyBorder="1" applyFont="1">
      <alignment horizontal="center" shrinkToFit="0" vertical="bottom" wrapText="0"/>
    </xf>
    <xf borderId="26" fillId="6" fontId="10" numFmtId="0" xfId="0" applyAlignment="1" applyBorder="1" applyFont="1">
      <alignment horizontal="center" readingOrder="0" shrinkToFit="0" vertical="center" wrapText="0"/>
    </xf>
    <xf borderId="13" fillId="7" fontId="12" numFmtId="0" xfId="0" applyAlignment="1" applyBorder="1" applyFill="1" applyFont="1">
      <alignment horizontal="center" readingOrder="0" shrinkToFit="0" vertical="bottom" wrapText="0"/>
    </xf>
    <xf borderId="27" fillId="6" fontId="3" numFmtId="0" xfId="0" applyAlignment="1" applyBorder="1" applyFont="1">
      <alignment horizontal="center" readingOrder="0" shrinkToFit="0" vertical="center" wrapText="0"/>
    </xf>
    <xf borderId="13" fillId="7" fontId="12" numFmtId="0" xfId="0" applyAlignment="1" applyBorder="1" applyFont="1">
      <alignment horizontal="center" shrinkToFit="0" vertical="bottom" wrapText="0"/>
    </xf>
    <xf borderId="12" fillId="4" fontId="12" numFmtId="0" xfId="0" applyAlignment="1" applyBorder="1" applyFont="1">
      <alignment horizontal="center" readingOrder="0" shrinkToFit="0" vertical="bottom" wrapText="0"/>
    </xf>
    <xf borderId="13" fillId="8" fontId="3" numFmtId="0" xfId="0" applyAlignment="1" applyBorder="1" applyFill="1" applyFont="1">
      <alignment horizontal="center" readingOrder="0" shrinkToFit="0" vertical="center" wrapText="0"/>
    </xf>
    <xf borderId="27" fillId="8" fontId="3" numFmtId="0" xfId="0" applyAlignment="1" applyBorder="1" applyFont="1">
      <alignment horizontal="center" readingOrder="0" shrinkToFit="0" vertical="center" wrapText="0"/>
    </xf>
    <xf borderId="26" fillId="8" fontId="3" numFmtId="0" xfId="0" applyAlignment="1" applyBorder="1" applyFont="1">
      <alignment horizontal="center" readingOrder="0" shrinkToFit="0" vertical="center" wrapText="0"/>
    </xf>
    <xf borderId="13" fillId="8" fontId="3" numFmtId="0" xfId="0" applyAlignment="1" applyBorder="1" applyFont="1">
      <alignment horizontal="center" readingOrder="0" shrinkToFit="0" vertical="bottom" wrapText="0"/>
    </xf>
    <xf borderId="26" fillId="8" fontId="3" numFmtId="0" xfId="0" applyAlignment="1" applyBorder="1" applyFont="1">
      <alignment horizontal="center" readingOrder="0" shrinkToFit="0" vertical="bottom" wrapText="0"/>
    </xf>
    <xf borderId="13" fillId="4" fontId="12" numFmtId="0" xfId="0" applyAlignment="1" applyBorder="1" applyFont="1">
      <alignment horizontal="center" readingOrder="0" shrinkToFit="0" vertical="bottom" wrapText="0"/>
    </xf>
    <xf borderId="0" fillId="9" fontId="3" numFmtId="0" xfId="0" applyAlignment="1" applyFill="1" applyFont="1">
      <alignment shrinkToFit="0" vertical="bottom" wrapText="0"/>
    </xf>
    <xf borderId="28" fillId="9" fontId="3" numFmtId="0" xfId="0" applyAlignment="1" applyBorder="1" applyFont="1">
      <alignment shrinkToFit="0" vertical="bottom" wrapText="0"/>
    </xf>
    <xf borderId="29" fillId="9" fontId="3" numFmtId="0" xfId="0" applyAlignment="1" applyBorder="1" applyFont="1">
      <alignment shrinkToFit="0" vertical="bottom" wrapText="0"/>
    </xf>
    <xf borderId="0" fillId="5" fontId="13" numFmtId="0" xfId="0" applyAlignment="1" applyFont="1">
      <alignment horizontal="center" readingOrder="0" shrinkToFit="0" vertical="bottom" wrapText="0"/>
    </xf>
    <xf borderId="30" fillId="5" fontId="13" numFmtId="0" xfId="0" applyAlignment="1" applyBorder="1" applyFont="1">
      <alignment horizontal="center" readingOrder="0" shrinkToFit="0" vertical="bottom" wrapText="0"/>
    </xf>
    <xf borderId="6" fillId="6" fontId="3" numFmtId="0" xfId="0" applyAlignment="1" applyBorder="1" applyFont="1">
      <alignment horizontal="center" readingOrder="0" shrinkToFit="0" vertical="center" wrapText="0"/>
    </xf>
    <xf borderId="6" fillId="4" fontId="3" numFmtId="0" xfId="0" applyAlignment="1" applyBorder="1" applyFont="1">
      <alignment horizontal="center" readingOrder="0" shrinkToFit="0" vertical="center" wrapText="0"/>
    </xf>
    <xf borderId="13" fillId="4" fontId="12" numFmtId="0" xfId="0" applyAlignment="1" applyBorder="1" applyFont="1">
      <alignment horizontal="center" shrinkToFit="0" vertical="bottom" wrapText="0"/>
    </xf>
    <xf borderId="6" fillId="8" fontId="3" numFmtId="0" xfId="0" applyAlignment="1" applyBorder="1" applyFont="1">
      <alignment horizontal="center" readingOrder="0" shrinkToFit="0" vertical="center" wrapText="0"/>
    </xf>
    <xf borderId="0" fillId="4" fontId="10" numFmtId="0" xfId="0" applyAlignment="1" applyFont="1">
      <alignment horizontal="center" readingOrder="0" shrinkToFit="0" vertical="center" wrapText="0"/>
    </xf>
    <xf borderId="26" fillId="5" fontId="13" numFmtId="0" xfId="0" applyAlignment="1" applyBorder="1" applyFont="1">
      <alignment horizontal="center" readingOrder="0" shrinkToFit="0" vertical="bottom" wrapText="0"/>
    </xf>
    <xf borderId="13" fillId="6" fontId="10" numFmtId="0" xfId="0" applyAlignment="1" applyBorder="1" applyFont="1">
      <alignment horizontal="center" readingOrder="0" shrinkToFit="0" vertical="center" wrapText="0"/>
    </xf>
    <xf borderId="18" fillId="6" fontId="3" numFmtId="0" xfId="0" applyAlignment="1" applyBorder="1" applyFont="1">
      <alignment horizontal="center" readingOrder="0" shrinkToFit="0" vertical="center" wrapText="0"/>
    </xf>
    <xf borderId="19" fillId="6" fontId="3" numFmtId="0" xfId="0" applyAlignment="1" applyBorder="1" applyFont="1">
      <alignment horizontal="center" readingOrder="0" shrinkToFit="0" vertical="center" wrapText="0"/>
    </xf>
    <xf borderId="13" fillId="4" fontId="3" numFmtId="0" xfId="0" applyAlignment="1" applyBorder="1" applyFont="1">
      <alignment horizontal="center" readingOrder="0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31" fillId="5" fontId="13" numFmtId="0" xfId="0" applyAlignment="1" applyBorder="1" applyFont="1">
      <alignment horizontal="center" readingOrder="0" shrinkToFit="0" vertical="bottom" wrapText="0"/>
    </xf>
    <xf borderId="13" fillId="8" fontId="10" numFmtId="0" xfId="0" applyAlignment="1" applyBorder="1" applyFont="1">
      <alignment horizontal="center" readingOrder="0" shrinkToFit="0" vertical="center" wrapText="0"/>
    </xf>
    <xf borderId="0" fillId="8" fontId="3" numFmtId="0" xfId="0" applyAlignment="1" applyFont="1">
      <alignment horizontal="center" readingOrder="0" shrinkToFit="0" vertical="center" wrapText="0"/>
    </xf>
    <xf borderId="32" fillId="5" fontId="13" numFmtId="0" xfId="0" applyAlignment="1" applyBorder="1" applyFont="1">
      <alignment horizontal="center" readingOrder="0" shrinkToFit="0" vertical="bottom" wrapText="0"/>
    </xf>
    <xf borderId="33" fillId="5" fontId="13" numFmtId="0" xfId="0" applyAlignment="1" applyBorder="1" applyFont="1">
      <alignment horizontal="center" readingOrder="0" shrinkToFit="0" vertical="bottom" wrapText="0"/>
    </xf>
    <xf borderId="34" fillId="6" fontId="3" numFmtId="0" xfId="0" applyAlignment="1" applyBorder="1" applyFont="1">
      <alignment horizontal="center" readingOrder="0" shrinkToFit="0" vertical="center" wrapText="0"/>
    </xf>
    <xf borderId="35" fillId="6" fontId="3" numFmtId="0" xfId="0" applyAlignment="1" applyBorder="1" applyFont="1">
      <alignment horizontal="center" readingOrder="0" shrinkToFit="0" vertical="center" wrapText="0"/>
    </xf>
    <xf borderId="35" fillId="4" fontId="3" numFmtId="0" xfId="0" applyAlignment="1" applyBorder="1" applyFont="1">
      <alignment horizontal="center" readingOrder="0" shrinkToFit="0" vertical="center" wrapText="0"/>
    </xf>
    <xf borderId="34" fillId="8" fontId="3" numFmtId="0" xfId="0" applyAlignment="1" applyBorder="1" applyFont="1">
      <alignment horizontal="center" readingOrder="0" shrinkToFit="0" vertical="center" wrapText="0"/>
    </xf>
    <xf borderId="35" fillId="8" fontId="3" numFmtId="0" xfId="0" applyAlignment="1" applyBorder="1" applyFont="1">
      <alignment horizontal="center" readingOrder="0" shrinkToFit="0" vertical="center" wrapText="0"/>
    </xf>
    <xf borderId="35" fillId="8" fontId="10" numFmtId="0" xfId="0" applyAlignment="1" applyBorder="1" applyFont="1">
      <alignment horizontal="center" readingOrder="0" shrinkToFit="0" vertical="center" wrapText="0"/>
    </xf>
    <xf borderId="0" fillId="0" fontId="14" numFmtId="0" xfId="0" applyAlignment="1" applyFont="1">
      <alignment horizontal="center" shrinkToFit="0" vertical="center" wrapText="0"/>
    </xf>
    <xf borderId="0" fillId="0" fontId="15" numFmtId="0" xfId="0" applyAlignment="1" applyFont="1">
      <alignment shrinkToFit="0" vertical="center" wrapText="0"/>
    </xf>
    <xf borderId="0" fillId="0" fontId="10" numFmtId="0" xfId="0" applyAlignment="1" applyFont="1">
      <alignment horizontal="left"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0" xfId="0" applyAlignment="1" applyFont="1">
      <alignment horizontal="center" shrinkToFit="0" vertical="bottom" wrapText="0"/>
    </xf>
    <xf borderId="36" fillId="10" fontId="10" numFmtId="0" xfId="0" applyAlignment="1" applyBorder="1" applyFill="1" applyFont="1">
      <alignment horizontal="left" shrinkToFit="0" vertical="bottom" wrapText="0"/>
    </xf>
    <xf borderId="37" fillId="10" fontId="17" numFmtId="0" xfId="0" applyAlignment="1" applyBorder="1" applyFont="1">
      <alignment horizontal="center" shrinkToFit="0" vertical="bottom" wrapText="0"/>
    </xf>
    <xf borderId="38" fillId="0" fontId="8" numFmtId="0" xfId="0" applyBorder="1" applyFont="1"/>
    <xf borderId="39" fillId="0" fontId="8" numFmtId="0" xfId="0" applyBorder="1" applyFont="1"/>
    <xf borderId="40" fillId="10" fontId="10" numFmtId="0" xfId="0" applyAlignment="1" applyBorder="1" applyFont="1">
      <alignment horizontal="left" shrinkToFit="0" vertical="bottom" wrapText="0"/>
    </xf>
    <xf borderId="41" fillId="0" fontId="8" numFmtId="0" xfId="0" applyBorder="1" applyFont="1"/>
    <xf borderId="42" fillId="0" fontId="8" numFmtId="0" xfId="0" applyBorder="1" applyFont="1"/>
    <xf borderId="43" fillId="0" fontId="8" numFmtId="0" xfId="0" applyBorder="1" applyFont="1"/>
    <xf borderId="44" fillId="0" fontId="3" numFmtId="0" xfId="0" applyAlignment="1" applyBorder="1" applyFont="1">
      <alignment shrinkToFit="0" vertical="bottom" wrapText="0"/>
    </xf>
    <xf borderId="0" fillId="0" fontId="18" numFmtId="0" xfId="0" applyAlignment="1" applyFont="1">
      <alignment shrinkToFit="0" vertical="bottom" wrapText="0"/>
    </xf>
    <xf borderId="40" fillId="10" fontId="18" numFmtId="0" xfId="0" applyAlignment="1" applyBorder="1" applyFont="1">
      <alignment horizontal="left" shrinkToFit="0" vertical="bottom" wrapText="0"/>
    </xf>
    <xf borderId="29" fillId="10" fontId="19" numFmtId="0" xfId="0" applyAlignment="1" applyBorder="1" applyFont="1">
      <alignment horizontal="center" shrinkToFit="0" vertical="bottom" wrapText="0"/>
    </xf>
    <xf borderId="45" fillId="0" fontId="18" numFmtId="0" xfId="0" applyAlignment="1" applyBorder="1" applyFont="1">
      <alignment horizontal="center" shrinkToFit="0" vertical="bottom" wrapText="0"/>
    </xf>
    <xf borderId="46" fillId="0" fontId="8" numFmtId="0" xfId="0" applyBorder="1" applyFont="1"/>
    <xf borderId="47" fillId="11" fontId="18" numFmtId="0" xfId="0" applyAlignment="1" applyBorder="1" applyFill="1" applyFont="1">
      <alignment horizontal="center" shrinkToFit="0" vertical="center" wrapText="0"/>
    </xf>
    <xf borderId="48" fillId="0" fontId="8" numFmtId="0" xfId="0" applyBorder="1" applyFont="1"/>
    <xf borderId="0" fillId="0" fontId="6" numFmtId="0" xfId="0" applyAlignment="1" applyFont="1">
      <alignment shrinkToFit="0" vertical="bottom" wrapText="0"/>
    </xf>
    <xf borderId="40" fillId="10" fontId="4" numFmtId="0" xfId="0" applyAlignment="1" applyBorder="1" applyFont="1">
      <alignment horizontal="left" shrinkToFit="0" vertical="bottom" wrapText="0"/>
    </xf>
    <xf borderId="29" fillId="10" fontId="16" numFmtId="0" xfId="0" applyAlignment="1" applyBorder="1" applyFont="1">
      <alignment horizontal="center" shrinkToFit="0" vertical="bottom" wrapText="0"/>
    </xf>
    <xf borderId="47" fillId="0" fontId="20" numFmtId="0" xfId="0" applyAlignment="1" applyBorder="1" applyFont="1">
      <alignment horizontal="center" shrinkToFit="0" vertical="bottom" wrapText="0"/>
    </xf>
    <xf borderId="47" fillId="0" fontId="21" numFmtId="0" xfId="0" applyAlignment="1" applyBorder="1" applyFont="1">
      <alignment horizontal="center" shrinkToFit="0" vertical="bottom" wrapText="0"/>
    </xf>
    <xf borderId="47" fillId="11" fontId="21" numFmtId="0" xfId="0" applyAlignment="1" applyBorder="1" applyFont="1">
      <alignment horizontal="center" shrinkToFit="0" vertical="center" wrapText="0"/>
    </xf>
    <xf borderId="49" fillId="0" fontId="21" numFmtId="0" xfId="0" applyAlignment="1" applyBorder="1" applyFont="1">
      <alignment horizontal="center" shrinkToFit="0" vertical="bottom" wrapText="0"/>
    </xf>
    <xf borderId="50" fillId="10" fontId="4" numFmtId="0" xfId="0" applyAlignment="1" applyBorder="1" applyFont="1">
      <alignment horizontal="left" shrinkToFit="0" vertical="bottom" wrapText="0"/>
    </xf>
    <xf borderId="51" fillId="10" fontId="16" numFmtId="0" xfId="0" applyAlignment="1" applyBorder="1" applyFont="1">
      <alignment horizontal="center" shrinkToFit="0" vertical="bottom" wrapText="0"/>
    </xf>
    <xf borderId="29" fillId="10" fontId="22" numFmtId="0" xfId="0" applyAlignment="1" applyBorder="1" applyFont="1">
      <alignment shrinkToFit="0" vertical="bottom" wrapText="0"/>
    </xf>
    <xf borderId="29" fillId="10" fontId="4" numFmtId="0" xfId="0" applyAlignment="1" applyBorder="1" applyFont="1">
      <alignment shrinkToFit="0" vertical="bottom" wrapText="0"/>
    </xf>
    <xf borderId="52" fillId="10" fontId="4" numFmtId="0" xfId="0" applyAlignment="1" applyBorder="1" applyFont="1">
      <alignment shrinkToFit="0" vertical="bottom" wrapText="0"/>
    </xf>
    <xf borderId="53" fillId="0" fontId="18" numFmtId="0" xfId="0" applyAlignment="1" applyBorder="1" applyFont="1">
      <alignment horizontal="left" readingOrder="0" shrinkToFit="0" vertical="center" wrapText="0"/>
    </xf>
    <xf borderId="54" fillId="0" fontId="23" numFmtId="0" xfId="0" applyAlignment="1" applyBorder="1" applyFont="1">
      <alignment horizontal="center" shrinkToFit="0" vertical="center" wrapText="0"/>
    </xf>
    <xf borderId="47" fillId="0" fontId="22" numFmtId="1" xfId="0" applyAlignment="1" applyBorder="1" applyFont="1" applyNumberFormat="1">
      <alignment horizontal="center" shrinkToFit="0" vertical="center" wrapText="0"/>
    </xf>
    <xf borderId="47" fillId="0" fontId="24" numFmtId="1" xfId="0" applyAlignment="1" applyBorder="1" applyFont="1" applyNumberFormat="1">
      <alignment horizontal="center" shrinkToFit="0" vertical="center" wrapText="0"/>
    </xf>
    <xf borderId="55" fillId="0" fontId="22" numFmtId="1" xfId="0" applyAlignment="1" applyBorder="1" applyFont="1" applyNumberFormat="1">
      <alignment horizontal="center" shrinkToFit="0" vertical="center" wrapText="0"/>
    </xf>
    <xf borderId="55" fillId="0" fontId="24" numFmtId="1" xfId="0" applyAlignment="1" applyBorder="1" applyFont="1" applyNumberFormat="1">
      <alignment horizontal="center" shrinkToFit="0" vertical="center" wrapText="0"/>
    </xf>
    <xf borderId="29" fillId="11" fontId="24" numFmtId="0" xfId="0" applyAlignment="1" applyBorder="1" applyFont="1">
      <alignment horizontal="center" shrinkToFit="0" vertical="center" wrapText="0"/>
    </xf>
    <xf borderId="56" fillId="0" fontId="22" numFmtId="1" xfId="0" applyAlignment="1" applyBorder="1" applyFont="1" applyNumberFormat="1">
      <alignment horizontal="center" shrinkToFit="0" vertical="center" wrapText="0"/>
    </xf>
    <xf borderId="57" fillId="0" fontId="24" numFmtId="1" xfId="0" applyAlignment="1" applyBorder="1" applyFont="1" applyNumberFormat="1">
      <alignment horizontal="center" shrinkToFit="0" vertical="center" wrapText="0"/>
    </xf>
    <xf borderId="53" fillId="0" fontId="8" numFmtId="0" xfId="0" applyBorder="1" applyFont="1"/>
    <xf borderId="46" fillId="0" fontId="23" numFmtId="0" xfId="0" applyAlignment="1" applyBorder="1" applyFont="1">
      <alignment horizontal="center" shrinkToFit="0" vertical="center" wrapText="0"/>
    </xf>
    <xf borderId="58" fillId="0" fontId="8" numFmtId="0" xfId="0" applyBorder="1" applyFont="1"/>
    <xf borderId="59" fillId="0" fontId="8" numFmtId="0" xfId="0" applyBorder="1" applyFont="1"/>
    <xf borderId="60" fillId="0" fontId="8" numFmtId="0" xfId="0" applyBorder="1" applyFont="1"/>
    <xf borderId="61" fillId="11" fontId="18" numFmtId="0" xfId="0" applyAlignment="1" applyBorder="1" applyFont="1">
      <alignment horizontal="left" shrinkToFit="0" vertical="center" wrapText="0"/>
    </xf>
    <xf borderId="62" fillId="11" fontId="23" numFmtId="0" xfId="0" applyAlignment="1" applyBorder="1" applyFont="1">
      <alignment horizontal="center" shrinkToFit="0" vertical="center" wrapText="0"/>
    </xf>
    <xf borderId="63" fillId="11" fontId="24" numFmtId="0" xfId="0" applyAlignment="1" applyBorder="1" applyFont="1">
      <alignment horizontal="center" shrinkToFit="0" vertical="center" wrapText="0"/>
    </xf>
    <xf borderId="64" fillId="0" fontId="22" numFmtId="1" xfId="0" applyAlignment="1" applyBorder="1" applyFont="1" applyNumberFormat="1">
      <alignment horizontal="center" shrinkToFit="0" vertical="center" wrapText="0"/>
    </xf>
    <xf borderId="64" fillId="0" fontId="24" numFmtId="1" xfId="0" applyAlignment="1" applyBorder="1" applyFont="1" applyNumberFormat="1">
      <alignment horizontal="center" shrinkToFit="0" vertical="center" wrapText="0"/>
    </xf>
    <xf borderId="65" fillId="0" fontId="8" numFmtId="0" xfId="0" applyBorder="1" applyFont="1"/>
    <xf borderId="66" fillId="0" fontId="23" numFmtId="0" xfId="0" applyAlignment="1" applyBorder="1" applyFont="1">
      <alignment horizontal="center" shrinkToFit="0" vertical="center" wrapText="0"/>
    </xf>
    <xf borderId="67" fillId="0" fontId="8" numFmtId="0" xfId="0" applyBorder="1" applyFont="1"/>
    <xf borderId="68" fillId="11" fontId="24" numFmtId="0" xfId="0" applyAlignment="1" applyBorder="1" applyFont="1">
      <alignment horizontal="center" shrinkToFit="0" vertical="center" wrapText="0"/>
    </xf>
    <xf borderId="69" fillId="0" fontId="8" numFmtId="0" xfId="0" applyBorder="1" applyFont="1"/>
    <xf borderId="70" fillId="0" fontId="8" numFmtId="0" xfId="0" applyBorder="1" applyFont="1"/>
    <xf borderId="71" fillId="0" fontId="6" numFmtId="0" xfId="0" applyAlignment="1" applyBorder="1" applyFont="1">
      <alignment shrinkToFit="0" vertical="bottom" wrapText="0"/>
    </xf>
    <xf borderId="72" fillId="11" fontId="25" numFmtId="0" xfId="0" applyAlignment="1" applyBorder="1" applyFont="1">
      <alignment horizontal="left" shrinkToFit="0" vertical="center" wrapText="0"/>
    </xf>
    <xf borderId="73" fillId="11" fontId="26" numFmtId="0" xfId="0" applyAlignment="1" applyBorder="1" applyFont="1">
      <alignment horizontal="center" shrinkToFit="0" vertical="center" wrapText="0"/>
    </xf>
    <xf borderId="73" fillId="11" fontId="24" numFmtId="0" xfId="0" applyAlignment="1" applyBorder="1" applyFont="1">
      <alignment shrinkToFit="0" vertical="center" wrapText="0"/>
    </xf>
    <xf borderId="73" fillId="11" fontId="22" numFmtId="0" xfId="0" applyAlignment="1" applyBorder="1" applyFont="1">
      <alignment shrinkToFit="0" vertical="center" wrapText="0"/>
    </xf>
    <xf borderId="74" fillId="11" fontId="24" numFmtId="0" xfId="0" applyAlignment="1" applyBorder="1" applyFont="1">
      <alignment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16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36" fillId="10" fontId="5" numFmtId="0" xfId="0" applyAlignment="1" applyBorder="1" applyFont="1">
      <alignment horizontal="left" shrinkToFit="0" vertical="center" wrapText="0"/>
    </xf>
    <xf borderId="37" fillId="10" fontId="17" numFmtId="0" xfId="0" applyAlignment="1" applyBorder="1" applyFont="1">
      <alignment horizontal="center" shrinkToFit="0" vertical="center" wrapText="0"/>
    </xf>
    <xf borderId="40" fillId="10" fontId="5" numFmtId="0" xfId="0" applyAlignment="1" applyBorder="1" applyFont="1">
      <alignment horizontal="left" shrinkToFit="0" vertical="center" wrapText="0"/>
    </xf>
    <xf borderId="40" fillId="10" fontId="27" numFmtId="0" xfId="0" applyAlignment="1" applyBorder="1" applyFont="1">
      <alignment horizontal="left" shrinkToFit="0" vertical="center" wrapText="0"/>
    </xf>
    <xf borderId="29" fillId="10" fontId="19" numFmtId="0" xfId="0" applyAlignment="1" applyBorder="1" applyFont="1">
      <alignment horizontal="center" shrinkToFit="0" vertical="center" wrapText="0"/>
    </xf>
    <xf borderId="45" fillId="0" fontId="18" numFmtId="0" xfId="0" applyAlignment="1" applyBorder="1" applyFont="1">
      <alignment horizontal="center" shrinkToFit="0" vertical="center" wrapText="0"/>
    </xf>
    <xf borderId="45" fillId="0" fontId="18" numFmtId="0" xfId="0" applyAlignment="1" applyBorder="1" applyFont="1">
      <alignment horizontal="center" shrinkToFit="0" vertical="center" wrapText="1"/>
    </xf>
    <xf borderId="29" fillId="10" fontId="16" numFmtId="0" xfId="0" applyAlignment="1" applyBorder="1" applyFont="1">
      <alignment horizontal="center" shrinkToFit="0" vertical="center" wrapText="0"/>
    </xf>
    <xf borderId="47" fillId="0" fontId="20" numFmtId="0" xfId="0" applyAlignment="1" applyBorder="1" applyFont="1">
      <alignment horizontal="center" shrinkToFit="0" vertical="center" wrapText="0"/>
    </xf>
    <xf borderId="47" fillId="0" fontId="21" numFmtId="0" xfId="0" applyAlignment="1" applyBorder="1" applyFont="1">
      <alignment horizontal="center" shrinkToFit="0" vertical="center" wrapText="0"/>
    </xf>
    <xf borderId="49" fillId="0" fontId="21" numFmtId="0" xfId="0" applyAlignment="1" applyBorder="1" applyFont="1">
      <alignment horizontal="center" shrinkToFit="0" vertical="center" wrapText="0"/>
    </xf>
    <xf borderId="50" fillId="10" fontId="5" numFmtId="0" xfId="0" applyAlignment="1" applyBorder="1" applyFont="1">
      <alignment horizontal="left" shrinkToFit="0" vertical="center" wrapText="0"/>
    </xf>
    <xf borderId="51" fillId="10" fontId="16" numFmtId="0" xfId="0" applyAlignment="1" applyBorder="1" applyFont="1">
      <alignment horizontal="center" shrinkToFit="0" vertical="center" wrapText="0"/>
    </xf>
    <xf borderId="29" fillId="10" fontId="22" numFmtId="0" xfId="0" applyAlignment="1" applyBorder="1" applyFont="1">
      <alignment shrinkToFit="0" vertical="center" wrapText="0"/>
    </xf>
    <xf borderId="29" fillId="10" fontId="4" numFmtId="0" xfId="0" applyAlignment="1" applyBorder="1" applyFont="1">
      <alignment shrinkToFit="0" vertical="center" wrapText="0"/>
    </xf>
    <xf borderId="52" fillId="10" fontId="4" numFmtId="0" xfId="0" applyAlignment="1" applyBorder="1" applyFont="1">
      <alignment shrinkToFit="0" vertical="center" wrapText="0"/>
    </xf>
    <xf borderId="65" fillId="11" fontId="28" numFmtId="0" xfId="0" applyAlignment="1" applyBorder="1" applyFont="1">
      <alignment horizontal="left" shrinkToFit="0" vertical="bottom" wrapText="0"/>
    </xf>
    <xf borderId="68" fillId="11" fontId="26" numFmtId="0" xfId="0" applyAlignment="1" applyBorder="1" applyFont="1">
      <alignment horizontal="center" shrinkToFit="0" vertical="bottom" wrapText="0"/>
    </xf>
    <xf borderId="68" fillId="11" fontId="24" numFmtId="0" xfId="0" applyAlignment="1" applyBorder="1" applyFont="1">
      <alignment horizontal="center" shrinkToFit="0" vertical="bottom" wrapText="0"/>
    </xf>
    <xf borderId="68" fillId="11" fontId="22" numFmtId="0" xfId="0" applyAlignment="1" applyBorder="1" applyFont="1">
      <alignment horizontal="center" shrinkToFit="0" vertical="bottom" wrapText="0"/>
    </xf>
    <xf borderId="75" fillId="11" fontId="24" numFmtId="0" xfId="0" applyAlignment="1" applyBorder="1" applyFont="1">
      <alignment horizontal="center" shrinkToFit="0" vertical="bottom" wrapText="0"/>
    </xf>
    <xf borderId="0" fillId="0" fontId="29" numFmtId="0" xfId="0" applyFont="1"/>
    <xf borderId="0" fillId="0" fontId="5" numFmtId="0" xfId="0" applyAlignment="1" applyFont="1">
      <alignment horizontal="left" shrinkToFit="0" vertical="bottom" wrapText="0"/>
    </xf>
    <xf borderId="0" fillId="0" fontId="3" numFmtId="1" xfId="0" applyAlignment="1" applyFont="1" applyNumberFormat="1">
      <alignment shrinkToFit="0" vertical="bottom" wrapText="0"/>
    </xf>
    <xf borderId="0" fillId="0" fontId="30" numFmtId="0" xfId="0" applyAlignment="1" applyFont="1">
      <alignment shrinkToFit="0" vertical="bottom" wrapText="0"/>
    </xf>
    <xf borderId="0" fillId="0" fontId="31" numFmtId="0" xfId="0" applyAlignment="1" applyFont="1">
      <alignment horizontal="center" shrinkToFit="0" vertical="center" wrapText="0"/>
    </xf>
    <xf borderId="76" fillId="0" fontId="32" numFmtId="0" xfId="0" applyAlignment="1" applyBorder="1" applyFont="1">
      <alignment horizontal="center" readingOrder="0" shrinkToFit="0" vertical="center" wrapText="0"/>
    </xf>
    <xf borderId="77" fillId="10" fontId="30" numFmtId="0" xfId="0" applyAlignment="1" applyBorder="1" applyFont="1">
      <alignment horizontal="center" shrinkToFit="0" vertical="bottom" wrapText="0"/>
    </xf>
    <xf borderId="78" fillId="0" fontId="8" numFmtId="0" xfId="0" applyBorder="1" applyFont="1"/>
    <xf borderId="79" fillId="0" fontId="8" numFmtId="0" xfId="0" applyBorder="1" applyFont="1"/>
    <xf borderId="80" fillId="0" fontId="8" numFmtId="0" xfId="0" applyBorder="1" applyFont="1"/>
    <xf borderId="81" fillId="0" fontId="8" numFmtId="0" xfId="0" applyBorder="1" applyFont="1"/>
    <xf borderId="82" fillId="0" fontId="8" numFmtId="0" xfId="0" applyBorder="1" applyFont="1"/>
    <xf borderId="77" fillId="0" fontId="33" numFmtId="0" xfId="0" applyAlignment="1" applyBorder="1" applyFont="1">
      <alignment horizontal="center" shrinkToFit="0" vertical="center" wrapText="0"/>
    </xf>
    <xf borderId="83" fillId="0" fontId="34" numFmtId="0" xfId="0" applyAlignment="1" applyBorder="1" applyFont="1">
      <alignment horizontal="center" shrinkToFit="0" vertical="center" wrapText="1"/>
    </xf>
    <xf borderId="13" fillId="0" fontId="34" numFmtId="0" xfId="0" applyAlignment="1" applyBorder="1" applyFont="1">
      <alignment horizontal="center" shrinkToFit="0" vertical="center" wrapText="1"/>
    </xf>
    <xf borderId="26" fillId="0" fontId="34" numFmtId="0" xfId="0" applyAlignment="1" applyBorder="1" applyFont="1">
      <alignment horizontal="center" readingOrder="0" shrinkToFit="0" vertical="center" wrapText="1"/>
    </xf>
    <xf borderId="18" fillId="0" fontId="8" numFmtId="0" xfId="0" applyBorder="1" applyFont="1"/>
    <xf borderId="26" fillId="0" fontId="34" numFmtId="0" xfId="0" applyAlignment="1" applyBorder="1" applyFont="1">
      <alignment horizontal="center" shrinkToFit="0" vertical="center" wrapText="1"/>
    </xf>
    <xf borderId="84" fillId="0" fontId="8" numFmtId="0" xfId="0" applyBorder="1" applyFont="1"/>
    <xf borderId="44" fillId="0" fontId="34" numFmtId="0" xfId="0" applyAlignment="1" applyBorder="1" applyFont="1">
      <alignment horizontal="center" shrinkToFit="0" vertical="bottom" wrapText="0"/>
    </xf>
    <xf borderId="71" fillId="0" fontId="8" numFmtId="0" xfId="0" applyBorder="1" applyFont="1"/>
    <xf borderId="85" fillId="0" fontId="35" numFmtId="2" xfId="0" applyAlignment="1" applyBorder="1" applyFont="1" applyNumberFormat="1">
      <alignment horizontal="center" shrinkToFit="0" vertical="center" wrapText="0"/>
    </xf>
    <xf borderId="86" fillId="0" fontId="36" numFmtId="1" xfId="0" applyAlignment="1" applyBorder="1" applyFont="1" applyNumberFormat="1">
      <alignment horizontal="center" readingOrder="0" shrinkToFit="0" vertical="center" wrapText="1"/>
    </xf>
    <xf borderId="86" fillId="0" fontId="30" numFmtId="1" xfId="0" applyAlignment="1" applyBorder="1" applyFont="1" applyNumberFormat="1">
      <alignment horizontal="center" readingOrder="0" shrinkToFit="0" vertical="center" wrapText="1"/>
    </xf>
    <xf borderId="86" fillId="0" fontId="35" numFmtId="1" xfId="0" applyAlignment="1" applyBorder="1" applyFont="1" applyNumberFormat="1">
      <alignment horizontal="center" shrinkToFit="0" vertical="center" wrapText="1"/>
    </xf>
    <xf borderId="87" fillId="0" fontId="30" numFmtId="1" xfId="0" applyAlignment="1" applyBorder="1" applyFont="1" applyNumberFormat="1">
      <alignment horizontal="center" readingOrder="0" shrinkToFit="0" vertical="center" wrapText="1"/>
    </xf>
    <xf borderId="88" fillId="0" fontId="30" numFmtId="1" xfId="0" applyAlignment="1" applyBorder="1" applyFont="1" applyNumberFormat="1">
      <alignment horizontal="center" readingOrder="0" shrinkToFit="0" vertical="center" wrapText="1"/>
    </xf>
    <xf borderId="86" fillId="0" fontId="30" numFmtId="1" xfId="0" applyAlignment="1" applyBorder="1" applyFont="1" applyNumberFormat="1">
      <alignment horizontal="center" shrinkToFit="0" vertical="center" wrapText="1"/>
    </xf>
    <xf borderId="89" fillId="0" fontId="8" numFmtId="0" xfId="0" applyBorder="1" applyFont="1"/>
    <xf borderId="6" fillId="0" fontId="8" numFmtId="0" xfId="0" applyBorder="1" applyFont="1"/>
    <xf borderId="90" fillId="0" fontId="30" numFmtId="1" xfId="0" applyAlignment="1" applyBorder="1" applyFont="1" applyNumberFormat="1">
      <alignment horizontal="center" readingOrder="0" shrinkToFit="0" vertical="center" wrapText="1"/>
    </xf>
    <xf borderId="91" fillId="0" fontId="30" numFmtId="1" xfId="0" applyAlignment="1" applyBorder="1" applyFont="1" applyNumberFormat="1">
      <alignment horizontal="center" readingOrder="0" shrinkToFit="0" vertical="center" wrapText="1"/>
    </xf>
    <xf borderId="92" fillId="10" fontId="37" numFmtId="1" xfId="0" applyAlignment="1" applyBorder="1" applyFont="1" applyNumberFormat="1">
      <alignment horizontal="center" shrinkToFit="0" vertical="center" wrapText="0"/>
    </xf>
    <xf borderId="92" fillId="10" fontId="35" numFmtId="1" xfId="0" applyAlignment="1" applyBorder="1" applyFont="1" applyNumberFormat="1">
      <alignment horizontal="center" shrinkToFit="0" vertical="center" wrapText="0"/>
    </xf>
    <xf borderId="85" fillId="0" fontId="35" numFmtId="2" xfId="0" applyAlignment="1" applyBorder="1" applyFont="1" applyNumberFormat="1">
      <alignment horizontal="center" readingOrder="0" shrinkToFit="0" vertical="center" wrapText="0"/>
    </xf>
    <xf borderId="86" fillId="0" fontId="35" numFmtId="1" xfId="0" applyAlignment="1" applyBorder="1" applyFont="1" applyNumberFormat="1">
      <alignment horizontal="center" readingOrder="0" shrinkToFit="0" vertical="center" wrapText="1"/>
    </xf>
    <xf borderId="92" fillId="0" fontId="38" numFmtId="1" xfId="0" applyAlignment="1" applyBorder="1" applyFont="1" applyNumberFormat="1">
      <alignment horizontal="center" shrinkToFit="0" vertical="center" wrapText="0"/>
    </xf>
    <xf borderId="93" fillId="0" fontId="38" numFmtId="1" xfId="0" applyAlignment="1" applyBorder="1" applyFont="1" applyNumberFormat="1">
      <alignment horizontal="center" shrinkToFit="0" vertical="center" wrapText="1"/>
    </xf>
    <xf borderId="18" fillId="0" fontId="38" numFmtId="1" xfId="0" applyAlignment="1" applyBorder="1" applyFont="1" applyNumberFormat="1">
      <alignment horizontal="center" shrinkToFit="0" vertical="center" wrapText="1"/>
    </xf>
    <xf borderId="84" fillId="0" fontId="38" numFmtId="1" xfId="0" applyAlignment="1" applyBorder="1" applyFont="1" applyNumberFormat="1">
      <alignment horizontal="center" shrinkToFit="0" vertical="center" wrapText="1"/>
    </xf>
    <xf borderId="92" fillId="11" fontId="35" numFmtId="1" xfId="0" applyAlignment="1" applyBorder="1" applyFont="1" applyNumberFormat="1">
      <alignment horizontal="center" shrinkToFit="0" vertical="center" wrapText="0"/>
    </xf>
    <xf borderId="92" fillId="0" fontId="34" numFmtId="1" xfId="0" applyAlignment="1" applyBorder="1" applyFont="1" applyNumberFormat="1">
      <alignment horizontal="center" shrinkToFit="0" vertical="center" wrapText="0"/>
    </xf>
    <xf borderId="94" fillId="0" fontId="30" numFmtId="0" xfId="0" applyAlignment="1" applyBorder="1" applyFont="1">
      <alignment shrinkToFit="0" vertical="bottom" wrapText="0"/>
    </xf>
    <xf borderId="86" fillId="0" fontId="39" numFmtId="1" xfId="0" applyAlignment="1" applyBorder="1" applyFont="1" applyNumberFormat="1">
      <alignment horizontal="center" readingOrder="0" shrinkToFit="0" vertical="center" wrapText="1"/>
    </xf>
    <xf borderId="92" fillId="0" fontId="40" numFmtId="1" xfId="0" applyAlignment="1" applyBorder="1" applyFont="1" applyNumberFormat="1">
      <alignment horizontal="center" shrinkToFit="0" vertical="center" wrapText="0"/>
    </xf>
    <xf borderId="26" fillId="0" fontId="40" numFmtId="1" xfId="0" applyAlignment="1" applyBorder="1" applyFont="1" applyNumberFormat="1">
      <alignment horizontal="center" shrinkToFit="0" vertical="center" wrapText="1"/>
    </xf>
    <xf borderId="95" fillId="0" fontId="40" numFmtId="1" xfId="0" applyAlignment="1" applyBorder="1" applyFont="1" applyNumberFormat="1">
      <alignment horizontal="center" shrinkToFit="0" vertical="center" wrapText="1"/>
    </xf>
    <xf borderId="93" fillId="0" fontId="40" numFmtId="1" xfId="0" applyAlignment="1" applyBorder="1" applyFont="1" applyNumberFormat="1">
      <alignment horizontal="center" shrinkToFit="0" vertical="center" wrapText="1"/>
    </xf>
    <xf borderId="84" fillId="0" fontId="40" numFmtId="1" xfId="0" applyAlignment="1" applyBorder="1" applyFont="1" applyNumberFormat="1">
      <alignment horizontal="center" shrinkToFit="0" vertical="center" wrapText="1"/>
    </xf>
    <xf borderId="92" fillId="12" fontId="35" numFmtId="1" xfId="0" applyAlignment="1" applyBorder="1" applyFill="1" applyFont="1" applyNumberFormat="1">
      <alignment horizontal="center" shrinkToFit="0" vertical="center" wrapText="0"/>
    </xf>
    <xf borderId="92" fillId="0" fontId="34" numFmtId="0" xfId="0" applyAlignment="1" applyBorder="1" applyFont="1">
      <alignment horizontal="center" shrinkToFit="0" vertical="bottom" wrapText="0"/>
    </xf>
    <xf borderId="86" fillId="0" fontId="35" numFmtId="1" xfId="0" applyAlignment="1" applyBorder="1" applyFont="1" applyNumberFormat="1">
      <alignment horizontal="center" readingOrder="0" shrinkToFit="0" vertical="center" wrapText="0"/>
    </xf>
    <xf borderId="83" fillId="0" fontId="34" numFmtId="2" xfId="0" applyAlignment="1" applyBorder="1" applyFont="1" applyNumberFormat="1">
      <alignment horizontal="center" shrinkToFit="0" vertical="center" wrapText="1"/>
    </xf>
    <xf borderId="16" fillId="0" fontId="34" numFmtId="0" xfId="0" applyAlignment="1" applyBorder="1" applyFont="1">
      <alignment horizontal="center" shrinkToFit="0" vertical="center" wrapText="1"/>
    </xf>
    <xf borderId="0" fillId="0" fontId="30" numFmtId="16" xfId="0" applyAlignment="1" applyFont="1" applyNumberFormat="1">
      <alignment shrinkToFit="0" vertical="bottom" wrapText="0"/>
    </xf>
    <xf borderId="96" fillId="12" fontId="35" numFmtId="1" xfId="0" applyAlignment="1" applyBorder="1" applyFont="1" applyNumberFormat="1">
      <alignment horizontal="center" shrinkToFit="0" vertical="center" wrapText="0"/>
    </xf>
    <xf borderId="97" fillId="0" fontId="8" numFmtId="0" xfId="0" applyBorder="1" applyFont="1"/>
    <xf borderId="98" fillId="0" fontId="8" numFmtId="0" xfId="0" applyBorder="1" applyFont="1"/>
    <xf borderId="99" fillId="0" fontId="32" numFmtId="0" xfId="0" applyAlignment="1" applyBorder="1" applyFont="1">
      <alignment horizontal="center" readingOrder="0" shrinkToFit="0" vertical="center" wrapText="0"/>
    </xf>
    <xf borderId="100" fillId="0" fontId="8" numFmtId="0" xfId="0" applyBorder="1" applyFont="1"/>
    <xf borderId="101" fillId="0" fontId="8" numFmtId="0" xfId="0" applyBorder="1" applyFont="1"/>
    <xf borderId="0" fillId="0" fontId="30" numFmtId="0" xfId="0" applyAlignment="1" applyFont="1">
      <alignment readingOrder="0" shrinkToFit="0" vertical="bottom" wrapText="0"/>
    </xf>
    <xf borderId="0" fillId="0" fontId="30" numFmtId="164" xfId="0" applyAlignment="1" applyFont="1" applyNumberFormat="1">
      <alignment readingOrder="0" shrinkToFit="0" vertical="bottom" wrapText="0"/>
    </xf>
    <xf borderId="77" fillId="0" fontId="33" numFmtId="0" xfId="0" applyAlignment="1" applyBorder="1" applyFont="1">
      <alignment horizontal="center" readingOrder="0" shrinkToFit="0" vertical="center" wrapText="0"/>
    </xf>
    <xf borderId="86" fillId="0" fontId="35" numFmtId="1" xfId="0" applyAlignment="1" applyBorder="1" applyFont="1" applyNumberFormat="1">
      <alignment horizontal="center" shrinkToFit="0" vertical="center" wrapText="0"/>
    </xf>
    <xf borderId="87" fillId="0" fontId="30" numFmtId="1" xfId="0" applyAlignment="1" applyBorder="1" applyFont="1" applyNumberFormat="1">
      <alignment horizontal="center" shrinkToFit="0" vertical="center" wrapText="1"/>
    </xf>
    <xf borderId="88" fillId="0" fontId="30" numFmtId="1" xfId="0" applyAlignment="1" applyBorder="1" applyFont="1" applyNumberFormat="1">
      <alignment horizontal="center" shrinkToFit="0" vertical="center" wrapText="1"/>
    </xf>
    <xf borderId="90" fillId="0" fontId="30" numFmtId="1" xfId="0" applyAlignment="1" applyBorder="1" applyFont="1" applyNumberFormat="1">
      <alignment horizontal="center" shrinkToFit="0" vertical="center" wrapText="1"/>
    </xf>
    <xf borderId="91" fillId="0" fontId="30" numFmtId="1" xfId="0" applyAlignment="1" applyBorder="1" applyFont="1" applyNumberFormat="1">
      <alignment horizontal="center" shrinkToFit="0" vertical="center" wrapText="1"/>
    </xf>
    <xf borderId="102" fillId="10" fontId="35" numFmtId="1" xfId="0" applyAlignment="1" applyBorder="1" applyFont="1" applyNumberFormat="1">
      <alignment horizontal="center" shrinkToFit="0" vertical="center" wrapText="0"/>
    </xf>
    <xf borderId="103" fillId="0" fontId="8" numFmtId="0" xfId="0" applyBorder="1" applyFont="1"/>
    <xf borderId="104" fillId="0" fontId="8" numFmtId="0" xfId="0" applyBorder="1" applyFont="1"/>
    <xf borderId="86" fillId="0" fontId="36" numFmtId="1" xfId="0" applyAlignment="1" applyBorder="1" applyFont="1" applyNumberFormat="1">
      <alignment horizontal="center" shrinkToFit="0" vertical="center" wrapText="1"/>
    </xf>
    <xf borderId="86" fillId="0" fontId="36" numFmtId="1" xfId="0" applyAlignment="1" applyBorder="1" applyFont="1" applyNumberFormat="1">
      <alignment horizontal="center" readingOrder="0" shrinkToFit="0" vertical="center" wrapText="0"/>
    </xf>
    <xf borderId="92" fillId="10" fontId="37" numFmtId="1" xfId="0" applyAlignment="1" applyBorder="1" applyFont="1" applyNumberFormat="1">
      <alignment horizontal="center" readingOrder="0" shrinkToFit="0" vertical="center" wrapText="0"/>
    </xf>
    <xf borderId="86" fillId="0" fontId="41" numFmtId="1" xfId="0" applyAlignment="1" applyBorder="1" applyFont="1" applyNumberFormat="1">
      <alignment horizontal="center" readingOrder="0" shrinkToFit="0" vertical="center" wrapText="1"/>
    </xf>
    <xf borderId="85" fillId="0" fontId="35" numFmtId="0" xfId="0" applyAlignment="1" applyBorder="1" applyFont="1">
      <alignment horizontal="center" readingOrder="0" shrinkToFit="0" vertical="center" wrapText="0"/>
    </xf>
    <xf borderId="86" fillId="0" fontId="30" numFmtId="0" xfId="0" applyAlignment="1" applyBorder="1" applyFont="1">
      <alignment horizontal="center" readingOrder="0" shrinkToFit="0" vertical="bottom" wrapText="1"/>
    </xf>
    <xf borderId="105" fillId="0" fontId="8" numFmtId="0" xfId="0" applyBorder="1" applyFont="1"/>
    <xf borderId="77" fillId="12" fontId="30" numFmtId="0" xfId="0" applyAlignment="1" applyBorder="1" applyFont="1">
      <alignment horizontal="center" shrinkToFit="0" vertical="bottom" wrapText="0"/>
    </xf>
    <xf borderId="83" fillId="0" fontId="35" numFmtId="1" xfId="0" applyAlignment="1" applyBorder="1" applyFont="1" applyNumberFormat="1">
      <alignment horizontal="center" shrinkToFit="0" vertical="center" wrapText="0"/>
    </xf>
    <xf borderId="13" fillId="0" fontId="35" numFmtId="1" xfId="0" applyAlignment="1" applyBorder="1" applyFont="1" applyNumberFormat="1">
      <alignment horizontal="center" shrinkToFit="0" vertical="center" wrapText="0"/>
    </xf>
    <xf borderId="83" fillId="12" fontId="35" numFmtId="1" xfId="0" applyAlignment="1" applyBorder="1" applyFont="1" applyNumberFormat="1">
      <alignment horizontal="center" shrinkToFit="0" vertical="center" wrapText="0"/>
    </xf>
    <xf borderId="13" fillId="12" fontId="35" numFmtId="1" xfId="0" applyAlignment="1" applyBorder="1" applyFont="1" applyNumberFormat="1">
      <alignment horizontal="center" shrinkToFit="0" vertical="center" wrapText="0"/>
    </xf>
    <xf borderId="106" fillId="12" fontId="35" numFmtId="1" xfId="0" applyAlignment="1" applyBorder="1" applyFont="1" applyNumberFormat="1">
      <alignment horizontal="center" shrinkToFit="0" vertical="center" wrapText="0"/>
    </xf>
    <xf borderId="107" fillId="12" fontId="35" numFmtId="1" xfId="0" applyAlignment="1" applyBorder="1" applyFont="1" applyNumberFormat="1">
      <alignment horizontal="center" shrinkToFit="0" vertical="center" wrapText="0"/>
    </xf>
    <xf borderId="108" fillId="12" fontId="35" numFmtId="1" xfId="0" applyAlignment="1" applyBorder="1" applyFont="1" applyNumberFormat="1">
      <alignment horizontal="center" shrinkToFit="0" vertical="center" wrapText="0"/>
    </xf>
    <xf borderId="86" fillId="0" fontId="30" numFmtId="0" xfId="0" applyAlignment="1" applyBorder="1" applyFont="1">
      <alignment horizontal="center" readingOrder="0" shrinkToFit="0" vertical="center" wrapText="1"/>
    </xf>
    <xf borderId="109" fillId="0" fontId="30" numFmtId="1" xfId="0" applyAlignment="1" applyBorder="1" applyFont="1" applyNumberFormat="1">
      <alignment horizontal="center" readingOrder="0" shrinkToFit="0" vertical="center" wrapText="1"/>
    </xf>
    <xf borderId="110" fillId="0" fontId="30" numFmtId="1" xfId="0" applyAlignment="1" applyBorder="1" applyFont="1" applyNumberFormat="1">
      <alignment horizontal="center" readingOrder="0" shrinkToFit="0" vertical="center" wrapText="1"/>
    </xf>
    <xf borderId="0" fillId="0" fontId="40" numFmtId="1" xfId="0" applyAlignment="1" applyFont="1" applyNumberFormat="1">
      <alignment horizontal="center" shrinkToFit="0" vertical="center" wrapText="0"/>
    </xf>
    <xf borderId="0" fillId="0" fontId="40" numFmtId="1" xfId="0" applyAlignment="1" applyFont="1" applyNumberFormat="1">
      <alignment horizontal="center" shrinkToFit="0" vertical="center" wrapText="1"/>
    </xf>
    <xf borderId="80" fillId="12" fontId="35" numFmtId="1" xfId="0" applyAlignment="1" applyBorder="1" applyFont="1" applyNumberFormat="1">
      <alignment horizontal="center" shrinkToFit="0" vertical="center" wrapText="0"/>
    </xf>
    <xf borderId="111" fillId="0" fontId="35" numFmtId="1" xfId="0" applyAlignment="1" applyBorder="1" applyFont="1" applyNumberFormat="1">
      <alignment horizontal="center" shrinkToFit="0" vertical="center" wrapText="1"/>
    </xf>
    <xf borderId="86" fillId="0" fontId="42" numFmtId="1" xfId="0" applyAlignment="1" applyBorder="1" applyFont="1" applyNumberFormat="1">
      <alignment horizontal="center" shrinkToFit="0" vertical="center" wrapText="1"/>
    </xf>
    <xf borderId="91" fillId="0" fontId="8" numFmtId="0" xfId="0" applyBorder="1" applyFont="1"/>
    <xf borderId="86" fillId="0" fontId="30" numFmtId="0" xfId="0" applyAlignment="1" applyBorder="1" applyFont="1">
      <alignment horizontal="center" shrinkToFit="0" vertical="center" wrapText="1"/>
    </xf>
    <xf borderId="112" fillId="0" fontId="30" numFmtId="1" xfId="0" applyAlignment="1" applyBorder="1" applyFont="1" applyNumberFormat="1">
      <alignment horizontal="center" shrinkToFit="0" vertical="center" wrapText="1"/>
    </xf>
    <xf borderId="113" fillId="0" fontId="30" numFmtId="1" xfId="0" applyAlignment="1" applyBorder="1" applyFont="1" applyNumberFormat="1">
      <alignment horizontal="center" shrinkToFit="0" vertical="center" wrapText="1"/>
    </xf>
    <xf borderId="81" fillId="0" fontId="30" numFmtId="1" xfId="0" applyAlignment="1" applyBorder="1" applyFont="1" applyNumberFormat="1">
      <alignment horizontal="center" shrinkToFit="0" vertical="center" wrapText="1"/>
    </xf>
    <xf borderId="114" fillId="0" fontId="30" numFmtId="1" xfId="0" applyAlignment="1" applyBorder="1" applyFont="1" applyNumberFormat="1">
      <alignment horizontal="center" shrinkToFit="0" vertical="center" wrapText="1"/>
    </xf>
    <xf borderId="0" fillId="0" fontId="43" numFmtId="0" xfId="0" applyAlignment="1" applyFont="1">
      <alignment horizontal="center" shrinkToFit="0" vertical="center" wrapText="0"/>
    </xf>
    <xf borderId="76" fillId="0" fontId="32" numFmtId="0" xfId="0" applyAlignment="1" applyBorder="1" applyFont="1">
      <alignment horizontal="center" shrinkToFit="0" vertical="center" wrapText="0"/>
    </xf>
    <xf borderId="83" fillId="0" fontId="31" numFmtId="0" xfId="0" applyAlignment="1" applyBorder="1" applyFont="1">
      <alignment horizontal="center" shrinkToFit="0" vertical="center" wrapText="1"/>
    </xf>
    <xf borderId="13" fillId="0" fontId="31" numFmtId="0" xfId="0" applyAlignment="1" applyBorder="1" applyFont="1">
      <alignment horizontal="center" shrinkToFit="0" vertical="center" wrapText="1"/>
    </xf>
    <xf borderId="26" fillId="0" fontId="31" numFmtId="0" xfId="0" applyAlignment="1" applyBorder="1" applyFont="1">
      <alignment horizontal="center" readingOrder="0" shrinkToFit="0" vertical="center" wrapText="1"/>
    </xf>
    <xf borderId="26" fillId="0" fontId="31" numFmtId="0" xfId="0" applyAlignment="1" applyBorder="1" applyFont="1">
      <alignment horizontal="center" shrinkToFit="0" vertical="center" wrapText="1"/>
    </xf>
    <xf borderId="85" fillId="0" fontId="44" numFmtId="2" xfId="0" applyAlignment="1" applyBorder="1" applyFont="1" applyNumberFormat="1">
      <alignment horizontal="center" readingOrder="0" shrinkToFit="0" vertical="center" wrapText="0"/>
    </xf>
    <xf borderId="86" fillId="0" fontId="44" numFmtId="1" xfId="0" applyAlignment="1" applyBorder="1" applyFont="1" applyNumberFormat="1">
      <alignment horizontal="center" readingOrder="0" shrinkToFit="0" vertical="center" wrapText="1"/>
    </xf>
    <xf borderId="86" fillId="0" fontId="45" numFmtId="1" xfId="0" applyAlignment="1" applyBorder="1" applyFont="1" applyNumberFormat="1">
      <alignment horizontal="center" readingOrder="0" shrinkToFit="0" vertical="center" wrapText="1"/>
    </xf>
    <xf borderId="86" fillId="0" fontId="44" numFmtId="1" xfId="0" applyAlignment="1" applyBorder="1" applyFont="1" applyNumberFormat="1">
      <alignment horizontal="center" shrinkToFit="0" vertical="center" wrapText="1"/>
    </xf>
    <xf borderId="87" fillId="0" fontId="45" numFmtId="1" xfId="0" applyAlignment="1" applyBorder="1" applyFont="1" applyNumberFormat="1">
      <alignment horizontal="center" readingOrder="0" shrinkToFit="0" vertical="center" wrapText="1"/>
    </xf>
    <xf borderId="88" fillId="0" fontId="45" numFmtId="1" xfId="0" applyAlignment="1" applyBorder="1" applyFont="1" applyNumberFormat="1">
      <alignment horizontal="center" readingOrder="0" shrinkToFit="0" vertical="center" wrapText="1"/>
    </xf>
    <xf borderId="86" fillId="0" fontId="45" numFmtId="1" xfId="0" applyAlignment="1" applyBorder="1" applyFont="1" applyNumberFormat="1">
      <alignment horizontal="center" shrinkToFit="0" vertical="center" wrapText="1"/>
    </xf>
    <xf borderId="90" fillId="0" fontId="45" numFmtId="1" xfId="0" applyAlignment="1" applyBorder="1" applyFont="1" applyNumberFormat="1">
      <alignment horizontal="center" readingOrder="0" shrinkToFit="0" vertical="center" wrapText="1"/>
    </xf>
    <xf borderId="91" fillId="0" fontId="45" numFmtId="1" xfId="0" applyAlignment="1" applyBorder="1" applyFont="1" applyNumberFormat="1">
      <alignment horizontal="center" readingOrder="0" shrinkToFit="0" vertical="center" wrapText="1"/>
    </xf>
    <xf borderId="92" fillId="10" fontId="46" numFmtId="1" xfId="0" applyAlignment="1" applyBorder="1" applyFont="1" applyNumberFormat="1">
      <alignment horizontal="center" shrinkToFit="0" vertical="center" wrapText="0"/>
    </xf>
    <xf borderId="92" fillId="10" fontId="44" numFmtId="1" xfId="0" applyAlignment="1" applyBorder="1" applyFont="1" applyNumberFormat="1">
      <alignment horizontal="center" shrinkToFit="0" vertical="center" wrapText="0"/>
    </xf>
    <xf borderId="86" fillId="0" fontId="44" numFmtId="1" xfId="0" applyAlignment="1" applyBorder="1" applyFont="1" applyNumberFormat="1">
      <alignment horizontal="center" readingOrder="0" shrinkToFit="0" vertical="center" wrapText="0"/>
    </xf>
    <xf borderId="86" fillId="0" fontId="45" numFmtId="0" xfId="0" applyAlignment="1" applyBorder="1" applyFont="1">
      <alignment horizontal="center" readingOrder="0" shrinkToFit="0" vertical="center" wrapText="1"/>
    </xf>
    <xf borderId="109" fillId="0" fontId="45" numFmtId="1" xfId="0" applyAlignment="1" applyBorder="1" applyFont="1" applyNumberFormat="1">
      <alignment horizontal="center" readingOrder="0" shrinkToFit="0" vertical="center" wrapText="1"/>
    </xf>
    <xf borderId="110" fillId="0" fontId="45" numFmtId="1" xfId="0" applyAlignment="1" applyBorder="1" applyFont="1" applyNumberFormat="1">
      <alignment horizontal="center" readingOrder="0" shrinkToFit="0" vertical="center" wrapText="1"/>
    </xf>
    <xf borderId="92" fillId="0" fontId="47" numFmtId="1" xfId="0" applyAlignment="1" applyBorder="1" applyFont="1" applyNumberFormat="1">
      <alignment horizontal="center" shrinkToFit="0" vertical="center" wrapText="0"/>
    </xf>
    <xf borderId="93" fillId="0" fontId="47" numFmtId="1" xfId="0" applyAlignment="1" applyBorder="1" applyFont="1" applyNumberFormat="1">
      <alignment horizontal="center" shrinkToFit="0" vertical="center" wrapText="1"/>
    </xf>
    <xf borderId="115" fillId="12" fontId="35" numFmtId="1" xfId="0" applyAlignment="1" applyBorder="1" applyFont="1" applyNumberFormat="1">
      <alignment horizontal="center" shrinkToFit="0" vertical="center" wrapText="0"/>
    </xf>
    <xf borderId="116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0</xdr:rowOff>
    </xdr:from>
    <xdr:ext cx="733425" cy="742950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0</xdr:row>
      <xdr:rowOff>85725</xdr:rowOff>
    </xdr:from>
    <xdr:ext cx="1466850" cy="5715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200025</xdr:colOff>
      <xdr:row>0</xdr:row>
      <xdr:rowOff>0</xdr:rowOff>
    </xdr:from>
    <xdr:ext cx="733425" cy="742950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228600</xdr:colOff>
      <xdr:row>0</xdr:row>
      <xdr:rowOff>85725</xdr:rowOff>
    </xdr:from>
    <xdr:ext cx="1466850" cy="5715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523875</xdr:colOff>
      <xdr:row>0</xdr:row>
      <xdr:rowOff>161925</xdr:rowOff>
    </xdr:from>
    <xdr:ext cx="1466850" cy="571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</xdr:row>
      <xdr:rowOff>0</xdr:rowOff>
    </xdr:from>
    <xdr:ext cx="733425" cy="742950"/>
    <xdr:pic>
      <xdr:nvPicPr>
        <xdr:cNvPr id="0" name="image2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76200</xdr:colOff>
      <xdr:row>0</xdr:row>
      <xdr:rowOff>85725</xdr:rowOff>
    </xdr:from>
    <xdr:ext cx="1466850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200025</xdr:colOff>
      <xdr:row>0</xdr:row>
      <xdr:rowOff>0</xdr:rowOff>
    </xdr:from>
    <xdr:ext cx="733425" cy="7429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0</xdr:row>
      <xdr:rowOff>66675</xdr:rowOff>
    </xdr:from>
    <xdr:ext cx="1381125" cy="552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95250</xdr:rowOff>
    </xdr:from>
    <xdr:ext cx="657225" cy="6667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0</xdr:row>
      <xdr:rowOff>76200</xdr:rowOff>
    </xdr:from>
    <xdr:ext cx="1457325" cy="581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0</xdr:row>
      <xdr:rowOff>38100</xdr:rowOff>
    </xdr:from>
    <xdr:ext cx="723900" cy="7239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95250</xdr:rowOff>
    </xdr:from>
    <xdr:ext cx="1438275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0</xdr:row>
      <xdr:rowOff>66675</xdr:rowOff>
    </xdr:from>
    <xdr:ext cx="676275" cy="6858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95250</xdr:colOff>
      <xdr:row>0</xdr:row>
      <xdr:rowOff>133350</xdr:rowOff>
    </xdr:from>
    <xdr:ext cx="1371600" cy="552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200025</xdr:colOff>
      <xdr:row>0</xdr:row>
      <xdr:rowOff>38100</xdr:rowOff>
    </xdr:from>
    <xdr:ext cx="676275" cy="67627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219075</xdr:colOff>
      <xdr:row>0</xdr:row>
      <xdr:rowOff>76200</xdr:rowOff>
    </xdr:from>
    <xdr:ext cx="1400175" cy="552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0</xdr:row>
      <xdr:rowOff>66675</xdr:rowOff>
    </xdr:from>
    <xdr:ext cx="676275" cy="6858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123825</xdr:colOff>
      <xdr:row>0</xdr:row>
      <xdr:rowOff>76200</xdr:rowOff>
    </xdr:from>
    <xdr:ext cx="1438275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0</xdr:row>
      <xdr:rowOff>57150</xdr:rowOff>
    </xdr:from>
    <xdr:ext cx="666750" cy="6858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95250</xdr:colOff>
      <xdr:row>0</xdr:row>
      <xdr:rowOff>66675</xdr:rowOff>
    </xdr:from>
    <xdr:ext cx="1419225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0</xdr:row>
      <xdr:rowOff>57150</xdr:rowOff>
    </xdr:from>
    <xdr:ext cx="666750" cy="6858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180975</xdr:colOff>
      <xdr:row>0</xdr:row>
      <xdr:rowOff>95250</xdr:rowOff>
    </xdr:from>
    <xdr:ext cx="1400175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190500</xdr:colOff>
      <xdr:row>0</xdr:row>
      <xdr:rowOff>28575</xdr:rowOff>
    </xdr:from>
    <xdr:ext cx="676275" cy="67627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152400</xdr:colOff>
      <xdr:row>0</xdr:row>
      <xdr:rowOff>152400</xdr:rowOff>
    </xdr:from>
    <xdr:ext cx="1400175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0</xdr:row>
      <xdr:rowOff>0</xdr:rowOff>
    </xdr:from>
    <xdr:ext cx="676275" cy="6858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114300</xdr:colOff>
      <xdr:row>0</xdr:row>
      <xdr:rowOff>95250</xdr:rowOff>
    </xdr:from>
    <xdr:ext cx="166687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57150</xdr:rowOff>
    </xdr:from>
    <xdr:ext cx="676275" cy="6858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114300</xdr:colOff>
      <xdr:row>0</xdr:row>
      <xdr:rowOff>95250</xdr:rowOff>
    </xdr:from>
    <xdr:ext cx="1809750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0</xdr:row>
      <xdr:rowOff>114300</xdr:rowOff>
    </xdr:from>
    <xdr:ext cx="676275" cy="6858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31.13"/>
    <col customWidth="1" min="3" max="3" width="28.0"/>
    <col customWidth="1" min="4" max="4" width="25.5"/>
    <col customWidth="1" min="5" max="6" width="30.0"/>
    <col customWidth="1" min="7" max="7" width="25.13"/>
    <col customWidth="1" min="8" max="26" width="8.0"/>
  </cols>
  <sheetData>
    <row r="1" ht="22.5" customHeight="1">
      <c r="A1" s="1" t="s">
        <v>0</v>
      </c>
    </row>
    <row r="2" ht="21.0" customHeight="1">
      <c r="A2" s="2" t="s">
        <v>1</v>
      </c>
    </row>
    <row r="3" ht="21.0" customHeight="1">
      <c r="A3" s="2"/>
      <c r="B3" s="3"/>
      <c r="C3" s="3"/>
      <c r="D3" s="3"/>
      <c r="E3" s="3"/>
      <c r="F3" s="3"/>
      <c r="G3" s="3"/>
    </row>
    <row r="4" ht="15.75" customHeight="1">
      <c r="A4" s="4"/>
      <c r="B4" s="5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7" t="s">
        <v>7</v>
      </c>
    </row>
    <row r="5" ht="17.25" customHeight="1">
      <c r="A5" s="8" t="s">
        <v>8</v>
      </c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10" t="s">
        <v>14</v>
      </c>
    </row>
    <row r="6" ht="17.25" customHeight="1">
      <c r="A6" s="11" t="s">
        <v>15</v>
      </c>
      <c r="B6" s="12"/>
      <c r="C6" s="13"/>
      <c r="D6" s="13"/>
      <c r="E6" s="13"/>
      <c r="F6" s="13"/>
      <c r="G6" s="14"/>
    </row>
    <row r="7" ht="17.25" customHeight="1">
      <c r="A7" s="15" t="s">
        <v>16</v>
      </c>
      <c r="B7" s="16" t="s">
        <v>17</v>
      </c>
      <c r="C7" s="16" t="s">
        <v>18</v>
      </c>
      <c r="D7" s="16" t="s">
        <v>19</v>
      </c>
      <c r="E7" s="16" t="s">
        <v>20</v>
      </c>
      <c r="F7" s="16" t="s">
        <v>21</v>
      </c>
      <c r="G7" s="17" t="s">
        <v>22</v>
      </c>
    </row>
    <row r="8" ht="17.25" customHeight="1">
      <c r="A8" s="15" t="s">
        <v>23</v>
      </c>
      <c r="B8" s="18" t="s">
        <v>24</v>
      </c>
      <c r="C8" s="19" t="s">
        <v>25</v>
      </c>
      <c r="D8" s="19" t="s">
        <v>26</v>
      </c>
      <c r="E8" s="19" t="s">
        <v>27</v>
      </c>
      <c r="F8" s="19" t="s">
        <v>28</v>
      </c>
      <c r="G8" s="20" t="s">
        <v>29</v>
      </c>
    </row>
    <row r="9" ht="17.25" customHeight="1">
      <c r="A9" s="15" t="s">
        <v>30</v>
      </c>
      <c r="B9" s="19" t="s">
        <v>31</v>
      </c>
      <c r="C9" s="19" t="s">
        <v>32</v>
      </c>
      <c r="D9" s="21" t="s">
        <v>11</v>
      </c>
      <c r="E9" s="19" t="s">
        <v>33</v>
      </c>
      <c r="F9" s="19" t="s">
        <v>34</v>
      </c>
      <c r="G9" s="20" t="s">
        <v>35</v>
      </c>
    </row>
    <row r="10" ht="17.25" customHeight="1">
      <c r="A10" s="22"/>
      <c r="B10" s="23"/>
      <c r="C10" s="23"/>
      <c r="D10" s="23"/>
      <c r="E10" s="23"/>
      <c r="F10" s="23"/>
      <c r="G10" s="24"/>
    </row>
    <row r="11" ht="17.25" customHeight="1">
      <c r="A11" s="25" t="s">
        <v>36</v>
      </c>
      <c r="B11" s="19" t="s">
        <v>37</v>
      </c>
      <c r="C11" s="19" t="s">
        <v>38</v>
      </c>
      <c r="D11" s="26" t="s">
        <v>39</v>
      </c>
      <c r="E11" s="19" t="s">
        <v>40</v>
      </c>
      <c r="F11" s="27" t="s">
        <v>41</v>
      </c>
      <c r="G11" s="20" t="s">
        <v>42</v>
      </c>
    </row>
    <row r="12" ht="17.25" customHeight="1">
      <c r="A12" s="25" t="s">
        <v>43</v>
      </c>
      <c r="B12" s="21" t="s">
        <v>9</v>
      </c>
      <c r="C12" s="19" t="s">
        <v>44</v>
      </c>
      <c r="D12" s="26" t="s">
        <v>45</v>
      </c>
      <c r="E12" s="19" t="s">
        <v>46</v>
      </c>
      <c r="F12" s="19" t="s">
        <v>47</v>
      </c>
      <c r="G12" s="20" t="s">
        <v>48</v>
      </c>
    </row>
    <row r="13" ht="17.25" customHeight="1">
      <c r="A13" s="15" t="s">
        <v>49</v>
      </c>
      <c r="B13" s="16" t="s">
        <v>50</v>
      </c>
      <c r="C13" s="28" t="s">
        <v>51</v>
      </c>
      <c r="D13" s="29" t="s">
        <v>52</v>
      </c>
      <c r="E13" s="19" t="s">
        <v>53</v>
      </c>
      <c r="F13" s="19" t="s">
        <v>54</v>
      </c>
      <c r="G13" s="20" t="s">
        <v>55</v>
      </c>
    </row>
    <row r="14" ht="17.25" customHeight="1">
      <c r="A14" s="30"/>
      <c r="B14" s="23"/>
      <c r="C14" s="23"/>
      <c r="D14" s="23"/>
      <c r="E14" s="23"/>
      <c r="F14" s="23"/>
      <c r="G14" s="24"/>
    </row>
    <row r="15" ht="17.25" customHeight="1">
      <c r="A15" s="15" t="s">
        <v>56</v>
      </c>
      <c r="B15" s="19" t="s">
        <v>57</v>
      </c>
      <c r="C15" s="19" t="s">
        <v>58</v>
      </c>
      <c r="D15" s="19" t="s">
        <v>59</v>
      </c>
      <c r="E15" s="19" t="s">
        <v>60</v>
      </c>
      <c r="F15" s="19" t="s">
        <v>61</v>
      </c>
      <c r="G15" s="20" t="s">
        <v>62</v>
      </c>
    </row>
    <row r="16" ht="17.25" customHeight="1">
      <c r="A16" s="15" t="s">
        <v>63</v>
      </c>
      <c r="B16" s="19" t="s">
        <v>64</v>
      </c>
      <c r="C16" s="19" t="s">
        <v>65</v>
      </c>
      <c r="D16" s="19" t="s">
        <v>66</v>
      </c>
      <c r="E16" s="19" t="s">
        <v>67</v>
      </c>
      <c r="F16" s="19" t="s">
        <v>68</v>
      </c>
      <c r="G16" s="31" t="s">
        <v>69</v>
      </c>
    </row>
    <row r="17" ht="17.25" customHeight="1">
      <c r="A17" s="15" t="s">
        <v>70</v>
      </c>
      <c r="B17" s="19" t="s">
        <v>71</v>
      </c>
      <c r="C17" s="19" t="s">
        <v>72</v>
      </c>
      <c r="D17" s="19" t="s">
        <v>73</v>
      </c>
      <c r="E17" s="19" t="s">
        <v>74</v>
      </c>
      <c r="F17" s="21" t="s">
        <v>13</v>
      </c>
      <c r="G17" s="20" t="s">
        <v>75</v>
      </c>
    </row>
    <row r="18" ht="17.25" customHeight="1">
      <c r="A18" s="32"/>
      <c r="B18" s="33"/>
      <c r="C18" s="33"/>
      <c r="D18" s="33"/>
      <c r="E18" s="33"/>
      <c r="F18" s="33"/>
      <c r="G18" s="34"/>
    </row>
    <row r="19" ht="17.25" customHeight="1">
      <c r="A19" s="15" t="s">
        <v>76</v>
      </c>
      <c r="B19" s="19" t="s">
        <v>77</v>
      </c>
      <c r="C19" s="19" t="s">
        <v>78</v>
      </c>
      <c r="D19" s="19" t="s">
        <v>79</v>
      </c>
      <c r="E19" s="27" t="s">
        <v>80</v>
      </c>
      <c r="F19" s="19" t="s">
        <v>81</v>
      </c>
      <c r="G19" s="20" t="s">
        <v>82</v>
      </c>
    </row>
    <row r="20" ht="17.25" customHeight="1">
      <c r="A20" s="15" t="s">
        <v>83</v>
      </c>
      <c r="B20" s="19" t="s">
        <v>84</v>
      </c>
      <c r="C20" s="19" t="s">
        <v>85</v>
      </c>
      <c r="D20" s="19" t="s">
        <v>86</v>
      </c>
      <c r="E20" s="19" t="s">
        <v>87</v>
      </c>
      <c r="F20" s="19" t="s">
        <v>88</v>
      </c>
      <c r="G20" s="20" t="s">
        <v>89</v>
      </c>
    </row>
    <row r="21" ht="17.25" customHeight="1">
      <c r="A21" s="15" t="s">
        <v>90</v>
      </c>
      <c r="B21" s="19" t="s">
        <v>91</v>
      </c>
      <c r="C21" s="19" t="s">
        <v>92</v>
      </c>
      <c r="D21" s="19" t="s">
        <v>93</v>
      </c>
      <c r="E21" s="19" t="s">
        <v>94</v>
      </c>
      <c r="F21" s="19" t="s">
        <v>95</v>
      </c>
      <c r="G21" s="20" t="s">
        <v>96</v>
      </c>
    </row>
    <row r="22" ht="17.25" customHeight="1">
      <c r="A22" s="25" t="s">
        <v>97</v>
      </c>
      <c r="B22" s="12"/>
      <c r="C22" s="13"/>
      <c r="D22" s="13"/>
      <c r="E22" s="13"/>
      <c r="F22" s="13"/>
      <c r="G22" s="14"/>
    </row>
    <row r="23" ht="17.25" customHeight="1">
      <c r="A23" s="15" t="s">
        <v>16</v>
      </c>
      <c r="B23" s="16" t="s">
        <v>98</v>
      </c>
      <c r="C23" s="16" t="s">
        <v>99</v>
      </c>
      <c r="D23" s="16" t="s">
        <v>100</v>
      </c>
      <c r="E23" s="16" t="s">
        <v>101</v>
      </c>
      <c r="F23" s="16" t="s">
        <v>102</v>
      </c>
      <c r="G23" s="17" t="s">
        <v>103</v>
      </c>
    </row>
    <row r="24" ht="17.25" customHeight="1">
      <c r="A24" s="15" t="s">
        <v>23</v>
      </c>
      <c r="B24" s="19" t="s">
        <v>104</v>
      </c>
      <c r="C24" s="19" t="s">
        <v>105</v>
      </c>
      <c r="D24" s="27" t="s">
        <v>106</v>
      </c>
      <c r="E24" s="19" t="s">
        <v>107</v>
      </c>
      <c r="F24" s="19" t="s">
        <v>108</v>
      </c>
      <c r="G24" s="20" t="s">
        <v>109</v>
      </c>
    </row>
    <row r="25" ht="17.25" customHeight="1">
      <c r="A25" s="15" t="s">
        <v>30</v>
      </c>
      <c r="B25" s="19" t="s">
        <v>110</v>
      </c>
      <c r="C25" s="35" t="s">
        <v>111</v>
      </c>
      <c r="D25" s="19" t="s">
        <v>112</v>
      </c>
      <c r="E25" s="21" t="s">
        <v>12</v>
      </c>
      <c r="F25" s="19" t="s">
        <v>113</v>
      </c>
      <c r="G25" s="20" t="s">
        <v>114</v>
      </c>
    </row>
    <row r="26" ht="17.25" customHeight="1">
      <c r="A26" s="30"/>
      <c r="B26" s="23"/>
      <c r="C26" s="23"/>
      <c r="D26" s="23"/>
      <c r="E26" s="23"/>
      <c r="F26" s="23"/>
      <c r="G26" s="24"/>
    </row>
    <row r="27" ht="17.25" customHeight="1">
      <c r="A27" s="15" t="s">
        <v>36</v>
      </c>
      <c r="B27" s="19" t="s">
        <v>115</v>
      </c>
      <c r="C27" s="19" t="s">
        <v>116</v>
      </c>
      <c r="D27" s="19" t="s">
        <v>117</v>
      </c>
      <c r="E27" s="36" t="s">
        <v>118</v>
      </c>
      <c r="F27" s="19" t="s">
        <v>119</v>
      </c>
      <c r="G27" s="37" t="s">
        <v>14</v>
      </c>
    </row>
    <row r="28" ht="17.25" customHeight="1">
      <c r="A28" s="15" t="s">
        <v>43</v>
      </c>
      <c r="B28" s="16" t="s">
        <v>120</v>
      </c>
      <c r="C28" s="19" t="s">
        <v>121</v>
      </c>
      <c r="D28" s="19" t="s">
        <v>122</v>
      </c>
      <c r="E28" s="19" t="s">
        <v>123</v>
      </c>
      <c r="F28" s="19" t="s">
        <v>124</v>
      </c>
      <c r="G28" s="20" t="s">
        <v>125</v>
      </c>
    </row>
    <row r="29" ht="17.25" customHeight="1">
      <c r="A29" s="15" t="s">
        <v>49</v>
      </c>
      <c r="B29" s="19" t="s">
        <v>126</v>
      </c>
      <c r="C29" s="19" t="s">
        <v>127</v>
      </c>
      <c r="D29" s="19" t="s">
        <v>128</v>
      </c>
      <c r="E29" s="19" t="s">
        <v>129</v>
      </c>
      <c r="F29" s="19" t="s">
        <v>130</v>
      </c>
      <c r="G29" s="20" t="s">
        <v>131</v>
      </c>
    </row>
    <row r="30" ht="15.0" customHeight="1">
      <c r="A30" s="38"/>
      <c r="B30" s="33"/>
      <c r="C30" s="33"/>
      <c r="D30" s="33"/>
      <c r="E30" s="33"/>
      <c r="F30" s="33"/>
      <c r="G30" s="34"/>
    </row>
    <row r="31" ht="17.25" customHeight="1">
      <c r="A31" s="15" t="s">
        <v>56</v>
      </c>
      <c r="B31" s="39" t="s">
        <v>132</v>
      </c>
      <c r="C31" s="39" t="s">
        <v>133</v>
      </c>
      <c r="D31" s="35" t="s">
        <v>134</v>
      </c>
      <c r="E31" s="39" t="s">
        <v>135</v>
      </c>
      <c r="F31" s="39" t="s">
        <v>136</v>
      </c>
      <c r="G31" s="40" t="s">
        <v>137</v>
      </c>
    </row>
    <row r="32" ht="17.25" customHeight="1">
      <c r="A32" s="15" t="s">
        <v>63</v>
      </c>
      <c r="B32" s="39" t="s">
        <v>138</v>
      </c>
      <c r="C32" s="39" t="s">
        <v>139</v>
      </c>
      <c r="D32" s="39" t="s">
        <v>140</v>
      </c>
      <c r="E32" s="39" t="s">
        <v>141</v>
      </c>
      <c r="F32" s="39" t="s">
        <v>142</v>
      </c>
      <c r="G32" s="40" t="s">
        <v>143</v>
      </c>
    </row>
    <row r="33" ht="17.25" customHeight="1">
      <c r="A33" s="15" t="s">
        <v>70</v>
      </c>
      <c r="B33" s="39" t="s">
        <v>144</v>
      </c>
      <c r="C33" s="39" t="s">
        <v>145</v>
      </c>
      <c r="D33" s="39" t="s">
        <v>146</v>
      </c>
      <c r="E33" s="39" t="s">
        <v>147</v>
      </c>
      <c r="F33" s="39" t="s">
        <v>148</v>
      </c>
      <c r="G33" s="40" t="s">
        <v>149</v>
      </c>
    </row>
    <row r="34" ht="17.25" customHeight="1">
      <c r="A34" s="41"/>
      <c r="B34" s="42"/>
      <c r="C34" s="43"/>
      <c r="D34" s="42"/>
      <c r="E34" s="42"/>
      <c r="F34" s="42"/>
      <c r="G34" s="44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">
    <mergeCell ref="A1:G1"/>
    <mergeCell ref="A2:G2"/>
    <mergeCell ref="A10:G10"/>
    <mergeCell ref="A14:G14"/>
    <mergeCell ref="A18:G18"/>
    <mergeCell ref="A26:G26"/>
    <mergeCell ref="A30:G30"/>
  </mergeCells>
  <printOptions/>
  <pageMargins bottom="0.75" footer="0.0" header="0.0" left="0.25" right="0.25" top="0.75"/>
  <pageSetup paperSize="9"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5"/>
    <col customWidth="1" min="2" max="2" width="20.13"/>
    <col customWidth="1" min="3" max="27" width="8.0"/>
  </cols>
  <sheetData>
    <row r="1" ht="22.5" customHeight="1">
      <c r="A1" s="1"/>
      <c r="B1" s="1" t="s">
        <v>0</v>
      </c>
    </row>
    <row r="2" ht="21.0" customHeight="1">
      <c r="A2" s="2"/>
      <c r="B2" s="2" t="s">
        <v>1</v>
      </c>
    </row>
    <row r="3" ht="12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12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ht="13.5" customHeight="1">
      <c r="A5" s="45" t="s">
        <v>150</v>
      </c>
      <c r="B5" s="46" t="s">
        <v>9</v>
      </c>
      <c r="C5" s="47" t="s">
        <v>151</v>
      </c>
      <c r="D5" s="48" t="s">
        <v>152</v>
      </c>
      <c r="E5" s="48" t="s">
        <v>153</v>
      </c>
      <c r="F5" s="48" t="s">
        <v>154</v>
      </c>
      <c r="G5" s="48" t="s">
        <v>155</v>
      </c>
      <c r="H5" s="48" t="s">
        <v>156</v>
      </c>
      <c r="I5" s="48" t="s">
        <v>157</v>
      </c>
      <c r="J5" s="48" t="s">
        <v>158</v>
      </c>
      <c r="K5" s="48" t="s">
        <v>159</v>
      </c>
      <c r="L5" s="48" t="s">
        <v>160</v>
      </c>
      <c r="M5" s="49" t="s">
        <v>161</v>
      </c>
    </row>
    <row r="6" ht="13.5" customHeight="1">
      <c r="A6" s="50" t="s">
        <v>16</v>
      </c>
      <c r="B6" s="51" t="s">
        <v>17</v>
      </c>
      <c r="C6" s="52">
        <v>1.0</v>
      </c>
      <c r="D6" s="53">
        <v>1.0</v>
      </c>
      <c r="E6" s="53">
        <v>1.0</v>
      </c>
      <c r="F6" s="54"/>
      <c r="G6" s="53">
        <v>1.0</v>
      </c>
      <c r="H6" s="53">
        <v>1.0</v>
      </c>
      <c r="I6" s="54"/>
      <c r="J6" s="53">
        <v>1.0</v>
      </c>
      <c r="K6" s="53">
        <v>1.0</v>
      </c>
      <c r="L6" s="53">
        <v>1.0</v>
      </c>
      <c r="M6" s="54">
        <f t="shared" ref="M6:M26" si="1">SUM(C6:L6)</f>
        <v>8</v>
      </c>
    </row>
    <row r="7" ht="13.5" customHeight="1">
      <c r="A7" s="55" t="s">
        <v>23</v>
      </c>
      <c r="B7" s="56" t="s">
        <v>24</v>
      </c>
      <c r="C7" s="52">
        <v>1.0</v>
      </c>
      <c r="D7" s="54"/>
      <c r="E7" s="53">
        <v>1.0</v>
      </c>
      <c r="F7" s="53">
        <v>1.0</v>
      </c>
      <c r="G7" s="53">
        <v>1.0</v>
      </c>
      <c r="H7" s="54"/>
      <c r="I7" s="53">
        <v>1.0</v>
      </c>
      <c r="J7" s="54"/>
      <c r="K7" s="54"/>
      <c r="L7" s="53">
        <v>1.0</v>
      </c>
      <c r="M7" s="54">
        <f t="shared" si="1"/>
        <v>6</v>
      </c>
    </row>
    <row r="8" ht="13.5" customHeight="1">
      <c r="A8" s="50" t="s">
        <v>30</v>
      </c>
      <c r="B8" s="51" t="s">
        <v>31</v>
      </c>
      <c r="C8" s="57"/>
      <c r="D8" s="53">
        <v>1.0</v>
      </c>
      <c r="E8" s="54"/>
      <c r="F8" s="53">
        <v>1.0</v>
      </c>
      <c r="G8" s="54"/>
      <c r="H8" s="53">
        <v>1.0</v>
      </c>
      <c r="I8" s="53">
        <v>1.0</v>
      </c>
      <c r="J8" s="53">
        <v>1.0</v>
      </c>
      <c r="K8" s="53">
        <v>1.0</v>
      </c>
      <c r="L8" s="54"/>
      <c r="M8" s="54">
        <f t="shared" si="1"/>
        <v>6</v>
      </c>
    </row>
    <row r="9" ht="13.5" customHeight="1">
      <c r="A9" s="50" t="s">
        <v>36</v>
      </c>
      <c r="B9" s="51" t="s">
        <v>37</v>
      </c>
      <c r="C9" s="52">
        <v>1.0</v>
      </c>
      <c r="D9" s="53">
        <v>1.0</v>
      </c>
      <c r="E9" s="54"/>
      <c r="F9" s="53">
        <v>1.0</v>
      </c>
      <c r="G9" s="53">
        <v>1.0</v>
      </c>
      <c r="H9" s="53">
        <v>1.0</v>
      </c>
      <c r="I9" s="54"/>
      <c r="J9" s="53">
        <v>1.0</v>
      </c>
      <c r="K9" s="54"/>
      <c r="L9" s="53">
        <v>1.0</v>
      </c>
      <c r="M9" s="54">
        <f t="shared" si="1"/>
        <v>7</v>
      </c>
    </row>
    <row r="10" ht="13.5" customHeight="1">
      <c r="A10" s="50" t="s">
        <v>43</v>
      </c>
      <c r="B10" s="58" t="s">
        <v>9</v>
      </c>
      <c r="C10" s="52">
        <v>1.0</v>
      </c>
      <c r="D10" s="54"/>
      <c r="E10" s="53">
        <v>1.0</v>
      </c>
      <c r="F10" s="54"/>
      <c r="G10" s="53">
        <v>1.0</v>
      </c>
      <c r="H10" s="54"/>
      <c r="I10" s="53">
        <v>1.0</v>
      </c>
      <c r="J10" s="53">
        <v>1.0</v>
      </c>
      <c r="K10" s="53">
        <v>1.0</v>
      </c>
      <c r="L10" s="59">
        <v>1.0</v>
      </c>
      <c r="M10" s="54">
        <f t="shared" si="1"/>
        <v>7</v>
      </c>
    </row>
    <row r="11" ht="13.5" customHeight="1">
      <c r="A11" s="50" t="s">
        <v>49</v>
      </c>
      <c r="B11" s="60" t="s">
        <v>50</v>
      </c>
      <c r="C11" s="57"/>
      <c r="D11" s="53">
        <v>1.0</v>
      </c>
      <c r="E11" s="53">
        <v>1.0</v>
      </c>
      <c r="F11" s="53">
        <v>1.0</v>
      </c>
      <c r="G11" s="54"/>
      <c r="H11" s="53">
        <v>1.0</v>
      </c>
      <c r="I11" s="53">
        <v>1.0</v>
      </c>
      <c r="J11" s="54"/>
      <c r="K11" s="53">
        <v>1.0</v>
      </c>
      <c r="L11" s="54"/>
      <c r="M11" s="54">
        <f t="shared" si="1"/>
        <v>6</v>
      </c>
    </row>
    <row r="12" ht="13.5" customHeight="1">
      <c r="A12" s="50" t="s">
        <v>56</v>
      </c>
      <c r="B12" s="51" t="s">
        <v>57</v>
      </c>
      <c r="C12" s="52">
        <v>1.0</v>
      </c>
      <c r="D12" s="54"/>
      <c r="E12" s="53">
        <v>1.0</v>
      </c>
      <c r="F12" s="53">
        <v>1.0</v>
      </c>
      <c r="G12" s="53">
        <v>1.0</v>
      </c>
      <c r="H12" s="53">
        <v>1.0</v>
      </c>
      <c r="I12" s="54"/>
      <c r="J12" s="53">
        <v>1.0</v>
      </c>
      <c r="K12" s="54"/>
      <c r="L12" s="53">
        <v>1.0</v>
      </c>
      <c r="M12" s="54">
        <f t="shared" si="1"/>
        <v>7</v>
      </c>
    </row>
    <row r="13" ht="13.5" customHeight="1">
      <c r="A13" s="50" t="s">
        <v>63</v>
      </c>
      <c r="B13" s="51" t="s">
        <v>64</v>
      </c>
      <c r="C13" s="52">
        <v>1.0</v>
      </c>
      <c r="D13" s="53">
        <v>1.0</v>
      </c>
      <c r="E13" s="53">
        <v>1.0</v>
      </c>
      <c r="F13" s="53">
        <v>1.0</v>
      </c>
      <c r="G13" s="54"/>
      <c r="H13" s="61"/>
      <c r="I13" s="53">
        <v>1.0</v>
      </c>
      <c r="J13" s="54"/>
      <c r="K13" s="53">
        <v>1.0</v>
      </c>
      <c r="L13" s="53">
        <v>1.0</v>
      </c>
      <c r="M13" s="54">
        <f t="shared" si="1"/>
        <v>7</v>
      </c>
    </row>
    <row r="14" ht="13.5" customHeight="1">
      <c r="A14" s="50" t="s">
        <v>70</v>
      </c>
      <c r="B14" s="51" t="s">
        <v>71</v>
      </c>
      <c r="C14" s="57"/>
      <c r="D14" s="53">
        <v>1.0</v>
      </c>
      <c r="E14" s="54"/>
      <c r="F14" s="54"/>
      <c r="G14" s="53">
        <v>1.0</v>
      </c>
      <c r="H14" s="53">
        <v>1.0</v>
      </c>
      <c r="I14" s="53">
        <v>1.0</v>
      </c>
      <c r="J14" s="53">
        <v>1.0</v>
      </c>
      <c r="K14" s="53">
        <v>1.0</v>
      </c>
      <c r="L14" s="54"/>
      <c r="M14" s="54">
        <f t="shared" si="1"/>
        <v>6</v>
      </c>
    </row>
    <row r="15" ht="13.5" customHeight="1">
      <c r="A15" s="50" t="s">
        <v>76</v>
      </c>
      <c r="B15" s="51" t="s">
        <v>77</v>
      </c>
      <c r="C15" s="52">
        <v>1.0</v>
      </c>
      <c r="D15" s="53">
        <v>1.0</v>
      </c>
      <c r="E15" s="53">
        <v>1.0</v>
      </c>
      <c r="F15" s="53">
        <v>1.0</v>
      </c>
      <c r="G15" s="54"/>
      <c r="H15" s="53">
        <v>1.0</v>
      </c>
      <c r="I15" s="54"/>
      <c r="J15" s="53">
        <v>1.0</v>
      </c>
      <c r="K15" s="53">
        <v>1.0</v>
      </c>
      <c r="L15" s="53">
        <v>1.0</v>
      </c>
      <c r="M15" s="54">
        <f t="shared" si="1"/>
        <v>8</v>
      </c>
    </row>
    <row r="16" ht="13.5" customHeight="1">
      <c r="A16" s="50" t="s">
        <v>83</v>
      </c>
      <c r="B16" s="51" t="s">
        <v>84</v>
      </c>
      <c r="C16" s="62">
        <v>1.0</v>
      </c>
      <c r="D16" s="54"/>
      <c r="E16" s="53">
        <v>1.0</v>
      </c>
      <c r="F16" s="53">
        <v>1.0</v>
      </c>
      <c r="G16" s="53">
        <v>1.0</v>
      </c>
      <c r="H16" s="54"/>
      <c r="I16" s="53">
        <v>1.0</v>
      </c>
      <c r="J16" s="54"/>
      <c r="K16" s="54"/>
      <c r="L16" s="53">
        <v>1.0</v>
      </c>
      <c r="M16" s="54">
        <f t="shared" si="1"/>
        <v>6</v>
      </c>
    </row>
    <row r="17" ht="13.5" customHeight="1">
      <c r="A17" s="50" t="s">
        <v>90</v>
      </c>
      <c r="B17" s="51" t="s">
        <v>91</v>
      </c>
      <c r="C17" s="57"/>
      <c r="D17" s="53">
        <v>1.0</v>
      </c>
      <c r="E17" s="54"/>
      <c r="F17" s="54"/>
      <c r="G17" s="53">
        <v>1.0</v>
      </c>
      <c r="H17" s="53">
        <v>1.0</v>
      </c>
      <c r="I17" s="53">
        <v>1.0</v>
      </c>
      <c r="J17" s="53">
        <v>1.0</v>
      </c>
      <c r="K17" s="53">
        <v>1.0</v>
      </c>
      <c r="L17" s="54"/>
      <c r="M17" s="54">
        <f t="shared" si="1"/>
        <v>6</v>
      </c>
    </row>
    <row r="18" ht="13.5" customHeight="1">
      <c r="A18" s="63" t="s">
        <v>16</v>
      </c>
      <c r="B18" s="64" t="s">
        <v>98</v>
      </c>
      <c r="C18" s="52">
        <v>1.0</v>
      </c>
      <c r="D18" s="53">
        <v>1.0</v>
      </c>
      <c r="E18" s="53">
        <v>1.0</v>
      </c>
      <c r="F18" s="54"/>
      <c r="G18" s="53">
        <v>1.0</v>
      </c>
      <c r="H18" s="53">
        <v>1.0</v>
      </c>
      <c r="I18" s="53">
        <v>1.0</v>
      </c>
      <c r="J18" s="53">
        <v>1.0</v>
      </c>
      <c r="K18" s="53">
        <v>1.0</v>
      </c>
      <c r="L18" s="54"/>
      <c r="M18" s="54">
        <f t="shared" si="1"/>
        <v>8</v>
      </c>
    </row>
    <row r="19" ht="13.5" customHeight="1">
      <c r="A19" s="63" t="s">
        <v>23</v>
      </c>
      <c r="B19" s="65" t="s">
        <v>104</v>
      </c>
      <c r="C19" s="52">
        <v>1.0</v>
      </c>
      <c r="D19" s="54"/>
      <c r="E19" s="54"/>
      <c r="F19" s="53">
        <v>1.0</v>
      </c>
      <c r="G19" s="53">
        <v>1.0</v>
      </c>
      <c r="H19" s="54"/>
      <c r="I19" s="53">
        <v>1.0</v>
      </c>
      <c r="J19" s="53">
        <v>1.0</v>
      </c>
      <c r="K19" s="54"/>
      <c r="L19" s="53">
        <v>1.0</v>
      </c>
      <c r="M19" s="54">
        <f t="shared" si="1"/>
        <v>6</v>
      </c>
    </row>
    <row r="20" ht="13.5" customHeight="1">
      <c r="A20" s="63" t="s">
        <v>30</v>
      </c>
      <c r="B20" s="65" t="s">
        <v>110</v>
      </c>
      <c r="C20" s="57"/>
      <c r="D20" s="53">
        <v>1.0</v>
      </c>
      <c r="E20" s="53">
        <v>1.0</v>
      </c>
      <c r="F20" s="53">
        <v>1.0</v>
      </c>
      <c r="G20" s="54"/>
      <c r="H20" s="53">
        <v>1.0</v>
      </c>
      <c r="I20" s="54"/>
      <c r="J20" s="61"/>
      <c r="K20" s="53">
        <v>1.0</v>
      </c>
      <c r="L20" s="53">
        <v>1.0</v>
      </c>
      <c r="M20" s="54">
        <f t="shared" si="1"/>
        <v>6</v>
      </c>
    </row>
    <row r="21" ht="13.5" customHeight="1">
      <c r="A21" s="63" t="s">
        <v>36</v>
      </c>
      <c r="B21" s="65" t="s">
        <v>115</v>
      </c>
      <c r="C21" s="52">
        <v>1.0</v>
      </c>
      <c r="D21" s="54"/>
      <c r="E21" s="53">
        <v>1.0</v>
      </c>
      <c r="F21" s="54"/>
      <c r="G21" s="53">
        <v>1.0</v>
      </c>
      <c r="H21" s="53">
        <v>1.0</v>
      </c>
      <c r="I21" s="53">
        <v>1.0</v>
      </c>
      <c r="J21" s="53">
        <v>1.0</v>
      </c>
      <c r="K21" s="53">
        <v>1.0</v>
      </c>
      <c r="L21" s="54"/>
      <c r="M21" s="54">
        <f t="shared" si="1"/>
        <v>7</v>
      </c>
    </row>
    <row r="22" ht="13.5" customHeight="1">
      <c r="A22" s="63" t="s">
        <v>43</v>
      </c>
      <c r="B22" s="64" t="s">
        <v>120</v>
      </c>
      <c r="C22" s="57"/>
      <c r="D22" s="53">
        <v>1.0</v>
      </c>
      <c r="E22" s="53">
        <v>1.0</v>
      </c>
      <c r="F22" s="53">
        <v>1.0</v>
      </c>
      <c r="G22" s="53">
        <v>1.0</v>
      </c>
      <c r="H22" s="54"/>
      <c r="I22" s="53">
        <v>1.0</v>
      </c>
      <c r="J22" s="54"/>
      <c r="K22" s="53">
        <v>1.0</v>
      </c>
      <c r="L22" s="53">
        <v>1.0</v>
      </c>
      <c r="M22" s="54">
        <f t="shared" si="1"/>
        <v>7</v>
      </c>
    </row>
    <row r="23" ht="13.5" customHeight="1">
      <c r="A23" s="63" t="s">
        <v>49</v>
      </c>
      <c r="B23" s="65" t="s">
        <v>126</v>
      </c>
      <c r="C23" s="52">
        <v>1.0</v>
      </c>
      <c r="D23" s="53">
        <v>1.0</v>
      </c>
      <c r="E23" s="54"/>
      <c r="F23" s="53">
        <v>1.0</v>
      </c>
      <c r="G23" s="54"/>
      <c r="H23" s="53">
        <v>1.0</v>
      </c>
      <c r="I23" s="54"/>
      <c r="J23" s="53">
        <v>1.0</v>
      </c>
      <c r="K23" s="54"/>
      <c r="L23" s="53">
        <v>1.0</v>
      </c>
      <c r="M23" s="54">
        <f t="shared" si="1"/>
        <v>6</v>
      </c>
    </row>
    <row r="24" ht="13.5" customHeight="1">
      <c r="A24" s="66" t="s">
        <v>56</v>
      </c>
      <c r="B24" s="67" t="s">
        <v>132</v>
      </c>
      <c r="C24" s="52">
        <v>1.0</v>
      </c>
      <c r="D24" s="53">
        <v>1.0</v>
      </c>
      <c r="E24" s="54"/>
      <c r="F24" s="53">
        <v>1.0</v>
      </c>
      <c r="G24" s="53">
        <v>1.0</v>
      </c>
      <c r="H24" s="53">
        <v>1.0</v>
      </c>
      <c r="I24" s="53">
        <v>1.0</v>
      </c>
      <c r="J24" s="53">
        <v>1.0</v>
      </c>
      <c r="K24" s="54"/>
      <c r="L24" s="53">
        <v>1.0</v>
      </c>
      <c r="M24" s="54">
        <f t="shared" si="1"/>
        <v>8</v>
      </c>
    </row>
    <row r="25" ht="13.5" customHeight="1">
      <c r="A25" s="66" t="s">
        <v>63</v>
      </c>
      <c r="B25" s="67" t="s">
        <v>138</v>
      </c>
      <c r="C25" s="52">
        <v>1.0</v>
      </c>
      <c r="D25" s="54"/>
      <c r="E25" s="53">
        <v>1.0</v>
      </c>
      <c r="F25" s="54"/>
      <c r="G25" s="53">
        <v>1.0</v>
      </c>
      <c r="H25" s="53">
        <v>1.0</v>
      </c>
      <c r="I25" s="54"/>
      <c r="J25" s="54"/>
      <c r="K25" s="68">
        <v>1.0</v>
      </c>
      <c r="L25" s="53">
        <v>1.0</v>
      </c>
      <c r="M25" s="54">
        <f t="shared" si="1"/>
        <v>6</v>
      </c>
    </row>
    <row r="26" ht="13.5" customHeight="1">
      <c r="A26" s="66" t="s">
        <v>70</v>
      </c>
      <c r="B26" s="67" t="s">
        <v>144</v>
      </c>
      <c r="C26" s="57"/>
      <c r="D26" s="53">
        <v>1.0</v>
      </c>
      <c r="E26" s="53">
        <v>1.0</v>
      </c>
      <c r="F26" s="53">
        <v>1.0</v>
      </c>
      <c r="G26" s="54"/>
      <c r="H26" s="54"/>
      <c r="I26" s="53">
        <v>1.0</v>
      </c>
      <c r="J26" s="53">
        <v>1.0</v>
      </c>
      <c r="K26" s="53">
        <v>1.0</v>
      </c>
      <c r="L26" s="54"/>
      <c r="M26" s="54">
        <f t="shared" si="1"/>
        <v>6</v>
      </c>
    </row>
    <row r="27" ht="12.75" customHeight="1">
      <c r="A27" s="69"/>
      <c r="B27" s="70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</row>
    <row r="28" ht="13.5" customHeight="1">
      <c r="A28" s="72" t="s">
        <v>162</v>
      </c>
      <c r="B28" s="73" t="s">
        <v>10</v>
      </c>
      <c r="C28" s="47" t="s">
        <v>151</v>
      </c>
      <c r="D28" s="48" t="s">
        <v>152</v>
      </c>
      <c r="E28" s="48" t="s">
        <v>153</v>
      </c>
      <c r="F28" s="48" t="s">
        <v>154</v>
      </c>
      <c r="G28" s="48" t="s">
        <v>155</v>
      </c>
      <c r="H28" s="48" t="s">
        <v>156</v>
      </c>
      <c r="I28" s="48" t="s">
        <v>157</v>
      </c>
      <c r="J28" s="48" t="s">
        <v>158</v>
      </c>
      <c r="K28" s="48" t="s">
        <v>159</v>
      </c>
      <c r="L28" s="48" t="s">
        <v>160</v>
      </c>
      <c r="M28" s="49" t="s">
        <v>161</v>
      </c>
    </row>
    <row r="29" ht="13.5" customHeight="1">
      <c r="A29" s="50" t="s">
        <v>16</v>
      </c>
      <c r="B29" s="74" t="s">
        <v>18</v>
      </c>
      <c r="C29" s="52">
        <v>1.0</v>
      </c>
      <c r="D29" s="53">
        <v>1.0</v>
      </c>
      <c r="E29" s="53">
        <v>1.0</v>
      </c>
      <c r="F29" s="54"/>
      <c r="G29" s="53">
        <v>1.0</v>
      </c>
      <c r="H29" s="53">
        <v>1.0</v>
      </c>
      <c r="I29" s="53">
        <v>1.0</v>
      </c>
      <c r="J29" s="54"/>
      <c r="K29" s="54"/>
      <c r="L29" s="53">
        <v>1.0</v>
      </c>
      <c r="M29" s="54">
        <f t="shared" ref="M29:M49" si="2">SUM(C29:L29)</f>
        <v>7</v>
      </c>
    </row>
    <row r="30" ht="13.5" customHeight="1">
      <c r="A30" s="55" t="s">
        <v>23</v>
      </c>
      <c r="B30" s="50" t="s">
        <v>25</v>
      </c>
      <c r="C30" s="52">
        <v>1.0</v>
      </c>
      <c r="D30" s="54"/>
      <c r="E30" s="53">
        <v>1.0</v>
      </c>
      <c r="F30" s="53">
        <v>1.0</v>
      </c>
      <c r="G30" s="53">
        <v>1.0</v>
      </c>
      <c r="H30" s="53">
        <v>1.0</v>
      </c>
      <c r="I30" s="54"/>
      <c r="J30" s="53">
        <v>1.0</v>
      </c>
      <c r="K30" s="68">
        <v>1.0</v>
      </c>
      <c r="L30" s="54"/>
      <c r="M30" s="54">
        <f t="shared" si="2"/>
        <v>7</v>
      </c>
    </row>
    <row r="31" ht="13.5" customHeight="1">
      <c r="A31" s="50" t="s">
        <v>30</v>
      </c>
      <c r="B31" s="50" t="s">
        <v>32</v>
      </c>
      <c r="C31" s="57"/>
      <c r="D31" s="53">
        <v>1.0</v>
      </c>
      <c r="E31" s="54"/>
      <c r="F31" s="53">
        <v>1.0</v>
      </c>
      <c r="G31" s="54"/>
      <c r="H31" s="54"/>
      <c r="I31" s="53">
        <v>1.0</v>
      </c>
      <c r="J31" s="53">
        <v>1.0</v>
      </c>
      <c r="K31" s="53">
        <v>1.0</v>
      </c>
      <c r="L31" s="53">
        <v>1.0</v>
      </c>
      <c r="M31" s="54">
        <f t="shared" si="2"/>
        <v>6</v>
      </c>
    </row>
    <row r="32" ht="13.5" customHeight="1">
      <c r="A32" s="50" t="s">
        <v>36</v>
      </c>
      <c r="B32" s="50" t="s">
        <v>38</v>
      </c>
      <c r="C32" s="52">
        <v>1.0</v>
      </c>
      <c r="D32" s="53">
        <v>1.0</v>
      </c>
      <c r="E32" s="53">
        <v>1.0</v>
      </c>
      <c r="F32" s="54"/>
      <c r="G32" s="53">
        <v>1.0</v>
      </c>
      <c r="H32" s="53">
        <v>1.0</v>
      </c>
      <c r="I32" s="54"/>
      <c r="J32" s="53">
        <v>1.0</v>
      </c>
      <c r="K32" s="54"/>
      <c r="L32" s="53">
        <v>1.0</v>
      </c>
      <c r="M32" s="54">
        <f t="shared" si="2"/>
        <v>7</v>
      </c>
    </row>
    <row r="33" ht="13.5" customHeight="1">
      <c r="A33" s="50" t="s">
        <v>43</v>
      </c>
      <c r="B33" s="50" t="s">
        <v>44</v>
      </c>
      <c r="C33" s="52">
        <v>1.0</v>
      </c>
      <c r="D33" s="53">
        <v>1.0</v>
      </c>
      <c r="E33" s="53">
        <v>1.0</v>
      </c>
      <c r="F33" s="53">
        <v>1.0</v>
      </c>
      <c r="G33" s="53">
        <v>1.0</v>
      </c>
      <c r="H33" s="54"/>
      <c r="I33" s="53">
        <v>1.0</v>
      </c>
      <c r="J33" s="54"/>
      <c r="K33" s="53">
        <v>1.0</v>
      </c>
      <c r="L33" s="59">
        <v>1.0</v>
      </c>
      <c r="M33" s="54">
        <f t="shared" si="2"/>
        <v>8</v>
      </c>
    </row>
    <row r="34" ht="13.5" customHeight="1">
      <c r="A34" s="50" t="s">
        <v>49</v>
      </c>
      <c r="B34" s="75" t="s">
        <v>51</v>
      </c>
      <c r="C34" s="57"/>
      <c r="D34" s="54"/>
      <c r="E34" s="61"/>
      <c r="F34" s="53">
        <v>1.0</v>
      </c>
      <c r="G34" s="54"/>
      <c r="H34" s="53">
        <v>1.0</v>
      </c>
      <c r="I34" s="53">
        <v>1.0</v>
      </c>
      <c r="J34" s="53">
        <v>1.0</v>
      </c>
      <c r="K34" s="53">
        <v>1.0</v>
      </c>
      <c r="L34" s="54"/>
      <c r="M34" s="76">
        <f t="shared" si="2"/>
        <v>5</v>
      </c>
    </row>
    <row r="35" ht="13.5" customHeight="1">
      <c r="A35" s="50" t="s">
        <v>56</v>
      </c>
      <c r="B35" s="50" t="s">
        <v>58</v>
      </c>
      <c r="C35" s="52">
        <v>1.0</v>
      </c>
      <c r="D35" s="53">
        <v>1.0</v>
      </c>
      <c r="E35" s="53">
        <v>1.0</v>
      </c>
      <c r="F35" s="53">
        <v>1.0</v>
      </c>
      <c r="G35" s="54"/>
      <c r="H35" s="53">
        <v>1.0</v>
      </c>
      <c r="I35" s="53">
        <v>1.0</v>
      </c>
      <c r="J35" s="53">
        <v>1.0</v>
      </c>
      <c r="K35" s="54"/>
      <c r="L35" s="53">
        <v>1.0</v>
      </c>
      <c r="M35" s="54">
        <f t="shared" si="2"/>
        <v>8</v>
      </c>
    </row>
    <row r="36" ht="13.5" customHeight="1">
      <c r="A36" s="50" t="s">
        <v>63</v>
      </c>
      <c r="B36" s="50" t="s">
        <v>65</v>
      </c>
      <c r="C36" s="57"/>
      <c r="D36" s="53">
        <v>1.0</v>
      </c>
      <c r="E36" s="54"/>
      <c r="F36" s="54"/>
      <c r="G36" s="53">
        <v>1.0</v>
      </c>
      <c r="H36" s="68">
        <v>1.0</v>
      </c>
      <c r="I36" s="53">
        <v>1.0</v>
      </c>
      <c r="J36" s="53">
        <v>1.0</v>
      </c>
      <c r="K36" s="53">
        <v>1.0</v>
      </c>
      <c r="L36" s="54"/>
      <c r="M36" s="54">
        <f t="shared" si="2"/>
        <v>6</v>
      </c>
    </row>
    <row r="37" ht="13.5" customHeight="1">
      <c r="A37" s="50" t="s">
        <v>70</v>
      </c>
      <c r="B37" s="50" t="s">
        <v>72</v>
      </c>
      <c r="C37" s="52">
        <v>1.0</v>
      </c>
      <c r="D37" s="54"/>
      <c r="E37" s="53">
        <v>1.0</v>
      </c>
      <c r="F37" s="53">
        <v>1.0</v>
      </c>
      <c r="G37" s="53">
        <v>1.0</v>
      </c>
      <c r="H37" s="61"/>
      <c r="I37" s="54"/>
      <c r="J37" s="54"/>
      <c r="K37" s="53">
        <v>1.0</v>
      </c>
      <c r="L37" s="53">
        <v>1.0</v>
      </c>
      <c r="M37" s="54">
        <f t="shared" si="2"/>
        <v>6</v>
      </c>
    </row>
    <row r="38" ht="13.5" customHeight="1">
      <c r="A38" s="50" t="s">
        <v>76</v>
      </c>
      <c r="B38" s="50" t="s">
        <v>78</v>
      </c>
      <c r="C38" s="52">
        <v>1.0</v>
      </c>
      <c r="D38" s="54"/>
      <c r="E38" s="53">
        <v>1.0</v>
      </c>
      <c r="F38" s="54"/>
      <c r="G38" s="53">
        <v>1.0</v>
      </c>
      <c r="H38" s="59">
        <v>1.0</v>
      </c>
      <c r="I38" s="54"/>
      <c r="J38" s="53">
        <v>1.0</v>
      </c>
      <c r="K38" s="54"/>
      <c r="L38" s="53">
        <v>1.0</v>
      </c>
      <c r="M38" s="54">
        <f t="shared" si="2"/>
        <v>6</v>
      </c>
    </row>
    <row r="39" ht="13.5" customHeight="1">
      <c r="A39" s="50" t="s">
        <v>83</v>
      </c>
      <c r="B39" s="50" t="s">
        <v>85</v>
      </c>
      <c r="C39" s="52">
        <v>1.0</v>
      </c>
      <c r="D39" s="53">
        <v>1.0</v>
      </c>
      <c r="E39" s="54"/>
      <c r="F39" s="53">
        <v>1.0</v>
      </c>
      <c r="G39" s="53">
        <v>1.0</v>
      </c>
      <c r="H39" s="59"/>
      <c r="I39" s="53">
        <v>1.0</v>
      </c>
      <c r="J39" s="54"/>
      <c r="K39" s="53">
        <v>1.0</v>
      </c>
      <c r="L39" s="53">
        <v>1.0</v>
      </c>
      <c r="M39" s="54">
        <f t="shared" si="2"/>
        <v>7</v>
      </c>
    </row>
    <row r="40" ht="13.5" customHeight="1">
      <c r="A40" s="50" t="s">
        <v>90</v>
      </c>
      <c r="B40" s="50" t="s">
        <v>92</v>
      </c>
      <c r="C40" s="57"/>
      <c r="D40" s="53">
        <v>1.0</v>
      </c>
      <c r="E40" s="53">
        <v>1.0</v>
      </c>
      <c r="F40" s="53">
        <v>1.0</v>
      </c>
      <c r="G40" s="54"/>
      <c r="H40" s="53">
        <v>1.0</v>
      </c>
      <c r="I40" s="53">
        <v>1.0</v>
      </c>
      <c r="J40" s="53">
        <v>1.0</v>
      </c>
      <c r="K40" s="53">
        <v>1.0</v>
      </c>
      <c r="L40" s="54"/>
      <c r="M40" s="54">
        <f t="shared" si="2"/>
        <v>7</v>
      </c>
    </row>
    <row r="41" ht="13.5" customHeight="1">
      <c r="A41" s="63" t="s">
        <v>16</v>
      </c>
      <c r="B41" s="77" t="s">
        <v>99</v>
      </c>
      <c r="C41" s="52">
        <v>1.0</v>
      </c>
      <c r="D41" s="53">
        <v>1.0</v>
      </c>
      <c r="E41" s="53">
        <v>1.0</v>
      </c>
      <c r="F41" s="54"/>
      <c r="G41" s="53">
        <v>1.0</v>
      </c>
      <c r="H41" s="61"/>
      <c r="I41" s="54"/>
      <c r="J41" s="53">
        <v>1.0</v>
      </c>
      <c r="K41" s="54"/>
      <c r="L41" s="53">
        <v>1.0</v>
      </c>
      <c r="M41" s="54">
        <f t="shared" si="2"/>
        <v>6</v>
      </c>
    </row>
    <row r="42" ht="13.5" customHeight="1">
      <c r="A42" s="63" t="s">
        <v>23</v>
      </c>
      <c r="B42" s="63" t="s">
        <v>105</v>
      </c>
      <c r="C42" s="52">
        <v>1.0</v>
      </c>
      <c r="D42" s="54"/>
      <c r="E42" s="53">
        <v>1.0</v>
      </c>
      <c r="F42" s="53">
        <v>1.0</v>
      </c>
      <c r="G42" s="54"/>
      <c r="H42" s="59">
        <v>1.0</v>
      </c>
      <c r="I42" s="53">
        <v>1.0</v>
      </c>
      <c r="J42" s="54"/>
      <c r="K42" s="53">
        <v>1.0</v>
      </c>
      <c r="L42" s="54"/>
      <c r="M42" s="54">
        <f t="shared" si="2"/>
        <v>6</v>
      </c>
    </row>
    <row r="43" ht="13.5" customHeight="1">
      <c r="A43" s="63" t="s">
        <v>30</v>
      </c>
      <c r="B43" s="78" t="s">
        <v>111</v>
      </c>
      <c r="C43" s="57"/>
      <c r="D43" s="53">
        <v>1.0</v>
      </c>
      <c r="E43" s="61"/>
      <c r="F43" s="68">
        <v>1.0</v>
      </c>
      <c r="G43" s="53">
        <v>1.0</v>
      </c>
      <c r="H43" s="53">
        <v>1.0</v>
      </c>
      <c r="I43" s="53">
        <v>1.0</v>
      </c>
      <c r="J43" s="53">
        <v>1.0</v>
      </c>
      <c r="K43" s="53">
        <v>1.0</v>
      </c>
      <c r="L43" s="53">
        <v>1.0</v>
      </c>
      <c r="M43" s="54">
        <f t="shared" si="2"/>
        <v>8</v>
      </c>
    </row>
    <row r="44" ht="13.5" customHeight="1">
      <c r="A44" s="63" t="s">
        <v>36</v>
      </c>
      <c r="B44" s="63" t="s">
        <v>116</v>
      </c>
      <c r="C44" s="52">
        <v>1.0</v>
      </c>
      <c r="D44" s="54"/>
      <c r="E44" s="68">
        <v>1.0</v>
      </c>
      <c r="F44" s="53"/>
      <c r="G44" s="53">
        <v>1.0</v>
      </c>
      <c r="H44" s="53">
        <v>1.0</v>
      </c>
      <c r="I44" s="68">
        <v>1.0</v>
      </c>
      <c r="J44" s="54"/>
      <c r="K44" s="68">
        <v>1.0</v>
      </c>
      <c r="L44" s="59"/>
      <c r="M44" s="54">
        <f t="shared" si="2"/>
        <v>6</v>
      </c>
    </row>
    <row r="45" ht="13.5" customHeight="1">
      <c r="A45" s="63" t="s">
        <v>43</v>
      </c>
      <c r="B45" s="63" t="s">
        <v>121</v>
      </c>
      <c r="C45" s="52">
        <v>1.0</v>
      </c>
      <c r="D45" s="53">
        <v>1.0</v>
      </c>
      <c r="E45" s="53">
        <v>1.0</v>
      </c>
      <c r="F45" s="53">
        <v>1.0</v>
      </c>
      <c r="G45" s="54"/>
      <c r="H45" s="54"/>
      <c r="I45" s="68">
        <v>1.0</v>
      </c>
      <c r="J45" s="68">
        <v>1.0</v>
      </c>
      <c r="K45" s="68">
        <v>1.0</v>
      </c>
      <c r="L45" s="68">
        <v>1.0</v>
      </c>
      <c r="M45" s="54">
        <f t="shared" si="2"/>
        <v>8</v>
      </c>
    </row>
    <row r="46" ht="13.5" customHeight="1">
      <c r="A46" s="63" t="s">
        <v>49</v>
      </c>
      <c r="B46" s="63" t="s">
        <v>127</v>
      </c>
      <c r="C46" s="57"/>
      <c r="D46" s="53">
        <v>1.0</v>
      </c>
      <c r="E46" s="54"/>
      <c r="F46" s="53">
        <v>1.0</v>
      </c>
      <c r="G46" s="53">
        <v>1.0</v>
      </c>
      <c r="H46" s="53">
        <v>1.0</v>
      </c>
      <c r="I46" s="54"/>
      <c r="J46" s="59">
        <v>1.0</v>
      </c>
      <c r="K46" s="54"/>
      <c r="L46" s="53">
        <v>1.0</v>
      </c>
      <c r="M46" s="54">
        <f t="shared" si="2"/>
        <v>6</v>
      </c>
    </row>
    <row r="47" ht="13.5" customHeight="1">
      <c r="A47" s="66" t="s">
        <v>56</v>
      </c>
      <c r="B47" s="66" t="s">
        <v>133</v>
      </c>
      <c r="C47" s="52">
        <v>1.0</v>
      </c>
      <c r="D47" s="54"/>
      <c r="E47" s="54"/>
      <c r="F47" s="53">
        <v>1.0</v>
      </c>
      <c r="G47" s="53">
        <v>1.0</v>
      </c>
      <c r="H47" s="53">
        <v>1.0</v>
      </c>
      <c r="I47" s="53">
        <v>1.0</v>
      </c>
      <c r="J47" s="53"/>
      <c r="K47" s="54"/>
      <c r="L47" s="53">
        <v>1.0</v>
      </c>
      <c r="M47" s="54">
        <f t="shared" si="2"/>
        <v>6</v>
      </c>
    </row>
    <row r="48" ht="13.5" customHeight="1">
      <c r="A48" s="66" t="s">
        <v>63</v>
      </c>
      <c r="B48" s="66" t="s">
        <v>139</v>
      </c>
      <c r="C48" s="52">
        <v>1.0</v>
      </c>
      <c r="D48" s="53">
        <v>1.0</v>
      </c>
      <c r="E48" s="53">
        <v>1.0</v>
      </c>
      <c r="F48" s="54"/>
      <c r="G48" s="53">
        <v>1.0</v>
      </c>
      <c r="H48" s="54"/>
      <c r="I48" s="53">
        <v>1.0</v>
      </c>
      <c r="J48" s="53">
        <v>1.0</v>
      </c>
      <c r="K48" s="53">
        <v>1.0</v>
      </c>
      <c r="L48" s="53">
        <v>1.0</v>
      </c>
      <c r="M48" s="54">
        <f t="shared" si="2"/>
        <v>8</v>
      </c>
    </row>
    <row r="49" ht="13.5" customHeight="1">
      <c r="A49" s="66" t="s">
        <v>70</v>
      </c>
      <c r="B49" s="66" t="s">
        <v>145</v>
      </c>
      <c r="C49" s="57"/>
      <c r="D49" s="53">
        <v>1.0</v>
      </c>
      <c r="E49" s="53">
        <v>1.0</v>
      </c>
      <c r="F49" s="53">
        <v>1.0</v>
      </c>
      <c r="G49" s="54"/>
      <c r="H49" s="53">
        <v>1.0</v>
      </c>
      <c r="I49" s="54"/>
      <c r="J49" s="53">
        <v>1.0</v>
      </c>
      <c r="K49" s="53">
        <v>1.0</v>
      </c>
      <c r="L49" s="54"/>
      <c r="M49" s="54">
        <f t="shared" si="2"/>
        <v>6</v>
      </c>
    </row>
    <row r="50" ht="12.75" customHeight="1">
      <c r="A50" s="69"/>
      <c r="B50" s="70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</row>
    <row r="51" ht="13.5" customHeight="1">
      <c r="A51" s="72" t="s">
        <v>163</v>
      </c>
      <c r="B51" s="79" t="s">
        <v>11</v>
      </c>
      <c r="C51" s="47" t="s">
        <v>151</v>
      </c>
      <c r="D51" s="48" t="s">
        <v>152</v>
      </c>
      <c r="E51" s="48" t="s">
        <v>153</v>
      </c>
      <c r="F51" s="48" t="s">
        <v>154</v>
      </c>
      <c r="G51" s="48" t="s">
        <v>155</v>
      </c>
      <c r="H51" s="48" t="s">
        <v>156</v>
      </c>
      <c r="I51" s="48" t="s">
        <v>157</v>
      </c>
      <c r="J51" s="48" t="s">
        <v>158</v>
      </c>
      <c r="K51" s="48" t="s">
        <v>159</v>
      </c>
      <c r="L51" s="48" t="s">
        <v>160</v>
      </c>
      <c r="M51" s="49" t="s">
        <v>161</v>
      </c>
    </row>
    <row r="52" ht="13.5" customHeight="1">
      <c r="A52" s="50" t="s">
        <v>16</v>
      </c>
      <c r="B52" s="74" t="s">
        <v>19</v>
      </c>
      <c r="C52" s="52">
        <v>1.0</v>
      </c>
      <c r="D52" s="53">
        <v>1.0</v>
      </c>
      <c r="E52" s="54"/>
      <c r="F52" s="53">
        <v>1.0</v>
      </c>
      <c r="G52" s="53">
        <v>1.0</v>
      </c>
      <c r="H52" s="54"/>
      <c r="I52" s="53">
        <v>1.0</v>
      </c>
      <c r="J52" s="53">
        <v>1.0</v>
      </c>
      <c r="K52" s="53">
        <v>1.0</v>
      </c>
      <c r="L52" s="54"/>
      <c r="M52" s="54">
        <f t="shared" ref="M52:M72" si="3">SUM(C52:L52)</f>
        <v>7</v>
      </c>
    </row>
    <row r="53" ht="13.5" customHeight="1">
      <c r="A53" s="55" t="s">
        <v>23</v>
      </c>
      <c r="B53" s="50" t="s">
        <v>26</v>
      </c>
      <c r="C53" s="52">
        <v>1.0</v>
      </c>
      <c r="D53" s="54"/>
      <c r="E53" s="53">
        <v>1.0</v>
      </c>
      <c r="F53" s="53">
        <v>1.0</v>
      </c>
      <c r="G53" s="54"/>
      <c r="H53" s="53">
        <v>1.0</v>
      </c>
      <c r="I53" s="53">
        <v>1.0</v>
      </c>
      <c r="J53" s="54"/>
      <c r="K53" s="53">
        <v>1.0</v>
      </c>
      <c r="L53" s="53">
        <v>1.0</v>
      </c>
      <c r="M53" s="54">
        <f t="shared" si="3"/>
        <v>7</v>
      </c>
    </row>
    <row r="54" ht="13.5" customHeight="1">
      <c r="A54" s="50" t="s">
        <v>30</v>
      </c>
      <c r="B54" s="80" t="s">
        <v>11</v>
      </c>
      <c r="C54" s="57"/>
      <c r="D54" s="53">
        <v>1.0</v>
      </c>
      <c r="E54" s="53">
        <v>1.0</v>
      </c>
      <c r="F54" s="54"/>
      <c r="G54" s="53">
        <v>1.0</v>
      </c>
      <c r="H54" s="53">
        <v>1.0</v>
      </c>
      <c r="I54" s="54"/>
      <c r="J54" s="53">
        <v>1.0</v>
      </c>
      <c r="K54" s="54"/>
      <c r="L54" s="53">
        <v>1.0</v>
      </c>
      <c r="M54" s="54">
        <f t="shared" si="3"/>
        <v>6</v>
      </c>
    </row>
    <row r="55" ht="13.5" customHeight="1">
      <c r="A55" s="50" t="s">
        <v>36</v>
      </c>
      <c r="B55" s="81" t="s">
        <v>39</v>
      </c>
      <c r="C55" s="52">
        <v>1.0</v>
      </c>
      <c r="D55" s="53">
        <v>1.0</v>
      </c>
      <c r="E55" s="53">
        <v>1.0</v>
      </c>
      <c r="F55" s="54"/>
      <c r="G55" s="54"/>
      <c r="H55" s="53">
        <v>1.0</v>
      </c>
      <c r="I55" s="53">
        <v>1.0</v>
      </c>
      <c r="J55" s="54"/>
      <c r="K55" s="53">
        <v>1.0</v>
      </c>
      <c r="L55" s="53">
        <v>1.0</v>
      </c>
      <c r="M55" s="54">
        <f t="shared" si="3"/>
        <v>7</v>
      </c>
    </row>
    <row r="56" ht="13.5" customHeight="1">
      <c r="A56" s="50" t="s">
        <v>43</v>
      </c>
      <c r="B56" s="81" t="s">
        <v>45</v>
      </c>
      <c r="C56" s="52">
        <v>1.0</v>
      </c>
      <c r="D56" s="54"/>
      <c r="E56" s="54"/>
      <c r="F56" s="53">
        <v>1.0</v>
      </c>
      <c r="G56" s="53">
        <v>1.0</v>
      </c>
      <c r="H56" s="54"/>
      <c r="I56" s="53">
        <v>1.0</v>
      </c>
      <c r="J56" s="53">
        <v>1.0</v>
      </c>
      <c r="K56" s="53">
        <v>1.0</v>
      </c>
      <c r="L56" s="54"/>
      <c r="M56" s="54">
        <f t="shared" si="3"/>
        <v>6</v>
      </c>
    </row>
    <row r="57" ht="13.5" customHeight="1">
      <c r="A57" s="50" t="s">
        <v>49</v>
      </c>
      <c r="B57" s="82" t="s">
        <v>52</v>
      </c>
      <c r="C57" s="57"/>
      <c r="D57" s="53">
        <v>1.0</v>
      </c>
      <c r="E57" s="53">
        <v>1.0</v>
      </c>
      <c r="F57" s="53">
        <v>1.0</v>
      </c>
      <c r="G57" s="53">
        <v>1.0</v>
      </c>
      <c r="H57" s="53">
        <v>1.0</v>
      </c>
      <c r="I57" s="54"/>
      <c r="J57" s="53">
        <v>1.0</v>
      </c>
      <c r="K57" s="54"/>
      <c r="L57" s="53">
        <v>1.0</v>
      </c>
      <c r="M57" s="54">
        <f t="shared" si="3"/>
        <v>7</v>
      </c>
    </row>
    <row r="58" ht="13.5" customHeight="1">
      <c r="A58" s="50" t="s">
        <v>56</v>
      </c>
      <c r="B58" s="50" t="s">
        <v>59</v>
      </c>
      <c r="C58" s="57"/>
      <c r="D58" s="53">
        <v>1.0</v>
      </c>
      <c r="E58" s="53">
        <v>1.0</v>
      </c>
      <c r="F58" s="53">
        <v>1.0</v>
      </c>
      <c r="G58" s="53">
        <v>1.0</v>
      </c>
      <c r="H58" s="53">
        <v>1.0</v>
      </c>
      <c r="I58" s="54"/>
      <c r="J58" s="53">
        <v>1.0</v>
      </c>
      <c r="K58" s="54"/>
      <c r="L58" s="59">
        <v>1.0</v>
      </c>
      <c r="M58" s="54">
        <f t="shared" si="3"/>
        <v>7</v>
      </c>
    </row>
    <row r="59" ht="13.5" customHeight="1">
      <c r="A59" s="50" t="s">
        <v>63</v>
      </c>
      <c r="B59" s="50" t="s">
        <v>66</v>
      </c>
      <c r="C59" s="52">
        <v>1.0</v>
      </c>
      <c r="D59" s="53">
        <v>1.0</v>
      </c>
      <c r="E59" s="54"/>
      <c r="F59" s="54"/>
      <c r="G59" s="53">
        <v>1.0</v>
      </c>
      <c r="H59" s="54"/>
      <c r="I59" s="53">
        <v>1.0</v>
      </c>
      <c r="J59" s="53">
        <v>1.0</v>
      </c>
      <c r="K59" s="53">
        <v>1.0</v>
      </c>
      <c r="L59" s="59">
        <v>1.0</v>
      </c>
      <c r="M59" s="54">
        <f t="shared" si="3"/>
        <v>7</v>
      </c>
    </row>
    <row r="60" ht="13.5" customHeight="1">
      <c r="A60" s="50" t="s">
        <v>70</v>
      </c>
      <c r="B60" s="50" t="s">
        <v>73</v>
      </c>
      <c r="C60" s="52">
        <v>1.0</v>
      </c>
      <c r="D60" s="54"/>
      <c r="E60" s="59">
        <v>1.0</v>
      </c>
      <c r="F60" s="53">
        <v>1.0</v>
      </c>
      <c r="G60" s="54"/>
      <c r="H60" s="53">
        <v>1.0</v>
      </c>
      <c r="I60" s="53">
        <v>1.0</v>
      </c>
      <c r="J60" s="54"/>
      <c r="K60" s="53">
        <v>1.0</v>
      </c>
      <c r="L60" s="54"/>
      <c r="M60" s="54">
        <f t="shared" si="3"/>
        <v>6</v>
      </c>
    </row>
    <row r="61" ht="13.5" customHeight="1">
      <c r="A61" s="50" t="s">
        <v>76</v>
      </c>
      <c r="B61" s="50" t="s">
        <v>79</v>
      </c>
      <c r="C61" s="57"/>
      <c r="D61" s="53">
        <v>1.0</v>
      </c>
      <c r="E61" s="53"/>
      <c r="F61" s="53">
        <v>1.0</v>
      </c>
      <c r="G61" s="53">
        <v>1.0</v>
      </c>
      <c r="H61" s="53">
        <v>1.0</v>
      </c>
      <c r="I61" s="53">
        <v>1.0</v>
      </c>
      <c r="J61" s="53">
        <v>1.0</v>
      </c>
      <c r="K61" s="54"/>
      <c r="L61" s="53">
        <v>1.0</v>
      </c>
      <c r="M61" s="54">
        <f t="shared" si="3"/>
        <v>7</v>
      </c>
    </row>
    <row r="62" ht="13.5" customHeight="1">
      <c r="A62" s="50" t="s">
        <v>83</v>
      </c>
      <c r="B62" s="50" t="s">
        <v>86</v>
      </c>
      <c r="C62" s="52">
        <v>1.0</v>
      </c>
      <c r="D62" s="54"/>
      <c r="E62" s="53">
        <v>1.0</v>
      </c>
      <c r="F62" s="53">
        <v>1.0</v>
      </c>
      <c r="G62" s="53">
        <v>1.0</v>
      </c>
      <c r="H62" s="61"/>
      <c r="I62" s="54"/>
      <c r="J62" s="53">
        <v>1.0</v>
      </c>
      <c r="K62" s="53">
        <v>1.0</v>
      </c>
      <c r="L62" s="53">
        <v>1.0</v>
      </c>
      <c r="M62" s="54">
        <f t="shared" si="3"/>
        <v>7</v>
      </c>
    </row>
    <row r="63" ht="13.5" customHeight="1">
      <c r="A63" s="50" t="s">
        <v>90</v>
      </c>
      <c r="B63" s="50" t="s">
        <v>93</v>
      </c>
      <c r="C63" s="52">
        <v>1.0</v>
      </c>
      <c r="D63" s="53">
        <v>1.0</v>
      </c>
      <c r="E63" s="53">
        <v>1.0</v>
      </c>
      <c r="F63" s="54"/>
      <c r="G63" s="54"/>
      <c r="H63" s="59">
        <v>1.0</v>
      </c>
      <c r="I63" s="53">
        <v>1.0</v>
      </c>
      <c r="J63" s="54"/>
      <c r="K63" s="53">
        <v>1.0</v>
      </c>
      <c r="L63" s="54"/>
      <c r="M63" s="54">
        <f t="shared" si="3"/>
        <v>6</v>
      </c>
    </row>
    <row r="64" ht="14.25" customHeight="1">
      <c r="A64" s="63" t="s">
        <v>16</v>
      </c>
      <c r="B64" s="77" t="s">
        <v>100</v>
      </c>
      <c r="C64" s="52">
        <v>1.0</v>
      </c>
      <c r="D64" s="53">
        <v>1.0</v>
      </c>
      <c r="E64" s="53">
        <v>1.0</v>
      </c>
      <c r="F64" s="53">
        <v>1.0</v>
      </c>
      <c r="G64" s="54"/>
      <c r="H64" s="61"/>
      <c r="I64" s="53">
        <v>1.0</v>
      </c>
      <c r="J64" s="53">
        <v>1.0</v>
      </c>
      <c r="K64" s="53">
        <v>1.0</v>
      </c>
      <c r="L64" s="53">
        <v>1.0</v>
      </c>
      <c r="M64" s="54">
        <f t="shared" si="3"/>
        <v>8</v>
      </c>
    </row>
    <row r="65" ht="13.5" customHeight="1">
      <c r="A65" s="63" t="s">
        <v>23</v>
      </c>
      <c r="B65" s="83" t="s">
        <v>106</v>
      </c>
      <c r="C65" s="52">
        <v>1.0</v>
      </c>
      <c r="D65" s="54"/>
      <c r="E65" s="53">
        <v>1.0</v>
      </c>
      <c r="F65" s="54"/>
      <c r="G65" s="53">
        <v>1.0</v>
      </c>
      <c r="H65" s="59">
        <v>1.0</v>
      </c>
      <c r="I65" s="68">
        <v>1.0</v>
      </c>
      <c r="J65" s="53"/>
      <c r="K65" s="53">
        <v>1.0</v>
      </c>
      <c r="L65" s="54"/>
      <c r="M65" s="54">
        <f t="shared" si="3"/>
        <v>6</v>
      </c>
    </row>
    <row r="66" ht="13.5" customHeight="1">
      <c r="A66" s="63" t="s">
        <v>30</v>
      </c>
      <c r="B66" s="63" t="s">
        <v>112</v>
      </c>
      <c r="C66" s="57"/>
      <c r="D66" s="53">
        <v>1.0</v>
      </c>
      <c r="E66" s="54"/>
      <c r="F66" s="53">
        <v>1.0</v>
      </c>
      <c r="G66" s="53">
        <v>1.0</v>
      </c>
      <c r="H66" s="53">
        <v>1.0</v>
      </c>
      <c r="I66" s="54"/>
      <c r="J66" s="53">
        <v>1.0</v>
      </c>
      <c r="K66" s="54"/>
      <c r="L66" s="53">
        <v>1.0</v>
      </c>
      <c r="M66" s="54">
        <f t="shared" si="3"/>
        <v>6</v>
      </c>
    </row>
    <row r="67" ht="13.5" customHeight="1">
      <c r="A67" s="63" t="s">
        <v>36</v>
      </c>
      <c r="B67" s="63" t="s">
        <v>117</v>
      </c>
      <c r="C67" s="52">
        <v>1.0</v>
      </c>
      <c r="D67" s="54"/>
      <c r="E67" s="53">
        <v>1.0</v>
      </c>
      <c r="F67" s="53">
        <v>1.0</v>
      </c>
      <c r="G67" s="53">
        <v>1.0</v>
      </c>
      <c r="H67" s="53">
        <v>1.0</v>
      </c>
      <c r="I67" s="53">
        <v>1.0</v>
      </c>
      <c r="J67" s="53">
        <v>1.0</v>
      </c>
      <c r="K67" s="54"/>
      <c r="L67" s="53">
        <v>1.0</v>
      </c>
      <c r="M67" s="54">
        <f t="shared" si="3"/>
        <v>8</v>
      </c>
    </row>
    <row r="68" ht="13.5" customHeight="1">
      <c r="A68" s="63" t="s">
        <v>43</v>
      </c>
      <c r="B68" s="63" t="s">
        <v>122</v>
      </c>
      <c r="C68" s="57"/>
      <c r="D68" s="53">
        <v>1.0</v>
      </c>
      <c r="E68" s="53">
        <v>1.0</v>
      </c>
      <c r="F68" s="54"/>
      <c r="G68" s="53">
        <v>1.0</v>
      </c>
      <c r="H68" s="54"/>
      <c r="I68" s="53">
        <v>1.0</v>
      </c>
      <c r="J68" s="53"/>
      <c r="K68" s="53">
        <v>1.0</v>
      </c>
      <c r="L68" s="53">
        <v>1.0</v>
      </c>
      <c r="M68" s="54">
        <f t="shared" si="3"/>
        <v>6</v>
      </c>
    </row>
    <row r="69" ht="13.5" customHeight="1">
      <c r="A69" s="63" t="s">
        <v>49</v>
      </c>
      <c r="B69" s="63" t="s">
        <v>128</v>
      </c>
      <c r="C69" s="52">
        <v>1.0</v>
      </c>
      <c r="D69" s="68">
        <v>1.0</v>
      </c>
      <c r="E69" s="54"/>
      <c r="F69" s="53">
        <v>1.0</v>
      </c>
      <c r="G69" s="54"/>
      <c r="H69" s="53">
        <v>1.0</v>
      </c>
      <c r="I69" s="54"/>
      <c r="J69" s="59">
        <v>1.0</v>
      </c>
      <c r="K69" s="53">
        <v>1.0</v>
      </c>
      <c r="L69" s="54"/>
      <c r="M69" s="54">
        <f t="shared" si="3"/>
        <v>6</v>
      </c>
    </row>
    <row r="70" ht="13.5" customHeight="1">
      <c r="A70" s="66" t="s">
        <v>56</v>
      </c>
      <c r="B70" s="84" t="s">
        <v>134</v>
      </c>
      <c r="C70" s="57"/>
      <c r="D70" s="54"/>
      <c r="E70" s="53">
        <v>1.0</v>
      </c>
      <c r="F70" s="53">
        <v>1.0</v>
      </c>
      <c r="G70" s="53">
        <v>1.0</v>
      </c>
      <c r="H70" s="53">
        <v>1.0</v>
      </c>
      <c r="I70" s="53">
        <v>1.0</v>
      </c>
      <c r="J70" s="53">
        <v>1.0</v>
      </c>
      <c r="K70" s="53">
        <v>1.0</v>
      </c>
      <c r="L70" s="53">
        <v>1.0</v>
      </c>
      <c r="M70" s="54">
        <f t="shared" si="3"/>
        <v>8</v>
      </c>
    </row>
    <row r="71" ht="13.5" customHeight="1">
      <c r="A71" s="66" t="s">
        <v>63</v>
      </c>
      <c r="B71" s="66" t="s">
        <v>140</v>
      </c>
      <c r="C71" s="52">
        <v>1.0</v>
      </c>
      <c r="D71" s="53">
        <v>1.0</v>
      </c>
      <c r="E71" s="54"/>
      <c r="F71" s="53">
        <v>1.0</v>
      </c>
      <c r="G71" s="53">
        <v>1.0</v>
      </c>
      <c r="H71" s="54"/>
      <c r="I71" s="54"/>
      <c r="J71" s="53">
        <v>1.0</v>
      </c>
      <c r="K71" s="54"/>
      <c r="L71" s="53">
        <v>1.0</v>
      </c>
      <c r="M71" s="54">
        <f t="shared" si="3"/>
        <v>6</v>
      </c>
    </row>
    <row r="72" ht="13.5" customHeight="1">
      <c r="A72" s="66" t="s">
        <v>70</v>
      </c>
      <c r="B72" s="66" t="s">
        <v>146</v>
      </c>
      <c r="C72" s="52">
        <v>1.0</v>
      </c>
      <c r="D72" s="53">
        <v>1.0</v>
      </c>
      <c r="E72" s="53">
        <v>1.0</v>
      </c>
      <c r="F72" s="54"/>
      <c r="G72" s="54"/>
      <c r="H72" s="53">
        <v>1.0</v>
      </c>
      <c r="I72" s="53">
        <v>1.0</v>
      </c>
      <c r="J72" s="54"/>
      <c r="K72" s="53">
        <v>1.0</v>
      </c>
      <c r="L72" s="54"/>
      <c r="M72" s="54">
        <f t="shared" si="3"/>
        <v>6</v>
      </c>
    </row>
    <row r="73" ht="12.75" customHeight="1">
      <c r="A73" s="69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ht="13.5" customHeight="1">
      <c r="A74" s="72" t="s">
        <v>164</v>
      </c>
      <c r="B74" s="85" t="s">
        <v>12</v>
      </c>
      <c r="C74" s="48" t="s">
        <v>151</v>
      </c>
      <c r="D74" s="48" t="s">
        <v>152</v>
      </c>
      <c r="E74" s="48" t="s">
        <v>153</v>
      </c>
      <c r="F74" s="48" t="s">
        <v>154</v>
      </c>
      <c r="G74" s="48" t="s">
        <v>155</v>
      </c>
      <c r="H74" s="48" t="s">
        <v>156</v>
      </c>
      <c r="I74" s="48" t="s">
        <v>157</v>
      </c>
      <c r="J74" s="48" t="s">
        <v>158</v>
      </c>
      <c r="K74" s="48" t="s">
        <v>159</v>
      </c>
      <c r="L74" s="48" t="s">
        <v>160</v>
      </c>
      <c r="M74" s="49" t="s">
        <v>161</v>
      </c>
    </row>
    <row r="75" ht="13.5" customHeight="1">
      <c r="A75" s="50" t="s">
        <v>16</v>
      </c>
      <c r="B75" s="74" t="s">
        <v>20</v>
      </c>
      <c r="C75" s="52">
        <v>1.0</v>
      </c>
      <c r="D75" s="53">
        <v>1.0</v>
      </c>
      <c r="E75" s="54"/>
      <c r="F75" s="53">
        <v>1.0</v>
      </c>
      <c r="G75" s="53">
        <v>1.0</v>
      </c>
      <c r="H75" s="53">
        <v>1.0</v>
      </c>
      <c r="I75" s="53">
        <v>1.0</v>
      </c>
      <c r="J75" s="53">
        <v>1.0</v>
      </c>
      <c r="K75" s="53">
        <v>1.0</v>
      </c>
      <c r="L75" s="54"/>
      <c r="M75" s="54">
        <f t="shared" ref="M75:M95" si="4">SUM(C75:L75)</f>
        <v>8</v>
      </c>
    </row>
    <row r="76" ht="13.5" customHeight="1">
      <c r="A76" s="55" t="s">
        <v>23</v>
      </c>
      <c r="B76" s="50" t="s">
        <v>27</v>
      </c>
      <c r="C76" s="52"/>
      <c r="D76" s="53">
        <v>1.0</v>
      </c>
      <c r="E76" s="53">
        <v>1.0</v>
      </c>
      <c r="F76" s="53">
        <v>1.0</v>
      </c>
      <c r="G76" s="54"/>
      <c r="H76" s="53">
        <v>1.0</v>
      </c>
      <c r="I76" s="54"/>
      <c r="J76" s="53">
        <v>1.0</v>
      </c>
      <c r="K76" s="54"/>
      <c r="L76" s="53">
        <v>1.0</v>
      </c>
      <c r="M76" s="54">
        <f t="shared" si="4"/>
        <v>6</v>
      </c>
    </row>
    <row r="77" ht="13.5" customHeight="1">
      <c r="A77" s="50" t="s">
        <v>30</v>
      </c>
      <c r="B77" s="50" t="s">
        <v>33</v>
      </c>
      <c r="C77" s="52">
        <v>1.0</v>
      </c>
      <c r="D77" s="54"/>
      <c r="E77" s="53">
        <v>1.0</v>
      </c>
      <c r="F77" s="54"/>
      <c r="G77" s="53">
        <v>1.0</v>
      </c>
      <c r="H77" s="54"/>
      <c r="I77" s="53">
        <v>1.0</v>
      </c>
      <c r="J77" s="54"/>
      <c r="K77" s="53">
        <v>1.0</v>
      </c>
      <c r="L77" s="53">
        <v>1.0</v>
      </c>
      <c r="M77" s="54">
        <f t="shared" si="4"/>
        <v>6</v>
      </c>
    </row>
    <row r="78" ht="13.5" customHeight="1">
      <c r="A78" s="50" t="s">
        <v>36</v>
      </c>
      <c r="B78" s="50" t="s">
        <v>40</v>
      </c>
      <c r="C78" s="52">
        <v>1.0</v>
      </c>
      <c r="D78" s="53">
        <v>1.0</v>
      </c>
      <c r="E78" s="53">
        <v>1.0</v>
      </c>
      <c r="F78" s="53">
        <v>1.0</v>
      </c>
      <c r="G78" s="54"/>
      <c r="H78" s="53">
        <v>1.0</v>
      </c>
      <c r="I78" s="54"/>
      <c r="J78" s="54"/>
      <c r="K78" s="53">
        <v>1.0</v>
      </c>
      <c r="L78" s="53">
        <v>1.0</v>
      </c>
      <c r="M78" s="54">
        <f t="shared" si="4"/>
        <v>7</v>
      </c>
    </row>
    <row r="79" ht="13.5" customHeight="1">
      <c r="A79" s="50" t="s">
        <v>43</v>
      </c>
      <c r="B79" s="50" t="s">
        <v>46</v>
      </c>
      <c r="C79" s="57"/>
      <c r="D79" s="54"/>
      <c r="E79" s="53">
        <v>1.0</v>
      </c>
      <c r="F79" s="54"/>
      <c r="G79" s="53">
        <v>1.0</v>
      </c>
      <c r="H79" s="53">
        <v>1.0</v>
      </c>
      <c r="I79" s="53">
        <v>1.0</v>
      </c>
      <c r="J79" s="53">
        <v>1.0</v>
      </c>
      <c r="K79" s="54"/>
      <c r="L79" s="53">
        <v>1.0</v>
      </c>
      <c r="M79" s="54">
        <f t="shared" si="4"/>
        <v>6</v>
      </c>
    </row>
    <row r="80" ht="13.5" customHeight="1">
      <c r="A80" s="50" t="s">
        <v>49</v>
      </c>
      <c r="B80" s="50" t="s">
        <v>53</v>
      </c>
      <c r="C80" s="52">
        <v>1.0</v>
      </c>
      <c r="D80" s="53">
        <v>1.0</v>
      </c>
      <c r="E80" s="54"/>
      <c r="F80" s="53">
        <v>1.0</v>
      </c>
      <c r="G80" s="53">
        <v>1.0</v>
      </c>
      <c r="H80" s="54"/>
      <c r="I80" s="53">
        <v>1.0</v>
      </c>
      <c r="J80" s="53">
        <v>1.0</v>
      </c>
      <c r="K80" s="53">
        <v>1.0</v>
      </c>
      <c r="L80" s="53"/>
      <c r="M80" s="54">
        <f t="shared" si="4"/>
        <v>7</v>
      </c>
    </row>
    <row r="81" ht="13.5" customHeight="1">
      <c r="A81" s="50" t="s">
        <v>56</v>
      </c>
      <c r="B81" s="50" t="s">
        <v>60</v>
      </c>
      <c r="C81" s="57"/>
      <c r="D81" s="53">
        <v>1.0</v>
      </c>
      <c r="E81" s="53">
        <v>1.0</v>
      </c>
      <c r="F81" s="53">
        <v>1.0</v>
      </c>
      <c r="G81" s="53">
        <v>1.0</v>
      </c>
      <c r="H81" s="54"/>
      <c r="I81" s="53">
        <v>1.0</v>
      </c>
      <c r="J81" s="53">
        <v>1.0</v>
      </c>
      <c r="K81" s="53">
        <v>1.0</v>
      </c>
      <c r="L81" s="53">
        <v>1.0</v>
      </c>
      <c r="M81" s="54">
        <f t="shared" si="4"/>
        <v>8</v>
      </c>
    </row>
    <row r="82" ht="13.5" customHeight="1">
      <c r="A82" s="50" t="s">
        <v>63</v>
      </c>
      <c r="B82" s="50" t="s">
        <v>67</v>
      </c>
      <c r="C82" s="52">
        <v>1.0</v>
      </c>
      <c r="D82" s="53">
        <v>1.0</v>
      </c>
      <c r="E82" s="54"/>
      <c r="F82" s="53">
        <v>1.0</v>
      </c>
      <c r="G82" s="54"/>
      <c r="H82" s="53">
        <v>1.0</v>
      </c>
      <c r="I82" s="54"/>
      <c r="J82" s="53">
        <v>1.0</v>
      </c>
      <c r="K82" s="53">
        <v>1.0</v>
      </c>
      <c r="L82" s="61"/>
      <c r="M82" s="54">
        <f t="shared" si="4"/>
        <v>6</v>
      </c>
    </row>
    <row r="83" ht="13.5" customHeight="1">
      <c r="A83" s="50" t="s">
        <v>70</v>
      </c>
      <c r="B83" s="50" t="s">
        <v>74</v>
      </c>
      <c r="C83" s="52">
        <v>1.0</v>
      </c>
      <c r="D83" s="54"/>
      <c r="E83" s="68">
        <v>1.0</v>
      </c>
      <c r="F83" s="54"/>
      <c r="G83" s="53">
        <v>1.0</v>
      </c>
      <c r="H83" s="53">
        <v>1.0</v>
      </c>
      <c r="I83" s="53">
        <v>1.0</v>
      </c>
      <c r="J83" s="54"/>
      <c r="K83" s="54"/>
      <c r="L83" s="53">
        <v>1.0</v>
      </c>
      <c r="M83" s="54">
        <f t="shared" si="4"/>
        <v>6</v>
      </c>
    </row>
    <row r="84" ht="13.5" customHeight="1">
      <c r="A84" s="50" t="s">
        <v>76</v>
      </c>
      <c r="B84" s="83" t="s">
        <v>80</v>
      </c>
      <c r="C84" s="57"/>
      <c r="D84" s="53">
        <v>1.0</v>
      </c>
      <c r="E84" s="59">
        <v>1.0</v>
      </c>
      <c r="F84" s="54"/>
      <c r="G84" s="53">
        <v>1.0</v>
      </c>
      <c r="H84" s="53">
        <v>1.0</v>
      </c>
      <c r="I84" s="53">
        <v>1.0</v>
      </c>
      <c r="J84" s="53">
        <v>1.0</v>
      </c>
      <c r="K84" s="53">
        <v>1.0</v>
      </c>
      <c r="L84" s="53">
        <v>1.0</v>
      </c>
      <c r="M84" s="54">
        <f t="shared" si="4"/>
        <v>8</v>
      </c>
    </row>
    <row r="85" ht="13.5" customHeight="1">
      <c r="A85" s="50" t="s">
        <v>83</v>
      </c>
      <c r="B85" s="50" t="s">
        <v>87</v>
      </c>
      <c r="C85" s="52">
        <v>1.0</v>
      </c>
      <c r="D85" s="54"/>
      <c r="E85" s="59">
        <v>1.0</v>
      </c>
      <c r="F85" s="53">
        <v>1.0</v>
      </c>
      <c r="G85" s="53">
        <v>1.0</v>
      </c>
      <c r="H85" s="54"/>
      <c r="I85" s="53">
        <v>1.0</v>
      </c>
      <c r="J85" s="53">
        <v>1.0</v>
      </c>
      <c r="K85" s="54"/>
      <c r="L85" s="54"/>
      <c r="M85" s="54">
        <f t="shared" si="4"/>
        <v>6</v>
      </c>
    </row>
    <row r="86" ht="14.25" customHeight="1">
      <c r="A86" s="50" t="s">
        <v>90</v>
      </c>
      <c r="B86" s="50" t="s">
        <v>94</v>
      </c>
      <c r="C86" s="52">
        <v>1.0</v>
      </c>
      <c r="D86" s="53">
        <v>1.0</v>
      </c>
      <c r="E86" s="61"/>
      <c r="F86" s="53">
        <v>1.0</v>
      </c>
      <c r="G86" s="54"/>
      <c r="H86" s="53">
        <v>1.0</v>
      </c>
      <c r="I86" s="54"/>
      <c r="J86" s="54"/>
      <c r="K86" s="53">
        <v>1.0</v>
      </c>
      <c r="L86" s="53">
        <v>1.0</v>
      </c>
      <c r="M86" s="54">
        <f t="shared" si="4"/>
        <v>6</v>
      </c>
    </row>
    <row r="87" ht="13.5" customHeight="1">
      <c r="A87" s="63" t="s">
        <v>16</v>
      </c>
      <c r="B87" s="77" t="s">
        <v>101</v>
      </c>
      <c r="C87" s="57"/>
      <c r="D87" s="53">
        <v>1.0</v>
      </c>
      <c r="E87" s="53">
        <v>1.0</v>
      </c>
      <c r="F87" s="53">
        <v>1.0</v>
      </c>
      <c r="G87" s="53">
        <v>1.0</v>
      </c>
      <c r="H87" s="53">
        <v>1.0</v>
      </c>
      <c r="I87" s="54"/>
      <c r="J87" s="53">
        <v>1.0</v>
      </c>
      <c r="K87" s="53">
        <v>1.0</v>
      </c>
      <c r="L87" s="53">
        <v>1.0</v>
      </c>
      <c r="M87" s="54">
        <f t="shared" si="4"/>
        <v>8</v>
      </c>
    </row>
    <row r="88" ht="13.5" customHeight="1">
      <c r="A88" s="63" t="s">
        <v>23</v>
      </c>
      <c r="B88" s="63" t="s">
        <v>107</v>
      </c>
      <c r="C88" s="52">
        <v>1.0</v>
      </c>
      <c r="D88" s="53">
        <v>1.0</v>
      </c>
      <c r="E88" s="54"/>
      <c r="F88" s="53">
        <v>1.0</v>
      </c>
      <c r="G88" s="54"/>
      <c r="H88" s="61"/>
      <c r="I88" s="53">
        <v>1.0</v>
      </c>
      <c r="J88" s="53">
        <v>1.0</v>
      </c>
      <c r="K88" s="54"/>
      <c r="L88" s="53">
        <v>1.0</v>
      </c>
      <c r="M88" s="54">
        <f t="shared" si="4"/>
        <v>6</v>
      </c>
    </row>
    <row r="89" ht="13.5" customHeight="1">
      <c r="A89" s="63" t="s">
        <v>30</v>
      </c>
      <c r="B89" s="86" t="s">
        <v>12</v>
      </c>
      <c r="C89" s="62">
        <v>1.0</v>
      </c>
      <c r="D89" s="54"/>
      <c r="E89" s="53">
        <v>1.0</v>
      </c>
      <c r="F89" s="54"/>
      <c r="G89" s="53">
        <v>1.0</v>
      </c>
      <c r="H89" s="53">
        <v>1.0</v>
      </c>
      <c r="I89" s="53">
        <v>1.0</v>
      </c>
      <c r="J89" s="54"/>
      <c r="K89" s="53">
        <v>1.0</v>
      </c>
      <c r="L89" s="54"/>
      <c r="M89" s="54">
        <f t="shared" si="4"/>
        <v>6</v>
      </c>
    </row>
    <row r="90" ht="13.5" customHeight="1">
      <c r="A90" s="63" t="s">
        <v>36</v>
      </c>
      <c r="B90" s="87" t="s">
        <v>118</v>
      </c>
      <c r="C90" s="52">
        <v>1.0</v>
      </c>
      <c r="D90" s="53">
        <v>1.0</v>
      </c>
      <c r="E90" s="54"/>
      <c r="F90" s="53">
        <v>1.0</v>
      </c>
      <c r="G90" s="53">
        <v>1.0</v>
      </c>
      <c r="H90" s="53">
        <v>1.0</v>
      </c>
      <c r="I90" s="53">
        <v>1.0</v>
      </c>
      <c r="J90" s="53">
        <v>1.0</v>
      </c>
      <c r="K90" s="53">
        <v>1.0</v>
      </c>
      <c r="L90" s="54"/>
      <c r="M90" s="54">
        <f t="shared" si="4"/>
        <v>8</v>
      </c>
    </row>
    <row r="91" ht="13.5" customHeight="1">
      <c r="A91" s="63" t="s">
        <v>43</v>
      </c>
      <c r="B91" s="63" t="s">
        <v>123</v>
      </c>
      <c r="C91" s="57"/>
      <c r="D91" s="53">
        <v>1.0</v>
      </c>
      <c r="E91" s="53">
        <v>1.0</v>
      </c>
      <c r="F91" s="53">
        <v>1.0</v>
      </c>
      <c r="G91" s="54"/>
      <c r="H91" s="54"/>
      <c r="I91" s="53">
        <v>1.0</v>
      </c>
      <c r="J91" s="54"/>
      <c r="K91" s="53">
        <v>1.0</v>
      </c>
      <c r="L91" s="53">
        <v>1.0</v>
      </c>
      <c r="M91" s="54">
        <f t="shared" si="4"/>
        <v>6</v>
      </c>
    </row>
    <row r="92" ht="13.5" customHeight="1">
      <c r="A92" s="63" t="s">
        <v>49</v>
      </c>
      <c r="B92" s="63" t="s">
        <v>129</v>
      </c>
      <c r="C92" s="52">
        <v>1.0</v>
      </c>
      <c r="D92" s="54"/>
      <c r="E92" s="53">
        <v>1.0</v>
      </c>
      <c r="F92" s="54"/>
      <c r="G92" s="53">
        <v>1.0</v>
      </c>
      <c r="H92" s="53">
        <v>1.0</v>
      </c>
      <c r="I92" s="54"/>
      <c r="J92" s="59">
        <v>1.0</v>
      </c>
      <c r="K92" s="54"/>
      <c r="L92" s="53">
        <v>1.0</v>
      </c>
      <c r="M92" s="54">
        <f t="shared" si="4"/>
        <v>6</v>
      </c>
    </row>
    <row r="93" ht="13.5" customHeight="1">
      <c r="A93" s="66" t="s">
        <v>56</v>
      </c>
      <c r="B93" s="66" t="s">
        <v>135</v>
      </c>
      <c r="C93" s="52">
        <v>1.0</v>
      </c>
      <c r="D93" s="53">
        <v>1.0</v>
      </c>
      <c r="E93" s="54"/>
      <c r="F93" s="54"/>
      <c r="G93" s="53">
        <v>1.0</v>
      </c>
      <c r="H93" s="53">
        <v>1.0</v>
      </c>
      <c r="I93" s="53">
        <v>1.0</v>
      </c>
      <c r="J93" s="53">
        <v>1.0</v>
      </c>
      <c r="K93" s="54"/>
      <c r="L93" s="54"/>
      <c r="M93" s="54">
        <f t="shared" si="4"/>
        <v>6</v>
      </c>
    </row>
    <row r="94" ht="13.5" customHeight="1">
      <c r="A94" s="66" t="s">
        <v>63</v>
      </c>
      <c r="B94" s="66" t="s">
        <v>141</v>
      </c>
      <c r="C94" s="52">
        <v>1.0</v>
      </c>
      <c r="D94" s="53">
        <v>1.0</v>
      </c>
      <c r="E94" s="53">
        <v>1.0</v>
      </c>
      <c r="F94" s="53">
        <v>1.0</v>
      </c>
      <c r="G94" s="53">
        <v>1.0</v>
      </c>
      <c r="H94" s="54"/>
      <c r="I94" s="54"/>
      <c r="J94" s="54"/>
      <c r="K94" s="53">
        <v>1.0</v>
      </c>
      <c r="L94" s="53">
        <v>1.0</v>
      </c>
      <c r="M94" s="54">
        <f t="shared" si="4"/>
        <v>7</v>
      </c>
    </row>
    <row r="95" ht="13.5" customHeight="1">
      <c r="A95" s="66" t="s">
        <v>70</v>
      </c>
      <c r="B95" s="66" t="s">
        <v>147</v>
      </c>
      <c r="C95" s="57"/>
      <c r="D95" s="54"/>
      <c r="E95" s="53">
        <v>1.0</v>
      </c>
      <c r="F95" s="53">
        <v>1.0</v>
      </c>
      <c r="G95" s="54"/>
      <c r="H95" s="53">
        <v>1.0</v>
      </c>
      <c r="I95" s="53">
        <v>1.0</v>
      </c>
      <c r="J95" s="53">
        <v>1.0</v>
      </c>
      <c r="K95" s="53">
        <v>1.0</v>
      </c>
      <c r="L95" s="53">
        <v>1.0</v>
      </c>
      <c r="M95" s="54">
        <f t="shared" si="4"/>
        <v>7</v>
      </c>
    </row>
    <row r="96" ht="12.75" customHeight="1">
      <c r="A96" s="69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</row>
    <row r="97" ht="13.5" customHeight="1">
      <c r="A97" s="72" t="s">
        <v>165</v>
      </c>
      <c r="B97" s="88" t="s">
        <v>13</v>
      </c>
      <c r="C97" s="47" t="s">
        <v>151</v>
      </c>
      <c r="D97" s="48" t="s">
        <v>152</v>
      </c>
      <c r="E97" s="48" t="s">
        <v>153</v>
      </c>
      <c r="F97" s="48" t="s">
        <v>154</v>
      </c>
      <c r="G97" s="48" t="s">
        <v>155</v>
      </c>
      <c r="H97" s="48" t="s">
        <v>156</v>
      </c>
      <c r="I97" s="48" t="s">
        <v>157</v>
      </c>
      <c r="J97" s="48" t="s">
        <v>158</v>
      </c>
      <c r="K97" s="48" t="s">
        <v>159</v>
      </c>
      <c r="L97" s="48" t="s">
        <v>160</v>
      </c>
      <c r="M97" s="49" t="s">
        <v>161</v>
      </c>
    </row>
    <row r="98" ht="13.5" customHeight="1">
      <c r="A98" s="50" t="s">
        <v>16</v>
      </c>
      <c r="B98" s="74" t="s">
        <v>21</v>
      </c>
      <c r="C98" s="52">
        <v>1.0</v>
      </c>
      <c r="D98" s="54"/>
      <c r="E98" s="53">
        <v>1.0</v>
      </c>
      <c r="F98" s="53">
        <v>1.0</v>
      </c>
      <c r="G98" s="53">
        <v>1.0</v>
      </c>
      <c r="H98" s="54"/>
      <c r="I98" s="53">
        <v>1.0</v>
      </c>
      <c r="J98" s="53">
        <v>1.0</v>
      </c>
      <c r="K98" s="53">
        <v>1.0</v>
      </c>
      <c r="L98" s="53">
        <v>1.0</v>
      </c>
      <c r="M98" s="54">
        <f t="shared" ref="M98:M118" si="5">SUM(C98:L98)</f>
        <v>8</v>
      </c>
    </row>
    <row r="99" ht="13.5" customHeight="1">
      <c r="A99" s="55" t="s">
        <v>23</v>
      </c>
      <c r="B99" s="50" t="s">
        <v>28</v>
      </c>
      <c r="C99" s="52">
        <v>1.0</v>
      </c>
      <c r="D99" s="53">
        <v>1.0</v>
      </c>
      <c r="E99" s="54"/>
      <c r="F99" s="53">
        <v>1.0</v>
      </c>
      <c r="G99" s="54"/>
      <c r="H99" s="53">
        <v>1.0</v>
      </c>
      <c r="I99" s="53">
        <v>1.0</v>
      </c>
      <c r="J99" s="54"/>
      <c r="K99" s="54"/>
      <c r="L99" s="53">
        <v>1.0</v>
      </c>
      <c r="M99" s="54">
        <f t="shared" si="5"/>
        <v>6</v>
      </c>
    </row>
    <row r="100" ht="13.5" customHeight="1">
      <c r="A100" s="50" t="s">
        <v>30</v>
      </c>
      <c r="B100" s="50" t="s">
        <v>34</v>
      </c>
      <c r="C100" s="57"/>
      <c r="D100" s="53">
        <v>1.0</v>
      </c>
      <c r="E100" s="53">
        <v>1.0</v>
      </c>
      <c r="F100" s="54"/>
      <c r="G100" s="53">
        <v>1.0</v>
      </c>
      <c r="H100" s="68">
        <v>1.0</v>
      </c>
      <c r="I100" s="54"/>
      <c r="J100" s="53">
        <v>1.0</v>
      </c>
      <c r="K100" s="53">
        <v>1.0</v>
      </c>
      <c r="L100" s="54"/>
      <c r="M100" s="54">
        <f t="shared" si="5"/>
        <v>6</v>
      </c>
    </row>
    <row r="101" ht="13.5" customHeight="1">
      <c r="A101" s="50" t="s">
        <v>36</v>
      </c>
      <c r="B101" s="50" t="s">
        <v>41</v>
      </c>
      <c r="C101" s="62">
        <v>1.0</v>
      </c>
      <c r="D101" s="54"/>
      <c r="E101" s="53">
        <v>1.0</v>
      </c>
      <c r="F101" s="54"/>
      <c r="G101" s="68">
        <v>1.0</v>
      </c>
      <c r="H101" s="53">
        <v>1.0</v>
      </c>
      <c r="I101" s="53">
        <v>1.0</v>
      </c>
      <c r="J101" s="53">
        <v>1.0</v>
      </c>
      <c r="K101" s="53">
        <v>1.0</v>
      </c>
      <c r="L101" s="53">
        <v>1.0</v>
      </c>
      <c r="M101" s="54">
        <f t="shared" si="5"/>
        <v>8</v>
      </c>
    </row>
    <row r="102" ht="13.5" customHeight="1">
      <c r="A102" s="50" t="s">
        <v>43</v>
      </c>
      <c r="B102" s="50" t="s">
        <v>47</v>
      </c>
      <c r="C102" s="52">
        <v>1.0</v>
      </c>
      <c r="D102" s="53">
        <v>1.0</v>
      </c>
      <c r="E102" s="54"/>
      <c r="F102" s="53">
        <v>1.0</v>
      </c>
      <c r="G102" s="53">
        <v>1.0</v>
      </c>
      <c r="H102" s="54"/>
      <c r="I102" s="54"/>
      <c r="J102" s="53">
        <v>1.0</v>
      </c>
      <c r="K102" s="54"/>
      <c r="L102" s="53">
        <v>1.0</v>
      </c>
      <c r="M102" s="54">
        <f t="shared" si="5"/>
        <v>6</v>
      </c>
    </row>
    <row r="103" ht="13.5" customHeight="1">
      <c r="A103" s="50" t="s">
        <v>49</v>
      </c>
      <c r="B103" s="50" t="s">
        <v>54</v>
      </c>
      <c r="C103" s="57"/>
      <c r="D103" s="53">
        <v>1.0</v>
      </c>
      <c r="E103" s="53">
        <v>1.0</v>
      </c>
      <c r="F103" s="53">
        <v>1.0</v>
      </c>
      <c r="G103" s="54"/>
      <c r="H103" s="53">
        <v>1.0</v>
      </c>
      <c r="I103" s="53">
        <v>1.0</v>
      </c>
      <c r="J103" s="54"/>
      <c r="K103" s="53">
        <v>1.0</v>
      </c>
      <c r="L103" s="54"/>
      <c r="M103" s="54">
        <f t="shared" si="5"/>
        <v>6</v>
      </c>
    </row>
    <row r="104" ht="13.5" customHeight="1">
      <c r="A104" s="50" t="s">
        <v>56</v>
      </c>
      <c r="B104" s="50" t="s">
        <v>61</v>
      </c>
      <c r="C104" s="57"/>
      <c r="D104" s="53">
        <v>1.0</v>
      </c>
      <c r="E104" s="53">
        <v>1.0</v>
      </c>
      <c r="F104" s="53">
        <v>1.0</v>
      </c>
      <c r="G104" s="54"/>
      <c r="H104" s="53">
        <v>1.0</v>
      </c>
      <c r="I104" s="53">
        <v>1.0</v>
      </c>
      <c r="J104" s="53">
        <v>1.0</v>
      </c>
      <c r="K104" s="53">
        <v>1.0</v>
      </c>
      <c r="L104" s="53">
        <v>1.0</v>
      </c>
      <c r="M104" s="54">
        <f t="shared" si="5"/>
        <v>8</v>
      </c>
    </row>
    <row r="105" ht="13.5" customHeight="1">
      <c r="A105" s="50" t="s">
        <v>63</v>
      </c>
      <c r="B105" s="50" t="s">
        <v>68</v>
      </c>
      <c r="C105" s="52">
        <v>1.0</v>
      </c>
      <c r="D105" s="53">
        <v>1.0</v>
      </c>
      <c r="E105" s="54"/>
      <c r="F105" s="53">
        <v>1.0</v>
      </c>
      <c r="G105" s="53">
        <v>1.0</v>
      </c>
      <c r="H105" s="54"/>
      <c r="I105" s="54"/>
      <c r="J105" s="54"/>
      <c r="K105" s="53">
        <v>1.0</v>
      </c>
      <c r="L105" s="53">
        <v>1.0</v>
      </c>
      <c r="M105" s="54">
        <f t="shared" si="5"/>
        <v>6</v>
      </c>
    </row>
    <row r="106" ht="13.5" customHeight="1">
      <c r="A106" s="50" t="s">
        <v>70</v>
      </c>
      <c r="B106" s="80" t="s">
        <v>13</v>
      </c>
      <c r="C106" s="52">
        <v>1.0</v>
      </c>
      <c r="D106" s="54"/>
      <c r="E106" s="53">
        <v>1.0</v>
      </c>
      <c r="F106" s="54"/>
      <c r="G106" s="53">
        <v>1.0</v>
      </c>
      <c r="H106" s="53">
        <v>1.0</v>
      </c>
      <c r="I106" s="53">
        <v>1.0</v>
      </c>
      <c r="J106" s="53">
        <v>1.0</v>
      </c>
      <c r="K106" s="54"/>
      <c r="L106" s="54"/>
      <c r="M106" s="54">
        <f t="shared" si="5"/>
        <v>6</v>
      </c>
    </row>
    <row r="107" ht="13.5" customHeight="1">
      <c r="A107" s="50" t="s">
        <v>76</v>
      </c>
      <c r="B107" s="50" t="s">
        <v>81</v>
      </c>
      <c r="C107" s="52">
        <v>1.0</v>
      </c>
      <c r="D107" s="53">
        <v>1.0</v>
      </c>
      <c r="E107" s="54"/>
      <c r="F107" s="54"/>
      <c r="G107" s="53">
        <v>1.0</v>
      </c>
      <c r="H107" s="53">
        <v>1.0</v>
      </c>
      <c r="I107" s="53">
        <v>1.0</v>
      </c>
      <c r="J107" s="53">
        <v>1.0</v>
      </c>
      <c r="K107" s="53">
        <v>1.0</v>
      </c>
      <c r="L107" s="68">
        <v>1.0</v>
      </c>
      <c r="M107" s="54">
        <f t="shared" si="5"/>
        <v>8</v>
      </c>
    </row>
    <row r="108" ht="13.5" customHeight="1">
      <c r="A108" s="50" t="s">
        <v>83</v>
      </c>
      <c r="B108" s="50" t="s">
        <v>88</v>
      </c>
      <c r="C108" s="52">
        <v>1.0</v>
      </c>
      <c r="D108" s="54"/>
      <c r="E108" s="53">
        <v>1.0</v>
      </c>
      <c r="F108" s="53">
        <v>1.0</v>
      </c>
      <c r="G108" s="54"/>
      <c r="H108" s="53">
        <v>1.0</v>
      </c>
      <c r="I108" s="54"/>
      <c r="J108" s="53">
        <v>1.0</v>
      </c>
      <c r="K108" s="54"/>
      <c r="L108" s="59">
        <v>1.0</v>
      </c>
      <c r="M108" s="54">
        <f t="shared" si="5"/>
        <v>6</v>
      </c>
    </row>
    <row r="109" ht="13.5" customHeight="1">
      <c r="A109" s="50" t="s">
        <v>90</v>
      </c>
      <c r="B109" s="50" t="s">
        <v>95</v>
      </c>
      <c r="C109" s="57"/>
      <c r="D109" s="53">
        <v>1.0</v>
      </c>
      <c r="E109" s="59">
        <v>1.0</v>
      </c>
      <c r="F109" s="53">
        <v>1.0</v>
      </c>
      <c r="G109" s="53">
        <v>1.0</v>
      </c>
      <c r="H109" s="54"/>
      <c r="I109" s="53">
        <v>1.0</v>
      </c>
      <c r="J109" s="54"/>
      <c r="K109" s="53">
        <v>1.0</v>
      </c>
      <c r="L109" s="54"/>
      <c r="M109" s="54">
        <f t="shared" si="5"/>
        <v>6</v>
      </c>
    </row>
    <row r="110" ht="13.5" customHeight="1">
      <c r="A110" s="63" t="s">
        <v>16</v>
      </c>
      <c r="B110" s="77" t="s">
        <v>102</v>
      </c>
      <c r="C110" s="57"/>
      <c r="D110" s="53">
        <v>1.0</v>
      </c>
      <c r="E110" s="53">
        <v>1.0</v>
      </c>
      <c r="F110" s="53">
        <v>1.0</v>
      </c>
      <c r="G110" s="53">
        <v>1.0</v>
      </c>
      <c r="H110" s="53">
        <v>1.0</v>
      </c>
      <c r="I110" s="53">
        <v>1.0</v>
      </c>
      <c r="J110" s="53">
        <v>1.0</v>
      </c>
      <c r="K110" s="53">
        <v>1.0</v>
      </c>
      <c r="L110" s="54"/>
      <c r="M110" s="54">
        <f t="shared" si="5"/>
        <v>8</v>
      </c>
    </row>
    <row r="111" ht="13.5" customHeight="1">
      <c r="A111" s="63" t="s">
        <v>23</v>
      </c>
      <c r="B111" s="63" t="s">
        <v>108</v>
      </c>
      <c r="C111" s="52">
        <v>1.0</v>
      </c>
      <c r="D111" s="54"/>
      <c r="E111" s="53">
        <v>1.0</v>
      </c>
      <c r="F111" s="54"/>
      <c r="G111" s="53">
        <v>1.0</v>
      </c>
      <c r="H111" s="61"/>
      <c r="I111" s="53">
        <v>1.0</v>
      </c>
      <c r="J111" s="53">
        <v>1.0</v>
      </c>
      <c r="K111" s="54"/>
      <c r="L111" s="53">
        <v>1.0</v>
      </c>
      <c r="M111" s="54">
        <f t="shared" si="5"/>
        <v>6</v>
      </c>
    </row>
    <row r="112" ht="13.5" customHeight="1">
      <c r="A112" s="63" t="s">
        <v>30</v>
      </c>
      <c r="B112" s="63" t="s">
        <v>113</v>
      </c>
      <c r="C112" s="52">
        <v>1.0</v>
      </c>
      <c r="D112" s="53">
        <v>1.0</v>
      </c>
      <c r="E112" s="54"/>
      <c r="F112" s="53">
        <v>1.0</v>
      </c>
      <c r="G112" s="54"/>
      <c r="H112" s="53">
        <v>1.0</v>
      </c>
      <c r="I112" s="54"/>
      <c r="J112" s="54"/>
      <c r="K112" s="53">
        <v>1.0</v>
      </c>
      <c r="L112" s="53">
        <v>1.0</v>
      </c>
      <c r="M112" s="54">
        <f t="shared" si="5"/>
        <v>6</v>
      </c>
    </row>
    <row r="113" ht="13.5" customHeight="1">
      <c r="A113" s="63" t="s">
        <v>36</v>
      </c>
      <c r="B113" s="63" t="s">
        <v>119</v>
      </c>
      <c r="C113" s="52">
        <v>1.0</v>
      </c>
      <c r="D113" s="53">
        <v>1.0</v>
      </c>
      <c r="E113" s="54"/>
      <c r="F113" s="53">
        <v>1.0</v>
      </c>
      <c r="G113" s="53">
        <v>1.0</v>
      </c>
      <c r="H113" s="53">
        <v>1.0</v>
      </c>
      <c r="I113" s="53">
        <v>1.0</v>
      </c>
      <c r="J113" s="53">
        <v>1.0</v>
      </c>
      <c r="K113" s="53">
        <v>1.0</v>
      </c>
      <c r="L113" s="54"/>
      <c r="M113" s="54">
        <f t="shared" si="5"/>
        <v>8</v>
      </c>
    </row>
    <row r="114" ht="13.5" customHeight="1">
      <c r="A114" s="63" t="s">
        <v>43</v>
      </c>
      <c r="B114" s="63" t="s">
        <v>124</v>
      </c>
      <c r="C114" s="52">
        <v>1.0</v>
      </c>
      <c r="D114" s="54"/>
      <c r="E114" s="53">
        <v>1.0</v>
      </c>
      <c r="F114" s="54"/>
      <c r="G114" s="54"/>
      <c r="H114" s="53">
        <v>1.0</v>
      </c>
      <c r="I114" s="53">
        <v>1.0</v>
      </c>
      <c r="J114" s="54"/>
      <c r="K114" s="53">
        <v>1.0</v>
      </c>
      <c r="L114" s="53">
        <v>1.0</v>
      </c>
      <c r="M114" s="54">
        <f t="shared" si="5"/>
        <v>6</v>
      </c>
    </row>
    <row r="115" ht="13.5" customHeight="1">
      <c r="A115" s="63" t="s">
        <v>49</v>
      </c>
      <c r="B115" s="63" t="s">
        <v>130</v>
      </c>
      <c r="C115" s="57"/>
      <c r="D115" s="53">
        <v>1.0</v>
      </c>
      <c r="E115" s="53">
        <v>1.0</v>
      </c>
      <c r="F115" s="53">
        <v>1.0</v>
      </c>
      <c r="G115" s="53">
        <v>1.0</v>
      </c>
      <c r="H115" s="54"/>
      <c r="I115" s="54"/>
      <c r="J115" s="59">
        <v>1.0</v>
      </c>
      <c r="K115" s="54"/>
      <c r="L115" s="53">
        <v>1.0</v>
      </c>
      <c r="M115" s="54">
        <f t="shared" si="5"/>
        <v>6</v>
      </c>
    </row>
    <row r="116" ht="13.5" customHeight="1">
      <c r="A116" s="66" t="s">
        <v>56</v>
      </c>
      <c r="B116" s="66" t="s">
        <v>136</v>
      </c>
      <c r="C116" s="57"/>
      <c r="D116" s="53">
        <v>1.0</v>
      </c>
      <c r="E116" s="53">
        <v>1.0</v>
      </c>
      <c r="F116" s="53">
        <v>1.0</v>
      </c>
      <c r="G116" s="53">
        <v>1.0</v>
      </c>
      <c r="H116" s="53"/>
      <c r="I116" s="53">
        <v>1.0</v>
      </c>
      <c r="J116" s="53">
        <v>1.0</v>
      </c>
      <c r="K116" s="68">
        <v>1.0</v>
      </c>
      <c r="L116" s="54"/>
      <c r="M116" s="54">
        <f t="shared" si="5"/>
        <v>7</v>
      </c>
    </row>
    <row r="117" ht="13.5" customHeight="1">
      <c r="A117" s="66" t="s">
        <v>63</v>
      </c>
      <c r="B117" s="66" t="s">
        <v>142</v>
      </c>
      <c r="C117" s="52">
        <v>1.0</v>
      </c>
      <c r="D117" s="53">
        <v>1.0</v>
      </c>
      <c r="E117" s="54"/>
      <c r="F117" s="54"/>
      <c r="G117" s="53">
        <v>1.0</v>
      </c>
      <c r="H117" s="53">
        <v>1.0</v>
      </c>
      <c r="I117" s="53">
        <v>1.0</v>
      </c>
      <c r="J117" s="54"/>
      <c r="K117" s="53">
        <v>1.0</v>
      </c>
      <c r="L117" s="53">
        <v>1.0</v>
      </c>
      <c r="M117" s="54">
        <f t="shared" si="5"/>
        <v>7</v>
      </c>
    </row>
    <row r="118" ht="13.5" customHeight="1">
      <c r="A118" s="66" t="s">
        <v>70</v>
      </c>
      <c r="B118" s="66" t="s">
        <v>148</v>
      </c>
      <c r="C118" s="52">
        <v>1.0</v>
      </c>
      <c r="D118" s="54"/>
      <c r="E118" s="53">
        <v>1.0</v>
      </c>
      <c r="F118" s="53">
        <v>1.0</v>
      </c>
      <c r="G118" s="54"/>
      <c r="H118" s="53">
        <v>1.0</v>
      </c>
      <c r="I118" s="54"/>
      <c r="J118" s="53">
        <v>1.0</v>
      </c>
      <c r="K118" s="54"/>
      <c r="L118" s="53">
        <v>1.0</v>
      </c>
      <c r="M118" s="54">
        <f t="shared" si="5"/>
        <v>6</v>
      </c>
    </row>
    <row r="119" ht="12.75" customHeight="1">
      <c r="A119" s="69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</row>
    <row r="120" ht="13.5" customHeight="1">
      <c r="A120" s="72" t="s">
        <v>166</v>
      </c>
      <c r="B120" s="89" t="s">
        <v>14</v>
      </c>
      <c r="C120" s="48" t="s">
        <v>151</v>
      </c>
      <c r="D120" s="48" t="s">
        <v>152</v>
      </c>
      <c r="E120" s="48" t="s">
        <v>153</v>
      </c>
      <c r="F120" s="48" t="s">
        <v>154</v>
      </c>
      <c r="G120" s="48" t="s">
        <v>155</v>
      </c>
      <c r="H120" s="48" t="s">
        <v>156</v>
      </c>
      <c r="I120" s="48" t="s">
        <v>157</v>
      </c>
      <c r="J120" s="48" t="s">
        <v>158</v>
      </c>
      <c r="K120" s="48" t="s">
        <v>159</v>
      </c>
      <c r="L120" s="48" t="s">
        <v>160</v>
      </c>
      <c r="M120" s="49" t="s">
        <v>161</v>
      </c>
    </row>
    <row r="121" ht="13.5" customHeight="1">
      <c r="A121" s="50" t="s">
        <v>16</v>
      </c>
      <c r="B121" s="90" t="s">
        <v>22</v>
      </c>
      <c r="C121" s="57"/>
      <c r="D121" s="53">
        <v>1.0</v>
      </c>
      <c r="E121" s="54"/>
      <c r="F121" s="53">
        <v>1.0</v>
      </c>
      <c r="G121" s="53">
        <v>1.0</v>
      </c>
      <c r="H121" s="53">
        <v>1.0</v>
      </c>
      <c r="I121" s="53">
        <v>1.0</v>
      </c>
      <c r="J121" s="53">
        <v>1.0</v>
      </c>
      <c r="K121" s="54"/>
      <c r="L121" s="53">
        <v>1.0</v>
      </c>
      <c r="M121" s="54">
        <f t="shared" ref="M121:M141" si="6">SUM(C121:L121)</f>
        <v>7</v>
      </c>
    </row>
    <row r="122" ht="13.5" customHeight="1">
      <c r="A122" s="55" t="s">
        <v>23</v>
      </c>
      <c r="B122" s="91" t="s">
        <v>29</v>
      </c>
      <c r="C122" s="52">
        <v>1.0</v>
      </c>
      <c r="D122" s="54"/>
      <c r="E122" s="53">
        <v>1.0</v>
      </c>
      <c r="F122" s="53">
        <v>1.0</v>
      </c>
      <c r="G122" s="54"/>
      <c r="H122" s="53">
        <v>1.0</v>
      </c>
      <c r="I122" s="54"/>
      <c r="J122" s="68">
        <v>1.0</v>
      </c>
      <c r="K122" s="53">
        <v>1.0</v>
      </c>
      <c r="L122" s="53"/>
      <c r="M122" s="54">
        <f t="shared" si="6"/>
        <v>6</v>
      </c>
    </row>
    <row r="123" ht="13.5" customHeight="1">
      <c r="A123" s="50" t="s">
        <v>30</v>
      </c>
      <c r="B123" s="91" t="s">
        <v>35</v>
      </c>
      <c r="C123" s="52">
        <v>1.0</v>
      </c>
      <c r="D123" s="53">
        <v>1.0</v>
      </c>
      <c r="E123" s="53">
        <v>1.0</v>
      </c>
      <c r="F123" s="54"/>
      <c r="G123" s="53">
        <v>1.0</v>
      </c>
      <c r="H123" s="54"/>
      <c r="I123" s="53">
        <v>1.0</v>
      </c>
      <c r="J123" s="54"/>
      <c r="K123" s="53">
        <v>1.0</v>
      </c>
      <c r="L123" s="53">
        <v>1.0</v>
      </c>
      <c r="M123" s="54">
        <f t="shared" si="6"/>
        <v>7</v>
      </c>
    </row>
    <row r="124" ht="13.5" customHeight="1">
      <c r="A124" s="50" t="s">
        <v>36</v>
      </c>
      <c r="B124" s="91" t="s">
        <v>42</v>
      </c>
      <c r="C124" s="52">
        <v>1.0</v>
      </c>
      <c r="D124" s="53">
        <v>1.0</v>
      </c>
      <c r="E124" s="53">
        <v>1.0</v>
      </c>
      <c r="F124" s="53">
        <v>1.0</v>
      </c>
      <c r="G124" s="53">
        <v>1.0</v>
      </c>
      <c r="H124" s="54"/>
      <c r="I124" s="53">
        <v>1.0</v>
      </c>
      <c r="J124" s="54"/>
      <c r="K124" s="53">
        <v>1.0</v>
      </c>
      <c r="L124" s="53">
        <v>1.0</v>
      </c>
      <c r="M124" s="54">
        <f t="shared" si="6"/>
        <v>8</v>
      </c>
    </row>
    <row r="125" ht="13.5" customHeight="1">
      <c r="A125" s="50" t="s">
        <v>43</v>
      </c>
      <c r="B125" s="91" t="s">
        <v>48</v>
      </c>
      <c r="C125" s="52">
        <v>1.0</v>
      </c>
      <c r="D125" s="54"/>
      <c r="E125" s="53">
        <v>1.0</v>
      </c>
      <c r="F125" s="54"/>
      <c r="G125" s="53">
        <v>1.0</v>
      </c>
      <c r="H125" s="53">
        <v>1.0</v>
      </c>
      <c r="I125" s="54"/>
      <c r="J125" s="53">
        <v>1.0</v>
      </c>
      <c r="K125" s="54"/>
      <c r="L125" s="59">
        <v>1.0</v>
      </c>
      <c r="M125" s="54">
        <f t="shared" si="6"/>
        <v>6</v>
      </c>
    </row>
    <row r="126" ht="13.5" customHeight="1">
      <c r="A126" s="50" t="s">
        <v>49</v>
      </c>
      <c r="B126" s="91" t="s">
        <v>55</v>
      </c>
      <c r="C126" s="57"/>
      <c r="D126" s="53">
        <v>1.0</v>
      </c>
      <c r="E126" s="54"/>
      <c r="F126" s="53">
        <v>1.0</v>
      </c>
      <c r="G126" s="54"/>
      <c r="H126" s="53">
        <v>1.0</v>
      </c>
      <c r="I126" s="53">
        <v>1.0</v>
      </c>
      <c r="J126" s="53">
        <v>1.0</v>
      </c>
      <c r="K126" s="53">
        <v>1.0</v>
      </c>
      <c r="L126" s="61"/>
      <c r="M126" s="54">
        <f t="shared" si="6"/>
        <v>6</v>
      </c>
    </row>
    <row r="127" ht="13.5" customHeight="1">
      <c r="A127" s="50" t="s">
        <v>56</v>
      </c>
      <c r="B127" s="91" t="s">
        <v>62</v>
      </c>
      <c r="C127" s="52">
        <v>1.0</v>
      </c>
      <c r="D127" s="53">
        <v>1.0</v>
      </c>
      <c r="E127" s="54"/>
      <c r="F127" s="54"/>
      <c r="G127" s="53">
        <v>1.0</v>
      </c>
      <c r="H127" s="53">
        <v>1.0</v>
      </c>
      <c r="I127" s="53">
        <v>1.0</v>
      </c>
      <c r="J127" s="53">
        <v>1.0</v>
      </c>
      <c r="K127" s="53">
        <v>1.0</v>
      </c>
      <c r="L127" s="59">
        <v>1.0</v>
      </c>
      <c r="M127" s="54">
        <f t="shared" si="6"/>
        <v>8</v>
      </c>
    </row>
    <row r="128" ht="13.5" customHeight="1">
      <c r="A128" s="50" t="s">
        <v>63</v>
      </c>
      <c r="B128" s="92" t="s">
        <v>69</v>
      </c>
      <c r="C128" s="57"/>
      <c r="D128" s="53">
        <v>1.0</v>
      </c>
      <c r="E128" s="53">
        <v>1.0</v>
      </c>
      <c r="F128" s="53">
        <v>1.0</v>
      </c>
      <c r="G128" s="53">
        <v>1.0</v>
      </c>
      <c r="H128" s="54"/>
      <c r="I128" s="53">
        <v>1.0</v>
      </c>
      <c r="J128" s="54"/>
      <c r="K128" s="54"/>
      <c r="L128" s="59">
        <v>1.0</v>
      </c>
      <c r="M128" s="54">
        <f t="shared" si="6"/>
        <v>6</v>
      </c>
    </row>
    <row r="129" ht="13.5" customHeight="1">
      <c r="A129" s="50" t="s">
        <v>70</v>
      </c>
      <c r="B129" s="51" t="s">
        <v>75</v>
      </c>
      <c r="C129" s="52">
        <v>1.0</v>
      </c>
      <c r="D129" s="54"/>
      <c r="E129" s="59">
        <v>1.0</v>
      </c>
      <c r="F129" s="53">
        <v>1.0</v>
      </c>
      <c r="G129" s="53" t="s">
        <v>167</v>
      </c>
      <c r="H129" s="53">
        <v>1.0</v>
      </c>
      <c r="I129" s="54"/>
      <c r="J129" s="53">
        <v>1.0</v>
      </c>
      <c r="K129" s="53">
        <v>1.0</v>
      </c>
      <c r="L129" s="54"/>
      <c r="M129" s="54">
        <f t="shared" si="6"/>
        <v>6</v>
      </c>
    </row>
    <row r="130" ht="13.5" customHeight="1">
      <c r="A130" s="50" t="s">
        <v>76</v>
      </c>
      <c r="B130" s="50" t="s">
        <v>82</v>
      </c>
      <c r="C130" s="52">
        <v>1.0</v>
      </c>
      <c r="D130" s="53">
        <v>1.0</v>
      </c>
      <c r="E130" s="53">
        <v>1.0</v>
      </c>
      <c r="F130" s="54"/>
      <c r="G130" s="53">
        <v>1.0</v>
      </c>
      <c r="H130" s="53">
        <v>1.0</v>
      </c>
      <c r="I130" s="53">
        <v>1.0</v>
      </c>
      <c r="J130" s="53">
        <v>1.0</v>
      </c>
      <c r="K130" s="53">
        <v>1.0</v>
      </c>
      <c r="L130" s="54"/>
      <c r="M130" s="54">
        <f t="shared" si="6"/>
        <v>8</v>
      </c>
    </row>
    <row r="131" ht="13.5" customHeight="1">
      <c r="A131" s="50" t="s">
        <v>83</v>
      </c>
      <c r="B131" s="50" t="s">
        <v>89</v>
      </c>
      <c r="C131" s="52">
        <v>1.0</v>
      </c>
      <c r="D131" s="54"/>
      <c r="E131" s="53">
        <v>1.0</v>
      </c>
      <c r="F131" s="53">
        <v>1.0</v>
      </c>
      <c r="G131" s="54"/>
      <c r="H131" s="54"/>
      <c r="I131" s="53">
        <v>1.0</v>
      </c>
      <c r="J131" s="53">
        <v>1.0</v>
      </c>
      <c r="K131" s="54"/>
      <c r="L131" s="53">
        <v>1.0</v>
      </c>
      <c r="M131" s="54">
        <f t="shared" si="6"/>
        <v>6</v>
      </c>
    </row>
    <row r="132" ht="13.5" customHeight="1">
      <c r="A132" s="50" t="s">
        <v>90</v>
      </c>
      <c r="B132" s="50" t="s">
        <v>96</v>
      </c>
      <c r="C132" s="57"/>
      <c r="D132" s="53">
        <v>1.0</v>
      </c>
      <c r="E132" s="54"/>
      <c r="F132" s="53">
        <v>1.0</v>
      </c>
      <c r="G132" s="53">
        <v>1.0</v>
      </c>
      <c r="H132" s="53">
        <v>1.0</v>
      </c>
      <c r="I132" s="54"/>
      <c r="J132" s="54"/>
      <c r="K132" s="53">
        <v>1.0</v>
      </c>
      <c r="L132" s="53">
        <v>1.0</v>
      </c>
      <c r="M132" s="54">
        <f t="shared" si="6"/>
        <v>6</v>
      </c>
    </row>
    <row r="133" ht="13.5" customHeight="1">
      <c r="A133" s="63" t="s">
        <v>16</v>
      </c>
      <c r="B133" s="93" t="s">
        <v>103</v>
      </c>
      <c r="C133" s="52">
        <v>1.0</v>
      </c>
      <c r="D133" s="53">
        <v>1.0</v>
      </c>
      <c r="E133" s="53">
        <v>1.0</v>
      </c>
      <c r="F133" s="53">
        <v>1.0</v>
      </c>
      <c r="G133" s="53">
        <v>1.0</v>
      </c>
      <c r="H133" s="54"/>
      <c r="I133" s="54"/>
      <c r="J133" s="53">
        <v>1.0</v>
      </c>
      <c r="K133" s="53">
        <v>1.0</v>
      </c>
      <c r="L133" s="53">
        <v>1.0</v>
      </c>
      <c r="M133" s="54">
        <f t="shared" si="6"/>
        <v>8</v>
      </c>
    </row>
    <row r="134" ht="13.5" customHeight="1">
      <c r="A134" s="63" t="s">
        <v>23</v>
      </c>
      <c r="B134" s="94" t="s">
        <v>109</v>
      </c>
      <c r="C134" s="52"/>
      <c r="D134" s="53">
        <v>1.0</v>
      </c>
      <c r="E134" s="53">
        <v>1.0</v>
      </c>
      <c r="F134" s="54"/>
      <c r="G134" s="54"/>
      <c r="H134" s="53">
        <v>1.0</v>
      </c>
      <c r="I134" s="53">
        <v>1.0</v>
      </c>
      <c r="J134" s="53">
        <v>1.0</v>
      </c>
      <c r="K134" s="53">
        <v>1.0</v>
      </c>
      <c r="L134" s="54"/>
      <c r="M134" s="54">
        <f t="shared" si="6"/>
        <v>6</v>
      </c>
    </row>
    <row r="135" ht="13.5" customHeight="1">
      <c r="A135" s="63" t="s">
        <v>30</v>
      </c>
      <c r="B135" s="94" t="s">
        <v>114</v>
      </c>
      <c r="C135" s="52">
        <v>1.0</v>
      </c>
      <c r="D135" s="54"/>
      <c r="E135" s="54"/>
      <c r="F135" s="53">
        <v>1.0</v>
      </c>
      <c r="G135" s="53">
        <v>1.0</v>
      </c>
      <c r="H135" s="53">
        <v>1.0</v>
      </c>
      <c r="I135" s="53">
        <v>1.0</v>
      </c>
      <c r="J135" s="54"/>
      <c r="K135" s="54"/>
      <c r="L135" s="53">
        <v>1.0</v>
      </c>
      <c r="M135" s="54">
        <f t="shared" si="6"/>
        <v>6</v>
      </c>
    </row>
    <row r="136" ht="13.5" customHeight="1">
      <c r="A136" s="63" t="s">
        <v>36</v>
      </c>
      <c r="B136" s="95" t="s">
        <v>14</v>
      </c>
      <c r="C136" s="52">
        <v>1.0</v>
      </c>
      <c r="D136" s="54"/>
      <c r="E136" s="53">
        <v>1.0</v>
      </c>
      <c r="F136" s="53">
        <v>1.0</v>
      </c>
      <c r="G136" s="53">
        <v>1.0</v>
      </c>
      <c r="H136" s="53">
        <v>1.0</v>
      </c>
      <c r="I136" s="53">
        <v>1.0</v>
      </c>
      <c r="J136" s="53">
        <v>1.0</v>
      </c>
      <c r="K136" s="54"/>
      <c r="L136" s="53">
        <v>1.0</v>
      </c>
      <c r="M136" s="54">
        <f t="shared" si="6"/>
        <v>8</v>
      </c>
    </row>
    <row r="137" ht="13.5" customHeight="1">
      <c r="A137" s="63" t="s">
        <v>43</v>
      </c>
      <c r="B137" s="94" t="s">
        <v>125</v>
      </c>
      <c r="C137" s="52">
        <v>1.0</v>
      </c>
      <c r="D137" s="53">
        <v>1.0</v>
      </c>
      <c r="E137" s="54"/>
      <c r="F137" s="54"/>
      <c r="G137" s="53">
        <v>1.0</v>
      </c>
      <c r="H137" s="53">
        <v>1.0</v>
      </c>
      <c r="I137" s="53">
        <v>1.0</v>
      </c>
      <c r="J137" s="54"/>
      <c r="K137" s="53">
        <v>1.0</v>
      </c>
      <c r="L137" s="54"/>
      <c r="M137" s="54">
        <f t="shared" si="6"/>
        <v>6</v>
      </c>
    </row>
    <row r="138" ht="13.5" customHeight="1">
      <c r="A138" s="63" t="s">
        <v>49</v>
      </c>
      <c r="B138" s="94" t="s">
        <v>131</v>
      </c>
      <c r="C138" s="57"/>
      <c r="D138" s="53">
        <v>1.0</v>
      </c>
      <c r="E138" s="53">
        <v>1.0</v>
      </c>
      <c r="F138" s="53">
        <v>1.0</v>
      </c>
      <c r="G138" s="54"/>
      <c r="H138" s="54"/>
      <c r="I138" s="54"/>
      <c r="J138" s="59">
        <v>1.0</v>
      </c>
      <c r="K138" s="53">
        <v>1.0</v>
      </c>
      <c r="L138" s="68">
        <v>1.0</v>
      </c>
      <c r="M138" s="54">
        <f t="shared" si="6"/>
        <v>6</v>
      </c>
    </row>
    <row r="139" ht="13.5" customHeight="1">
      <c r="A139" s="66" t="s">
        <v>56</v>
      </c>
      <c r="B139" s="66" t="s">
        <v>137</v>
      </c>
      <c r="C139" s="52">
        <v>1.0</v>
      </c>
      <c r="D139" s="53">
        <v>1.0</v>
      </c>
      <c r="E139" s="53">
        <v>1.0</v>
      </c>
      <c r="F139" s="54"/>
      <c r="G139" s="53">
        <v>1.0</v>
      </c>
      <c r="H139" s="53">
        <v>1.0</v>
      </c>
      <c r="I139" s="53">
        <v>1.0</v>
      </c>
      <c r="J139" s="54"/>
      <c r="K139" s="53">
        <v>1.0</v>
      </c>
      <c r="L139" s="53">
        <v>1.0</v>
      </c>
      <c r="M139" s="54">
        <f t="shared" si="6"/>
        <v>8</v>
      </c>
    </row>
    <row r="140" ht="13.5" customHeight="1">
      <c r="A140" s="66" t="s">
        <v>63</v>
      </c>
      <c r="B140" s="66" t="s">
        <v>143</v>
      </c>
      <c r="C140" s="52">
        <v>1.0</v>
      </c>
      <c r="D140" s="53">
        <v>1.0</v>
      </c>
      <c r="E140" s="54"/>
      <c r="F140" s="53">
        <v>1.0</v>
      </c>
      <c r="G140" s="54"/>
      <c r="H140" s="53">
        <v>1.0</v>
      </c>
      <c r="I140" s="54"/>
      <c r="J140" s="53">
        <v>1.0</v>
      </c>
      <c r="K140" s="53"/>
      <c r="L140" s="53">
        <v>1.0</v>
      </c>
      <c r="M140" s="54">
        <f t="shared" si="6"/>
        <v>6</v>
      </c>
    </row>
    <row r="141" ht="13.5" customHeight="1">
      <c r="A141" s="66" t="s">
        <v>70</v>
      </c>
      <c r="B141" s="66" t="s">
        <v>149</v>
      </c>
      <c r="C141" s="57"/>
      <c r="D141" s="54"/>
      <c r="E141" s="53">
        <v>1.0</v>
      </c>
      <c r="F141" s="53">
        <v>1.0</v>
      </c>
      <c r="G141" s="53">
        <v>1.0</v>
      </c>
      <c r="H141" s="54"/>
      <c r="I141" s="53">
        <v>1.0</v>
      </c>
      <c r="J141" s="53">
        <v>1.0</v>
      </c>
      <c r="K141" s="53">
        <v>1.0</v>
      </c>
      <c r="L141" s="54"/>
      <c r="M141" s="54">
        <f t="shared" si="6"/>
        <v>6</v>
      </c>
    </row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</sheetData>
  <mergeCells count="2">
    <mergeCell ref="B1:M1"/>
    <mergeCell ref="B2:M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38.13"/>
    <col customWidth="1" min="3" max="3" width="10.13"/>
    <col customWidth="1" min="4" max="7" width="7.0"/>
    <col customWidth="1" min="8" max="8" width="0.88"/>
    <col customWidth="1" min="9" max="12" width="7.0"/>
    <col customWidth="1" min="13" max="13" width="0.88"/>
    <col customWidth="1" min="14" max="17" width="7.0"/>
    <col customWidth="1" min="18" max="18" width="0.88"/>
    <col customWidth="1" min="19" max="22" width="7.0"/>
    <col customWidth="1" min="23" max="23" width="0.88"/>
    <col customWidth="1" min="24" max="27" width="7.0"/>
    <col customWidth="1" min="28" max="28" width="0.88"/>
    <col customWidth="1" min="29" max="29" width="10.63"/>
    <col customWidth="1" min="30" max="30" width="13.38"/>
    <col customWidth="1" min="31" max="31" width="7.63"/>
  </cols>
  <sheetData>
    <row r="1" ht="22.5" customHeight="1">
      <c r="B1" s="1" t="s">
        <v>0</v>
      </c>
    </row>
    <row r="2" ht="22.5" customHeight="1">
      <c r="B2" s="96" t="s">
        <v>1</v>
      </c>
    </row>
    <row r="3" ht="12.75" customHeight="1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3"/>
      <c r="Z3" s="3"/>
      <c r="AA3" s="3"/>
      <c r="AB3" s="3"/>
      <c r="AC3" s="3"/>
      <c r="AD3" s="3"/>
    </row>
    <row r="4" ht="12.75" customHeight="1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3"/>
      <c r="Z4" s="3"/>
      <c r="AA4" s="3"/>
      <c r="AB4" s="3"/>
      <c r="AC4" s="3"/>
      <c r="AD4" s="3"/>
    </row>
    <row r="5" ht="13.5" customHeight="1">
      <c r="A5" s="3"/>
      <c r="B5" s="98"/>
      <c r="C5" s="99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ht="14.25" customHeight="1">
      <c r="B6" s="98"/>
      <c r="C6" s="100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ht="12.75" customHeight="1">
      <c r="B7" s="101"/>
      <c r="C7" s="102" t="s">
        <v>168</v>
      </c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4"/>
    </row>
    <row r="8" ht="12.75" customHeight="1">
      <c r="B8" s="105"/>
      <c r="C8" s="106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8"/>
      <c r="AE8" s="109"/>
    </row>
    <row r="9" ht="23.25" customHeight="1">
      <c r="A9" s="110"/>
      <c r="B9" s="111"/>
      <c r="C9" s="112"/>
      <c r="D9" s="113" t="s">
        <v>151</v>
      </c>
      <c r="E9" s="114"/>
      <c r="F9" s="113" t="s">
        <v>169</v>
      </c>
      <c r="G9" s="114"/>
      <c r="H9" s="115"/>
      <c r="I9" s="113" t="s">
        <v>152</v>
      </c>
      <c r="J9" s="114"/>
      <c r="K9" s="113" t="s">
        <v>170</v>
      </c>
      <c r="L9" s="114"/>
      <c r="M9" s="115"/>
      <c r="N9" s="113" t="s">
        <v>153</v>
      </c>
      <c r="O9" s="114"/>
      <c r="P9" s="113" t="s">
        <v>171</v>
      </c>
      <c r="Q9" s="114"/>
      <c r="R9" s="115"/>
      <c r="S9" s="113" t="s">
        <v>154</v>
      </c>
      <c r="T9" s="114"/>
      <c r="U9" s="113" t="s">
        <v>172</v>
      </c>
      <c r="V9" s="114"/>
      <c r="W9" s="115"/>
      <c r="X9" s="113" t="s">
        <v>155</v>
      </c>
      <c r="Y9" s="114"/>
      <c r="Z9" s="113" t="s">
        <v>173</v>
      </c>
      <c r="AA9" s="114"/>
      <c r="AB9" s="115"/>
      <c r="AC9" s="113" t="s">
        <v>174</v>
      </c>
      <c r="AD9" s="116"/>
      <c r="AE9" s="110"/>
    </row>
    <row r="10" ht="15.0" customHeight="1">
      <c r="A10" s="117"/>
      <c r="B10" s="118"/>
      <c r="C10" s="119"/>
      <c r="D10" s="120" t="s">
        <v>175</v>
      </c>
      <c r="E10" s="121" t="s">
        <v>176</v>
      </c>
      <c r="F10" s="120" t="s">
        <v>175</v>
      </c>
      <c r="G10" s="121" t="s">
        <v>176</v>
      </c>
      <c r="H10" s="122"/>
      <c r="I10" s="120" t="s">
        <v>175</v>
      </c>
      <c r="J10" s="121" t="s">
        <v>176</v>
      </c>
      <c r="K10" s="120" t="s">
        <v>175</v>
      </c>
      <c r="L10" s="121" t="s">
        <v>176</v>
      </c>
      <c r="M10" s="122"/>
      <c r="N10" s="120" t="s">
        <v>175</v>
      </c>
      <c r="O10" s="121" t="s">
        <v>176</v>
      </c>
      <c r="P10" s="120" t="s">
        <v>175</v>
      </c>
      <c r="Q10" s="121" t="s">
        <v>176</v>
      </c>
      <c r="R10" s="122"/>
      <c r="S10" s="120" t="s">
        <v>175</v>
      </c>
      <c r="T10" s="121" t="s">
        <v>176</v>
      </c>
      <c r="U10" s="120" t="s">
        <v>175</v>
      </c>
      <c r="V10" s="121" t="s">
        <v>176</v>
      </c>
      <c r="W10" s="122"/>
      <c r="X10" s="120" t="s">
        <v>175</v>
      </c>
      <c r="Y10" s="121" t="s">
        <v>176</v>
      </c>
      <c r="Z10" s="120" t="s">
        <v>175</v>
      </c>
      <c r="AA10" s="121" t="s">
        <v>176</v>
      </c>
      <c r="AB10" s="122"/>
      <c r="AC10" s="120" t="s">
        <v>175</v>
      </c>
      <c r="AD10" s="123" t="s">
        <v>176</v>
      </c>
      <c r="AE10" s="117"/>
    </row>
    <row r="11" ht="7.5" customHeight="1">
      <c r="A11" s="117"/>
      <c r="B11" s="124"/>
      <c r="C11" s="125"/>
      <c r="D11" s="126"/>
      <c r="E11" s="127"/>
      <c r="F11" s="126"/>
      <c r="G11" s="127"/>
      <c r="H11" s="127"/>
      <c r="I11" s="126"/>
      <c r="J11" s="127"/>
      <c r="K11" s="126"/>
      <c r="L11" s="127"/>
      <c r="M11" s="127"/>
      <c r="N11" s="126"/>
      <c r="O11" s="127"/>
      <c r="P11" s="126"/>
      <c r="Q11" s="127"/>
      <c r="R11" s="127"/>
      <c r="S11" s="126"/>
      <c r="T11" s="127"/>
      <c r="U11" s="126"/>
      <c r="V11" s="127"/>
      <c r="W11" s="127"/>
      <c r="X11" s="126"/>
      <c r="Y11" s="127"/>
      <c r="Z11" s="126"/>
      <c r="AA11" s="127"/>
      <c r="AB11" s="127"/>
      <c r="AC11" s="126"/>
      <c r="AD11" s="128"/>
      <c r="AE11" s="117"/>
    </row>
    <row r="12" ht="15.0" customHeight="1">
      <c r="A12" s="117"/>
      <c r="B12" s="129" t="s">
        <v>177</v>
      </c>
      <c r="C12" s="130" t="s">
        <v>178</v>
      </c>
      <c r="D12" s="131">
        <f>'Day 1'!J25</f>
        <v>37</v>
      </c>
      <c r="E12" s="132">
        <f>'Day 1'!L25</f>
        <v>5</v>
      </c>
      <c r="F12" s="133">
        <f>D12+D13</f>
        <v>67</v>
      </c>
      <c r="G12" s="134">
        <f>SUM(E12+E13)</f>
        <v>8</v>
      </c>
      <c r="H12" s="135"/>
      <c r="I12" s="131">
        <f>'Day 2 '!J58</f>
        <v>31</v>
      </c>
      <c r="J12" s="132">
        <f>'Day 2 '!L58</f>
        <v>3</v>
      </c>
      <c r="K12" s="133">
        <f t="shared" ref="K12:L12" si="1">I12+I13</f>
        <v>62</v>
      </c>
      <c r="L12" s="134">
        <f t="shared" si="1"/>
        <v>7</v>
      </c>
      <c r="M12" s="135"/>
      <c r="N12" s="131">
        <f>'Day 3'!J95</f>
        <v>23</v>
      </c>
      <c r="O12" s="132">
        <f>'Day 3'!L95</f>
        <v>3</v>
      </c>
      <c r="P12" s="133">
        <f t="shared" ref="P12:Q12" si="2">N12+N13</f>
        <v>64</v>
      </c>
      <c r="Q12" s="134">
        <f t="shared" si="2"/>
        <v>8</v>
      </c>
      <c r="R12" s="135"/>
      <c r="S12" s="131">
        <f>'Day 4'!J95</f>
        <v>36</v>
      </c>
      <c r="T12" s="132">
        <f>'Day 4'!L95</f>
        <v>5</v>
      </c>
      <c r="U12" s="133">
        <f t="shared" ref="U12:V12" si="3">S12+S13</f>
        <v>75</v>
      </c>
      <c r="V12" s="134">
        <f t="shared" si="3"/>
        <v>10</v>
      </c>
      <c r="W12" s="135"/>
      <c r="X12" s="131">
        <f>'Day 5'!J25</f>
        <v>32</v>
      </c>
      <c r="Y12" s="132">
        <f>'Day 5'!L25</f>
        <v>2</v>
      </c>
      <c r="Z12" s="133">
        <f t="shared" ref="Z12:AA12" si="4">X12+X13</f>
        <v>66</v>
      </c>
      <c r="AA12" s="134">
        <f t="shared" si="4"/>
        <v>6</v>
      </c>
      <c r="AB12" s="135"/>
      <c r="AC12" s="136">
        <f>D12+D13+I12+I13+N12+N13+S12+S13+X12+X13</f>
        <v>334</v>
      </c>
      <c r="AD12" s="137">
        <f>SUM(G12+G13+L12+L13+Q12+Q13+V12+V13+AA12+AA13)</f>
        <v>39</v>
      </c>
      <c r="AE12" s="117"/>
    </row>
    <row r="13" ht="15.0" customHeight="1">
      <c r="A13" s="117"/>
      <c r="B13" s="138"/>
      <c r="C13" s="139" t="s">
        <v>179</v>
      </c>
      <c r="D13" s="131">
        <f>'Day 1'!J38</f>
        <v>30</v>
      </c>
      <c r="E13" s="132">
        <f>'Day 1'!L38</f>
        <v>3</v>
      </c>
      <c r="F13" s="140"/>
      <c r="G13" s="140"/>
      <c r="H13" s="135"/>
      <c r="I13" s="131">
        <f>'Day 2 '!J71</f>
        <v>31</v>
      </c>
      <c r="J13" s="132">
        <f>'Day 2 '!L71</f>
        <v>4</v>
      </c>
      <c r="K13" s="140"/>
      <c r="L13" s="140"/>
      <c r="M13" s="135"/>
      <c r="N13" s="131">
        <f>'Day 3'!J110</f>
        <v>41</v>
      </c>
      <c r="O13" s="132">
        <f>'Day 3'!L110</f>
        <v>5</v>
      </c>
      <c r="P13" s="140"/>
      <c r="Q13" s="140"/>
      <c r="R13" s="135"/>
      <c r="S13" s="131">
        <f>'Day 4'!J110</f>
        <v>39</v>
      </c>
      <c r="T13" s="132">
        <f>'Day 4'!L110</f>
        <v>5</v>
      </c>
      <c r="U13" s="140"/>
      <c r="V13" s="140"/>
      <c r="W13" s="135"/>
      <c r="X13" s="131">
        <f>'Day 5'!J40</f>
        <v>34</v>
      </c>
      <c r="Y13" s="132">
        <f>'Day 5'!L40</f>
        <v>4</v>
      </c>
      <c r="Z13" s="140"/>
      <c r="AA13" s="140"/>
      <c r="AB13" s="135"/>
      <c r="AC13" s="141"/>
      <c r="AD13" s="142"/>
      <c r="AE13" s="117"/>
    </row>
    <row r="14" ht="3.75" customHeight="1">
      <c r="A14" s="117"/>
      <c r="B14" s="143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5"/>
      <c r="AE14" s="117"/>
    </row>
    <row r="15" ht="15.0" customHeight="1">
      <c r="A15" s="117"/>
      <c r="B15" s="129" t="s">
        <v>180</v>
      </c>
      <c r="C15" s="139" t="s">
        <v>178</v>
      </c>
      <c r="D15" s="131">
        <f>'Day 1'!J91</f>
        <v>40</v>
      </c>
      <c r="E15" s="132">
        <f>'Day 1'!L91</f>
        <v>4</v>
      </c>
      <c r="F15" s="133">
        <f>SUM(D15+D16)</f>
        <v>70</v>
      </c>
      <c r="G15" s="134">
        <f>SUM(E15:E16)</f>
        <v>8</v>
      </c>
      <c r="H15" s="135"/>
      <c r="I15" s="131">
        <f>'Day 2 '!J25</f>
        <v>21</v>
      </c>
      <c r="J15" s="132">
        <f>'Day 2 '!L25</f>
        <v>2</v>
      </c>
      <c r="K15" s="133">
        <f t="shared" ref="K15:L15" si="5">SUM(I15+I16)</f>
        <v>58</v>
      </c>
      <c r="L15" s="134">
        <f t="shared" si="5"/>
        <v>8</v>
      </c>
      <c r="M15" s="135"/>
      <c r="N15" s="131">
        <f>'Day 3'!K60</f>
        <v>37</v>
      </c>
      <c r="O15" s="132">
        <f>'Day 3'!M60</f>
        <v>4</v>
      </c>
      <c r="P15" s="133">
        <f t="shared" ref="P15:Q15" si="6">SUM(N15+N16)</f>
        <v>64</v>
      </c>
      <c r="Q15" s="134">
        <f t="shared" si="6"/>
        <v>7</v>
      </c>
      <c r="R15" s="135"/>
      <c r="S15" s="131">
        <f>'Day 4'!K95</f>
        <v>26</v>
      </c>
      <c r="T15" s="132">
        <f>'Day 4'!M95</f>
        <v>1</v>
      </c>
      <c r="U15" s="133">
        <f>SUM(S15+S16)</f>
        <v>60</v>
      </c>
      <c r="V15" s="134">
        <f>T15+T16</f>
        <v>4</v>
      </c>
      <c r="W15" s="135"/>
      <c r="X15" s="131">
        <f>'Day 5'!J60</f>
        <v>18</v>
      </c>
      <c r="Y15" s="132">
        <f>'Day 5'!L60</f>
        <v>1</v>
      </c>
      <c r="Z15" s="133">
        <f t="shared" ref="Z15:AA15" si="7">SUM(X15+X16)</f>
        <v>44</v>
      </c>
      <c r="AA15" s="134">
        <f t="shared" si="7"/>
        <v>3</v>
      </c>
      <c r="AB15" s="135"/>
      <c r="AC15" s="136">
        <f>D15+D16+I15+I16+N15+N16+S15+S16+X15+X16</f>
        <v>296</v>
      </c>
      <c r="AD15" s="137">
        <f>SUM(G15+G16+L15+L16+Q15+Q16+V15+V16+AA15+AA16)</f>
        <v>30</v>
      </c>
      <c r="AE15" s="117"/>
    </row>
    <row r="16" ht="15.75" customHeight="1">
      <c r="A16" s="117"/>
      <c r="B16" s="138"/>
      <c r="C16" s="139" t="s">
        <v>179</v>
      </c>
      <c r="D16" s="131">
        <f>'Day 1'!J104</f>
        <v>30</v>
      </c>
      <c r="E16" s="132">
        <f>'Day 1'!L104</f>
        <v>4</v>
      </c>
      <c r="F16" s="140"/>
      <c r="G16" s="140"/>
      <c r="H16" s="135"/>
      <c r="I16" s="131">
        <f>'Day 2 '!J38</f>
        <v>37</v>
      </c>
      <c r="J16" s="132">
        <f>'Day 2 '!L38</f>
        <v>6</v>
      </c>
      <c r="K16" s="140"/>
      <c r="L16" s="140"/>
      <c r="M16" s="135"/>
      <c r="N16" s="131">
        <f>'Day 3'!K75</f>
        <v>27</v>
      </c>
      <c r="O16" s="132">
        <f>'Day 3'!M75</f>
        <v>3</v>
      </c>
      <c r="P16" s="140"/>
      <c r="Q16" s="140"/>
      <c r="R16" s="135"/>
      <c r="S16" s="146">
        <f>'Day 4'!K110</f>
        <v>34</v>
      </c>
      <c r="T16" s="147">
        <f>'Day 4'!M110</f>
        <v>3</v>
      </c>
      <c r="U16" s="140"/>
      <c r="V16" s="140"/>
      <c r="W16" s="135"/>
      <c r="X16" s="131">
        <f>'Day 5'!J75</f>
        <v>26</v>
      </c>
      <c r="Y16" s="132">
        <f>'Day 5'!L75</f>
        <v>2</v>
      </c>
      <c r="Z16" s="140"/>
      <c r="AA16" s="140"/>
      <c r="AB16" s="135"/>
      <c r="AC16" s="141"/>
      <c r="AD16" s="142"/>
      <c r="AE16" s="117"/>
    </row>
    <row r="17" ht="3.75" customHeight="1">
      <c r="A17" s="117"/>
      <c r="B17" s="143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5"/>
      <c r="AE17" s="117"/>
    </row>
    <row r="18" ht="15.0" customHeight="1">
      <c r="A18" s="117"/>
      <c r="B18" s="129" t="s">
        <v>181</v>
      </c>
      <c r="C18" s="139" t="s">
        <v>178</v>
      </c>
      <c r="D18" s="131">
        <f>'Day 1'!K25</f>
        <v>26</v>
      </c>
      <c r="E18" s="132">
        <f>'Day 1'!M25</f>
        <v>3</v>
      </c>
      <c r="F18" s="133">
        <f t="shared" ref="F18:G18" si="8">D18+D19</f>
        <v>50</v>
      </c>
      <c r="G18" s="134">
        <f t="shared" si="8"/>
        <v>6</v>
      </c>
      <c r="H18" s="135"/>
      <c r="I18" s="131">
        <f>'Day 2 '!J91</f>
        <v>32</v>
      </c>
      <c r="J18" s="132">
        <f>'Day 2 '!L91</f>
        <v>3</v>
      </c>
      <c r="K18" s="133">
        <f t="shared" ref="K18:L18" si="9">I18+I19</f>
        <v>52</v>
      </c>
      <c r="L18" s="134">
        <f t="shared" si="9"/>
        <v>5</v>
      </c>
      <c r="M18" s="135"/>
      <c r="N18" s="131">
        <f>'Day 3'!J25</f>
        <v>15</v>
      </c>
      <c r="O18" s="132">
        <f>'Day 3'!L25</f>
        <v>0</v>
      </c>
      <c r="P18" s="133">
        <f t="shared" ref="P18:Q18" si="10">N18+N19</f>
        <v>51</v>
      </c>
      <c r="Q18" s="134">
        <f t="shared" si="10"/>
        <v>3</v>
      </c>
      <c r="R18" s="135"/>
      <c r="S18" s="131">
        <f>'Day 4'!J60</f>
        <v>47</v>
      </c>
      <c r="T18" s="132">
        <f>'Day 4'!L60</f>
        <v>6</v>
      </c>
      <c r="U18" s="133">
        <f t="shared" ref="U18:V18" si="11">S18+S19</f>
        <v>76</v>
      </c>
      <c r="V18" s="134">
        <f t="shared" si="11"/>
        <v>10</v>
      </c>
      <c r="W18" s="135"/>
      <c r="X18" s="131">
        <f>'Day 5'!K60</f>
        <v>45</v>
      </c>
      <c r="Y18" s="132">
        <f>'Day 5'!M60</f>
        <v>7</v>
      </c>
      <c r="Z18" s="133">
        <f>X18+X19</f>
        <v>76</v>
      </c>
      <c r="AA18" s="134">
        <f>SUM(Y18+Y19)</f>
        <v>11</v>
      </c>
      <c r="AB18" s="135"/>
      <c r="AC18" s="136">
        <f>D18+D19+I18+I19+N18+N19+S18+S19+X18+X19</f>
        <v>305</v>
      </c>
      <c r="AD18" s="137">
        <f>SUM(E18+E19+J18+J19+O18+O19+T18+T19+Y18+Y19)</f>
        <v>35</v>
      </c>
      <c r="AE18" s="117"/>
    </row>
    <row r="19" ht="15.75" customHeight="1">
      <c r="A19" s="117"/>
      <c r="B19" s="138"/>
      <c r="C19" s="139" t="s">
        <v>179</v>
      </c>
      <c r="D19" s="146">
        <f>'Day 1'!K38</f>
        <v>24</v>
      </c>
      <c r="E19" s="147">
        <f>'Day 1'!M38</f>
        <v>3</v>
      </c>
      <c r="F19" s="140"/>
      <c r="G19" s="140"/>
      <c r="H19" s="135"/>
      <c r="I19" s="131">
        <f>'Day 2 '!J104</f>
        <v>20</v>
      </c>
      <c r="J19" s="132">
        <f>'Day 2 '!L104</f>
        <v>2</v>
      </c>
      <c r="K19" s="140"/>
      <c r="L19" s="140"/>
      <c r="M19" s="135"/>
      <c r="N19" s="131">
        <f>'Day 3'!J40</f>
        <v>36</v>
      </c>
      <c r="O19" s="132">
        <f>'Day 3'!L40</f>
        <v>3</v>
      </c>
      <c r="P19" s="140"/>
      <c r="Q19" s="140"/>
      <c r="R19" s="135"/>
      <c r="S19" s="131">
        <f>'Day 4'!J75</f>
        <v>29</v>
      </c>
      <c r="T19" s="132">
        <f>'Day 4'!L75</f>
        <v>4</v>
      </c>
      <c r="U19" s="140"/>
      <c r="V19" s="140"/>
      <c r="W19" s="135"/>
      <c r="X19" s="131">
        <f>'Day 5'!K75</f>
        <v>31</v>
      </c>
      <c r="Y19" s="132">
        <f>'Day 5'!M75</f>
        <v>4</v>
      </c>
      <c r="Z19" s="140"/>
      <c r="AA19" s="140"/>
      <c r="AB19" s="135"/>
      <c r="AC19" s="141"/>
      <c r="AD19" s="142"/>
      <c r="AE19" s="117"/>
    </row>
    <row r="20" ht="3.75" customHeight="1">
      <c r="A20" s="117"/>
      <c r="B20" s="143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5"/>
      <c r="AE20" s="117"/>
    </row>
    <row r="21" ht="15.0" customHeight="1">
      <c r="A21" s="117"/>
      <c r="B21" s="129" t="s">
        <v>182</v>
      </c>
      <c r="C21" s="139" t="s">
        <v>178</v>
      </c>
      <c r="D21" s="131">
        <f>'Day 1'!J58</f>
        <v>41</v>
      </c>
      <c r="E21" s="132">
        <f>'Day 1'!L58</f>
        <v>5</v>
      </c>
      <c r="F21" s="133">
        <f>D21+D22</f>
        <v>77</v>
      </c>
      <c r="G21" s="134">
        <f>SUM(E21+E22)</f>
        <v>10</v>
      </c>
      <c r="H21" s="135"/>
      <c r="I21" s="131">
        <f>'Day 2 '!K91</f>
        <v>45</v>
      </c>
      <c r="J21" s="132">
        <f>'Day 2 '!M91</f>
        <v>5</v>
      </c>
      <c r="K21" s="133">
        <f t="shared" ref="K21:L21" si="12">I21+I22</f>
        <v>73</v>
      </c>
      <c r="L21" s="134">
        <f t="shared" si="12"/>
        <v>9</v>
      </c>
      <c r="M21" s="135"/>
      <c r="N21" s="131">
        <f>'Day 3'!J60</f>
        <v>33</v>
      </c>
      <c r="O21" s="132">
        <f>'Day 3'!L60</f>
        <v>4</v>
      </c>
      <c r="P21" s="133">
        <f t="shared" ref="P21:Q21" si="13">N21+N22</f>
        <v>63</v>
      </c>
      <c r="Q21" s="134">
        <f t="shared" si="13"/>
        <v>7</v>
      </c>
      <c r="R21" s="135"/>
      <c r="S21" s="131">
        <f>'Day 4'!J25</f>
        <v>29</v>
      </c>
      <c r="T21" s="132">
        <f>'Day 4'!L25</f>
        <v>3</v>
      </c>
      <c r="U21" s="133">
        <f t="shared" ref="U21:V21" si="14">S21+S22</f>
        <v>63</v>
      </c>
      <c r="V21" s="134">
        <f t="shared" si="14"/>
        <v>6</v>
      </c>
      <c r="W21" s="135"/>
      <c r="X21" s="131">
        <f>'Day 5'!K25</f>
        <v>45</v>
      </c>
      <c r="Y21" s="132">
        <f>'Day 5'!M25</f>
        <v>6</v>
      </c>
      <c r="Z21" s="133">
        <f>X21+X22</f>
        <v>73</v>
      </c>
      <c r="AA21" s="134">
        <f>SUM(Y21+Y22)</f>
        <v>8</v>
      </c>
      <c r="AB21" s="135"/>
      <c r="AC21" s="136">
        <f>D21+D22+I21+I22+N21+N22+S21+S22+X21+X22</f>
        <v>349</v>
      </c>
      <c r="AD21" s="137">
        <f>SUM(E21+E22+J21+J22+O21+O22+T21+T22+Y21+Y22)</f>
        <v>40</v>
      </c>
      <c r="AE21" s="117"/>
    </row>
    <row r="22" ht="15.0" customHeight="1">
      <c r="A22" s="117"/>
      <c r="B22" s="138"/>
      <c r="C22" s="139" t="s">
        <v>179</v>
      </c>
      <c r="D22" s="131">
        <f>'Day 1'!J71</f>
        <v>36</v>
      </c>
      <c r="E22" s="132">
        <f>'Day 1'!L71</f>
        <v>5</v>
      </c>
      <c r="F22" s="140"/>
      <c r="G22" s="140"/>
      <c r="H22" s="135"/>
      <c r="I22" s="131">
        <f>'Day 2 '!K104</f>
        <v>28</v>
      </c>
      <c r="J22" s="132">
        <f>'Day 2 '!M104</f>
        <v>4</v>
      </c>
      <c r="K22" s="140"/>
      <c r="L22" s="140"/>
      <c r="M22" s="135"/>
      <c r="N22" s="131">
        <f>'Day 3'!J75</f>
        <v>30</v>
      </c>
      <c r="O22" s="132">
        <f>'Day 3'!L75</f>
        <v>3</v>
      </c>
      <c r="P22" s="140"/>
      <c r="Q22" s="140"/>
      <c r="R22" s="135"/>
      <c r="S22" s="131">
        <f>'Day 4'!J40</f>
        <v>34</v>
      </c>
      <c r="T22" s="132">
        <f>'Day 4'!L40</f>
        <v>3</v>
      </c>
      <c r="U22" s="140"/>
      <c r="V22" s="140"/>
      <c r="W22" s="135"/>
      <c r="X22" s="131">
        <f>'Day 5'!K40</f>
        <v>28</v>
      </c>
      <c r="Y22" s="132">
        <f>'Day 5'!M40</f>
        <v>2</v>
      </c>
      <c r="Z22" s="140"/>
      <c r="AA22" s="140"/>
      <c r="AB22" s="135"/>
      <c r="AC22" s="141"/>
      <c r="AD22" s="142"/>
      <c r="AE22" s="117"/>
    </row>
    <row r="23" ht="3.75" customHeight="1">
      <c r="A23" s="117"/>
      <c r="B23" s="143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5"/>
      <c r="AE23" s="117"/>
    </row>
    <row r="24" ht="15.0" customHeight="1">
      <c r="A24" s="117"/>
      <c r="B24" s="129" t="s">
        <v>183</v>
      </c>
      <c r="C24" s="139" t="s">
        <v>178</v>
      </c>
      <c r="D24" s="131">
        <f>'Day 1'!K58</f>
        <v>36</v>
      </c>
      <c r="E24" s="132">
        <f>'Day 1'!M58</f>
        <v>3</v>
      </c>
      <c r="F24" s="133">
        <f t="shared" ref="F24:G24" si="15">D24+D25</f>
        <v>64</v>
      </c>
      <c r="G24" s="134">
        <f t="shared" si="15"/>
        <v>4</v>
      </c>
      <c r="H24" s="135"/>
      <c r="I24" s="131">
        <f>'Day 2 '!K25</f>
        <v>44</v>
      </c>
      <c r="J24" s="132">
        <f>'Day 2 '!M25</f>
        <v>6</v>
      </c>
      <c r="K24" s="133">
        <f t="shared" ref="K24:L24" si="16">I24+I25</f>
        <v>68</v>
      </c>
      <c r="L24" s="134">
        <f t="shared" si="16"/>
        <v>6</v>
      </c>
      <c r="M24" s="135"/>
      <c r="N24" s="131">
        <f>'Day 3'!K95</f>
        <v>26</v>
      </c>
      <c r="O24" s="132">
        <f>'Day 3'!M95</f>
        <v>3</v>
      </c>
      <c r="P24" s="133">
        <f t="shared" ref="P24:Q24" si="17">N24+N25</f>
        <v>57</v>
      </c>
      <c r="Q24" s="134">
        <f t="shared" si="17"/>
        <v>6</v>
      </c>
      <c r="R24" s="135"/>
      <c r="S24" s="131">
        <f>'Day 4'!K60</f>
        <v>41</v>
      </c>
      <c r="T24" s="132">
        <f>'Day 4'!M60</f>
        <v>2</v>
      </c>
      <c r="U24" s="133">
        <f t="shared" ref="U24:V24" si="18">S24+S25</f>
        <v>61</v>
      </c>
      <c r="V24" s="134">
        <f t="shared" si="18"/>
        <v>4</v>
      </c>
      <c r="W24" s="135"/>
      <c r="X24" s="131">
        <f>'Day 5'!J95</f>
        <v>22</v>
      </c>
      <c r="Y24" s="132">
        <f>'Day 5'!L95</f>
        <v>2</v>
      </c>
      <c r="Z24" s="133">
        <f t="shared" ref="Z24:AA24" si="19">X24+X25</f>
        <v>48</v>
      </c>
      <c r="AA24" s="134">
        <f t="shared" si="19"/>
        <v>3</v>
      </c>
      <c r="AB24" s="135"/>
      <c r="AC24" s="136">
        <f t="shared" ref="AC24:AD24" si="20">D24+D25+I24+I25+N24+N25+S24+S25+X24+X25</f>
        <v>298</v>
      </c>
      <c r="AD24" s="137">
        <f t="shared" si="20"/>
        <v>23</v>
      </c>
      <c r="AE24" s="117"/>
    </row>
    <row r="25" ht="15.75" customHeight="1">
      <c r="A25" s="117"/>
      <c r="B25" s="138"/>
      <c r="C25" s="139" t="s">
        <v>179</v>
      </c>
      <c r="D25" s="131">
        <f>'Day 1'!K71</f>
        <v>28</v>
      </c>
      <c r="E25" s="132">
        <f>'Day 1'!M71</f>
        <v>1</v>
      </c>
      <c r="F25" s="140"/>
      <c r="G25" s="140"/>
      <c r="H25" s="135"/>
      <c r="I25" s="146">
        <f>'Day 2 '!K38</f>
        <v>24</v>
      </c>
      <c r="J25" s="147">
        <f>'Day 2 '!M38</f>
        <v>0</v>
      </c>
      <c r="K25" s="140"/>
      <c r="L25" s="140"/>
      <c r="M25" s="135"/>
      <c r="N25" s="131">
        <f>'Day 3'!K110</f>
        <v>31</v>
      </c>
      <c r="O25" s="132">
        <f>'Day 3'!M110</f>
        <v>3</v>
      </c>
      <c r="P25" s="140"/>
      <c r="Q25" s="140"/>
      <c r="R25" s="135"/>
      <c r="S25" s="131">
        <f>'Day 4'!K75</f>
        <v>20</v>
      </c>
      <c r="T25" s="132">
        <f>'Day 4'!M75</f>
        <v>2</v>
      </c>
      <c r="U25" s="140"/>
      <c r="V25" s="140"/>
      <c r="W25" s="135"/>
      <c r="X25" s="131">
        <f>'Day 5'!J110</f>
        <v>26</v>
      </c>
      <c r="Y25" s="132">
        <f>'Day 5'!L110</f>
        <v>1</v>
      </c>
      <c r="Z25" s="140"/>
      <c r="AA25" s="140"/>
      <c r="AB25" s="135"/>
      <c r="AC25" s="141"/>
      <c r="AD25" s="142"/>
      <c r="AE25" s="117"/>
    </row>
    <row r="26" ht="3.75" customHeight="1">
      <c r="A26" s="117"/>
      <c r="B26" s="143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5"/>
      <c r="AE26" s="117"/>
    </row>
    <row r="27" ht="15.0" customHeight="1">
      <c r="A27" s="117"/>
      <c r="B27" s="129" t="s">
        <v>184</v>
      </c>
      <c r="C27" s="139" t="s">
        <v>178</v>
      </c>
      <c r="D27" s="131">
        <f>'Day 1'!K91</f>
        <v>43</v>
      </c>
      <c r="E27" s="132">
        <f>'Day 1'!M91</f>
        <v>4</v>
      </c>
      <c r="F27" s="133">
        <f t="shared" ref="F27:G27" si="21">D27+D28</f>
        <v>68</v>
      </c>
      <c r="G27" s="134">
        <f t="shared" si="21"/>
        <v>6</v>
      </c>
      <c r="H27" s="135"/>
      <c r="I27" s="131">
        <f>'Day 2 '!K58</f>
        <v>45</v>
      </c>
      <c r="J27" s="132">
        <f>'Day 2 '!M58</f>
        <v>5</v>
      </c>
      <c r="K27" s="133">
        <f t="shared" ref="K27:L27" si="22">I27+I28</f>
        <v>71</v>
      </c>
      <c r="L27" s="134">
        <f t="shared" si="22"/>
        <v>7</v>
      </c>
      <c r="M27" s="135"/>
      <c r="N27" s="131">
        <f>'Day 3'!K25</f>
        <v>37</v>
      </c>
      <c r="O27" s="132">
        <f>'Day 3'!M25</f>
        <v>6</v>
      </c>
      <c r="P27" s="133">
        <f t="shared" ref="P27:Q27" si="23">N27+N28</f>
        <v>77</v>
      </c>
      <c r="Q27" s="134">
        <f t="shared" si="23"/>
        <v>11</v>
      </c>
      <c r="R27" s="135"/>
      <c r="S27" s="131">
        <f>'Day 4'!K25</f>
        <v>31</v>
      </c>
      <c r="T27" s="132">
        <f>'Day 4'!M25</f>
        <v>3</v>
      </c>
      <c r="U27" s="133">
        <f>S27+S28</f>
        <v>74</v>
      </c>
      <c r="V27" s="134">
        <f>SUM(T27+T28)</f>
        <v>8</v>
      </c>
      <c r="W27" s="135"/>
      <c r="X27" s="131">
        <f>'Day 5'!K95</f>
        <v>30</v>
      </c>
      <c r="Y27" s="132">
        <f>'Day 5'!M95</f>
        <v>4</v>
      </c>
      <c r="Z27" s="133">
        <f t="shared" ref="Z27:AA27" si="24">X27+X28</f>
        <v>75</v>
      </c>
      <c r="AA27" s="134">
        <f t="shared" si="24"/>
        <v>11</v>
      </c>
      <c r="AB27" s="135"/>
      <c r="AC27" s="136">
        <f t="shared" ref="AC27:AD27" si="25">D27+D28+I27+I28+N27+N28+S27+S28+X27+X28</f>
        <v>365</v>
      </c>
      <c r="AD27" s="137">
        <f t="shared" si="25"/>
        <v>43</v>
      </c>
      <c r="AE27" s="117"/>
    </row>
    <row r="28" ht="15.75" customHeight="1">
      <c r="A28" s="117"/>
      <c r="B28" s="148"/>
      <c r="C28" s="149" t="s">
        <v>179</v>
      </c>
      <c r="D28" s="131">
        <f>'Day 1'!K104</f>
        <v>25</v>
      </c>
      <c r="E28" s="132">
        <f>'Day 1'!M104</f>
        <v>2</v>
      </c>
      <c r="F28" s="150"/>
      <c r="G28" s="150"/>
      <c r="H28" s="151"/>
      <c r="I28" s="131">
        <f>'Day 2 '!K71</f>
        <v>26</v>
      </c>
      <c r="J28" s="132">
        <f>'Day 2 '!M71</f>
        <v>2</v>
      </c>
      <c r="K28" s="150"/>
      <c r="L28" s="150"/>
      <c r="M28" s="151"/>
      <c r="N28" s="146">
        <f>'Day 3'!K40</f>
        <v>40</v>
      </c>
      <c r="O28" s="147">
        <f>'Day 3'!M40</f>
        <v>5</v>
      </c>
      <c r="P28" s="150"/>
      <c r="Q28" s="150"/>
      <c r="R28" s="151"/>
      <c r="S28" s="131">
        <f>'Day 4'!K40</f>
        <v>43</v>
      </c>
      <c r="T28" s="132">
        <f>'Day 4'!M40</f>
        <v>5</v>
      </c>
      <c r="U28" s="150"/>
      <c r="V28" s="150"/>
      <c r="W28" s="151"/>
      <c r="X28" s="146">
        <f>'Day 5'!K110</f>
        <v>45</v>
      </c>
      <c r="Y28" s="147">
        <f>'Day 5'!M110</f>
        <v>7</v>
      </c>
      <c r="Z28" s="150"/>
      <c r="AA28" s="150"/>
      <c r="AB28" s="151"/>
      <c r="AC28" s="152"/>
      <c r="AD28" s="153"/>
      <c r="AE28" s="117"/>
    </row>
    <row r="29" ht="3.75" customHeight="1">
      <c r="A29" s="154"/>
      <c r="B29" s="155"/>
      <c r="C29" s="156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8"/>
      <c r="T29" s="157"/>
      <c r="U29" s="158"/>
      <c r="V29" s="157"/>
      <c r="W29" s="157"/>
      <c r="X29" s="158"/>
      <c r="Y29" s="157"/>
      <c r="Z29" s="157"/>
      <c r="AA29" s="157"/>
      <c r="AB29" s="157"/>
      <c r="AC29" s="158"/>
      <c r="AD29" s="159"/>
      <c r="AE29" s="117"/>
    </row>
    <row r="30" ht="15.0" customHeight="1">
      <c r="B30" s="160"/>
      <c r="C30" s="161"/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</row>
    <row r="31" ht="17.25" customHeight="1">
      <c r="B31" s="163"/>
      <c r="C31" s="164" t="s">
        <v>185</v>
      </c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4"/>
    </row>
    <row r="32" ht="17.25" customHeight="1">
      <c r="B32" s="165"/>
      <c r="C32" s="106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8"/>
    </row>
    <row r="33" ht="30.0" customHeight="1">
      <c r="B33" s="166"/>
      <c r="C33" s="167"/>
      <c r="D33" s="168" t="s">
        <v>156</v>
      </c>
      <c r="E33" s="114"/>
      <c r="F33" s="168" t="s">
        <v>186</v>
      </c>
      <c r="G33" s="114"/>
      <c r="H33" s="115"/>
      <c r="I33" s="168" t="s">
        <v>157</v>
      </c>
      <c r="J33" s="114"/>
      <c r="K33" s="168" t="s">
        <v>187</v>
      </c>
      <c r="L33" s="114"/>
      <c r="M33" s="115"/>
      <c r="N33" s="168" t="s">
        <v>158</v>
      </c>
      <c r="O33" s="114"/>
      <c r="P33" s="168" t="s">
        <v>188</v>
      </c>
      <c r="Q33" s="114"/>
      <c r="R33" s="115"/>
      <c r="S33" s="168" t="s">
        <v>159</v>
      </c>
      <c r="T33" s="114"/>
      <c r="U33" s="168" t="s">
        <v>189</v>
      </c>
      <c r="V33" s="114"/>
      <c r="W33" s="115"/>
      <c r="X33" s="168" t="s">
        <v>160</v>
      </c>
      <c r="Y33" s="114"/>
      <c r="Z33" s="168" t="s">
        <v>190</v>
      </c>
      <c r="AA33" s="114"/>
      <c r="AB33" s="115"/>
      <c r="AC33" s="169" t="s">
        <v>191</v>
      </c>
      <c r="AD33" s="116"/>
    </row>
    <row r="34" ht="17.25" customHeight="1">
      <c r="B34" s="165"/>
      <c r="C34" s="170"/>
      <c r="D34" s="171" t="s">
        <v>175</v>
      </c>
      <c r="E34" s="172" t="s">
        <v>176</v>
      </c>
      <c r="F34" s="171" t="s">
        <v>175</v>
      </c>
      <c r="G34" s="172" t="s">
        <v>176</v>
      </c>
      <c r="H34" s="122"/>
      <c r="I34" s="171" t="s">
        <v>175</v>
      </c>
      <c r="J34" s="172" t="s">
        <v>176</v>
      </c>
      <c r="K34" s="171" t="s">
        <v>175</v>
      </c>
      <c r="L34" s="172" t="s">
        <v>176</v>
      </c>
      <c r="M34" s="122"/>
      <c r="N34" s="171" t="s">
        <v>175</v>
      </c>
      <c r="O34" s="172" t="s">
        <v>176</v>
      </c>
      <c r="P34" s="171" t="s">
        <v>175</v>
      </c>
      <c r="Q34" s="172" t="s">
        <v>176</v>
      </c>
      <c r="R34" s="122"/>
      <c r="S34" s="171" t="s">
        <v>175</v>
      </c>
      <c r="T34" s="172" t="s">
        <v>176</v>
      </c>
      <c r="U34" s="171" t="s">
        <v>175</v>
      </c>
      <c r="V34" s="172" t="s">
        <v>176</v>
      </c>
      <c r="W34" s="122"/>
      <c r="X34" s="171" t="s">
        <v>175</v>
      </c>
      <c r="Y34" s="172" t="s">
        <v>176</v>
      </c>
      <c r="Z34" s="171" t="s">
        <v>175</v>
      </c>
      <c r="AA34" s="172" t="s">
        <v>176</v>
      </c>
      <c r="AB34" s="122"/>
      <c r="AC34" s="171" t="s">
        <v>175</v>
      </c>
      <c r="AD34" s="173" t="s">
        <v>176</v>
      </c>
    </row>
    <row r="35" ht="9.0" customHeight="1">
      <c r="B35" s="174"/>
      <c r="C35" s="175"/>
      <c r="D35" s="176"/>
      <c r="E35" s="177"/>
      <c r="F35" s="176"/>
      <c r="G35" s="177"/>
      <c r="H35" s="177"/>
      <c r="I35" s="176"/>
      <c r="J35" s="177"/>
      <c r="K35" s="176"/>
      <c r="L35" s="177"/>
      <c r="M35" s="177"/>
      <c r="N35" s="176"/>
      <c r="O35" s="177"/>
      <c r="P35" s="176"/>
      <c r="Q35" s="177"/>
      <c r="R35" s="177"/>
      <c r="S35" s="176"/>
      <c r="T35" s="177"/>
      <c r="U35" s="176"/>
      <c r="V35" s="177"/>
      <c r="W35" s="177"/>
      <c r="X35" s="176"/>
      <c r="Y35" s="177"/>
      <c r="Z35" s="176"/>
      <c r="AA35" s="177"/>
      <c r="AB35" s="177"/>
      <c r="AC35" s="176"/>
      <c r="AD35" s="178"/>
    </row>
    <row r="36" ht="15.75" customHeight="1">
      <c r="B36" s="129" t="s">
        <v>177</v>
      </c>
      <c r="C36" s="130" t="s">
        <v>178</v>
      </c>
      <c r="D36" s="131">
        <f>'Day 6'!J25</f>
        <v>36</v>
      </c>
      <c r="E36" s="132">
        <f>'Day 6'!L25</f>
        <v>4</v>
      </c>
      <c r="F36" s="133">
        <f t="shared" ref="F36:G36" si="26">SUM(D36+D37)</f>
        <v>67</v>
      </c>
      <c r="G36" s="134">
        <f t="shared" si="26"/>
        <v>7</v>
      </c>
      <c r="H36" s="135"/>
      <c r="I36" s="131">
        <f>'Day 7'!J60</f>
        <v>35</v>
      </c>
      <c r="J36" s="132">
        <f>'Day 7'!L60</f>
        <v>4</v>
      </c>
      <c r="K36" s="133">
        <f t="shared" ref="K36:L36" si="27">I36+I37</f>
        <v>49</v>
      </c>
      <c r="L36" s="134">
        <f t="shared" si="27"/>
        <v>4</v>
      </c>
      <c r="M36" s="135"/>
      <c r="N36" s="131">
        <f>'Day 8'!J95</f>
        <v>36</v>
      </c>
      <c r="O36" s="132">
        <f>'Day 8'!L95</f>
        <v>5</v>
      </c>
      <c r="P36" s="133">
        <f t="shared" ref="P36:Q36" si="28">N36+N37</f>
        <v>73</v>
      </c>
      <c r="Q36" s="134">
        <f t="shared" si="28"/>
        <v>8</v>
      </c>
      <c r="R36" s="135"/>
      <c r="S36" s="131">
        <f>SUM('Day 9'!J95)</f>
        <v>47</v>
      </c>
      <c r="T36" s="132">
        <f>SUM('Day 9'!L95)</f>
        <v>7</v>
      </c>
      <c r="U36" s="133">
        <f t="shared" ref="U36:V36" si="29">S36+S37</f>
        <v>75</v>
      </c>
      <c r="V36" s="134">
        <f t="shared" si="29"/>
        <v>11</v>
      </c>
      <c r="W36" s="135"/>
      <c r="X36" s="131">
        <f>SUM('Day 10'!J25)</f>
        <v>33</v>
      </c>
      <c r="Y36" s="131">
        <f>SUM('Day 10'!L25)</f>
        <v>3</v>
      </c>
      <c r="Z36" s="133">
        <f t="shared" ref="Z36:AA36" si="30">X36+X37</f>
        <v>57</v>
      </c>
      <c r="AA36" s="133">
        <f t="shared" si="30"/>
        <v>6</v>
      </c>
      <c r="AB36" s="135"/>
      <c r="AC36" s="133">
        <f>SUM(AC12+AC13+F36+F37+K36+K37+P36+P37+U36+U37+Z36+Z37)</f>
        <v>655</v>
      </c>
      <c r="AD36" s="137">
        <f>SUM(AD12+G36+L36+Q36+V36+AA36)</f>
        <v>75</v>
      </c>
    </row>
    <row r="37" ht="15.75" customHeight="1">
      <c r="B37" s="138"/>
      <c r="C37" s="139" t="s">
        <v>179</v>
      </c>
      <c r="D37" s="131">
        <f>'Day 6'!J40</f>
        <v>31</v>
      </c>
      <c r="E37" s="132">
        <f>'Day 6'!L40</f>
        <v>3</v>
      </c>
      <c r="F37" s="140"/>
      <c r="G37" s="140"/>
      <c r="H37" s="135"/>
      <c r="I37" s="131">
        <f>'Day 7'!J75</f>
        <v>14</v>
      </c>
      <c r="J37" s="132">
        <f>'Day 7'!L75</f>
        <v>0</v>
      </c>
      <c r="K37" s="140"/>
      <c r="L37" s="140"/>
      <c r="M37" s="135"/>
      <c r="N37" s="131">
        <f>'Day 8'!J110</f>
        <v>37</v>
      </c>
      <c r="O37" s="132">
        <f>'Day 8'!L110</f>
        <v>3</v>
      </c>
      <c r="P37" s="140"/>
      <c r="Q37" s="140"/>
      <c r="R37" s="135"/>
      <c r="S37" s="131">
        <f>SUM('Day 9'!J110)</f>
        <v>28</v>
      </c>
      <c r="T37" s="132">
        <f>SUM('Day 9'!L110)</f>
        <v>4</v>
      </c>
      <c r="U37" s="140"/>
      <c r="V37" s="140"/>
      <c r="W37" s="135"/>
      <c r="X37" s="131">
        <f>SUM('Day 10'!J40)</f>
        <v>24</v>
      </c>
      <c r="Y37" s="131">
        <f>SUM('Day 10'!L40)</f>
        <v>3</v>
      </c>
      <c r="Z37" s="140"/>
      <c r="AA37" s="140"/>
      <c r="AB37" s="135"/>
      <c r="AC37" s="140"/>
      <c r="AD37" s="142"/>
    </row>
    <row r="38" ht="3.75" customHeight="1">
      <c r="B38" s="143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5"/>
    </row>
    <row r="39" ht="15.75" customHeight="1">
      <c r="B39" s="129" t="s">
        <v>180</v>
      </c>
      <c r="C39" s="139" t="s">
        <v>178</v>
      </c>
      <c r="D39" s="131">
        <f>'Day 6'!J95</f>
        <v>25</v>
      </c>
      <c r="E39" s="132">
        <f>'Day 6'!L95</f>
        <v>2</v>
      </c>
      <c r="F39" s="133">
        <f t="shared" ref="F39:G39" si="31">SUM(D39+D40)</f>
        <v>66</v>
      </c>
      <c r="G39" s="134">
        <f t="shared" si="31"/>
        <v>7</v>
      </c>
      <c r="H39" s="135"/>
      <c r="I39" s="131">
        <f>'Day 7'!J25</f>
        <v>29</v>
      </c>
      <c r="J39" s="132">
        <f>'Day 7'!L25</f>
        <v>4</v>
      </c>
      <c r="K39" s="133">
        <f t="shared" ref="K39:L39" si="32">I39+I40</f>
        <v>53</v>
      </c>
      <c r="L39" s="134">
        <f t="shared" si="32"/>
        <v>6</v>
      </c>
      <c r="M39" s="135"/>
      <c r="N39" s="131">
        <f>'Day 8'!K60</f>
        <v>18</v>
      </c>
      <c r="O39" s="132">
        <f>'Day 8'!M60</f>
        <v>2</v>
      </c>
      <c r="P39" s="133">
        <f t="shared" ref="P39:Q39" si="33">N39+N40</f>
        <v>43</v>
      </c>
      <c r="Q39" s="134">
        <f t="shared" si="33"/>
        <v>4</v>
      </c>
      <c r="R39" s="135"/>
      <c r="S39" s="131">
        <f>SUM('Day 9'!K95)</f>
        <v>29</v>
      </c>
      <c r="T39" s="132">
        <f>SUM('Day 9'!M95)</f>
        <v>1</v>
      </c>
      <c r="U39" s="133">
        <f t="shared" ref="U39:V39" si="34">S39+S40</f>
        <v>53</v>
      </c>
      <c r="V39" s="134">
        <f t="shared" si="34"/>
        <v>3</v>
      </c>
      <c r="W39" s="135"/>
      <c r="X39" s="131">
        <f>SUM('Day 10'!J60)</f>
        <v>16</v>
      </c>
      <c r="Y39" s="131">
        <f>SUM('Day 10'!L60)</f>
        <v>1</v>
      </c>
      <c r="Z39" s="133">
        <f t="shared" ref="Z39:AA39" si="35">X39+X40</f>
        <v>33</v>
      </c>
      <c r="AA39" s="133">
        <f t="shared" si="35"/>
        <v>1</v>
      </c>
      <c r="AB39" s="135"/>
      <c r="AC39" s="133">
        <f>SUM(AC15+AC16+F39+F40+K39+K40+P39+P40+U39+U40+Z39+Z40)</f>
        <v>544</v>
      </c>
      <c r="AD39" s="137">
        <f>SUM(AD15+G39+L39+Q39+V39+AA39)</f>
        <v>51</v>
      </c>
    </row>
    <row r="40" ht="15.75" customHeight="1">
      <c r="B40" s="138"/>
      <c r="C40" s="139" t="s">
        <v>179</v>
      </c>
      <c r="D40" s="131">
        <f>'Day 6'!J110</f>
        <v>41</v>
      </c>
      <c r="E40" s="132">
        <f>'Day 6'!L110</f>
        <v>5</v>
      </c>
      <c r="F40" s="140"/>
      <c r="G40" s="140"/>
      <c r="H40" s="135"/>
      <c r="I40" s="131">
        <f>'Day 7'!J40</f>
        <v>24</v>
      </c>
      <c r="J40" s="132">
        <f>'Day 7'!L40</f>
        <v>2</v>
      </c>
      <c r="K40" s="140"/>
      <c r="L40" s="140"/>
      <c r="M40" s="135"/>
      <c r="N40" s="131">
        <f>'Day 8'!K75</f>
        <v>25</v>
      </c>
      <c r="O40" s="132">
        <f>'Day 8'!M75</f>
        <v>2</v>
      </c>
      <c r="P40" s="140"/>
      <c r="Q40" s="140"/>
      <c r="R40" s="135"/>
      <c r="S40" s="146">
        <f>SUM('Day 9'!K110)</f>
        <v>24</v>
      </c>
      <c r="T40" s="147">
        <f>SUM('Day 9'!M110)</f>
        <v>2</v>
      </c>
      <c r="U40" s="140"/>
      <c r="V40" s="140"/>
      <c r="W40" s="135"/>
      <c r="X40" s="131">
        <f>SUM('Day 10'!J75)</f>
        <v>17</v>
      </c>
      <c r="Y40" s="131">
        <f>SUM('Day 10'!L75)</f>
        <v>0</v>
      </c>
      <c r="Z40" s="140"/>
      <c r="AA40" s="140"/>
      <c r="AB40" s="135"/>
      <c r="AC40" s="140"/>
      <c r="AD40" s="142"/>
    </row>
    <row r="41" ht="3.75" customHeight="1">
      <c r="B41" s="143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  <c r="AC41" s="144"/>
      <c r="AD41" s="144"/>
    </row>
    <row r="42" ht="15.75" customHeight="1">
      <c r="B42" s="129" t="s">
        <v>181</v>
      </c>
      <c r="C42" s="139" t="s">
        <v>178</v>
      </c>
      <c r="D42" s="131">
        <f>'Day 6'!K25</f>
        <v>34</v>
      </c>
      <c r="E42" s="132">
        <f>'Day 6'!M25</f>
        <v>4</v>
      </c>
      <c r="F42" s="133">
        <f t="shared" ref="F42:G42" si="36">SUM(D42+D43)</f>
        <v>61</v>
      </c>
      <c r="G42" s="134">
        <f t="shared" si="36"/>
        <v>7</v>
      </c>
      <c r="H42" s="135"/>
      <c r="I42" s="131">
        <f>'Day 7'!J95</f>
        <v>31</v>
      </c>
      <c r="J42" s="132">
        <f>'Day 7'!L95</f>
        <v>4</v>
      </c>
      <c r="K42" s="133">
        <f t="shared" ref="K42:L42" si="37">I42+I43</f>
        <v>64</v>
      </c>
      <c r="L42" s="134">
        <f t="shared" si="37"/>
        <v>7</v>
      </c>
      <c r="M42" s="135"/>
      <c r="N42" s="131">
        <f>'Day 8'!J25</f>
        <v>12</v>
      </c>
      <c r="O42" s="132">
        <f>'Day 8'!L25</f>
        <v>0</v>
      </c>
      <c r="P42" s="133">
        <f t="shared" ref="P42:Q42" si="38">N42+N43</f>
        <v>58</v>
      </c>
      <c r="Q42" s="134">
        <f t="shared" si="38"/>
        <v>5</v>
      </c>
      <c r="R42" s="135"/>
      <c r="S42" s="131">
        <f>SUM('Day 9'!J60)</f>
        <v>33</v>
      </c>
      <c r="T42" s="132">
        <f>SUM('Day 9'!L60)</f>
        <v>4</v>
      </c>
      <c r="U42" s="133">
        <f t="shared" ref="U42:V42" si="39">S42+S43</f>
        <v>64</v>
      </c>
      <c r="V42" s="134">
        <f t="shared" si="39"/>
        <v>8</v>
      </c>
      <c r="W42" s="135"/>
      <c r="X42" s="131">
        <f>SUM('Day 10'!K60)</f>
        <v>32</v>
      </c>
      <c r="Y42" s="131">
        <f>SUM('Day 10'!M60)</f>
        <v>5</v>
      </c>
      <c r="Z42" s="133">
        <f t="shared" ref="Z42:AA42" si="40">X42+X43</f>
        <v>81</v>
      </c>
      <c r="AA42" s="133">
        <f t="shared" si="40"/>
        <v>13</v>
      </c>
      <c r="AB42" s="135"/>
      <c r="AC42" s="133">
        <f>SUM(AC18+AC19+F42+F43+K42+K43+P42+P43+U42+U43+Z42+Z43)</f>
        <v>633</v>
      </c>
      <c r="AD42" s="137">
        <f>SUM(AD18+G42+L42+Q42+V42+AA42)</f>
        <v>75</v>
      </c>
    </row>
    <row r="43" ht="15.75" customHeight="1">
      <c r="B43" s="138"/>
      <c r="C43" s="139" t="s">
        <v>179</v>
      </c>
      <c r="D43" s="146">
        <f>'Day 6'!K40</f>
        <v>27</v>
      </c>
      <c r="E43" s="147">
        <f>'Day 6'!M40</f>
        <v>3</v>
      </c>
      <c r="F43" s="140"/>
      <c r="G43" s="140"/>
      <c r="H43" s="135"/>
      <c r="I43" s="131">
        <f>'Day 7'!J110</f>
        <v>33</v>
      </c>
      <c r="J43" s="132">
        <f>'Day 7'!L110</f>
        <v>3</v>
      </c>
      <c r="K43" s="140"/>
      <c r="L43" s="140"/>
      <c r="M43" s="135"/>
      <c r="N43" s="131">
        <f>'Day 8'!J40</f>
        <v>46</v>
      </c>
      <c r="O43" s="132">
        <f>'Day 8'!L40</f>
        <v>5</v>
      </c>
      <c r="P43" s="140"/>
      <c r="Q43" s="140"/>
      <c r="R43" s="135"/>
      <c r="S43" s="131">
        <f>SUM('Day 9'!J75)</f>
        <v>31</v>
      </c>
      <c r="T43" s="132">
        <f>SUM('Day 9'!L75)</f>
        <v>4</v>
      </c>
      <c r="U43" s="140"/>
      <c r="V43" s="140"/>
      <c r="W43" s="135"/>
      <c r="X43" s="131">
        <f>SUM('Day 10'!K75)</f>
        <v>49</v>
      </c>
      <c r="Y43" s="131">
        <f>SUM('Day 10'!M75)</f>
        <v>8</v>
      </c>
      <c r="Z43" s="140"/>
      <c r="AA43" s="140"/>
      <c r="AB43" s="135"/>
      <c r="AC43" s="140"/>
      <c r="AD43" s="142"/>
    </row>
    <row r="44" ht="3.75" customHeight="1">
      <c r="B44" s="143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</row>
    <row r="45" ht="15.75" customHeight="1">
      <c r="B45" s="129" t="s">
        <v>182</v>
      </c>
      <c r="C45" s="139" t="s">
        <v>178</v>
      </c>
      <c r="D45" s="131">
        <f>'Day 6'!J60</f>
        <v>32</v>
      </c>
      <c r="E45" s="132">
        <f>'Day 6'!L60</f>
        <v>4</v>
      </c>
      <c r="F45" s="133">
        <f t="shared" ref="F45:G45" si="41">SUM(D45+D46)</f>
        <v>72</v>
      </c>
      <c r="G45" s="134">
        <f t="shared" si="41"/>
        <v>9</v>
      </c>
      <c r="H45" s="135"/>
      <c r="I45" s="131">
        <f>'Day 7'!K95</f>
        <v>28</v>
      </c>
      <c r="J45" s="132">
        <f>'Day 7'!M95</f>
        <v>2</v>
      </c>
      <c r="K45" s="133">
        <f t="shared" ref="K45:L45" si="42">I45+I46</f>
        <v>69</v>
      </c>
      <c r="L45" s="134">
        <f t="shared" si="42"/>
        <v>7</v>
      </c>
      <c r="M45" s="135"/>
      <c r="N45" s="131">
        <f>'Day 8'!J60</f>
        <v>29</v>
      </c>
      <c r="O45" s="132">
        <f>'Day 8'!L60</f>
        <v>4</v>
      </c>
      <c r="P45" s="133">
        <f t="shared" ref="P45:Q45" si="43">N45+N46</f>
        <v>71</v>
      </c>
      <c r="Q45" s="134">
        <f t="shared" si="43"/>
        <v>10</v>
      </c>
      <c r="R45" s="135"/>
      <c r="S45" s="131">
        <f>SUM('Day 9'!J25)</f>
        <v>33</v>
      </c>
      <c r="T45" s="132">
        <f>SUM('Day 9'!L25)</f>
        <v>4</v>
      </c>
      <c r="U45" s="133">
        <f t="shared" ref="U45:V45" si="44">S45+S46</f>
        <v>54</v>
      </c>
      <c r="V45" s="134">
        <f t="shared" si="44"/>
        <v>6</v>
      </c>
      <c r="W45" s="135"/>
      <c r="X45" s="131">
        <f>SUM('Day 10'!K25)</f>
        <v>40</v>
      </c>
      <c r="Y45" s="131">
        <f>SUM('Day 10'!M25)</f>
        <v>5</v>
      </c>
      <c r="Z45" s="133">
        <f t="shared" ref="Z45:AA45" si="45">X45+X46</f>
        <v>71</v>
      </c>
      <c r="AA45" s="133">
        <f t="shared" si="45"/>
        <v>8</v>
      </c>
      <c r="AB45" s="135"/>
      <c r="AC45" s="133">
        <f>SUM(AC21+AC22+F45+F46+K45+K46+P45+P46+U45+U46+Z45+Z46)</f>
        <v>686</v>
      </c>
      <c r="AD45" s="137">
        <f>SUM(AD21+G45+L45+Q45+V45+AA45)</f>
        <v>80</v>
      </c>
    </row>
    <row r="46" ht="15.75" customHeight="1">
      <c r="B46" s="138"/>
      <c r="C46" s="139" t="s">
        <v>179</v>
      </c>
      <c r="D46" s="131">
        <f>'Day 6'!J75</f>
        <v>40</v>
      </c>
      <c r="E46" s="132">
        <f>'Day 6'!L75</f>
        <v>5</v>
      </c>
      <c r="F46" s="140"/>
      <c r="G46" s="140"/>
      <c r="H46" s="135"/>
      <c r="I46" s="131">
        <f>'Day 7'!K110</f>
        <v>41</v>
      </c>
      <c r="J46" s="132">
        <f>'Day 7'!M110</f>
        <v>5</v>
      </c>
      <c r="K46" s="140"/>
      <c r="L46" s="140"/>
      <c r="M46" s="135"/>
      <c r="N46" s="131">
        <f>'Day 8'!J75</f>
        <v>42</v>
      </c>
      <c r="O46" s="132">
        <f>'Day 8'!L75</f>
        <v>6</v>
      </c>
      <c r="P46" s="140"/>
      <c r="Q46" s="140"/>
      <c r="R46" s="135"/>
      <c r="S46" s="131">
        <f>SUM('Day 9'!J40)</f>
        <v>21</v>
      </c>
      <c r="T46" s="132">
        <f>SUM('Day 9'!L40)</f>
        <v>2</v>
      </c>
      <c r="U46" s="140"/>
      <c r="V46" s="140"/>
      <c r="W46" s="135"/>
      <c r="X46" s="131">
        <f>SUM('Day 10'!K40)</f>
        <v>31</v>
      </c>
      <c r="Y46" s="131">
        <f>SUM('Day 10'!M40)</f>
        <v>3</v>
      </c>
      <c r="Z46" s="140"/>
      <c r="AA46" s="140"/>
      <c r="AB46" s="135"/>
      <c r="AC46" s="140"/>
      <c r="AD46" s="142"/>
    </row>
    <row r="47" ht="3.75" customHeight="1">
      <c r="B47" s="143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</row>
    <row r="48" ht="15.75" customHeight="1">
      <c r="B48" s="129" t="s">
        <v>183</v>
      </c>
      <c r="C48" s="139" t="s">
        <v>178</v>
      </c>
      <c r="D48" s="131">
        <f>'Day 6'!K60</f>
        <v>27</v>
      </c>
      <c r="E48" s="132">
        <f>'Day 6'!M60</f>
        <v>2</v>
      </c>
      <c r="F48" s="133">
        <f t="shared" ref="F48:G48" si="46">SUM(D48+D49)</f>
        <v>59</v>
      </c>
      <c r="G48" s="134">
        <f t="shared" si="46"/>
        <v>5</v>
      </c>
      <c r="H48" s="135"/>
      <c r="I48" s="131">
        <f>'Day 7'!K25</f>
        <v>25</v>
      </c>
      <c r="J48" s="132">
        <f>'Day 7'!M25</f>
        <v>2</v>
      </c>
      <c r="K48" s="133">
        <f t="shared" ref="K48:L48" si="47">I48+I49</f>
        <v>64</v>
      </c>
      <c r="L48" s="134">
        <f t="shared" si="47"/>
        <v>8</v>
      </c>
      <c r="M48" s="135"/>
      <c r="N48" s="131">
        <f>'Day 8'!K95</f>
        <v>24</v>
      </c>
      <c r="O48" s="132">
        <f>'Day 8'!M95</f>
        <v>1</v>
      </c>
      <c r="P48" s="133">
        <f t="shared" ref="P48:Q48" si="48">N48+N49</f>
        <v>64</v>
      </c>
      <c r="Q48" s="134">
        <f t="shared" si="48"/>
        <v>6</v>
      </c>
      <c r="R48" s="135"/>
      <c r="S48" s="131">
        <f>SUM('Day 9'!K60)</f>
        <v>36</v>
      </c>
      <c r="T48" s="132">
        <f>SUM('Day 9'!M60)</f>
        <v>4</v>
      </c>
      <c r="U48" s="133">
        <f t="shared" ref="U48:V48" si="49">S48+S49</f>
        <v>57</v>
      </c>
      <c r="V48" s="134">
        <f t="shared" si="49"/>
        <v>6</v>
      </c>
      <c r="W48" s="135"/>
      <c r="X48" s="131">
        <f>SUM('Day 10'!J95)</f>
        <v>28</v>
      </c>
      <c r="Y48" s="131">
        <f>SUM('Day 10'!L95)</f>
        <v>3</v>
      </c>
      <c r="Z48" s="133">
        <f t="shared" ref="Z48:AA48" si="50">X48+X49</f>
        <v>51</v>
      </c>
      <c r="AA48" s="133">
        <f t="shared" si="50"/>
        <v>5</v>
      </c>
      <c r="AB48" s="135"/>
      <c r="AC48" s="133">
        <f>SUM(AC24+AC25+F48+F49+K48+K49+P48+P49+U48+U49+Z48+Z49)</f>
        <v>593</v>
      </c>
      <c r="AD48" s="137">
        <f>SUM(AD24+G48+L48+Q48+V48+AA48)</f>
        <v>53</v>
      </c>
    </row>
    <row r="49" ht="15.75" customHeight="1">
      <c r="B49" s="138"/>
      <c r="C49" s="139" t="s">
        <v>179</v>
      </c>
      <c r="D49" s="131">
        <f>'Day 6'!K75</f>
        <v>32</v>
      </c>
      <c r="E49" s="132">
        <f>'Day 6'!M75</f>
        <v>3</v>
      </c>
      <c r="F49" s="140"/>
      <c r="G49" s="140"/>
      <c r="H49" s="135"/>
      <c r="I49" s="146">
        <f>'Day 7'!K40</f>
        <v>39</v>
      </c>
      <c r="J49" s="147">
        <f>'Day 7'!M40</f>
        <v>6</v>
      </c>
      <c r="K49" s="140"/>
      <c r="L49" s="140"/>
      <c r="M49" s="135"/>
      <c r="N49" s="131">
        <f>'Day 8'!K110</f>
        <v>40</v>
      </c>
      <c r="O49" s="132">
        <f>'Day 8'!M110</f>
        <v>5</v>
      </c>
      <c r="P49" s="140"/>
      <c r="Q49" s="140"/>
      <c r="R49" s="135"/>
      <c r="S49" s="131">
        <f>SUM('Day 9'!K75)</f>
        <v>21</v>
      </c>
      <c r="T49" s="132">
        <f>SUM('Day 9'!M75)</f>
        <v>2</v>
      </c>
      <c r="U49" s="140"/>
      <c r="V49" s="140"/>
      <c r="W49" s="135"/>
      <c r="X49" s="131">
        <f>SUM('Day 10'!J110)</f>
        <v>23</v>
      </c>
      <c r="Y49" s="131">
        <f>SUM('Day 10'!L110)</f>
        <v>2</v>
      </c>
      <c r="Z49" s="140"/>
      <c r="AA49" s="140"/>
      <c r="AB49" s="135"/>
      <c r="AC49" s="140"/>
      <c r="AD49" s="142"/>
    </row>
    <row r="50" ht="3.75" customHeight="1">
      <c r="B50" s="143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</row>
    <row r="51" ht="15.75" customHeight="1">
      <c r="B51" s="129" t="s">
        <v>184</v>
      </c>
      <c r="C51" s="139" t="s">
        <v>178</v>
      </c>
      <c r="D51" s="131">
        <f>'Day 6'!K95</f>
        <v>29</v>
      </c>
      <c r="E51" s="132">
        <f>'Day 6'!M95</f>
        <v>4</v>
      </c>
      <c r="F51" s="133">
        <f t="shared" ref="F51:G51" si="51">SUM(D51+D52)</f>
        <v>67</v>
      </c>
      <c r="G51" s="134">
        <f t="shared" si="51"/>
        <v>7</v>
      </c>
      <c r="H51" s="135"/>
      <c r="I51" s="131">
        <f>'Day 7'!K60</f>
        <v>33</v>
      </c>
      <c r="J51" s="132">
        <f>'Day 7'!M60</f>
        <v>4</v>
      </c>
      <c r="K51" s="133">
        <f t="shared" ref="K51:L51" si="52">I51+I52</f>
        <v>69</v>
      </c>
      <c r="L51" s="134">
        <f t="shared" si="52"/>
        <v>10</v>
      </c>
      <c r="M51" s="135"/>
      <c r="N51" s="131">
        <f>'Day 8'!K25</f>
        <v>36</v>
      </c>
      <c r="O51" s="132">
        <f>'Day 8'!M25</f>
        <v>6</v>
      </c>
      <c r="P51" s="133">
        <f t="shared" ref="P51:Q51" si="53">N51+N52</f>
        <v>72</v>
      </c>
      <c r="Q51" s="134">
        <f t="shared" si="53"/>
        <v>9</v>
      </c>
      <c r="R51" s="135"/>
      <c r="S51" s="131">
        <f>SUM('Day 9'!K25)</f>
        <v>36</v>
      </c>
      <c r="T51" s="132">
        <f>SUM('Day 9'!M25)</f>
        <v>4</v>
      </c>
      <c r="U51" s="133">
        <f t="shared" ref="U51:V51" si="54">S51+S52</f>
        <v>70</v>
      </c>
      <c r="V51" s="134">
        <f t="shared" si="54"/>
        <v>8</v>
      </c>
      <c r="W51" s="135"/>
      <c r="X51" s="131">
        <f>SUM('Day 10'!K95)</f>
        <v>39</v>
      </c>
      <c r="Y51" s="131">
        <f>SUM('Day 10'!M95)</f>
        <v>5</v>
      </c>
      <c r="Z51" s="133">
        <f t="shared" ref="Z51:AA51" si="55">X51+X52</f>
        <v>74</v>
      </c>
      <c r="AA51" s="133">
        <f t="shared" si="55"/>
        <v>9</v>
      </c>
      <c r="AB51" s="135"/>
      <c r="AC51" s="133">
        <f>SUM(AC27+AC28+F51+F52+K51+K52+P51+P52+U51+U52+Z51+Z52)</f>
        <v>717</v>
      </c>
      <c r="AD51" s="137">
        <f>SUM(AD27+G51+L51+Q51+V51+AA51)</f>
        <v>86</v>
      </c>
      <c r="AE51" s="109"/>
    </row>
    <row r="52" ht="15.75" customHeight="1">
      <c r="B52" s="148"/>
      <c r="C52" s="139" t="s">
        <v>179</v>
      </c>
      <c r="D52" s="131">
        <f>'Day 6'!K110</f>
        <v>38</v>
      </c>
      <c r="E52" s="132">
        <f>'Day 6'!M110</f>
        <v>3</v>
      </c>
      <c r="F52" s="150"/>
      <c r="G52" s="150"/>
      <c r="H52" s="151"/>
      <c r="I52" s="131">
        <f>'Day 7'!K75</f>
        <v>36</v>
      </c>
      <c r="J52" s="132">
        <f>'Day 7'!M75</f>
        <v>6</v>
      </c>
      <c r="K52" s="150"/>
      <c r="L52" s="150"/>
      <c r="M52" s="151"/>
      <c r="N52" s="146">
        <f>'Day 8'!K40</f>
        <v>36</v>
      </c>
      <c r="O52" s="147">
        <f>'Day 8'!M40</f>
        <v>3</v>
      </c>
      <c r="P52" s="140"/>
      <c r="Q52" s="150"/>
      <c r="R52" s="151"/>
      <c r="S52" s="131">
        <f>SUM('Day 9'!K40)</f>
        <v>34</v>
      </c>
      <c r="T52" s="132">
        <f>SUM('Day 9'!M40)</f>
        <v>4</v>
      </c>
      <c r="U52" s="150"/>
      <c r="V52" s="150"/>
      <c r="W52" s="151"/>
      <c r="X52" s="131">
        <f>SUM('Day 10'!K110)</f>
        <v>35</v>
      </c>
      <c r="Y52" s="131">
        <f>SUM('Day 10'!M110)</f>
        <v>4</v>
      </c>
      <c r="Z52" s="150"/>
      <c r="AA52" s="150"/>
      <c r="AB52" s="151"/>
      <c r="AC52" s="150"/>
      <c r="AD52" s="142"/>
      <c r="AE52" s="109"/>
    </row>
    <row r="53" ht="3.75" customHeight="1">
      <c r="B53" s="179"/>
      <c r="C53" s="180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8"/>
      <c r="T53" s="157"/>
      <c r="U53" s="158"/>
      <c r="V53" s="157"/>
      <c r="W53" s="157"/>
      <c r="X53" s="158"/>
      <c r="Y53" s="157"/>
      <c r="Z53" s="157"/>
      <c r="AA53" s="157"/>
      <c r="AB53" s="181"/>
      <c r="AC53" s="182"/>
      <c r="AD53" s="183"/>
    </row>
    <row r="54" ht="13.5" customHeight="1">
      <c r="B54" s="98"/>
      <c r="C54" s="100"/>
    </row>
    <row r="55" ht="13.5" customHeight="1">
      <c r="B55" s="98"/>
      <c r="C55" s="100"/>
      <c r="Q55" s="184" t="s">
        <v>192</v>
      </c>
    </row>
    <row r="56" ht="17.25" customHeight="1">
      <c r="B56" s="185"/>
      <c r="C56" s="100"/>
    </row>
    <row r="57" ht="17.25" customHeight="1">
      <c r="B57" s="185"/>
      <c r="C57" s="100"/>
    </row>
    <row r="58" ht="17.25" customHeight="1">
      <c r="B58" s="185"/>
      <c r="C58" s="100"/>
    </row>
    <row r="59" ht="17.25" customHeight="1">
      <c r="B59" s="185"/>
      <c r="C59" s="100"/>
      <c r="AE59" s="186"/>
    </row>
    <row r="60" ht="13.5" customHeight="1">
      <c r="B60" s="98"/>
      <c r="C60" s="100"/>
    </row>
    <row r="61" ht="13.5" customHeight="1">
      <c r="B61" s="98"/>
      <c r="C61" s="100"/>
    </row>
    <row r="62" ht="13.5" customHeight="1">
      <c r="B62" s="98"/>
      <c r="C62" s="100"/>
    </row>
    <row r="63" ht="13.5" customHeight="1">
      <c r="B63" s="98"/>
      <c r="C63" s="100"/>
    </row>
    <row r="64" ht="13.5" customHeight="1">
      <c r="B64" s="98"/>
      <c r="C64" s="100"/>
    </row>
    <row r="65" ht="13.5" customHeight="1">
      <c r="B65" s="98"/>
      <c r="C65" s="100"/>
    </row>
    <row r="66" ht="13.5" customHeight="1">
      <c r="B66" s="98"/>
      <c r="C66" s="100"/>
    </row>
    <row r="67" ht="13.5" customHeight="1">
      <c r="B67" s="98"/>
      <c r="C67" s="100"/>
    </row>
    <row r="68" ht="13.5" customHeight="1">
      <c r="B68" s="98"/>
      <c r="C68" s="100"/>
    </row>
    <row r="69" ht="13.5" customHeight="1">
      <c r="B69" s="98"/>
      <c r="C69" s="100"/>
    </row>
    <row r="70" ht="13.5" customHeight="1">
      <c r="B70" s="98"/>
      <c r="C70" s="100"/>
    </row>
    <row r="71" ht="13.5" customHeight="1">
      <c r="B71" s="98"/>
      <c r="C71" s="100"/>
    </row>
    <row r="72" ht="13.5" customHeight="1">
      <c r="B72" s="98"/>
      <c r="C72" s="100"/>
    </row>
    <row r="73" ht="13.5" customHeight="1">
      <c r="B73" s="98"/>
      <c r="C73" s="100"/>
    </row>
    <row r="74" ht="13.5" customHeight="1">
      <c r="B74" s="98"/>
      <c r="C74" s="100"/>
    </row>
    <row r="75" ht="13.5" customHeight="1">
      <c r="B75" s="98"/>
      <c r="C75" s="100"/>
    </row>
    <row r="76" ht="13.5" customHeight="1">
      <c r="B76" s="98"/>
      <c r="C76" s="100"/>
    </row>
    <row r="77" ht="13.5" customHeight="1">
      <c r="B77" s="98"/>
      <c r="C77" s="100"/>
    </row>
    <row r="78" ht="13.5" customHeight="1">
      <c r="B78" s="98"/>
      <c r="C78" s="100"/>
    </row>
    <row r="79" ht="13.5" customHeight="1">
      <c r="B79" s="98"/>
      <c r="C79" s="100"/>
    </row>
    <row r="80" ht="13.5" customHeight="1">
      <c r="B80" s="98"/>
      <c r="C80" s="100"/>
    </row>
    <row r="81" ht="13.5" customHeight="1">
      <c r="B81" s="98"/>
      <c r="C81" s="100"/>
    </row>
    <row r="82" ht="13.5" customHeight="1">
      <c r="B82" s="98"/>
      <c r="C82" s="100"/>
    </row>
    <row r="83" ht="13.5" customHeight="1">
      <c r="B83" s="98"/>
      <c r="C83" s="100"/>
    </row>
    <row r="84" ht="13.5" customHeight="1">
      <c r="B84" s="98"/>
      <c r="C84" s="100"/>
    </row>
    <row r="85" ht="13.5" customHeight="1">
      <c r="B85" s="98"/>
      <c r="C85" s="100"/>
    </row>
    <row r="86" ht="13.5" customHeight="1">
      <c r="B86" s="98"/>
      <c r="C86" s="100"/>
    </row>
    <row r="87" ht="13.5" customHeight="1">
      <c r="B87" s="98"/>
      <c r="C87" s="100"/>
    </row>
    <row r="88" ht="13.5" customHeight="1">
      <c r="B88" s="98"/>
      <c r="C88" s="100"/>
    </row>
    <row r="89" ht="13.5" customHeight="1">
      <c r="B89" s="98"/>
      <c r="C89" s="100"/>
    </row>
    <row r="90" ht="13.5" customHeight="1">
      <c r="B90" s="98"/>
      <c r="C90" s="100"/>
    </row>
    <row r="91" ht="13.5" customHeight="1">
      <c r="B91" s="98"/>
      <c r="C91" s="100"/>
    </row>
    <row r="92" ht="13.5" customHeight="1">
      <c r="B92" s="98"/>
      <c r="C92" s="100"/>
    </row>
    <row r="93" ht="13.5" customHeight="1">
      <c r="B93" s="98"/>
      <c r="C93" s="100"/>
    </row>
    <row r="94" ht="13.5" customHeight="1">
      <c r="B94" s="98"/>
      <c r="C94" s="100"/>
    </row>
    <row r="95" ht="13.5" customHeight="1">
      <c r="B95" s="98"/>
      <c r="C95" s="100"/>
    </row>
    <row r="96" ht="13.5" customHeight="1">
      <c r="B96" s="98"/>
      <c r="C96" s="100"/>
    </row>
    <row r="97" ht="13.5" customHeight="1">
      <c r="B97" s="98"/>
      <c r="C97" s="100"/>
    </row>
    <row r="98" ht="13.5" customHeight="1">
      <c r="B98" s="98"/>
      <c r="C98" s="100"/>
    </row>
    <row r="99" ht="13.5" customHeight="1">
      <c r="B99" s="98"/>
      <c r="C99" s="100"/>
    </row>
    <row r="100" ht="13.5" customHeight="1">
      <c r="B100" s="98"/>
      <c r="C100" s="100"/>
    </row>
    <row r="101" ht="13.5" customHeight="1">
      <c r="B101" s="98"/>
      <c r="C101" s="100"/>
    </row>
    <row r="102" ht="13.5" customHeight="1">
      <c r="B102" s="98"/>
      <c r="C102" s="100"/>
    </row>
    <row r="103" ht="13.5" customHeight="1">
      <c r="B103" s="98"/>
      <c r="C103" s="100"/>
    </row>
    <row r="104" ht="13.5" customHeight="1">
      <c r="B104" s="98"/>
      <c r="C104" s="100"/>
    </row>
    <row r="105" ht="13.5" customHeight="1">
      <c r="B105" s="98"/>
      <c r="C105" s="100"/>
    </row>
    <row r="106" ht="13.5" customHeight="1">
      <c r="B106" s="98"/>
      <c r="C106" s="100"/>
    </row>
    <row r="107" ht="13.5" customHeight="1">
      <c r="B107" s="98"/>
      <c r="C107" s="100"/>
    </row>
    <row r="108" ht="13.5" customHeight="1">
      <c r="B108" s="98"/>
      <c r="C108" s="100"/>
    </row>
    <row r="109" ht="13.5" customHeight="1">
      <c r="B109" s="98"/>
      <c r="C109" s="100"/>
    </row>
    <row r="110" ht="13.5" customHeight="1">
      <c r="B110" s="98"/>
      <c r="C110" s="100"/>
    </row>
    <row r="111" ht="13.5" customHeight="1">
      <c r="B111" s="98"/>
      <c r="C111" s="100"/>
    </row>
    <row r="112" ht="13.5" customHeight="1">
      <c r="B112" s="98"/>
      <c r="C112" s="100"/>
    </row>
    <row r="113" ht="13.5" customHeight="1">
      <c r="B113" s="98"/>
      <c r="C113" s="100"/>
    </row>
    <row r="114" ht="13.5" customHeight="1">
      <c r="B114" s="98"/>
      <c r="C114" s="100"/>
    </row>
    <row r="115" ht="13.5" customHeight="1">
      <c r="B115" s="98"/>
      <c r="C115" s="100"/>
    </row>
    <row r="116" ht="13.5" customHeight="1">
      <c r="B116" s="98"/>
      <c r="C116" s="100"/>
    </row>
    <row r="117" ht="13.5" customHeight="1">
      <c r="B117" s="98"/>
      <c r="C117" s="100"/>
    </row>
    <row r="118" ht="13.5" customHeight="1">
      <c r="B118" s="98"/>
      <c r="C118" s="100"/>
    </row>
    <row r="119" ht="13.5" customHeight="1">
      <c r="B119" s="98"/>
      <c r="C119" s="100"/>
    </row>
    <row r="120" ht="13.5" customHeight="1">
      <c r="B120" s="98"/>
      <c r="C120" s="100"/>
    </row>
    <row r="121" ht="13.5" customHeight="1">
      <c r="B121" s="98"/>
      <c r="C121" s="100"/>
    </row>
    <row r="122" ht="13.5" customHeight="1">
      <c r="B122" s="98"/>
      <c r="C122" s="100"/>
    </row>
    <row r="123" ht="13.5" customHeight="1">
      <c r="B123" s="98"/>
      <c r="C123" s="100"/>
    </row>
    <row r="124" ht="13.5" customHeight="1">
      <c r="B124" s="98"/>
      <c r="C124" s="100"/>
    </row>
    <row r="125" ht="13.5" customHeight="1">
      <c r="B125" s="98"/>
      <c r="C125" s="100"/>
    </row>
    <row r="126" ht="13.5" customHeight="1">
      <c r="B126" s="98"/>
      <c r="C126" s="100"/>
    </row>
    <row r="127" ht="13.5" customHeight="1">
      <c r="B127" s="98"/>
      <c r="C127" s="100"/>
    </row>
    <row r="128" ht="13.5" customHeight="1">
      <c r="B128" s="98"/>
      <c r="C128" s="100"/>
    </row>
    <row r="129" ht="13.5" customHeight="1">
      <c r="B129" s="98"/>
      <c r="C129" s="100"/>
    </row>
    <row r="130" ht="13.5" customHeight="1">
      <c r="B130" s="98"/>
      <c r="C130" s="100"/>
    </row>
    <row r="131" ht="13.5" customHeight="1">
      <c r="B131" s="98"/>
      <c r="C131" s="100"/>
    </row>
    <row r="132" ht="13.5" customHeight="1">
      <c r="B132" s="98"/>
      <c r="C132" s="100"/>
    </row>
    <row r="133" ht="13.5" customHeight="1">
      <c r="B133" s="98"/>
      <c r="C133" s="100"/>
    </row>
    <row r="134" ht="13.5" customHeight="1">
      <c r="B134" s="98"/>
      <c r="C134" s="100"/>
    </row>
    <row r="135" ht="13.5" customHeight="1">
      <c r="B135" s="98"/>
      <c r="C135" s="100"/>
    </row>
    <row r="136" ht="13.5" customHeight="1">
      <c r="B136" s="98"/>
      <c r="C136" s="100"/>
    </row>
    <row r="137" ht="13.5" customHeight="1">
      <c r="B137" s="98"/>
      <c r="C137" s="100"/>
    </row>
    <row r="138" ht="13.5" customHeight="1">
      <c r="B138" s="98"/>
      <c r="C138" s="100"/>
    </row>
    <row r="139" ht="13.5" customHeight="1">
      <c r="B139" s="98"/>
      <c r="C139" s="100"/>
    </row>
    <row r="140" ht="13.5" customHeight="1">
      <c r="B140" s="98"/>
      <c r="C140" s="100"/>
    </row>
    <row r="141" ht="13.5" customHeight="1">
      <c r="B141" s="98"/>
      <c r="C141" s="100"/>
    </row>
    <row r="142" ht="13.5" customHeight="1">
      <c r="B142" s="98"/>
      <c r="C142" s="100"/>
    </row>
    <row r="143" ht="13.5" customHeight="1">
      <c r="B143" s="98"/>
      <c r="C143" s="100"/>
    </row>
    <row r="144" ht="13.5" customHeight="1">
      <c r="B144" s="98"/>
      <c r="C144" s="100"/>
    </row>
    <row r="145" ht="13.5" customHeight="1">
      <c r="B145" s="98"/>
      <c r="C145" s="100"/>
    </row>
    <row r="146" ht="13.5" customHeight="1">
      <c r="B146" s="98"/>
      <c r="C146" s="100"/>
    </row>
    <row r="147" ht="13.5" customHeight="1">
      <c r="B147" s="98"/>
      <c r="C147" s="100"/>
    </row>
    <row r="148" ht="13.5" customHeight="1">
      <c r="B148" s="98"/>
      <c r="C148" s="100"/>
    </row>
    <row r="149" ht="13.5" customHeight="1">
      <c r="B149" s="98"/>
      <c r="C149" s="100"/>
    </row>
    <row r="150" ht="13.5" customHeight="1">
      <c r="B150" s="98"/>
      <c r="C150" s="100"/>
    </row>
    <row r="151" ht="13.5" customHeight="1">
      <c r="B151" s="98"/>
      <c r="C151" s="100"/>
    </row>
    <row r="152" ht="13.5" customHeight="1">
      <c r="B152" s="98"/>
      <c r="C152" s="100"/>
    </row>
    <row r="153" ht="13.5" customHeight="1">
      <c r="B153" s="98"/>
      <c r="C153" s="100"/>
    </row>
    <row r="154" ht="13.5" customHeight="1">
      <c r="B154" s="98"/>
      <c r="C154" s="100"/>
    </row>
    <row r="155" ht="13.5" customHeight="1">
      <c r="B155" s="98"/>
      <c r="C155" s="100"/>
    </row>
    <row r="156" ht="13.5" customHeight="1">
      <c r="B156" s="98"/>
      <c r="C156" s="100"/>
    </row>
    <row r="157" ht="13.5" customHeight="1">
      <c r="B157" s="98"/>
      <c r="C157" s="100"/>
    </row>
    <row r="158" ht="13.5" customHeight="1">
      <c r="B158" s="98"/>
      <c r="C158" s="100"/>
    </row>
    <row r="159" ht="13.5" customHeight="1">
      <c r="B159" s="98"/>
      <c r="C159" s="100"/>
    </row>
    <row r="160" ht="13.5" customHeight="1">
      <c r="B160" s="98"/>
      <c r="C160" s="100"/>
    </row>
    <row r="161" ht="13.5" customHeight="1">
      <c r="B161" s="98"/>
      <c r="C161" s="100"/>
    </row>
    <row r="162" ht="13.5" customHeight="1">
      <c r="B162" s="98"/>
      <c r="C162" s="100"/>
    </row>
    <row r="163" ht="13.5" customHeight="1">
      <c r="B163" s="98"/>
      <c r="C163" s="100"/>
    </row>
    <row r="164" ht="13.5" customHeight="1">
      <c r="B164" s="98"/>
      <c r="C164" s="100"/>
    </row>
    <row r="165" ht="13.5" customHeight="1">
      <c r="B165" s="98"/>
      <c r="C165" s="100"/>
    </row>
    <row r="166" ht="13.5" customHeight="1">
      <c r="B166" s="98"/>
      <c r="C166" s="100"/>
    </row>
    <row r="167" ht="13.5" customHeight="1">
      <c r="B167" s="98"/>
      <c r="C167" s="100"/>
    </row>
    <row r="168" ht="13.5" customHeight="1">
      <c r="B168" s="98"/>
      <c r="C168" s="100"/>
    </row>
    <row r="169" ht="13.5" customHeight="1">
      <c r="B169" s="98"/>
      <c r="C169" s="100"/>
    </row>
    <row r="170" ht="13.5" customHeight="1">
      <c r="B170" s="98"/>
      <c r="C170" s="100"/>
    </row>
    <row r="171" ht="13.5" customHeight="1">
      <c r="B171" s="98"/>
      <c r="C171" s="100"/>
    </row>
    <row r="172" ht="13.5" customHeight="1">
      <c r="B172" s="98"/>
      <c r="C172" s="100"/>
    </row>
    <row r="173" ht="13.5" customHeight="1">
      <c r="B173" s="98"/>
      <c r="C173" s="100"/>
    </row>
    <row r="174" ht="13.5" customHeight="1">
      <c r="B174" s="98"/>
      <c r="C174" s="100"/>
    </row>
    <row r="175" ht="13.5" customHeight="1">
      <c r="B175" s="98"/>
      <c r="C175" s="100"/>
    </row>
    <row r="176" ht="13.5" customHeight="1">
      <c r="B176" s="98"/>
      <c r="C176" s="100"/>
    </row>
    <row r="177" ht="13.5" customHeight="1">
      <c r="B177" s="98"/>
      <c r="C177" s="100"/>
    </row>
    <row r="178" ht="13.5" customHeight="1">
      <c r="B178" s="98"/>
      <c r="C178" s="100"/>
    </row>
    <row r="179" ht="13.5" customHeight="1">
      <c r="B179" s="98"/>
      <c r="C179" s="100"/>
    </row>
    <row r="180" ht="13.5" customHeight="1">
      <c r="B180" s="98"/>
      <c r="C180" s="100"/>
    </row>
    <row r="181" ht="13.5" customHeight="1">
      <c r="B181" s="98"/>
      <c r="C181" s="100"/>
    </row>
    <row r="182" ht="13.5" customHeight="1">
      <c r="B182" s="98"/>
      <c r="C182" s="100"/>
    </row>
    <row r="183" ht="13.5" customHeight="1">
      <c r="B183" s="98"/>
      <c r="C183" s="100"/>
    </row>
    <row r="184" ht="13.5" customHeight="1">
      <c r="B184" s="98"/>
      <c r="C184" s="100"/>
    </row>
    <row r="185" ht="13.5" customHeight="1">
      <c r="B185" s="98"/>
      <c r="C185" s="100"/>
    </row>
    <row r="186" ht="13.5" customHeight="1">
      <c r="B186" s="98"/>
      <c r="C186" s="100"/>
    </row>
    <row r="187" ht="13.5" customHeight="1">
      <c r="B187" s="98"/>
      <c r="C187" s="100"/>
    </row>
    <row r="188" ht="13.5" customHeight="1">
      <c r="B188" s="98"/>
      <c r="C188" s="100"/>
    </row>
    <row r="189" ht="13.5" customHeight="1">
      <c r="B189" s="98"/>
      <c r="C189" s="100"/>
    </row>
    <row r="190" ht="13.5" customHeight="1">
      <c r="B190" s="98"/>
      <c r="C190" s="100"/>
    </row>
    <row r="191" ht="13.5" customHeight="1">
      <c r="B191" s="98"/>
      <c r="C191" s="100"/>
    </row>
    <row r="192" ht="13.5" customHeight="1">
      <c r="B192" s="98"/>
      <c r="C192" s="100"/>
    </row>
    <row r="193" ht="13.5" customHeight="1">
      <c r="B193" s="98"/>
      <c r="C193" s="100"/>
    </row>
    <row r="194" ht="13.5" customHeight="1">
      <c r="B194" s="98"/>
      <c r="C194" s="100"/>
    </row>
    <row r="195" ht="13.5" customHeight="1">
      <c r="B195" s="98"/>
      <c r="C195" s="100"/>
    </row>
    <row r="196" ht="13.5" customHeight="1">
      <c r="B196" s="98"/>
      <c r="C196" s="100"/>
    </row>
    <row r="197" ht="13.5" customHeight="1">
      <c r="B197" s="98"/>
      <c r="C197" s="100"/>
    </row>
    <row r="198" ht="13.5" customHeight="1">
      <c r="B198" s="98"/>
      <c r="C198" s="100"/>
    </row>
    <row r="199" ht="13.5" customHeight="1">
      <c r="B199" s="98"/>
      <c r="C199" s="100"/>
    </row>
    <row r="200" ht="13.5" customHeight="1">
      <c r="B200" s="98"/>
      <c r="C200" s="100"/>
    </row>
    <row r="201" ht="13.5" customHeight="1">
      <c r="B201" s="98"/>
      <c r="C201" s="100"/>
    </row>
    <row r="202" ht="13.5" customHeight="1">
      <c r="B202" s="98"/>
      <c r="C202" s="100"/>
    </row>
    <row r="203" ht="13.5" customHeight="1">
      <c r="B203" s="98"/>
      <c r="C203" s="100"/>
    </row>
    <row r="204" ht="13.5" customHeight="1">
      <c r="B204" s="98"/>
      <c r="C204" s="100"/>
    </row>
    <row r="205" ht="13.5" customHeight="1">
      <c r="B205" s="98"/>
      <c r="C205" s="100"/>
    </row>
    <row r="206" ht="13.5" customHeight="1">
      <c r="B206" s="98"/>
      <c r="C206" s="100"/>
    </row>
    <row r="207" ht="13.5" customHeight="1">
      <c r="B207" s="98"/>
      <c r="C207" s="100"/>
    </row>
    <row r="208" ht="13.5" customHeight="1">
      <c r="B208" s="98"/>
      <c r="C208" s="100"/>
    </row>
    <row r="209" ht="13.5" customHeight="1">
      <c r="B209" s="98"/>
      <c r="C209" s="100"/>
    </row>
    <row r="210" ht="13.5" customHeight="1">
      <c r="B210" s="98"/>
      <c r="C210" s="100"/>
    </row>
    <row r="211" ht="13.5" customHeight="1">
      <c r="B211" s="98"/>
      <c r="C211" s="100"/>
    </row>
    <row r="212" ht="13.5" customHeight="1">
      <c r="B212" s="98"/>
      <c r="C212" s="100"/>
    </row>
    <row r="213" ht="13.5" customHeight="1">
      <c r="B213" s="98"/>
      <c r="C213" s="100"/>
    </row>
    <row r="214" ht="13.5" customHeight="1">
      <c r="B214" s="98"/>
      <c r="C214" s="100"/>
    </row>
    <row r="215" ht="13.5" customHeight="1">
      <c r="B215" s="98"/>
      <c r="C215" s="100"/>
    </row>
    <row r="216" ht="13.5" customHeight="1">
      <c r="B216" s="98"/>
      <c r="C216" s="100"/>
    </row>
    <row r="217" ht="13.5" customHeight="1">
      <c r="B217" s="98"/>
      <c r="C217" s="100"/>
    </row>
    <row r="218" ht="13.5" customHeight="1">
      <c r="B218" s="98"/>
      <c r="C218" s="100"/>
    </row>
    <row r="219" ht="13.5" customHeight="1">
      <c r="B219" s="98"/>
      <c r="C219" s="100"/>
    </row>
    <row r="220" ht="13.5" customHeight="1">
      <c r="B220" s="98"/>
      <c r="C220" s="100"/>
    </row>
    <row r="221" ht="13.5" customHeight="1">
      <c r="B221" s="98"/>
      <c r="C221" s="100"/>
    </row>
    <row r="222" ht="13.5" customHeight="1">
      <c r="B222" s="98"/>
      <c r="C222" s="100"/>
    </row>
    <row r="223" ht="13.5" customHeight="1">
      <c r="B223" s="98"/>
      <c r="C223" s="100"/>
    </row>
    <row r="224" ht="13.5" customHeight="1">
      <c r="B224" s="98"/>
      <c r="C224" s="100"/>
    </row>
    <row r="225" ht="13.5" customHeight="1">
      <c r="B225" s="98"/>
      <c r="C225" s="100"/>
    </row>
    <row r="226" ht="13.5" customHeight="1">
      <c r="B226" s="98"/>
      <c r="C226" s="100"/>
    </row>
    <row r="227" ht="13.5" customHeight="1">
      <c r="B227" s="98"/>
      <c r="C227" s="100"/>
    </row>
    <row r="228" ht="13.5" customHeight="1">
      <c r="B228" s="98"/>
      <c r="C228" s="100"/>
    </row>
    <row r="229" ht="13.5" customHeight="1">
      <c r="B229" s="98"/>
      <c r="C229" s="100"/>
    </row>
    <row r="230" ht="13.5" customHeight="1">
      <c r="B230" s="98"/>
      <c r="C230" s="100"/>
    </row>
    <row r="231" ht="13.5" customHeight="1">
      <c r="B231" s="98"/>
      <c r="C231" s="100"/>
    </row>
    <row r="232" ht="13.5" customHeight="1">
      <c r="B232" s="98"/>
      <c r="C232" s="100"/>
    </row>
    <row r="233" ht="13.5" customHeight="1">
      <c r="B233" s="98"/>
      <c r="C233" s="100"/>
    </row>
    <row r="234" ht="13.5" customHeight="1">
      <c r="B234" s="98"/>
      <c r="C234" s="100"/>
    </row>
    <row r="235" ht="13.5" customHeight="1">
      <c r="B235" s="98"/>
      <c r="C235" s="100"/>
    </row>
    <row r="236" ht="13.5" customHeight="1">
      <c r="B236" s="98"/>
      <c r="C236" s="100"/>
    </row>
    <row r="237" ht="13.5" customHeight="1">
      <c r="B237" s="98"/>
      <c r="C237" s="100"/>
    </row>
    <row r="238" ht="13.5" customHeight="1">
      <c r="B238" s="98"/>
      <c r="C238" s="100"/>
    </row>
    <row r="239" ht="13.5" customHeight="1">
      <c r="B239" s="98"/>
      <c r="C239" s="100"/>
    </row>
    <row r="240" ht="13.5" customHeight="1">
      <c r="B240" s="98"/>
      <c r="C240" s="100"/>
    </row>
    <row r="241" ht="13.5" customHeight="1">
      <c r="B241" s="98"/>
      <c r="C241" s="100"/>
    </row>
    <row r="242" ht="13.5" customHeight="1">
      <c r="B242" s="98"/>
      <c r="C242" s="100"/>
    </row>
    <row r="243" ht="13.5" customHeight="1">
      <c r="B243" s="98"/>
      <c r="C243" s="100"/>
    </row>
    <row r="244" ht="13.5" customHeight="1">
      <c r="B244" s="98"/>
      <c r="C244" s="100"/>
    </row>
    <row r="245" ht="13.5" customHeight="1">
      <c r="B245" s="98"/>
      <c r="C245" s="100"/>
    </row>
    <row r="246" ht="13.5" customHeight="1">
      <c r="B246" s="98"/>
      <c r="C246" s="100"/>
    </row>
    <row r="247" ht="13.5" customHeight="1">
      <c r="B247" s="98"/>
      <c r="C247" s="100"/>
    </row>
    <row r="248" ht="13.5" customHeight="1">
      <c r="B248" s="98"/>
      <c r="C248" s="100"/>
    </row>
    <row r="249" ht="13.5" customHeight="1">
      <c r="B249" s="98"/>
      <c r="C249" s="100"/>
    </row>
    <row r="250" ht="13.5" customHeight="1">
      <c r="B250" s="98"/>
      <c r="C250" s="100"/>
    </row>
    <row r="251" ht="13.5" customHeight="1">
      <c r="B251" s="98"/>
      <c r="C251" s="100"/>
    </row>
    <row r="252" ht="13.5" customHeight="1">
      <c r="B252" s="98"/>
      <c r="C252" s="100"/>
    </row>
    <row r="253" ht="13.5" customHeight="1">
      <c r="B253" s="98"/>
      <c r="C253" s="100"/>
    </row>
    <row r="254" ht="13.5" customHeight="1">
      <c r="B254" s="98"/>
      <c r="C254" s="100"/>
    </row>
    <row r="255" ht="13.5" customHeight="1">
      <c r="B255" s="98"/>
      <c r="C255" s="100"/>
    </row>
    <row r="256" ht="13.5" customHeight="1">
      <c r="B256" s="98"/>
      <c r="C256" s="100"/>
    </row>
    <row r="257" ht="13.5" customHeight="1">
      <c r="B257" s="98"/>
      <c r="C257" s="100"/>
    </row>
    <row r="258" ht="13.5" customHeight="1">
      <c r="B258" s="98"/>
      <c r="C258" s="100"/>
    </row>
    <row r="259" ht="13.5" customHeight="1">
      <c r="B259" s="98"/>
      <c r="C259" s="100"/>
    </row>
    <row r="260" ht="13.5" customHeight="1">
      <c r="B260" s="98"/>
      <c r="C260" s="100"/>
    </row>
    <row r="261" ht="13.5" customHeight="1">
      <c r="B261" s="98"/>
      <c r="C261" s="100"/>
    </row>
    <row r="262" ht="13.5" customHeight="1">
      <c r="B262" s="98"/>
      <c r="C262" s="100"/>
    </row>
    <row r="263" ht="13.5" customHeight="1">
      <c r="B263" s="98"/>
      <c r="C263" s="100"/>
    </row>
    <row r="264" ht="13.5" customHeight="1">
      <c r="B264" s="98"/>
      <c r="C264" s="100"/>
    </row>
    <row r="265" ht="13.5" customHeight="1">
      <c r="B265" s="98"/>
      <c r="C265" s="100"/>
    </row>
    <row r="266" ht="13.5" customHeight="1">
      <c r="B266" s="98"/>
      <c r="C266" s="100"/>
    </row>
    <row r="267" ht="13.5" customHeight="1">
      <c r="B267" s="98"/>
      <c r="C267" s="100"/>
    </row>
    <row r="268" ht="13.5" customHeight="1">
      <c r="B268" s="98"/>
      <c r="C268" s="100"/>
    </row>
    <row r="269" ht="13.5" customHeight="1">
      <c r="B269" s="98"/>
      <c r="C269" s="100"/>
    </row>
    <row r="270" ht="13.5" customHeight="1">
      <c r="B270" s="98"/>
      <c r="C270" s="100"/>
    </row>
    <row r="271" ht="13.5" customHeight="1">
      <c r="B271" s="98"/>
      <c r="C271" s="100"/>
    </row>
    <row r="272" ht="13.5" customHeight="1">
      <c r="B272" s="98"/>
      <c r="C272" s="100"/>
    </row>
    <row r="273" ht="13.5" customHeight="1">
      <c r="B273" s="98"/>
      <c r="C273" s="100"/>
    </row>
    <row r="274" ht="13.5" customHeight="1">
      <c r="B274" s="98"/>
      <c r="C274" s="100"/>
    </row>
    <row r="275" ht="13.5" customHeight="1">
      <c r="B275" s="98"/>
      <c r="C275" s="100"/>
    </row>
    <row r="276" ht="13.5" customHeight="1">
      <c r="B276" s="98"/>
      <c r="C276" s="100"/>
    </row>
    <row r="277" ht="13.5" customHeight="1">
      <c r="B277" s="98"/>
      <c r="C277" s="100"/>
    </row>
    <row r="278" ht="13.5" customHeight="1">
      <c r="B278" s="98"/>
      <c r="C278" s="100"/>
    </row>
    <row r="279" ht="13.5" customHeight="1">
      <c r="B279" s="98"/>
      <c r="C279" s="100"/>
    </row>
    <row r="280" ht="13.5" customHeight="1">
      <c r="B280" s="98"/>
      <c r="C280" s="100"/>
    </row>
    <row r="281" ht="13.5" customHeight="1">
      <c r="B281" s="98"/>
      <c r="C281" s="100"/>
    </row>
    <row r="282" ht="13.5" customHeight="1">
      <c r="B282" s="98"/>
      <c r="C282" s="100"/>
    </row>
    <row r="283" ht="13.5" customHeight="1">
      <c r="B283" s="98"/>
      <c r="C283" s="100"/>
    </row>
    <row r="284" ht="13.5" customHeight="1">
      <c r="B284" s="98"/>
      <c r="C284" s="100"/>
    </row>
    <row r="285" ht="13.5" customHeight="1">
      <c r="B285" s="98"/>
      <c r="C285" s="100"/>
    </row>
    <row r="286" ht="13.5" customHeight="1">
      <c r="B286" s="98"/>
      <c r="C286" s="100"/>
    </row>
    <row r="287" ht="13.5" customHeight="1">
      <c r="B287" s="98"/>
      <c r="C287" s="100"/>
    </row>
    <row r="288" ht="13.5" customHeight="1">
      <c r="B288" s="98"/>
      <c r="C288" s="100"/>
    </row>
    <row r="289" ht="13.5" customHeight="1">
      <c r="B289" s="98"/>
      <c r="C289" s="100"/>
    </row>
    <row r="290" ht="13.5" customHeight="1">
      <c r="B290" s="98"/>
      <c r="C290" s="100"/>
    </row>
    <row r="291" ht="13.5" customHeight="1">
      <c r="B291" s="98"/>
      <c r="C291" s="100"/>
    </row>
    <row r="292" ht="13.5" customHeight="1">
      <c r="B292" s="98"/>
      <c r="C292" s="100"/>
    </row>
    <row r="293" ht="13.5" customHeight="1">
      <c r="B293" s="98"/>
      <c r="C293" s="100"/>
    </row>
    <row r="294" ht="13.5" customHeight="1">
      <c r="B294" s="98"/>
      <c r="C294" s="100"/>
    </row>
    <row r="295" ht="13.5" customHeight="1">
      <c r="B295" s="98"/>
      <c r="C295" s="100"/>
    </row>
    <row r="296" ht="13.5" customHeight="1">
      <c r="B296" s="98"/>
      <c r="C296" s="100"/>
    </row>
    <row r="297" ht="13.5" customHeight="1">
      <c r="B297" s="98"/>
      <c r="C297" s="100"/>
    </row>
    <row r="298" ht="13.5" customHeight="1">
      <c r="B298" s="98"/>
      <c r="C298" s="100"/>
    </row>
    <row r="299" ht="13.5" customHeight="1">
      <c r="B299" s="98"/>
      <c r="C299" s="100"/>
    </row>
    <row r="300" ht="13.5" customHeight="1">
      <c r="B300" s="98"/>
      <c r="C300" s="100"/>
    </row>
    <row r="301" ht="13.5" customHeight="1">
      <c r="B301" s="98"/>
      <c r="C301" s="100"/>
    </row>
    <row r="302" ht="13.5" customHeight="1">
      <c r="B302" s="98"/>
      <c r="C302" s="100"/>
    </row>
    <row r="303" ht="13.5" customHeight="1">
      <c r="B303" s="98"/>
      <c r="C303" s="100"/>
    </row>
    <row r="304" ht="13.5" customHeight="1">
      <c r="B304" s="98"/>
      <c r="C304" s="100"/>
    </row>
    <row r="305" ht="13.5" customHeight="1">
      <c r="B305" s="98"/>
      <c r="C305" s="100"/>
    </row>
    <row r="306" ht="13.5" customHeight="1">
      <c r="B306" s="98"/>
      <c r="C306" s="100"/>
    </row>
    <row r="307" ht="13.5" customHeight="1">
      <c r="B307" s="98"/>
      <c r="C307" s="100"/>
    </row>
    <row r="308" ht="13.5" customHeight="1">
      <c r="B308" s="98"/>
      <c r="C308" s="100"/>
    </row>
    <row r="309" ht="13.5" customHeight="1">
      <c r="B309" s="98"/>
      <c r="C309" s="100"/>
    </row>
    <row r="310" ht="13.5" customHeight="1">
      <c r="B310" s="98"/>
      <c r="C310" s="100"/>
    </row>
    <row r="311" ht="13.5" customHeight="1">
      <c r="B311" s="98"/>
      <c r="C311" s="100"/>
    </row>
    <row r="312" ht="13.5" customHeight="1">
      <c r="B312" s="98"/>
      <c r="C312" s="100"/>
    </row>
    <row r="313" ht="13.5" customHeight="1">
      <c r="B313" s="98"/>
      <c r="C313" s="100"/>
    </row>
    <row r="314" ht="13.5" customHeight="1">
      <c r="B314" s="98"/>
      <c r="C314" s="100"/>
    </row>
    <row r="315" ht="13.5" customHeight="1">
      <c r="B315" s="98"/>
      <c r="C315" s="100"/>
    </row>
    <row r="316" ht="13.5" customHeight="1">
      <c r="B316" s="98"/>
      <c r="C316" s="100"/>
    </row>
    <row r="317" ht="13.5" customHeight="1">
      <c r="B317" s="98"/>
      <c r="C317" s="100"/>
    </row>
    <row r="318" ht="13.5" customHeight="1">
      <c r="B318" s="98"/>
      <c r="C318" s="100"/>
    </row>
    <row r="319" ht="13.5" customHeight="1">
      <c r="B319" s="98"/>
      <c r="C319" s="100"/>
    </row>
    <row r="320" ht="13.5" customHeight="1">
      <c r="B320" s="98"/>
      <c r="C320" s="100"/>
    </row>
    <row r="321" ht="13.5" customHeight="1">
      <c r="B321" s="98"/>
      <c r="C321" s="100"/>
    </row>
    <row r="322" ht="13.5" customHeight="1">
      <c r="B322" s="98"/>
      <c r="C322" s="100"/>
    </row>
    <row r="323" ht="13.5" customHeight="1">
      <c r="B323" s="98"/>
      <c r="C323" s="100"/>
    </row>
    <row r="324" ht="13.5" customHeight="1">
      <c r="B324" s="98"/>
      <c r="C324" s="100"/>
    </row>
    <row r="325" ht="13.5" customHeight="1">
      <c r="B325" s="98"/>
      <c r="C325" s="100"/>
    </row>
    <row r="326" ht="13.5" customHeight="1">
      <c r="B326" s="98"/>
      <c r="C326" s="100"/>
    </row>
    <row r="327" ht="13.5" customHeight="1">
      <c r="B327" s="98"/>
      <c r="C327" s="100"/>
    </row>
    <row r="328" ht="13.5" customHeight="1">
      <c r="B328" s="98"/>
      <c r="C328" s="100"/>
    </row>
    <row r="329" ht="13.5" customHeight="1">
      <c r="B329" s="98"/>
      <c r="C329" s="100"/>
    </row>
    <row r="330" ht="13.5" customHeight="1">
      <c r="B330" s="98"/>
      <c r="C330" s="100"/>
    </row>
    <row r="331" ht="13.5" customHeight="1">
      <c r="B331" s="98"/>
      <c r="C331" s="100"/>
    </row>
    <row r="332" ht="13.5" customHeight="1">
      <c r="B332" s="98"/>
      <c r="C332" s="100"/>
    </row>
    <row r="333" ht="13.5" customHeight="1">
      <c r="B333" s="98"/>
      <c r="C333" s="100"/>
    </row>
    <row r="334" ht="13.5" customHeight="1">
      <c r="B334" s="98"/>
      <c r="C334" s="100"/>
    </row>
    <row r="335" ht="13.5" customHeight="1">
      <c r="B335" s="98"/>
      <c r="C335" s="100"/>
    </row>
    <row r="336" ht="13.5" customHeight="1">
      <c r="B336" s="98"/>
      <c r="C336" s="100"/>
    </row>
    <row r="337" ht="13.5" customHeight="1">
      <c r="B337" s="98"/>
      <c r="C337" s="100"/>
    </row>
    <row r="338" ht="13.5" customHeight="1">
      <c r="B338" s="98"/>
      <c r="C338" s="100"/>
    </row>
    <row r="339" ht="13.5" customHeight="1">
      <c r="B339" s="98"/>
      <c r="C339" s="100"/>
    </row>
    <row r="340" ht="13.5" customHeight="1">
      <c r="B340" s="98"/>
      <c r="C340" s="100"/>
    </row>
    <row r="341" ht="13.5" customHeight="1">
      <c r="B341" s="98"/>
      <c r="C341" s="100"/>
    </row>
    <row r="342" ht="13.5" customHeight="1">
      <c r="B342" s="98"/>
      <c r="C342" s="100"/>
    </row>
    <row r="343" ht="13.5" customHeight="1">
      <c r="B343" s="98"/>
      <c r="C343" s="100"/>
    </row>
    <row r="344" ht="13.5" customHeight="1">
      <c r="B344" s="98"/>
      <c r="C344" s="100"/>
    </row>
    <row r="345" ht="13.5" customHeight="1">
      <c r="B345" s="98"/>
      <c r="C345" s="100"/>
    </row>
    <row r="346" ht="13.5" customHeight="1">
      <c r="B346" s="98"/>
      <c r="C346" s="100"/>
    </row>
    <row r="347" ht="13.5" customHeight="1">
      <c r="B347" s="98"/>
      <c r="C347" s="100"/>
    </row>
    <row r="348" ht="13.5" customHeight="1">
      <c r="B348" s="98"/>
      <c r="C348" s="100"/>
    </row>
    <row r="349" ht="13.5" customHeight="1">
      <c r="B349" s="98"/>
      <c r="C349" s="100"/>
    </row>
    <row r="350" ht="13.5" customHeight="1">
      <c r="B350" s="98"/>
      <c r="C350" s="100"/>
    </row>
    <row r="351" ht="13.5" customHeight="1">
      <c r="B351" s="98"/>
      <c r="C351" s="100"/>
    </row>
    <row r="352" ht="13.5" customHeight="1">
      <c r="B352" s="98"/>
      <c r="C352" s="100"/>
    </row>
    <row r="353" ht="13.5" customHeight="1">
      <c r="B353" s="98"/>
      <c r="C353" s="100"/>
    </row>
    <row r="354" ht="13.5" customHeight="1">
      <c r="B354" s="98"/>
      <c r="C354" s="100"/>
    </row>
    <row r="355" ht="13.5" customHeight="1">
      <c r="B355" s="98"/>
      <c r="C355" s="100"/>
    </row>
    <row r="356" ht="13.5" customHeight="1">
      <c r="B356" s="98"/>
      <c r="C356" s="100"/>
    </row>
    <row r="357" ht="13.5" customHeight="1">
      <c r="B357" s="98"/>
      <c r="C357" s="100"/>
    </row>
    <row r="358" ht="13.5" customHeight="1">
      <c r="B358" s="98"/>
      <c r="C358" s="100"/>
    </row>
    <row r="359" ht="13.5" customHeight="1">
      <c r="B359" s="98"/>
      <c r="C359" s="100"/>
    </row>
    <row r="360" ht="13.5" customHeight="1">
      <c r="B360" s="98"/>
      <c r="C360" s="100"/>
    </row>
    <row r="361" ht="13.5" customHeight="1">
      <c r="B361" s="98"/>
      <c r="C361" s="100"/>
    </row>
    <row r="362" ht="13.5" customHeight="1">
      <c r="B362" s="98"/>
      <c r="C362" s="100"/>
    </row>
    <row r="363" ht="13.5" customHeight="1">
      <c r="B363" s="98"/>
      <c r="C363" s="100"/>
    </row>
    <row r="364" ht="13.5" customHeight="1">
      <c r="B364" s="98"/>
      <c r="C364" s="100"/>
    </row>
    <row r="365" ht="13.5" customHeight="1">
      <c r="B365" s="98"/>
      <c r="C365" s="100"/>
    </row>
    <row r="366" ht="13.5" customHeight="1">
      <c r="B366" s="98"/>
      <c r="C366" s="100"/>
    </row>
    <row r="367" ht="13.5" customHeight="1">
      <c r="B367" s="98"/>
      <c r="C367" s="100"/>
    </row>
    <row r="368" ht="13.5" customHeight="1">
      <c r="B368" s="98"/>
      <c r="C368" s="100"/>
    </row>
    <row r="369" ht="13.5" customHeight="1">
      <c r="B369" s="98"/>
      <c r="C369" s="100"/>
    </row>
    <row r="370" ht="13.5" customHeight="1">
      <c r="B370" s="98"/>
      <c r="C370" s="100"/>
    </row>
    <row r="371" ht="13.5" customHeight="1">
      <c r="B371" s="98"/>
      <c r="C371" s="100"/>
    </row>
    <row r="372" ht="13.5" customHeight="1">
      <c r="B372" s="98"/>
      <c r="C372" s="100"/>
    </row>
    <row r="373" ht="13.5" customHeight="1">
      <c r="B373" s="98"/>
      <c r="C373" s="100"/>
    </row>
    <row r="374" ht="13.5" customHeight="1">
      <c r="B374" s="98"/>
      <c r="C374" s="100"/>
    </row>
    <row r="375" ht="13.5" customHeight="1">
      <c r="B375" s="98"/>
      <c r="C375" s="100"/>
    </row>
    <row r="376" ht="13.5" customHeight="1">
      <c r="B376" s="98"/>
      <c r="C376" s="100"/>
    </row>
    <row r="377" ht="13.5" customHeight="1">
      <c r="B377" s="98"/>
      <c r="C377" s="100"/>
    </row>
    <row r="378" ht="13.5" customHeight="1">
      <c r="B378" s="98"/>
      <c r="C378" s="100"/>
    </row>
    <row r="379" ht="13.5" customHeight="1">
      <c r="B379" s="98"/>
      <c r="C379" s="100"/>
    </row>
    <row r="380" ht="13.5" customHeight="1">
      <c r="B380" s="98"/>
      <c r="C380" s="100"/>
    </row>
    <row r="381" ht="13.5" customHeight="1">
      <c r="B381" s="98"/>
      <c r="C381" s="100"/>
    </row>
    <row r="382" ht="13.5" customHeight="1">
      <c r="B382" s="98"/>
      <c r="C382" s="100"/>
    </row>
    <row r="383" ht="13.5" customHeight="1">
      <c r="B383" s="98"/>
      <c r="C383" s="100"/>
    </row>
    <row r="384" ht="13.5" customHeight="1">
      <c r="B384" s="98"/>
      <c r="C384" s="100"/>
    </row>
    <row r="385" ht="13.5" customHeight="1">
      <c r="B385" s="98"/>
      <c r="C385" s="100"/>
    </row>
    <row r="386" ht="13.5" customHeight="1">
      <c r="B386" s="98"/>
      <c r="C386" s="100"/>
    </row>
    <row r="387" ht="13.5" customHeight="1">
      <c r="B387" s="98"/>
      <c r="C387" s="100"/>
    </row>
    <row r="388" ht="13.5" customHeight="1">
      <c r="B388" s="98"/>
      <c r="C388" s="100"/>
    </row>
    <row r="389" ht="13.5" customHeight="1">
      <c r="B389" s="98"/>
      <c r="C389" s="100"/>
    </row>
    <row r="390" ht="13.5" customHeight="1">
      <c r="B390" s="98"/>
      <c r="C390" s="100"/>
    </row>
    <row r="391" ht="13.5" customHeight="1">
      <c r="B391" s="98"/>
      <c r="C391" s="100"/>
    </row>
    <row r="392" ht="13.5" customHeight="1">
      <c r="B392" s="98"/>
      <c r="C392" s="100"/>
    </row>
    <row r="393" ht="13.5" customHeight="1">
      <c r="B393" s="98"/>
      <c r="C393" s="100"/>
    </row>
    <row r="394" ht="13.5" customHeight="1">
      <c r="B394" s="98"/>
      <c r="C394" s="100"/>
    </row>
    <row r="395" ht="13.5" customHeight="1">
      <c r="B395" s="98"/>
      <c r="C395" s="100"/>
    </row>
    <row r="396" ht="13.5" customHeight="1">
      <c r="B396" s="98"/>
      <c r="C396" s="100"/>
    </row>
    <row r="397" ht="13.5" customHeight="1">
      <c r="B397" s="98"/>
      <c r="C397" s="100"/>
    </row>
    <row r="398" ht="13.5" customHeight="1">
      <c r="B398" s="98"/>
      <c r="C398" s="100"/>
    </row>
    <row r="399" ht="13.5" customHeight="1">
      <c r="B399" s="98"/>
      <c r="C399" s="100"/>
    </row>
    <row r="400" ht="13.5" customHeight="1">
      <c r="B400" s="98"/>
      <c r="C400" s="100"/>
    </row>
    <row r="401" ht="13.5" customHeight="1">
      <c r="B401" s="98"/>
      <c r="C401" s="100"/>
    </row>
    <row r="402" ht="13.5" customHeight="1">
      <c r="B402" s="98"/>
      <c r="C402" s="100"/>
    </row>
    <row r="403" ht="13.5" customHeight="1">
      <c r="B403" s="98"/>
      <c r="C403" s="100"/>
    </row>
    <row r="404" ht="13.5" customHeight="1">
      <c r="B404" s="98"/>
      <c r="C404" s="100"/>
    </row>
    <row r="405" ht="13.5" customHeight="1">
      <c r="B405" s="98"/>
      <c r="C405" s="100"/>
    </row>
    <row r="406" ht="13.5" customHeight="1">
      <c r="B406" s="98"/>
      <c r="C406" s="100"/>
    </row>
    <row r="407" ht="13.5" customHeight="1">
      <c r="B407" s="98"/>
      <c r="C407" s="100"/>
    </row>
    <row r="408" ht="13.5" customHeight="1">
      <c r="B408" s="98"/>
      <c r="C408" s="100"/>
    </row>
    <row r="409" ht="13.5" customHeight="1">
      <c r="B409" s="98"/>
      <c r="C409" s="100"/>
    </row>
    <row r="410" ht="13.5" customHeight="1">
      <c r="B410" s="98"/>
      <c r="C410" s="100"/>
    </row>
    <row r="411" ht="13.5" customHeight="1">
      <c r="B411" s="98"/>
      <c r="C411" s="100"/>
    </row>
    <row r="412" ht="13.5" customHeight="1">
      <c r="B412" s="98"/>
      <c r="C412" s="100"/>
    </row>
    <row r="413" ht="13.5" customHeight="1">
      <c r="B413" s="98"/>
      <c r="C413" s="100"/>
    </row>
    <row r="414" ht="13.5" customHeight="1">
      <c r="B414" s="98"/>
      <c r="C414" s="100"/>
    </row>
    <row r="415" ht="13.5" customHeight="1">
      <c r="B415" s="98"/>
      <c r="C415" s="100"/>
    </row>
    <row r="416" ht="13.5" customHeight="1">
      <c r="B416" s="98"/>
      <c r="C416" s="100"/>
    </row>
    <row r="417" ht="13.5" customHeight="1">
      <c r="B417" s="98"/>
      <c r="C417" s="100"/>
    </row>
    <row r="418" ht="13.5" customHeight="1">
      <c r="B418" s="98"/>
      <c r="C418" s="100"/>
    </row>
    <row r="419" ht="13.5" customHeight="1">
      <c r="B419" s="98"/>
      <c r="C419" s="100"/>
    </row>
    <row r="420" ht="13.5" customHeight="1">
      <c r="B420" s="98"/>
      <c r="C420" s="100"/>
    </row>
    <row r="421" ht="13.5" customHeight="1">
      <c r="B421" s="98"/>
      <c r="C421" s="100"/>
    </row>
    <row r="422" ht="13.5" customHeight="1">
      <c r="B422" s="98"/>
      <c r="C422" s="100"/>
    </row>
    <row r="423" ht="13.5" customHeight="1">
      <c r="B423" s="98"/>
      <c r="C423" s="100"/>
    </row>
    <row r="424" ht="13.5" customHeight="1">
      <c r="B424" s="98"/>
      <c r="C424" s="100"/>
    </row>
    <row r="425" ht="13.5" customHeight="1">
      <c r="B425" s="98"/>
      <c r="C425" s="100"/>
    </row>
    <row r="426" ht="13.5" customHeight="1">
      <c r="B426" s="98"/>
      <c r="C426" s="100"/>
    </row>
    <row r="427" ht="13.5" customHeight="1">
      <c r="B427" s="98"/>
      <c r="C427" s="100"/>
    </row>
    <row r="428" ht="13.5" customHeight="1">
      <c r="B428" s="98"/>
      <c r="C428" s="100"/>
    </row>
    <row r="429" ht="13.5" customHeight="1">
      <c r="B429" s="98"/>
      <c r="C429" s="100"/>
    </row>
    <row r="430" ht="13.5" customHeight="1">
      <c r="B430" s="98"/>
      <c r="C430" s="100"/>
    </row>
    <row r="431" ht="13.5" customHeight="1">
      <c r="B431" s="98"/>
      <c r="C431" s="100"/>
    </row>
    <row r="432" ht="13.5" customHeight="1">
      <c r="B432" s="98"/>
      <c r="C432" s="100"/>
    </row>
    <row r="433" ht="13.5" customHeight="1">
      <c r="B433" s="98"/>
      <c r="C433" s="100"/>
    </row>
    <row r="434" ht="13.5" customHeight="1">
      <c r="B434" s="98"/>
      <c r="C434" s="100"/>
    </row>
    <row r="435" ht="13.5" customHeight="1">
      <c r="B435" s="98"/>
      <c r="C435" s="100"/>
    </row>
    <row r="436" ht="13.5" customHeight="1">
      <c r="B436" s="98"/>
      <c r="C436" s="100"/>
    </row>
    <row r="437" ht="13.5" customHeight="1">
      <c r="B437" s="98"/>
      <c r="C437" s="100"/>
    </row>
    <row r="438" ht="13.5" customHeight="1">
      <c r="B438" s="98"/>
      <c r="C438" s="100"/>
    </row>
    <row r="439" ht="13.5" customHeight="1">
      <c r="B439" s="98"/>
      <c r="C439" s="100"/>
    </row>
    <row r="440" ht="13.5" customHeight="1">
      <c r="B440" s="98"/>
      <c r="C440" s="100"/>
    </row>
    <row r="441" ht="13.5" customHeight="1">
      <c r="B441" s="98"/>
      <c r="C441" s="100"/>
    </row>
    <row r="442" ht="13.5" customHeight="1">
      <c r="B442" s="98"/>
      <c r="C442" s="100"/>
    </row>
    <row r="443" ht="13.5" customHeight="1">
      <c r="B443" s="98"/>
      <c r="C443" s="100"/>
    </row>
    <row r="444" ht="13.5" customHeight="1">
      <c r="B444" s="98"/>
      <c r="C444" s="100"/>
    </row>
    <row r="445" ht="13.5" customHeight="1">
      <c r="B445" s="98"/>
      <c r="C445" s="100"/>
    </row>
    <row r="446" ht="13.5" customHeight="1">
      <c r="B446" s="98"/>
      <c r="C446" s="100"/>
    </row>
    <row r="447" ht="13.5" customHeight="1">
      <c r="B447" s="98"/>
      <c r="C447" s="100"/>
    </row>
    <row r="448" ht="13.5" customHeight="1">
      <c r="B448" s="98"/>
      <c r="C448" s="100"/>
    </row>
    <row r="449" ht="13.5" customHeight="1">
      <c r="B449" s="98"/>
      <c r="C449" s="100"/>
    </row>
    <row r="450" ht="13.5" customHeight="1">
      <c r="B450" s="98"/>
      <c r="C450" s="100"/>
    </row>
    <row r="451" ht="13.5" customHeight="1">
      <c r="B451" s="98"/>
      <c r="C451" s="100"/>
    </row>
    <row r="452" ht="13.5" customHeight="1">
      <c r="B452" s="98"/>
      <c r="C452" s="100"/>
    </row>
    <row r="453" ht="13.5" customHeight="1">
      <c r="B453" s="98"/>
      <c r="C453" s="100"/>
    </row>
    <row r="454" ht="13.5" customHeight="1">
      <c r="B454" s="98"/>
      <c r="C454" s="100"/>
    </row>
    <row r="455" ht="13.5" customHeight="1">
      <c r="B455" s="98"/>
      <c r="C455" s="100"/>
    </row>
    <row r="456" ht="13.5" customHeight="1">
      <c r="B456" s="98"/>
      <c r="C456" s="100"/>
    </row>
    <row r="457" ht="13.5" customHeight="1">
      <c r="B457" s="98"/>
      <c r="C457" s="100"/>
    </row>
    <row r="458" ht="13.5" customHeight="1">
      <c r="B458" s="98"/>
      <c r="C458" s="100"/>
    </row>
    <row r="459" ht="13.5" customHeight="1">
      <c r="B459" s="98"/>
      <c r="C459" s="100"/>
    </row>
    <row r="460" ht="13.5" customHeight="1">
      <c r="B460" s="98"/>
      <c r="C460" s="100"/>
    </row>
    <row r="461" ht="13.5" customHeight="1">
      <c r="B461" s="98"/>
      <c r="C461" s="100"/>
    </row>
    <row r="462" ht="13.5" customHeight="1">
      <c r="B462" s="98"/>
      <c r="C462" s="100"/>
    </row>
    <row r="463" ht="13.5" customHeight="1">
      <c r="B463" s="98"/>
      <c r="C463" s="100"/>
    </row>
    <row r="464" ht="13.5" customHeight="1">
      <c r="B464" s="98"/>
      <c r="C464" s="100"/>
    </row>
    <row r="465" ht="13.5" customHeight="1">
      <c r="B465" s="98"/>
      <c r="C465" s="100"/>
    </row>
    <row r="466" ht="13.5" customHeight="1">
      <c r="B466" s="98"/>
      <c r="C466" s="100"/>
    </row>
    <row r="467" ht="13.5" customHeight="1">
      <c r="B467" s="98"/>
      <c r="C467" s="100"/>
    </row>
    <row r="468" ht="13.5" customHeight="1">
      <c r="B468" s="98"/>
      <c r="C468" s="100"/>
    </row>
    <row r="469" ht="13.5" customHeight="1">
      <c r="B469" s="98"/>
      <c r="C469" s="100"/>
    </row>
    <row r="470" ht="13.5" customHeight="1">
      <c r="B470" s="98"/>
      <c r="C470" s="100"/>
    </row>
    <row r="471" ht="13.5" customHeight="1">
      <c r="B471" s="98"/>
      <c r="C471" s="100"/>
    </row>
    <row r="472" ht="13.5" customHeight="1">
      <c r="B472" s="98"/>
      <c r="C472" s="100"/>
    </row>
    <row r="473" ht="13.5" customHeight="1">
      <c r="B473" s="98"/>
      <c r="C473" s="100"/>
    </row>
    <row r="474" ht="13.5" customHeight="1">
      <c r="B474" s="98"/>
      <c r="C474" s="100"/>
    </row>
    <row r="475" ht="13.5" customHeight="1">
      <c r="B475" s="98"/>
      <c r="C475" s="100"/>
    </row>
    <row r="476" ht="13.5" customHeight="1">
      <c r="B476" s="98"/>
      <c r="C476" s="100"/>
    </row>
    <row r="477" ht="13.5" customHeight="1">
      <c r="B477" s="98"/>
      <c r="C477" s="100"/>
    </row>
    <row r="478" ht="13.5" customHeight="1">
      <c r="B478" s="98"/>
      <c r="C478" s="100"/>
    </row>
    <row r="479" ht="13.5" customHeight="1">
      <c r="B479" s="98"/>
      <c r="C479" s="100"/>
    </row>
    <row r="480" ht="13.5" customHeight="1">
      <c r="B480" s="98"/>
      <c r="C480" s="100"/>
    </row>
    <row r="481" ht="13.5" customHeight="1">
      <c r="B481" s="98"/>
      <c r="C481" s="100"/>
    </row>
    <row r="482" ht="13.5" customHeight="1">
      <c r="B482" s="98"/>
      <c r="C482" s="100"/>
    </row>
    <row r="483" ht="13.5" customHeight="1">
      <c r="B483" s="98"/>
      <c r="C483" s="100"/>
    </row>
    <row r="484" ht="13.5" customHeight="1">
      <c r="B484" s="98"/>
      <c r="C484" s="100"/>
    </row>
    <row r="485" ht="13.5" customHeight="1">
      <c r="B485" s="98"/>
      <c r="C485" s="100"/>
    </row>
    <row r="486" ht="13.5" customHeight="1">
      <c r="B486" s="98"/>
      <c r="C486" s="100"/>
    </row>
    <row r="487" ht="13.5" customHeight="1">
      <c r="B487" s="98"/>
      <c r="C487" s="100"/>
    </row>
    <row r="488" ht="13.5" customHeight="1">
      <c r="B488" s="98"/>
      <c r="C488" s="100"/>
    </row>
    <row r="489" ht="13.5" customHeight="1">
      <c r="B489" s="98"/>
      <c r="C489" s="100"/>
    </row>
    <row r="490" ht="13.5" customHeight="1">
      <c r="B490" s="98"/>
      <c r="C490" s="100"/>
    </row>
    <row r="491" ht="13.5" customHeight="1">
      <c r="B491" s="98"/>
      <c r="C491" s="100"/>
    </row>
    <row r="492" ht="13.5" customHeight="1">
      <c r="B492" s="98"/>
      <c r="C492" s="100"/>
    </row>
    <row r="493" ht="13.5" customHeight="1">
      <c r="B493" s="98"/>
      <c r="C493" s="100"/>
    </row>
    <row r="494" ht="13.5" customHeight="1">
      <c r="B494" s="98"/>
      <c r="C494" s="100"/>
    </row>
    <row r="495" ht="13.5" customHeight="1">
      <c r="B495" s="98"/>
      <c r="C495" s="100"/>
    </row>
    <row r="496" ht="13.5" customHeight="1">
      <c r="B496" s="98"/>
      <c r="C496" s="100"/>
    </row>
    <row r="497" ht="13.5" customHeight="1">
      <c r="B497" s="98"/>
      <c r="C497" s="100"/>
    </row>
    <row r="498" ht="13.5" customHeight="1">
      <c r="B498" s="98"/>
      <c r="C498" s="100"/>
    </row>
    <row r="499" ht="13.5" customHeight="1">
      <c r="B499" s="98"/>
      <c r="C499" s="100"/>
    </row>
    <row r="500" ht="13.5" customHeight="1">
      <c r="B500" s="98"/>
      <c r="C500" s="100"/>
    </row>
    <row r="501" ht="13.5" customHeight="1">
      <c r="B501" s="98"/>
      <c r="C501" s="100"/>
    </row>
    <row r="502" ht="13.5" customHeight="1">
      <c r="B502" s="98"/>
      <c r="C502" s="100"/>
    </row>
    <row r="503" ht="13.5" customHeight="1">
      <c r="B503" s="98"/>
      <c r="C503" s="100"/>
    </row>
    <row r="504" ht="13.5" customHeight="1">
      <c r="B504" s="98"/>
      <c r="C504" s="100"/>
    </row>
    <row r="505" ht="13.5" customHeight="1">
      <c r="B505" s="98"/>
      <c r="C505" s="100"/>
    </row>
    <row r="506" ht="13.5" customHeight="1">
      <c r="B506" s="98"/>
      <c r="C506" s="100"/>
    </row>
    <row r="507" ht="13.5" customHeight="1">
      <c r="B507" s="98"/>
      <c r="C507" s="100"/>
    </row>
    <row r="508" ht="13.5" customHeight="1">
      <c r="B508" s="98"/>
      <c r="C508" s="100"/>
    </row>
    <row r="509" ht="13.5" customHeight="1">
      <c r="B509" s="98"/>
      <c r="C509" s="100"/>
    </row>
    <row r="510" ht="13.5" customHeight="1">
      <c r="B510" s="98"/>
      <c r="C510" s="100"/>
    </row>
    <row r="511" ht="13.5" customHeight="1">
      <c r="B511" s="98"/>
      <c r="C511" s="100"/>
    </row>
    <row r="512" ht="13.5" customHeight="1">
      <c r="B512" s="98"/>
      <c r="C512" s="100"/>
    </row>
    <row r="513" ht="13.5" customHeight="1">
      <c r="B513" s="98"/>
      <c r="C513" s="100"/>
    </row>
    <row r="514" ht="13.5" customHeight="1">
      <c r="B514" s="98"/>
      <c r="C514" s="100"/>
    </row>
    <row r="515" ht="13.5" customHeight="1">
      <c r="B515" s="98"/>
      <c r="C515" s="100"/>
    </row>
    <row r="516" ht="13.5" customHeight="1">
      <c r="B516" s="98"/>
      <c r="C516" s="100"/>
    </row>
    <row r="517" ht="13.5" customHeight="1">
      <c r="B517" s="98"/>
      <c r="C517" s="100"/>
    </row>
    <row r="518" ht="13.5" customHeight="1">
      <c r="B518" s="98"/>
      <c r="C518" s="100"/>
    </row>
    <row r="519" ht="13.5" customHeight="1">
      <c r="B519" s="98"/>
      <c r="C519" s="100"/>
    </row>
    <row r="520" ht="13.5" customHeight="1">
      <c r="B520" s="98"/>
      <c r="C520" s="100"/>
    </row>
    <row r="521" ht="13.5" customHeight="1">
      <c r="B521" s="98"/>
      <c r="C521" s="100"/>
    </row>
    <row r="522" ht="13.5" customHeight="1">
      <c r="B522" s="98"/>
      <c r="C522" s="100"/>
    </row>
    <row r="523" ht="13.5" customHeight="1">
      <c r="B523" s="98"/>
      <c r="C523" s="100"/>
    </row>
    <row r="524" ht="13.5" customHeight="1">
      <c r="B524" s="98"/>
      <c r="C524" s="100"/>
    </row>
    <row r="525" ht="13.5" customHeight="1">
      <c r="B525" s="98"/>
      <c r="C525" s="100"/>
    </row>
    <row r="526" ht="13.5" customHeight="1">
      <c r="B526" s="98"/>
      <c r="C526" s="100"/>
    </row>
    <row r="527" ht="13.5" customHeight="1">
      <c r="B527" s="98"/>
      <c r="C527" s="100"/>
    </row>
    <row r="528" ht="13.5" customHeight="1">
      <c r="B528" s="98"/>
      <c r="C528" s="100"/>
    </row>
    <row r="529" ht="13.5" customHeight="1">
      <c r="B529" s="98"/>
      <c r="C529" s="100"/>
    </row>
    <row r="530" ht="13.5" customHeight="1">
      <c r="B530" s="98"/>
      <c r="C530" s="100"/>
    </row>
    <row r="531" ht="13.5" customHeight="1">
      <c r="B531" s="98"/>
      <c r="C531" s="100"/>
    </row>
    <row r="532" ht="13.5" customHeight="1">
      <c r="B532" s="98"/>
      <c r="C532" s="100"/>
    </row>
    <row r="533" ht="13.5" customHeight="1">
      <c r="B533" s="98"/>
      <c r="C533" s="100"/>
    </row>
    <row r="534" ht="13.5" customHeight="1">
      <c r="B534" s="98"/>
      <c r="C534" s="100"/>
    </row>
    <row r="535" ht="13.5" customHeight="1">
      <c r="B535" s="98"/>
      <c r="C535" s="100"/>
    </row>
    <row r="536" ht="13.5" customHeight="1">
      <c r="B536" s="98"/>
      <c r="C536" s="100"/>
    </row>
    <row r="537" ht="13.5" customHeight="1">
      <c r="B537" s="98"/>
      <c r="C537" s="100"/>
    </row>
    <row r="538" ht="13.5" customHeight="1">
      <c r="B538" s="98"/>
      <c r="C538" s="100"/>
    </row>
    <row r="539" ht="13.5" customHeight="1">
      <c r="B539" s="98"/>
      <c r="C539" s="100"/>
    </row>
    <row r="540" ht="13.5" customHeight="1">
      <c r="B540" s="98"/>
      <c r="C540" s="100"/>
    </row>
    <row r="541" ht="13.5" customHeight="1">
      <c r="B541" s="98"/>
      <c r="C541" s="100"/>
    </row>
    <row r="542" ht="13.5" customHeight="1">
      <c r="B542" s="98"/>
      <c r="C542" s="100"/>
    </row>
    <row r="543" ht="13.5" customHeight="1">
      <c r="B543" s="98"/>
      <c r="C543" s="100"/>
    </row>
    <row r="544" ht="13.5" customHeight="1">
      <c r="B544" s="98"/>
      <c r="C544" s="100"/>
    </row>
    <row r="545" ht="13.5" customHeight="1">
      <c r="B545" s="98"/>
      <c r="C545" s="100"/>
    </row>
    <row r="546" ht="13.5" customHeight="1">
      <c r="B546" s="98"/>
      <c r="C546" s="100"/>
    </row>
    <row r="547" ht="13.5" customHeight="1">
      <c r="B547" s="98"/>
      <c r="C547" s="100"/>
    </row>
    <row r="548" ht="13.5" customHeight="1">
      <c r="B548" s="98"/>
      <c r="C548" s="100"/>
    </row>
    <row r="549" ht="13.5" customHeight="1">
      <c r="B549" s="98"/>
      <c r="C549" s="100"/>
    </row>
    <row r="550" ht="13.5" customHeight="1">
      <c r="B550" s="98"/>
      <c r="C550" s="100"/>
    </row>
    <row r="551" ht="13.5" customHeight="1">
      <c r="B551" s="98"/>
      <c r="C551" s="100"/>
    </row>
    <row r="552" ht="13.5" customHeight="1">
      <c r="B552" s="98"/>
      <c r="C552" s="100"/>
    </row>
    <row r="553" ht="13.5" customHeight="1">
      <c r="B553" s="98"/>
      <c r="C553" s="100"/>
    </row>
    <row r="554" ht="13.5" customHeight="1">
      <c r="B554" s="98"/>
      <c r="C554" s="100"/>
    </row>
    <row r="555" ht="13.5" customHeight="1">
      <c r="B555" s="98"/>
      <c r="C555" s="100"/>
    </row>
    <row r="556" ht="13.5" customHeight="1">
      <c r="B556" s="98"/>
      <c r="C556" s="100"/>
    </row>
    <row r="557" ht="13.5" customHeight="1">
      <c r="B557" s="98"/>
      <c r="C557" s="100"/>
    </row>
    <row r="558" ht="13.5" customHeight="1">
      <c r="B558" s="98"/>
      <c r="C558" s="100"/>
    </row>
    <row r="559" ht="13.5" customHeight="1">
      <c r="B559" s="98"/>
      <c r="C559" s="100"/>
    </row>
    <row r="560" ht="13.5" customHeight="1">
      <c r="B560" s="98"/>
      <c r="C560" s="100"/>
    </row>
    <row r="561" ht="13.5" customHeight="1">
      <c r="B561" s="98"/>
      <c r="C561" s="100"/>
    </row>
    <row r="562" ht="13.5" customHeight="1">
      <c r="B562" s="98"/>
      <c r="C562" s="100"/>
    </row>
    <row r="563" ht="13.5" customHeight="1">
      <c r="B563" s="98"/>
      <c r="C563" s="100"/>
    </row>
    <row r="564" ht="13.5" customHeight="1">
      <c r="B564" s="98"/>
      <c r="C564" s="100"/>
    </row>
    <row r="565" ht="13.5" customHeight="1">
      <c r="B565" s="98"/>
      <c r="C565" s="100"/>
    </row>
    <row r="566" ht="13.5" customHeight="1">
      <c r="B566" s="98"/>
      <c r="C566" s="100"/>
    </row>
    <row r="567" ht="13.5" customHeight="1">
      <c r="B567" s="98"/>
      <c r="C567" s="100"/>
    </row>
    <row r="568" ht="13.5" customHeight="1">
      <c r="B568" s="98"/>
      <c r="C568" s="100"/>
    </row>
    <row r="569" ht="13.5" customHeight="1">
      <c r="B569" s="98"/>
      <c r="C569" s="100"/>
    </row>
    <row r="570" ht="13.5" customHeight="1">
      <c r="B570" s="98"/>
      <c r="C570" s="100"/>
    </row>
    <row r="571" ht="13.5" customHeight="1">
      <c r="B571" s="98"/>
      <c r="C571" s="100"/>
    </row>
    <row r="572" ht="13.5" customHeight="1">
      <c r="B572" s="98"/>
      <c r="C572" s="100"/>
    </row>
    <row r="573" ht="13.5" customHeight="1">
      <c r="B573" s="98"/>
      <c r="C573" s="100"/>
    </row>
    <row r="574" ht="13.5" customHeight="1">
      <c r="B574" s="98"/>
      <c r="C574" s="100"/>
    </row>
    <row r="575" ht="13.5" customHeight="1">
      <c r="B575" s="98"/>
      <c r="C575" s="100"/>
    </row>
    <row r="576" ht="13.5" customHeight="1">
      <c r="B576" s="98"/>
      <c r="C576" s="100"/>
    </row>
    <row r="577" ht="13.5" customHeight="1">
      <c r="B577" s="98"/>
      <c r="C577" s="100"/>
    </row>
    <row r="578" ht="13.5" customHeight="1">
      <c r="B578" s="98"/>
      <c r="C578" s="100"/>
    </row>
    <row r="579" ht="13.5" customHeight="1">
      <c r="B579" s="98"/>
      <c r="C579" s="100"/>
    </row>
    <row r="580" ht="13.5" customHeight="1">
      <c r="B580" s="98"/>
      <c r="C580" s="100"/>
    </row>
    <row r="581" ht="13.5" customHeight="1">
      <c r="B581" s="98"/>
      <c r="C581" s="100"/>
    </row>
    <row r="582" ht="13.5" customHeight="1">
      <c r="B582" s="98"/>
      <c r="C582" s="100"/>
    </row>
    <row r="583" ht="13.5" customHeight="1">
      <c r="B583" s="98"/>
      <c r="C583" s="100"/>
    </row>
    <row r="584" ht="13.5" customHeight="1">
      <c r="B584" s="98"/>
      <c r="C584" s="100"/>
    </row>
    <row r="585" ht="13.5" customHeight="1">
      <c r="B585" s="98"/>
      <c r="C585" s="100"/>
    </row>
    <row r="586" ht="13.5" customHeight="1">
      <c r="B586" s="98"/>
      <c r="C586" s="100"/>
    </row>
    <row r="587" ht="13.5" customHeight="1">
      <c r="B587" s="98"/>
      <c r="C587" s="100"/>
    </row>
    <row r="588" ht="13.5" customHeight="1">
      <c r="B588" s="98"/>
      <c r="C588" s="100"/>
    </row>
    <row r="589" ht="13.5" customHeight="1">
      <c r="B589" s="98"/>
      <c r="C589" s="100"/>
    </row>
    <row r="590" ht="13.5" customHeight="1">
      <c r="B590" s="98"/>
      <c r="C590" s="100"/>
    </row>
    <row r="591" ht="13.5" customHeight="1">
      <c r="B591" s="98"/>
      <c r="C591" s="100"/>
    </row>
    <row r="592" ht="13.5" customHeight="1">
      <c r="B592" s="98"/>
      <c r="C592" s="100"/>
    </row>
    <row r="593" ht="13.5" customHeight="1">
      <c r="B593" s="98"/>
      <c r="C593" s="100"/>
    </row>
    <row r="594" ht="13.5" customHeight="1">
      <c r="B594" s="98"/>
      <c r="C594" s="100"/>
    </row>
    <row r="595" ht="13.5" customHeight="1">
      <c r="B595" s="98"/>
      <c r="C595" s="100"/>
    </row>
    <row r="596" ht="13.5" customHeight="1">
      <c r="B596" s="98"/>
      <c r="C596" s="100"/>
    </row>
    <row r="597" ht="13.5" customHeight="1">
      <c r="B597" s="98"/>
      <c r="C597" s="100"/>
    </row>
    <row r="598" ht="13.5" customHeight="1">
      <c r="B598" s="98"/>
      <c r="C598" s="100"/>
    </row>
    <row r="599" ht="13.5" customHeight="1">
      <c r="B599" s="98"/>
      <c r="C599" s="100"/>
    </row>
    <row r="600" ht="13.5" customHeight="1">
      <c r="B600" s="98"/>
      <c r="C600" s="100"/>
    </row>
    <row r="601" ht="13.5" customHeight="1">
      <c r="B601" s="98"/>
      <c r="C601" s="100"/>
    </row>
    <row r="602" ht="13.5" customHeight="1">
      <c r="B602" s="98"/>
      <c r="C602" s="100"/>
    </row>
    <row r="603" ht="13.5" customHeight="1">
      <c r="B603" s="98"/>
      <c r="C603" s="100"/>
    </row>
    <row r="604" ht="13.5" customHeight="1">
      <c r="B604" s="98"/>
      <c r="C604" s="100"/>
    </row>
    <row r="605" ht="13.5" customHeight="1">
      <c r="B605" s="98"/>
      <c r="C605" s="100"/>
    </row>
    <row r="606" ht="13.5" customHeight="1">
      <c r="B606" s="98"/>
      <c r="C606" s="100"/>
    </row>
    <row r="607" ht="13.5" customHeight="1">
      <c r="B607" s="98"/>
      <c r="C607" s="100"/>
    </row>
    <row r="608" ht="13.5" customHeight="1">
      <c r="B608" s="98"/>
      <c r="C608" s="100"/>
    </row>
    <row r="609" ht="13.5" customHeight="1">
      <c r="B609" s="98"/>
      <c r="C609" s="100"/>
    </row>
    <row r="610" ht="13.5" customHeight="1">
      <c r="B610" s="98"/>
      <c r="C610" s="100"/>
    </row>
    <row r="611" ht="13.5" customHeight="1">
      <c r="B611" s="98"/>
      <c r="C611" s="100"/>
    </row>
    <row r="612" ht="13.5" customHeight="1">
      <c r="B612" s="98"/>
      <c r="C612" s="100"/>
    </row>
    <row r="613" ht="13.5" customHeight="1">
      <c r="B613" s="98"/>
      <c r="C613" s="100"/>
    </row>
    <row r="614" ht="13.5" customHeight="1">
      <c r="B614" s="98"/>
      <c r="C614" s="100"/>
    </row>
    <row r="615" ht="13.5" customHeight="1">
      <c r="B615" s="98"/>
      <c r="C615" s="100"/>
    </row>
    <row r="616" ht="13.5" customHeight="1">
      <c r="B616" s="98"/>
      <c r="C616" s="100"/>
    </row>
    <row r="617" ht="13.5" customHeight="1">
      <c r="B617" s="98"/>
      <c r="C617" s="100"/>
    </row>
    <row r="618" ht="13.5" customHeight="1">
      <c r="B618" s="98"/>
      <c r="C618" s="100"/>
    </row>
    <row r="619" ht="13.5" customHeight="1">
      <c r="B619" s="98"/>
      <c r="C619" s="100"/>
    </row>
    <row r="620" ht="13.5" customHeight="1">
      <c r="B620" s="98"/>
      <c r="C620" s="100"/>
    </row>
    <row r="621" ht="13.5" customHeight="1">
      <c r="B621" s="98"/>
      <c r="C621" s="100"/>
    </row>
    <row r="622" ht="13.5" customHeight="1">
      <c r="B622" s="98"/>
      <c r="C622" s="100"/>
    </row>
    <row r="623" ht="13.5" customHeight="1">
      <c r="B623" s="98"/>
      <c r="C623" s="100"/>
    </row>
    <row r="624" ht="13.5" customHeight="1">
      <c r="B624" s="98"/>
      <c r="C624" s="100"/>
    </row>
    <row r="625" ht="13.5" customHeight="1">
      <c r="B625" s="98"/>
      <c r="C625" s="100"/>
    </row>
    <row r="626" ht="13.5" customHeight="1">
      <c r="B626" s="98"/>
      <c r="C626" s="100"/>
    </row>
    <row r="627" ht="13.5" customHeight="1">
      <c r="B627" s="98"/>
      <c r="C627" s="100"/>
    </row>
    <row r="628" ht="13.5" customHeight="1">
      <c r="B628" s="98"/>
      <c r="C628" s="100"/>
    </row>
    <row r="629" ht="13.5" customHeight="1">
      <c r="B629" s="98"/>
      <c r="C629" s="100"/>
    </row>
    <row r="630" ht="13.5" customHeight="1">
      <c r="B630" s="98"/>
      <c r="C630" s="100"/>
    </row>
    <row r="631" ht="13.5" customHeight="1">
      <c r="B631" s="98"/>
      <c r="C631" s="100"/>
    </row>
    <row r="632" ht="13.5" customHeight="1">
      <c r="B632" s="98"/>
      <c r="C632" s="100"/>
    </row>
    <row r="633" ht="13.5" customHeight="1">
      <c r="B633" s="98"/>
      <c r="C633" s="100"/>
    </row>
    <row r="634" ht="13.5" customHeight="1">
      <c r="B634" s="98"/>
      <c r="C634" s="100"/>
    </row>
    <row r="635" ht="13.5" customHeight="1">
      <c r="B635" s="98"/>
      <c r="C635" s="100"/>
    </row>
    <row r="636" ht="13.5" customHeight="1">
      <c r="B636" s="98"/>
      <c r="C636" s="100"/>
    </row>
    <row r="637" ht="13.5" customHeight="1">
      <c r="B637" s="98"/>
      <c r="C637" s="100"/>
    </row>
    <row r="638" ht="13.5" customHeight="1">
      <c r="B638" s="98"/>
      <c r="C638" s="100"/>
    </row>
    <row r="639" ht="13.5" customHeight="1">
      <c r="B639" s="98"/>
      <c r="C639" s="100"/>
    </row>
    <row r="640" ht="13.5" customHeight="1">
      <c r="B640" s="98"/>
      <c r="C640" s="100"/>
    </row>
    <row r="641" ht="13.5" customHeight="1">
      <c r="B641" s="98"/>
      <c r="C641" s="100"/>
    </row>
    <row r="642" ht="13.5" customHeight="1">
      <c r="B642" s="98"/>
      <c r="C642" s="100"/>
    </row>
    <row r="643" ht="13.5" customHeight="1">
      <c r="B643" s="98"/>
      <c r="C643" s="100"/>
    </row>
    <row r="644" ht="13.5" customHeight="1">
      <c r="B644" s="98"/>
      <c r="C644" s="100"/>
    </row>
    <row r="645" ht="13.5" customHeight="1">
      <c r="B645" s="98"/>
      <c r="C645" s="100"/>
    </row>
    <row r="646" ht="13.5" customHeight="1">
      <c r="B646" s="98"/>
      <c r="C646" s="100"/>
    </row>
    <row r="647" ht="13.5" customHeight="1">
      <c r="B647" s="98"/>
      <c r="C647" s="100"/>
    </row>
    <row r="648" ht="13.5" customHeight="1">
      <c r="B648" s="98"/>
      <c r="C648" s="100"/>
    </row>
    <row r="649" ht="13.5" customHeight="1">
      <c r="B649" s="98"/>
      <c r="C649" s="100"/>
    </row>
    <row r="650" ht="13.5" customHeight="1">
      <c r="B650" s="98"/>
      <c r="C650" s="100"/>
    </row>
    <row r="651" ht="13.5" customHeight="1">
      <c r="B651" s="98"/>
      <c r="C651" s="100"/>
    </row>
    <row r="652" ht="13.5" customHeight="1">
      <c r="B652" s="98"/>
      <c r="C652" s="100"/>
    </row>
    <row r="653" ht="13.5" customHeight="1">
      <c r="B653" s="98"/>
      <c r="C653" s="100"/>
    </row>
    <row r="654" ht="13.5" customHeight="1">
      <c r="B654" s="98"/>
      <c r="C654" s="100"/>
    </row>
    <row r="655" ht="13.5" customHeight="1">
      <c r="B655" s="98"/>
      <c r="C655" s="100"/>
    </row>
    <row r="656" ht="13.5" customHeight="1">
      <c r="B656" s="98"/>
      <c r="C656" s="100"/>
    </row>
    <row r="657" ht="13.5" customHeight="1">
      <c r="B657" s="98"/>
      <c r="C657" s="100"/>
    </row>
    <row r="658" ht="13.5" customHeight="1">
      <c r="B658" s="98"/>
      <c r="C658" s="100"/>
    </row>
    <row r="659" ht="13.5" customHeight="1">
      <c r="B659" s="98"/>
      <c r="C659" s="100"/>
    </row>
    <row r="660" ht="13.5" customHeight="1">
      <c r="B660" s="98"/>
      <c r="C660" s="100"/>
    </row>
    <row r="661" ht="13.5" customHeight="1">
      <c r="B661" s="98"/>
      <c r="C661" s="100"/>
    </row>
    <row r="662" ht="13.5" customHeight="1">
      <c r="B662" s="98"/>
      <c r="C662" s="100"/>
    </row>
    <row r="663" ht="13.5" customHeight="1">
      <c r="B663" s="98"/>
      <c r="C663" s="100"/>
    </row>
    <row r="664" ht="13.5" customHeight="1">
      <c r="B664" s="98"/>
      <c r="C664" s="100"/>
    </row>
    <row r="665" ht="13.5" customHeight="1">
      <c r="B665" s="98"/>
      <c r="C665" s="100"/>
    </row>
    <row r="666" ht="13.5" customHeight="1">
      <c r="B666" s="98"/>
      <c r="C666" s="100"/>
    </row>
    <row r="667" ht="13.5" customHeight="1">
      <c r="B667" s="98"/>
      <c r="C667" s="100"/>
    </row>
    <row r="668" ht="13.5" customHeight="1">
      <c r="B668" s="98"/>
      <c r="C668" s="100"/>
    </row>
    <row r="669" ht="13.5" customHeight="1">
      <c r="B669" s="98"/>
      <c r="C669" s="100"/>
    </row>
    <row r="670" ht="13.5" customHeight="1">
      <c r="B670" s="98"/>
      <c r="C670" s="100"/>
    </row>
    <row r="671" ht="13.5" customHeight="1">
      <c r="B671" s="98"/>
      <c r="C671" s="100"/>
    </row>
    <row r="672" ht="13.5" customHeight="1">
      <c r="B672" s="98"/>
      <c r="C672" s="100"/>
    </row>
    <row r="673" ht="13.5" customHeight="1">
      <c r="B673" s="98"/>
      <c r="C673" s="100"/>
    </row>
    <row r="674" ht="13.5" customHeight="1">
      <c r="B674" s="98"/>
      <c r="C674" s="100"/>
    </row>
    <row r="675" ht="13.5" customHeight="1">
      <c r="B675" s="98"/>
      <c r="C675" s="100"/>
    </row>
    <row r="676" ht="13.5" customHeight="1">
      <c r="B676" s="98"/>
      <c r="C676" s="100"/>
    </row>
    <row r="677" ht="13.5" customHeight="1">
      <c r="B677" s="98"/>
      <c r="C677" s="100"/>
    </row>
    <row r="678" ht="13.5" customHeight="1">
      <c r="B678" s="98"/>
      <c r="C678" s="100"/>
    </row>
    <row r="679" ht="13.5" customHeight="1">
      <c r="B679" s="98"/>
      <c r="C679" s="100"/>
    </row>
    <row r="680" ht="13.5" customHeight="1">
      <c r="B680" s="98"/>
      <c r="C680" s="100"/>
    </row>
    <row r="681" ht="13.5" customHeight="1">
      <c r="B681" s="98"/>
      <c r="C681" s="100"/>
    </row>
    <row r="682" ht="13.5" customHeight="1">
      <c r="B682" s="98"/>
      <c r="C682" s="100"/>
    </row>
    <row r="683" ht="13.5" customHeight="1">
      <c r="B683" s="98"/>
      <c r="C683" s="100"/>
    </row>
    <row r="684" ht="13.5" customHeight="1">
      <c r="B684" s="98"/>
      <c r="C684" s="100"/>
    </row>
    <row r="685" ht="13.5" customHeight="1">
      <c r="B685" s="98"/>
      <c r="C685" s="100"/>
    </row>
    <row r="686" ht="13.5" customHeight="1">
      <c r="B686" s="98"/>
      <c r="C686" s="100"/>
    </row>
    <row r="687" ht="13.5" customHeight="1">
      <c r="B687" s="98"/>
      <c r="C687" s="100"/>
    </row>
    <row r="688" ht="13.5" customHeight="1">
      <c r="B688" s="98"/>
      <c r="C688" s="100"/>
    </row>
    <row r="689" ht="13.5" customHeight="1">
      <c r="B689" s="98"/>
      <c r="C689" s="100"/>
    </row>
    <row r="690" ht="13.5" customHeight="1">
      <c r="B690" s="98"/>
      <c r="C690" s="100"/>
    </row>
    <row r="691" ht="13.5" customHeight="1">
      <c r="B691" s="98"/>
      <c r="C691" s="100"/>
    </row>
    <row r="692" ht="13.5" customHeight="1">
      <c r="B692" s="98"/>
      <c r="C692" s="100"/>
    </row>
    <row r="693" ht="13.5" customHeight="1">
      <c r="B693" s="98"/>
      <c r="C693" s="100"/>
    </row>
    <row r="694" ht="13.5" customHeight="1">
      <c r="B694" s="98"/>
      <c r="C694" s="100"/>
    </row>
    <row r="695" ht="13.5" customHeight="1">
      <c r="B695" s="98"/>
      <c r="C695" s="100"/>
    </row>
    <row r="696" ht="13.5" customHeight="1">
      <c r="B696" s="98"/>
      <c r="C696" s="100"/>
    </row>
    <row r="697" ht="13.5" customHeight="1">
      <c r="B697" s="98"/>
      <c r="C697" s="100"/>
    </row>
    <row r="698" ht="13.5" customHeight="1">
      <c r="B698" s="98"/>
      <c r="C698" s="100"/>
    </row>
    <row r="699" ht="13.5" customHeight="1">
      <c r="B699" s="98"/>
      <c r="C699" s="100"/>
    </row>
    <row r="700" ht="13.5" customHeight="1">
      <c r="B700" s="98"/>
      <c r="C700" s="100"/>
    </row>
    <row r="701" ht="13.5" customHeight="1">
      <c r="B701" s="98"/>
      <c r="C701" s="100"/>
    </row>
    <row r="702" ht="13.5" customHeight="1">
      <c r="B702" s="98"/>
      <c r="C702" s="100"/>
    </row>
    <row r="703" ht="13.5" customHeight="1">
      <c r="B703" s="98"/>
      <c r="C703" s="100"/>
    </row>
    <row r="704" ht="13.5" customHeight="1">
      <c r="B704" s="98"/>
      <c r="C704" s="100"/>
    </row>
    <row r="705" ht="13.5" customHeight="1">
      <c r="B705" s="98"/>
      <c r="C705" s="100"/>
    </row>
    <row r="706" ht="13.5" customHeight="1">
      <c r="B706" s="98"/>
      <c r="C706" s="100"/>
    </row>
    <row r="707" ht="13.5" customHeight="1">
      <c r="B707" s="98"/>
      <c r="C707" s="100"/>
    </row>
    <row r="708" ht="13.5" customHeight="1">
      <c r="B708" s="98"/>
      <c r="C708" s="100"/>
    </row>
    <row r="709" ht="13.5" customHeight="1">
      <c r="B709" s="98"/>
      <c r="C709" s="100"/>
    </row>
    <row r="710" ht="13.5" customHeight="1">
      <c r="B710" s="98"/>
      <c r="C710" s="100"/>
    </row>
    <row r="711" ht="13.5" customHeight="1">
      <c r="B711" s="98"/>
      <c r="C711" s="100"/>
    </row>
    <row r="712" ht="13.5" customHeight="1">
      <c r="B712" s="98"/>
      <c r="C712" s="100"/>
    </row>
    <row r="713" ht="13.5" customHeight="1">
      <c r="B713" s="98"/>
      <c r="C713" s="100"/>
    </row>
    <row r="714" ht="13.5" customHeight="1">
      <c r="B714" s="98"/>
      <c r="C714" s="100"/>
    </row>
    <row r="715" ht="13.5" customHeight="1">
      <c r="B715" s="98"/>
      <c r="C715" s="100"/>
    </row>
    <row r="716" ht="13.5" customHeight="1">
      <c r="B716" s="98"/>
      <c r="C716" s="100"/>
    </row>
    <row r="717" ht="13.5" customHeight="1">
      <c r="B717" s="98"/>
      <c r="C717" s="100"/>
    </row>
    <row r="718" ht="13.5" customHeight="1">
      <c r="B718" s="98"/>
      <c r="C718" s="100"/>
    </row>
    <row r="719" ht="13.5" customHeight="1">
      <c r="B719" s="98"/>
      <c r="C719" s="100"/>
    </row>
    <row r="720" ht="13.5" customHeight="1">
      <c r="B720" s="98"/>
      <c r="C720" s="100"/>
    </row>
    <row r="721" ht="13.5" customHeight="1">
      <c r="B721" s="98"/>
      <c r="C721" s="100"/>
    </row>
    <row r="722" ht="13.5" customHeight="1">
      <c r="B722" s="98"/>
      <c r="C722" s="100"/>
    </row>
    <row r="723" ht="13.5" customHeight="1">
      <c r="B723" s="98"/>
      <c r="C723" s="100"/>
    </row>
    <row r="724" ht="13.5" customHeight="1">
      <c r="B724" s="98"/>
      <c r="C724" s="100"/>
    </row>
    <row r="725" ht="13.5" customHeight="1">
      <c r="B725" s="98"/>
      <c r="C725" s="100"/>
    </row>
    <row r="726" ht="13.5" customHeight="1">
      <c r="B726" s="98"/>
      <c r="C726" s="100"/>
    </row>
    <row r="727" ht="13.5" customHeight="1">
      <c r="B727" s="98"/>
      <c r="C727" s="100"/>
    </row>
    <row r="728" ht="13.5" customHeight="1">
      <c r="B728" s="98"/>
      <c r="C728" s="100"/>
    </row>
    <row r="729" ht="13.5" customHeight="1">
      <c r="B729" s="98"/>
      <c r="C729" s="100"/>
    </row>
    <row r="730" ht="13.5" customHeight="1">
      <c r="B730" s="98"/>
      <c r="C730" s="100"/>
    </row>
    <row r="731" ht="13.5" customHeight="1">
      <c r="B731" s="98"/>
      <c r="C731" s="100"/>
    </row>
    <row r="732" ht="13.5" customHeight="1">
      <c r="B732" s="98"/>
      <c r="C732" s="100"/>
    </row>
    <row r="733" ht="13.5" customHeight="1">
      <c r="B733" s="98"/>
      <c r="C733" s="100"/>
    </row>
    <row r="734" ht="13.5" customHeight="1">
      <c r="B734" s="98"/>
      <c r="C734" s="100"/>
    </row>
    <row r="735" ht="13.5" customHeight="1">
      <c r="B735" s="98"/>
      <c r="C735" s="100"/>
    </row>
    <row r="736" ht="13.5" customHeight="1">
      <c r="B736" s="98"/>
      <c r="C736" s="100"/>
    </row>
    <row r="737" ht="13.5" customHeight="1">
      <c r="B737" s="98"/>
      <c r="C737" s="100"/>
    </row>
    <row r="738" ht="13.5" customHeight="1">
      <c r="B738" s="98"/>
      <c r="C738" s="100"/>
    </row>
    <row r="739" ht="13.5" customHeight="1">
      <c r="B739" s="98"/>
      <c r="C739" s="100"/>
    </row>
    <row r="740" ht="13.5" customHeight="1">
      <c r="B740" s="98"/>
      <c r="C740" s="100"/>
    </row>
    <row r="741" ht="13.5" customHeight="1">
      <c r="B741" s="98"/>
      <c r="C741" s="100"/>
    </row>
    <row r="742" ht="13.5" customHeight="1">
      <c r="B742" s="98"/>
      <c r="C742" s="100"/>
    </row>
    <row r="743" ht="13.5" customHeight="1">
      <c r="B743" s="98"/>
      <c r="C743" s="100"/>
    </row>
    <row r="744" ht="13.5" customHeight="1">
      <c r="B744" s="98"/>
      <c r="C744" s="100"/>
    </row>
    <row r="745" ht="13.5" customHeight="1">
      <c r="B745" s="98"/>
      <c r="C745" s="100"/>
    </row>
    <row r="746" ht="13.5" customHeight="1">
      <c r="B746" s="98"/>
      <c r="C746" s="100"/>
    </row>
    <row r="747" ht="13.5" customHeight="1">
      <c r="B747" s="98"/>
      <c r="C747" s="100"/>
    </row>
    <row r="748" ht="13.5" customHeight="1">
      <c r="B748" s="98"/>
      <c r="C748" s="100"/>
    </row>
    <row r="749" ht="13.5" customHeight="1">
      <c r="B749" s="98"/>
      <c r="C749" s="100"/>
    </row>
    <row r="750" ht="13.5" customHeight="1">
      <c r="B750" s="98"/>
      <c r="C750" s="100"/>
    </row>
    <row r="751" ht="13.5" customHeight="1">
      <c r="B751" s="98"/>
      <c r="C751" s="100"/>
    </row>
    <row r="752" ht="13.5" customHeight="1">
      <c r="B752" s="98"/>
      <c r="C752" s="100"/>
    </row>
    <row r="753" ht="13.5" customHeight="1">
      <c r="B753" s="98"/>
      <c r="C753" s="100"/>
    </row>
    <row r="754" ht="13.5" customHeight="1">
      <c r="B754" s="98"/>
      <c r="C754" s="100"/>
    </row>
    <row r="755" ht="13.5" customHeight="1">
      <c r="B755" s="98"/>
      <c r="C755" s="100"/>
    </row>
    <row r="756" ht="13.5" customHeight="1">
      <c r="B756" s="98"/>
      <c r="C756" s="100"/>
    </row>
    <row r="757" ht="13.5" customHeight="1">
      <c r="B757" s="98"/>
      <c r="C757" s="100"/>
    </row>
    <row r="758" ht="13.5" customHeight="1">
      <c r="B758" s="98"/>
      <c r="C758" s="100"/>
    </row>
    <row r="759" ht="13.5" customHeight="1">
      <c r="B759" s="98"/>
      <c r="C759" s="100"/>
    </row>
    <row r="760" ht="13.5" customHeight="1">
      <c r="B760" s="98"/>
      <c r="C760" s="100"/>
    </row>
    <row r="761" ht="13.5" customHeight="1">
      <c r="B761" s="98"/>
      <c r="C761" s="100"/>
    </row>
    <row r="762" ht="13.5" customHeight="1">
      <c r="B762" s="98"/>
      <c r="C762" s="100"/>
    </row>
    <row r="763" ht="13.5" customHeight="1">
      <c r="B763" s="98"/>
      <c r="C763" s="100"/>
    </row>
    <row r="764" ht="13.5" customHeight="1">
      <c r="B764" s="98"/>
      <c r="C764" s="100"/>
    </row>
    <row r="765" ht="13.5" customHeight="1">
      <c r="B765" s="98"/>
      <c r="C765" s="100"/>
    </row>
    <row r="766" ht="13.5" customHeight="1">
      <c r="B766" s="98"/>
      <c r="C766" s="100"/>
    </row>
    <row r="767" ht="13.5" customHeight="1">
      <c r="B767" s="98"/>
      <c r="C767" s="100"/>
    </row>
    <row r="768" ht="13.5" customHeight="1">
      <c r="B768" s="98"/>
      <c r="C768" s="100"/>
    </row>
    <row r="769" ht="13.5" customHeight="1">
      <c r="B769" s="98"/>
      <c r="C769" s="100"/>
    </row>
    <row r="770" ht="13.5" customHeight="1">
      <c r="B770" s="98"/>
      <c r="C770" s="100"/>
    </row>
    <row r="771" ht="13.5" customHeight="1">
      <c r="B771" s="98"/>
      <c r="C771" s="100"/>
    </row>
    <row r="772" ht="13.5" customHeight="1">
      <c r="B772" s="98"/>
      <c r="C772" s="100"/>
    </row>
    <row r="773" ht="13.5" customHeight="1">
      <c r="B773" s="98"/>
      <c r="C773" s="100"/>
    </row>
    <row r="774" ht="13.5" customHeight="1">
      <c r="B774" s="98"/>
      <c r="C774" s="100"/>
    </row>
    <row r="775" ht="13.5" customHeight="1">
      <c r="B775" s="98"/>
      <c r="C775" s="100"/>
    </row>
    <row r="776" ht="13.5" customHeight="1">
      <c r="B776" s="98"/>
      <c r="C776" s="100"/>
    </row>
    <row r="777" ht="13.5" customHeight="1">
      <c r="B777" s="98"/>
      <c r="C777" s="100"/>
    </row>
    <row r="778" ht="13.5" customHeight="1">
      <c r="B778" s="98"/>
      <c r="C778" s="100"/>
    </row>
    <row r="779" ht="13.5" customHeight="1">
      <c r="B779" s="98"/>
      <c r="C779" s="100"/>
    </row>
    <row r="780" ht="13.5" customHeight="1">
      <c r="B780" s="98"/>
      <c r="C780" s="100"/>
    </row>
    <row r="781" ht="13.5" customHeight="1">
      <c r="B781" s="98"/>
      <c r="C781" s="100"/>
    </row>
    <row r="782" ht="13.5" customHeight="1">
      <c r="B782" s="98"/>
      <c r="C782" s="100"/>
    </row>
    <row r="783" ht="13.5" customHeight="1">
      <c r="B783" s="98"/>
      <c r="C783" s="100"/>
    </row>
    <row r="784" ht="13.5" customHeight="1">
      <c r="B784" s="98"/>
      <c r="C784" s="100"/>
    </row>
    <row r="785" ht="13.5" customHeight="1">
      <c r="B785" s="98"/>
      <c r="C785" s="100"/>
    </row>
    <row r="786" ht="13.5" customHeight="1">
      <c r="B786" s="98"/>
      <c r="C786" s="100"/>
    </row>
    <row r="787" ht="13.5" customHeight="1">
      <c r="B787" s="98"/>
      <c r="C787" s="100"/>
    </row>
    <row r="788" ht="13.5" customHeight="1">
      <c r="B788" s="98"/>
      <c r="C788" s="100"/>
    </row>
    <row r="789" ht="13.5" customHeight="1">
      <c r="B789" s="98"/>
      <c r="C789" s="100"/>
    </row>
    <row r="790" ht="13.5" customHeight="1">
      <c r="B790" s="98"/>
      <c r="C790" s="100"/>
    </row>
    <row r="791" ht="13.5" customHeight="1">
      <c r="B791" s="98"/>
      <c r="C791" s="100"/>
    </row>
    <row r="792" ht="13.5" customHeight="1">
      <c r="B792" s="98"/>
      <c r="C792" s="100"/>
    </row>
    <row r="793" ht="13.5" customHeight="1">
      <c r="B793" s="98"/>
      <c r="C793" s="100"/>
    </row>
    <row r="794" ht="13.5" customHeight="1">
      <c r="B794" s="98"/>
      <c r="C794" s="100"/>
    </row>
    <row r="795" ht="13.5" customHeight="1">
      <c r="B795" s="98"/>
      <c r="C795" s="100"/>
    </row>
    <row r="796" ht="13.5" customHeight="1">
      <c r="B796" s="98"/>
      <c r="C796" s="100"/>
    </row>
    <row r="797" ht="13.5" customHeight="1">
      <c r="B797" s="98"/>
      <c r="C797" s="100"/>
    </row>
    <row r="798" ht="13.5" customHeight="1">
      <c r="B798" s="98"/>
      <c r="C798" s="100"/>
    </row>
    <row r="799" ht="13.5" customHeight="1">
      <c r="B799" s="98"/>
      <c r="C799" s="100"/>
    </row>
    <row r="800" ht="13.5" customHeight="1">
      <c r="B800" s="98"/>
      <c r="C800" s="100"/>
    </row>
    <row r="801" ht="13.5" customHeight="1">
      <c r="B801" s="98"/>
      <c r="C801" s="100"/>
    </row>
    <row r="802" ht="13.5" customHeight="1">
      <c r="B802" s="98"/>
      <c r="C802" s="100"/>
    </row>
    <row r="803" ht="13.5" customHeight="1">
      <c r="B803" s="98"/>
      <c r="C803" s="100"/>
    </row>
    <row r="804" ht="13.5" customHeight="1">
      <c r="B804" s="98"/>
      <c r="C804" s="100"/>
    </row>
    <row r="805" ht="13.5" customHeight="1">
      <c r="B805" s="98"/>
      <c r="C805" s="100"/>
    </row>
    <row r="806" ht="13.5" customHeight="1">
      <c r="B806" s="98"/>
      <c r="C806" s="100"/>
    </row>
    <row r="807" ht="13.5" customHeight="1">
      <c r="B807" s="98"/>
      <c r="C807" s="100"/>
    </row>
    <row r="808" ht="13.5" customHeight="1">
      <c r="B808" s="98"/>
      <c r="C808" s="100"/>
    </row>
    <row r="809" ht="13.5" customHeight="1">
      <c r="B809" s="98"/>
      <c r="C809" s="100"/>
    </row>
    <row r="810" ht="13.5" customHeight="1">
      <c r="B810" s="98"/>
      <c r="C810" s="100"/>
    </row>
    <row r="811" ht="13.5" customHeight="1">
      <c r="B811" s="98"/>
      <c r="C811" s="100"/>
    </row>
    <row r="812" ht="13.5" customHeight="1">
      <c r="B812" s="98"/>
      <c r="C812" s="100"/>
    </row>
    <row r="813" ht="13.5" customHeight="1">
      <c r="B813" s="98"/>
      <c r="C813" s="100"/>
    </row>
    <row r="814" ht="13.5" customHeight="1">
      <c r="B814" s="98"/>
      <c r="C814" s="100"/>
    </row>
    <row r="815" ht="13.5" customHeight="1">
      <c r="B815" s="98"/>
      <c r="C815" s="100"/>
    </row>
    <row r="816" ht="13.5" customHeight="1">
      <c r="B816" s="98"/>
      <c r="C816" s="100"/>
    </row>
    <row r="817" ht="13.5" customHeight="1">
      <c r="B817" s="98"/>
      <c r="C817" s="100"/>
    </row>
    <row r="818" ht="13.5" customHeight="1">
      <c r="B818" s="98"/>
      <c r="C818" s="100"/>
    </row>
    <row r="819" ht="13.5" customHeight="1">
      <c r="B819" s="98"/>
      <c r="C819" s="100"/>
    </row>
    <row r="820" ht="13.5" customHeight="1">
      <c r="B820" s="98"/>
      <c r="C820" s="100"/>
    </row>
    <row r="821" ht="13.5" customHeight="1">
      <c r="B821" s="98"/>
      <c r="C821" s="100"/>
    </row>
    <row r="822" ht="13.5" customHeight="1">
      <c r="B822" s="98"/>
      <c r="C822" s="100"/>
    </row>
    <row r="823" ht="13.5" customHeight="1">
      <c r="B823" s="98"/>
      <c r="C823" s="100"/>
    </row>
    <row r="824" ht="13.5" customHeight="1">
      <c r="B824" s="98"/>
      <c r="C824" s="100"/>
    </row>
    <row r="825" ht="13.5" customHeight="1">
      <c r="B825" s="98"/>
      <c r="C825" s="100"/>
    </row>
    <row r="826" ht="13.5" customHeight="1">
      <c r="B826" s="98"/>
      <c r="C826" s="100"/>
    </row>
    <row r="827" ht="13.5" customHeight="1">
      <c r="B827" s="98"/>
      <c r="C827" s="100"/>
    </row>
    <row r="828" ht="13.5" customHeight="1">
      <c r="B828" s="98"/>
      <c r="C828" s="100"/>
    </row>
    <row r="829" ht="13.5" customHeight="1">
      <c r="B829" s="98"/>
      <c r="C829" s="100"/>
    </row>
    <row r="830" ht="13.5" customHeight="1">
      <c r="B830" s="98"/>
      <c r="C830" s="100"/>
    </row>
    <row r="831" ht="13.5" customHeight="1">
      <c r="B831" s="98"/>
      <c r="C831" s="100"/>
    </row>
    <row r="832" ht="13.5" customHeight="1">
      <c r="B832" s="98"/>
      <c r="C832" s="100"/>
    </row>
    <row r="833" ht="13.5" customHeight="1">
      <c r="B833" s="98"/>
      <c r="C833" s="100"/>
    </row>
    <row r="834" ht="13.5" customHeight="1">
      <c r="B834" s="98"/>
      <c r="C834" s="100"/>
    </row>
    <row r="835" ht="13.5" customHeight="1">
      <c r="B835" s="98"/>
      <c r="C835" s="100"/>
    </row>
    <row r="836" ht="13.5" customHeight="1">
      <c r="B836" s="98"/>
      <c r="C836" s="100"/>
    </row>
    <row r="837" ht="13.5" customHeight="1">
      <c r="B837" s="98"/>
      <c r="C837" s="100"/>
    </row>
    <row r="838" ht="13.5" customHeight="1">
      <c r="B838" s="98"/>
      <c r="C838" s="100"/>
    </row>
    <row r="839" ht="13.5" customHeight="1">
      <c r="B839" s="98"/>
      <c r="C839" s="100"/>
    </row>
    <row r="840" ht="13.5" customHeight="1">
      <c r="B840" s="98"/>
      <c r="C840" s="100"/>
    </row>
    <row r="841" ht="13.5" customHeight="1">
      <c r="B841" s="98"/>
      <c r="C841" s="100"/>
    </row>
    <row r="842" ht="13.5" customHeight="1">
      <c r="B842" s="98"/>
      <c r="C842" s="100"/>
    </row>
    <row r="843" ht="13.5" customHeight="1">
      <c r="B843" s="98"/>
      <c r="C843" s="100"/>
    </row>
    <row r="844" ht="13.5" customHeight="1">
      <c r="B844" s="98"/>
      <c r="C844" s="100"/>
    </row>
    <row r="845" ht="13.5" customHeight="1">
      <c r="B845" s="98"/>
      <c r="C845" s="100"/>
    </row>
    <row r="846" ht="13.5" customHeight="1">
      <c r="B846" s="98"/>
      <c r="C846" s="100"/>
    </row>
    <row r="847" ht="13.5" customHeight="1">
      <c r="B847" s="98"/>
      <c r="C847" s="100"/>
    </row>
    <row r="848" ht="13.5" customHeight="1">
      <c r="B848" s="98"/>
      <c r="C848" s="100"/>
    </row>
    <row r="849" ht="13.5" customHeight="1">
      <c r="B849" s="98"/>
      <c r="C849" s="100"/>
    </row>
    <row r="850" ht="13.5" customHeight="1">
      <c r="B850" s="98"/>
      <c r="C850" s="100"/>
    </row>
    <row r="851" ht="13.5" customHeight="1">
      <c r="B851" s="98"/>
      <c r="C851" s="100"/>
    </row>
    <row r="852" ht="13.5" customHeight="1">
      <c r="B852" s="98"/>
      <c r="C852" s="100"/>
    </row>
    <row r="853" ht="13.5" customHeight="1">
      <c r="B853" s="98"/>
      <c r="C853" s="100"/>
    </row>
    <row r="854" ht="13.5" customHeight="1">
      <c r="B854" s="98"/>
      <c r="C854" s="100"/>
    </row>
    <row r="855" ht="13.5" customHeight="1">
      <c r="B855" s="98"/>
      <c r="C855" s="100"/>
    </row>
    <row r="856" ht="13.5" customHeight="1">
      <c r="B856" s="98"/>
      <c r="C856" s="100"/>
    </row>
    <row r="857" ht="13.5" customHeight="1">
      <c r="B857" s="98"/>
      <c r="C857" s="100"/>
    </row>
    <row r="858" ht="13.5" customHeight="1">
      <c r="B858" s="98"/>
      <c r="C858" s="100"/>
    </row>
    <row r="859" ht="13.5" customHeight="1">
      <c r="B859" s="98"/>
      <c r="C859" s="100"/>
    </row>
    <row r="860" ht="13.5" customHeight="1">
      <c r="B860" s="98"/>
      <c r="C860" s="100"/>
    </row>
    <row r="861" ht="13.5" customHeight="1">
      <c r="B861" s="98"/>
      <c r="C861" s="100"/>
    </row>
    <row r="862" ht="13.5" customHeight="1">
      <c r="B862" s="98"/>
      <c r="C862" s="100"/>
    </row>
    <row r="863" ht="13.5" customHeight="1">
      <c r="B863" s="98"/>
      <c r="C863" s="100"/>
    </row>
    <row r="864" ht="13.5" customHeight="1">
      <c r="B864" s="98"/>
      <c r="C864" s="100"/>
    </row>
    <row r="865" ht="13.5" customHeight="1">
      <c r="B865" s="98"/>
      <c r="C865" s="100"/>
    </row>
    <row r="866" ht="13.5" customHeight="1">
      <c r="B866" s="98"/>
      <c r="C866" s="100"/>
    </row>
    <row r="867" ht="13.5" customHeight="1">
      <c r="B867" s="98"/>
      <c r="C867" s="100"/>
    </row>
    <row r="868" ht="13.5" customHeight="1">
      <c r="B868" s="98"/>
      <c r="C868" s="100"/>
    </row>
    <row r="869" ht="13.5" customHeight="1">
      <c r="B869" s="98"/>
      <c r="C869" s="100"/>
    </row>
    <row r="870" ht="13.5" customHeight="1">
      <c r="B870" s="98"/>
      <c r="C870" s="100"/>
    </row>
    <row r="871" ht="13.5" customHeight="1">
      <c r="B871" s="98"/>
      <c r="C871" s="100"/>
    </row>
    <row r="872" ht="13.5" customHeight="1">
      <c r="B872" s="98"/>
      <c r="C872" s="100"/>
    </row>
    <row r="873" ht="13.5" customHeight="1">
      <c r="B873" s="98"/>
      <c r="C873" s="100"/>
    </row>
    <row r="874" ht="13.5" customHeight="1">
      <c r="B874" s="98"/>
      <c r="C874" s="100"/>
    </row>
    <row r="875" ht="13.5" customHeight="1">
      <c r="B875" s="98"/>
      <c r="C875" s="100"/>
    </row>
    <row r="876" ht="13.5" customHeight="1">
      <c r="B876" s="98"/>
      <c r="C876" s="100"/>
    </row>
    <row r="877" ht="13.5" customHeight="1">
      <c r="B877" s="98"/>
      <c r="C877" s="100"/>
    </row>
    <row r="878" ht="13.5" customHeight="1">
      <c r="B878" s="98"/>
      <c r="C878" s="100"/>
    </row>
    <row r="879" ht="13.5" customHeight="1">
      <c r="B879" s="98"/>
      <c r="C879" s="100"/>
    </row>
    <row r="880" ht="13.5" customHeight="1">
      <c r="B880" s="98"/>
      <c r="C880" s="100"/>
    </row>
    <row r="881" ht="13.5" customHeight="1">
      <c r="B881" s="98"/>
      <c r="C881" s="100"/>
    </row>
    <row r="882" ht="13.5" customHeight="1">
      <c r="B882" s="98"/>
      <c r="C882" s="100"/>
    </row>
    <row r="883" ht="13.5" customHeight="1">
      <c r="B883" s="98"/>
      <c r="C883" s="100"/>
    </row>
    <row r="884" ht="13.5" customHeight="1">
      <c r="B884" s="98"/>
      <c r="C884" s="100"/>
    </row>
    <row r="885" ht="13.5" customHeight="1">
      <c r="B885" s="98"/>
      <c r="C885" s="100"/>
    </row>
    <row r="886" ht="13.5" customHeight="1">
      <c r="B886" s="98"/>
      <c r="C886" s="100"/>
    </row>
    <row r="887" ht="13.5" customHeight="1">
      <c r="B887" s="98"/>
      <c r="C887" s="100"/>
    </row>
    <row r="888" ht="13.5" customHeight="1">
      <c r="B888" s="98"/>
      <c r="C888" s="100"/>
    </row>
    <row r="889" ht="13.5" customHeight="1">
      <c r="B889" s="98"/>
      <c r="C889" s="100"/>
    </row>
    <row r="890" ht="13.5" customHeight="1">
      <c r="B890" s="98"/>
      <c r="C890" s="100"/>
    </row>
    <row r="891" ht="13.5" customHeight="1">
      <c r="B891" s="98"/>
      <c r="C891" s="100"/>
    </row>
    <row r="892" ht="13.5" customHeight="1">
      <c r="B892" s="98"/>
      <c r="C892" s="100"/>
    </row>
    <row r="893" ht="13.5" customHeight="1">
      <c r="B893" s="98"/>
      <c r="C893" s="100"/>
    </row>
    <row r="894" ht="13.5" customHeight="1">
      <c r="B894" s="98"/>
      <c r="C894" s="100"/>
    </row>
    <row r="895" ht="13.5" customHeight="1">
      <c r="B895" s="98"/>
      <c r="C895" s="100"/>
    </row>
    <row r="896" ht="13.5" customHeight="1">
      <c r="B896" s="98"/>
      <c r="C896" s="100"/>
    </row>
    <row r="897" ht="13.5" customHeight="1">
      <c r="B897" s="98"/>
      <c r="C897" s="100"/>
    </row>
    <row r="898" ht="13.5" customHeight="1">
      <c r="B898" s="98"/>
      <c r="C898" s="100"/>
    </row>
    <row r="899" ht="13.5" customHeight="1">
      <c r="B899" s="98"/>
      <c r="C899" s="100"/>
    </row>
    <row r="900" ht="13.5" customHeight="1">
      <c r="B900" s="98"/>
      <c r="C900" s="100"/>
    </row>
    <row r="901" ht="13.5" customHeight="1">
      <c r="B901" s="98"/>
      <c r="C901" s="100"/>
    </row>
    <row r="902" ht="13.5" customHeight="1">
      <c r="B902" s="98"/>
      <c r="C902" s="100"/>
    </row>
    <row r="903" ht="13.5" customHeight="1">
      <c r="B903" s="98"/>
      <c r="C903" s="100"/>
    </row>
    <row r="904" ht="13.5" customHeight="1">
      <c r="B904" s="98"/>
      <c r="C904" s="100"/>
    </row>
    <row r="905" ht="13.5" customHeight="1">
      <c r="B905" s="98"/>
      <c r="C905" s="100"/>
    </row>
    <row r="906" ht="13.5" customHeight="1">
      <c r="B906" s="98"/>
      <c r="C906" s="100"/>
    </row>
    <row r="907" ht="13.5" customHeight="1">
      <c r="B907" s="98"/>
      <c r="C907" s="100"/>
    </row>
    <row r="908" ht="13.5" customHeight="1">
      <c r="B908" s="98"/>
      <c r="C908" s="100"/>
    </row>
    <row r="909" ht="13.5" customHeight="1">
      <c r="B909" s="98"/>
      <c r="C909" s="100"/>
    </row>
    <row r="910" ht="13.5" customHeight="1">
      <c r="B910" s="98"/>
      <c r="C910" s="100"/>
    </row>
    <row r="911" ht="13.5" customHeight="1">
      <c r="B911" s="98"/>
      <c r="C911" s="100"/>
    </row>
    <row r="912" ht="13.5" customHeight="1">
      <c r="B912" s="98"/>
      <c r="C912" s="100"/>
    </row>
    <row r="913" ht="13.5" customHeight="1">
      <c r="B913" s="98"/>
      <c r="C913" s="100"/>
    </row>
    <row r="914" ht="13.5" customHeight="1">
      <c r="B914" s="98"/>
      <c r="C914" s="100"/>
    </row>
    <row r="915" ht="13.5" customHeight="1">
      <c r="B915" s="98"/>
      <c r="C915" s="100"/>
    </row>
    <row r="916" ht="13.5" customHeight="1">
      <c r="B916" s="98"/>
      <c r="C916" s="100"/>
    </row>
    <row r="917" ht="13.5" customHeight="1">
      <c r="B917" s="98"/>
      <c r="C917" s="100"/>
    </row>
    <row r="918" ht="13.5" customHeight="1">
      <c r="B918" s="98"/>
      <c r="C918" s="100"/>
    </row>
    <row r="919" ht="13.5" customHeight="1">
      <c r="B919" s="98"/>
      <c r="C919" s="100"/>
    </row>
    <row r="920" ht="13.5" customHeight="1">
      <c r="B920" s="98"/>
      <c r="C920" s="100"/>
    </row>
    <row r="921" ht="13.5" customHeight="1">
      <c r="B921" s="98"/>
      <c r="C921" s="100"/>
    </row>
    <row r="922" ht="13.5" customHeight="1">
      <c r="B922" s="98"/>
      <c r="C922" s="100"/>
    </row>
    <row r="923" ht="13.5" customHeight="1">
      <c r="B923" s="98"/>
      <c r="C923" s="100"/>
    </row>
    <row r="924" ht="13.5" customHeight="1">
      <c r="B924" s="98"/>
      <c r="C924" s="100"/>
    </row>
    <row r="925" ht="13.5" customHeight="1">
      <c r="B925" s="98"/>
      <c r="C925" s="100"/>
    </row>
    <row r="926" ht="13.5" customHeight="1">
      <c r="B926" s="98"/>
      <c r="C926" s="100"/>
    </row>
    <row r="927" ht="13.5" customHeight="1">
      <c r="B927" s="98"/>
      <c r="C927" s="100"/>
    </row>
    <row r="928" ht="13.5" customHeight="1">
      <c r="B928" s="98"/>
      <c r="C928" s="100"/>
    </row>
    <row r="929" ht="13.5" customHeight="1">
      <c r="B929" s="98"/>
      <c r="C929" s="100"/>
    </row>
    <row r="930" ht="13.5" customHeight="1">
      <c r="B930" s="98"/>
      <c r="C930" s="100"/>
    </row>
    <row r="931" ht="13.5" customHeight="1">
      <c r="B931" s="98"/>
      <c r="C931" s="100"/>
    </row>
    <row r="932" ht="13.5" customHeight="1">
      <c r="B932" s="98"/>
      <c r="C932" s="100"/>
    </row>
    <row r="933" ht="13.5" customHeight="1">
      <c r="B933" s="98"/>
      <c r="C933" s="100"/>
    </row>
    <row r="934" ht="13.5" customHeight="1">
      <c r="B934" s="98"/>
      <c r="C934" s="100"/>
    </row>
    <row r="935" ht="13.5" customHeight="1">
      <c r="B935" s="98"/>
      <c r="C935" s="100"/>
    </row>
    <row r="936" ht="13.5" customHeight="1">
      <c r="B936" s="98"/>
      <c r="C936" s="100"/>
    </row>
    <row r="937" ht="13.5" customHeight="1">
      <c r="B937" s="98"/>
      <c r="C937" s="100"/>
    </row>
    <row r="938" ht="13.5" customHeight="1">
      <c r="B938" s="98"/>
      <c r="C938" s="100"/>
    </row>
    <row r="939" ht="13.5" customHeight="1">
      <c r="B939" s="98"/>
      <c r="C939" s="100"/>
    </row>
    <row r="940" ht="13.5" customHeight="1">
      <c r="B940" s="98"/>
      <c r="C940" s="100"/>
    </row>
    <row r="941" ht="13.5" customHeight="1">
      <c r="B941" s="98"/>
      <c r="C941" s="100"/>
    </row>
    <row r="942" ht="13.5" customHeight="1">
      <c r="B942" s="98"/>
      <c r="C942" s="100"/>
    </row>
    <row r="943" ht="13.5" customHeight="1">
      <c r="B943" s="98"/>
      <c r="C943" s="100"/>
    </row>
    <row r="944" ht="13.5" customHeight="1">
      <c r="B944" s="98"/>
      <c r="C944" s="100"/>
    </row>
    <row r="945" ht="13.5" customHeight="1">
      <c r="B945" s="98"/>
      <c r="C945" s="100"/>
    </row>
    <row r="946" ht="13.5" customHeight="1">
      <c r="B946" s="98"/>
      <c r="C946" s="100"/>
    </row>
    <row r="947" ht="13.5" customHeight="1">
      <c r="B947" s="98"/>
      <c r="C947" s="100"/>
    </row>
    <row r="948" ht="13.5" customHeight="1">
      <c r="B948" s="98"/>
      <c r="C948" s="100"/>
    </row>
    <row r="949" ht="13.5" customHeight="1">
      <c r="B949" s="98"/>
      <c r="C949" s="100"/>
    </row>
    <row r="950" ht="13.5" customHeight="1">
      <c r="B950" s="98"/>
      <c r="C950" s="100"/>
    </row>
    <row r="951" ht="13.5" customHeight="1">
      <c r="B951" s="98"/>
      <c r="C951" s="100"/>
    </row>
    <row r="952" ht="13.5" customHeight="1">
      <c r="B952" s="98"/>
      <c r="C952" s="100"/>
    </row>
    <row r="953" ht="13.5" customHeight="1">
      <c r="B953" s="98"/>
      <c r="C953" s="100"/>
    </row>
    <row r="954" ht="13.5" customHeight="1">
      <c r="B954" s="98"/>
      <c r="C954" s="100"/>
    </row>
    <row r="955" ht="13.5" customHeight="1">
      <c r="B955" s="98"/>
      <c r="C955" s="100"/>
    </row>
    <row r="956" ht="13.5" customHeight="1">
      <c r="B956" s="98"/>
      <c r="C956" s="100"/>
    </row>
    <row r="957" ht="13.5" customHeight="1">
      <c r="B957" s="98"/>
      <c r="C957" s="100"/>
    </row>
    <row r="958" ht="13.5" customHeight="1">
      <c r="B958" s="98"/>
      <c r="C958" s="100"/>
    </row>
    <row r="959" ht="13.5" customHeight="1">
      <c r="B959" s="98"/>
      <c r="C959" s="100"/>
    </row>
    <row r="960" ht="13.5" customHeight="1">
      <c r="B960" s="98"/>
      <c r="C960" s="100"/>
    </row>
    <row r="961" ht="13.5" customHeight="1">
      <c r="B961" s="98"/>
      <c r="C961" s="100"/>
    </row>
    <row r="962" ht="13.5" customHeight="1">
      <c r="B962" s="98"/>
      <c r="C962" s="100"/>
    </row>
    <row r="963" ht="13.5" customHeight="1">
      <c r="B963" s="98"/>
      <c r="C963" s="100"/>
    </row>
    <row r="964" ht="13.5" customHeight="1">
      <c r="B964" s="98"/>
      <c r="C964" s="100"/>
    </row>
    <row r="965" ht="13.5" customHeight="1">
      <c r="B965" s="98"/>
      <c r="C965" s="100"/>
    </row>
    <row r="966" ht="13.5" customHeight="1">
      <c r="B966" s="98"/>
      <c r="C966" s="100"/>
    </row>
    <row r="967" ht="13.5" customHeight="1">
      <c r="B967" s="98"/>
      <c r="C967" s="100"/>
    </row>
    <row r="968" ht="13.5" customHeight="1">
      <c r="B968" s="98"/>
      <c r="C968" s="100"/>
    </row>
    <row r="969" ht="13.5" customHeight="1">
      <c r="B969" s="98"/>
      <c r="C969" s="100"/>
    </row>
    <row r="970" ht="13.5" customHeight="1">
      <c r="B970" s="98"/>
      <c r="C970" s="100"/>
    </row>
    <row r="971" ht="13.5" customHeight="1">
      <c r="B971" s="98"/>
      <c r="C971" s="100"/>
    </row>
    <row r="972" ht="13.5" customHeight="1">
      <c r="B972" s="98"/>
      <c r="C972" s="100"/>
    </row>
    <row r="973" ht="13.5" customHeight="1">
      <c r="B973" s="98"/>
      <c r="C973" s="100"/>
    </row>
    <row r="974" ht="13.5" customHeight="1">
      <c r="B974" s="98"/>
      <c r="C974" s="100"/>
    </row>
    <row r="975" ht="13.5" customHeight="1">
      <c r="B975" s="98"/>
      <c r="C975" s="100"/>
    </row>
    <row r="976" ht="13.5" customHeight="1">
      <c r="B976" s="98"/>
      <c r="C976" s="100"/>
    </row>
    <row r="977" ht="13.5" customHeight="1">
      <c r="B977" s="98"/>
      <c r="C977" s="100"/>
    </row>
    <row r="978" ht="13.5" customHeight="1">
      <c r="B978" s="98"/>
      <c r="C978" s="100"/>
    </row>
    <row r="979" ht="13.5" customHeight="1">
      <c r="B979" s="98"/>
      <c r="C979" s="100"/>
    </row>
    <row r="980" ht="13.5" customHeight="1">
      <c r="B980" s="98"/>
      <c r="C980" s="100"/>
    </row>
    <row r="981" ht="13.5" customHeight="1">
      <c r="B981" s="98"/>
      <c r="C981" s="100"/>
    </row>
    <row r="982" ht="13.5" customHeight="1">
      <c r="B982" s="98"/>
      <c r="C982" s="100"/>
    </row>
    <row r="983" ht="13.5" customHeight="1">
      <c r="B983" s="98"/>
      <c r="C983" s="100"/>
    </row>
    <row r="984" ht="13.5" customHeight="1">
      <c r="B984" s="98"/>
      <c r="C984" s="100"/>
    </row>
    <row r="985" ht="13.5" customHeight="1">
      <c r="B985" s="98"/>
      <c r="C985" s="100"/>
    </row>
    <row r="986" ht="13.5" customHeight="1">
      <c r="B986" s="98"/>
      <c r="C986" s="100"/>
    </row>
    <row r="987" ht="13.5" customHeight="1">
      <c r="B987" s="98"/>
      <c r="C987" s="100"/>
    </row>
    <row r="988" ht="13.5" customHeight="1">
      <c r="B988" s="98"/>
      <c r="C988" s="100"/>
    </row>
    <row r="989" ht="13.5" customHeight="1">
      <c r="B989" s="98"/>
      <c r="C989" s="100"/>
    </row>
    <row r="990" ht="13.5" customHeight="1">
      <c r="B990" s="98"/>
      <c r="C990" s="100"/>
    </row>
    <row r="991" ht="13.5" customHeight="1">
      <c r="B991" s="98"/>
      <c r="C991" s="100"/>
    </row>
    <row r="992" ht="13.5" customHeight="1">
      <c r="B992" s="98"/>
      <c r="C992" s="100"/>
    </row>
    <row r="993" ht="13.5" customHeight="1">
      <c r="B993" s="98"/>
      <c r="C993" s="100"/>
    </row>
    <row r="994" ht="13.5" customHeight="1">
      <c r="B994" s="98"/>
      <c r="C994" s="100"/>
    </row>
    <row r="995" ht="13.5" customHeight="1">
      <c r="B995" s="98"/>
      <c r="C995" s="100"/>
    </row>
    <row r="996" ht="13.5" customHeight="1">
      <c r="B996" s="98"/>
      <c r="C996" s="100"/>
    </row>
    <row r="997" ht="13.5" customHeight="1">
      <c r="B997" s="98"/>
      <c r="C997" s="100"/>
    </row>
    <row r="998" ht="13.5" customHeight="1">
      <c r="B998" s="98"/>
      <c r="C998" s="100"/>
    </row>
    <row r="999" ht="13.5" customHeight="1">
      <c r="B999" s="98"/>
      <c r="C999" s="100"/>
    </row>
    <row r="1000" ht="13.5" customHeight="1">
      <c r="B1000" s="98"/>
      <c r="C1000" s="100"/>
    </row>
  </sheetData>
  <mergeCells count="182">
    <mergeCell ref="S9:T9"/>
    <mergeCell ref="U9:V9"/>
    <mergeCell ref="X9:Y9"/>
    <mergeCell ref="Z9:AA9"/>
    <mergeCell ref="B1:AD1"/>
    <mergeCell ref="B2:AD2"/>
    <mergeCell ref="C7:AD8"/>
    <mergeCell ref="D9:E9"/>
    <mergeCell ref="F9:G9"/>
    <mergeCell ref="I9:J9"/>
    <mergeCell ref="K9:L9"/>
    <mergeCell ref="AC9:AD9"/>
    <mergeCell ref="P12:P13"/>
    <mergeCell ref="Q12:Q13"/>
    <mergeCell ref="U12:U13"/>
    <mergeCell ref="V12:V13"/>
    <mergeCell ref="Z12:Z13"/>
    <mergeCell ref="AA12:AA13"/>
    <mergeCell ref="AC12:AC13"/>
    <mergeCell ref="AD12:AD13"/>
    <mergeCell ref="F12:F13"/>
    <mergeCell ref="F15:F16"/>
    <mergeCell ref="B18:B19"/>
    <mergeCell ref="F18:F19"/>
    <mergeCell ref="G18:G19"/>
    <mergeCell ref="L15:L16"/>
    <mergeCell ref="P15:P16"/>
    <mergeCell ref="U15:U16"/>
    <mergeCell ref="V15:V16"/>
    <mergeCell ref="Z15:Z16"/>
    <mergeCell ref="AA15:AA16"/>
    <mergeCell ref="AC15:AC16"/>
    <mergeCell ref="AD15:AD16"/>
    <mergeCell ref="V18:V19"/>
    <mergeCell ref="Z18:Z19"/>
    <mergeCell ref="AA18:AA19"/>
    <mergeCell ref="AC18:AC19"/>
    <mergeCell ref="AD18:AD19"/>
    <mergeCell ref="K21:K22"/>
    <mergeCell ref="K24:K25"/>
    <mergeCell ref="B15:B16"/>
    <mergeCell ref="B21:B22"/>
    <mergeCell ref="G21:G22"/>
    <mergeCell ref="L21:L22"/>
    <mergeCell ref="B24:B25"/>
    <mergeCell ref="G24:G25"/>
    <mergeCell ref="L24:L25"/>
    <mergeCell ref="U27:U28"/>
    <mergeCell ref="V27:V28"/>
    <mergeCell ref="Z27:Z28"/>
    <mergeCell ref="AA27:AA28"/>
    <mergeCell ref="AC27:AC28"/>
    <mergeCell ref="AD27:AD28"/>
    <mergeCell ref="B27:B28"/>
    <mergeCell ref="G27:G28"/>
    <mergeCell ref="K27:K28"/>
    <mergeCell ref="L27:L28"/>
    <mergeCell ref="P27:P28"/>
    <mergeCell ref="Q27:Q28"/>
    <mergeCell ref="C31:AD32"/>
    <mergeCell ref="K12:K13"/>
    <mergeCell ref="K15:K16"/>
    <mergeCell ref="K18:K19"/>
    <mergeCell ref="L18:L19"/>
    <mergeCell ref="P18:P19"/>
    <mergeCell ref="Q18:Q19"/>
    <mergeCell ref="U18:U19"/>
    <mergeCell ref="N9:O9"/>
    <mergeCell ref="P9:Q9"/>
    <mergeCell ref="B12:B13"/>
    <mergeCell ref="G12:G13"/>
    <mergeCell ref="L12:L13"/>
    <mergeCell ref="G15:G16"/>
    <mergeCell ref="Q15:Q16"/>
    <mergeCell ref="Q21:Q22"/>
    <mergeCell ref="U21:U22"/>
    <mergeCell ref="V21:V22"/>
    <mergeCell ref="Z21:Z22"/>
    <mergeCell ref="AA21:AA22"/>
    <mergeCell ref="AC21:AC22"/>
    <mergeCell ref="AD21:AD22"/>
    <mergeCell ref="F21:F22"/>
    <mergeCell ref="F24:F25"/>
    <mergeCell ref="AC24:AC25"/>
    <mergeCell ref="AD24:AD25"/>
    <mergeCell ref="P21:P22"/>
    <mergeCell ref="P24:P25"/>
    <mergeCell ref="Q24:Q25"/>
    <mergeCell ref="U24:U25"/>
    <mergeCell ref="V24:V25"/>
    <mergeCell ref="Z24:Z25"/>
    <mergeCell ref="AA24:AA25"/>
    <mergeCell ref="S33:T33"/>
    <mergeCell ref="U33:V33"/>
    <mergeCell ref="X33:Y33"/>
    <mergeCell ref="Z33:AA33"/>
    <mergeCell ref="AC33:AD33"/>
    <mergeCell ref="Q39:Q40"/>
    <mergeCell ref="U39:U40"/>
    <mergeCell ref="V39:V40"/>
    <mergeCell ref="Z39:Z40"/>
    <mergeCell ref="AA39:AA40"/>
    <mergeCell ref="AC39:AC40"/>
    <mergeCell ref="AD39:AD40"/>
    <mergeCell ref="P36:P37"/>
    <mergeCell ref="P39:P40"/>
    <mergeCell ref="P42:P43"/>
    <mergeCell ref="Q42:Q43"/>
    <mergeCell ref="U42:U43"/>
    <mergeCell ref="V42:V43"/>
    <mergeCell ref="Z42:Z43"/>
    <mergeCell ref="F36:F37"/>
    <mergeCell ref="F39:F40"/>
    <mergeCell ref="B42:B43"/>
    <mergeCell ref="F42:F43"/>
    <mergeCell ref="G42:G43"/>
    <mergeCell ref="F45:F46"/>
    <mergeCell ref="G45:G46"/>
    <mergeCell ref="P51:P52"/>
    <mergeCell ref="Q51:Q52"/>
    <mergeCell ref="U51:U52"/>
    <mergeCell ref="V51:V52"/>
    <mergeCell ref="Z51:Z52"/>
    <mergeCell ref="AA51:AA52"/>
    <mergeCell ref="AC51:AC52"/>
    <mergeCell ref="AD51:AD52"/>
    <mergeCell ref="B45:B46"/>
    <mergeCell ref="B48:B49"/>
    <mergeCell ref="B51:B52"/>
    <mergeCell ref="F51:F52"/>
    <mergeCell ref="G51:G52"/>
    <mergeCell ref="K51:K52"/>
    <mergeCell ref="L51:L52"/>
    <mergeCell ref="F27:F28"/>
    <mergeCell ref="D33:E33"/>
    <mergeCell ref="F33:G33"/>
    <mergeCell ref="I33:J33"/>
    <mergeCell ref="K33:L33"/>
    <mergeCell ref="N33:O33"/>
    <mergeCell ref="P33:Q33"/>
    <mergeCell ref="U36:U37"/>
    <mergeCell ref="V36:V37"/>
    <mergeCell ref="Z36:Z37"/>
    <mergeCell ref="AA36:AA37"/>
    <mergeCell ref="AC36:AC37"/>
    <mergeCell ref="AD36:AD37"/>
    <mergeCell ref="K36:K37"/>
    <mergeCell ref="K39:K40"/>
    <mergeCell ref="K42:K43"/>
    <mergeCell ref="L42:L43"/>
    <mergeCell ref="K45:K46"/>
    <mergeCell ref="L45:L46"/>
    <mergeCell ref="K48:K49"/>
    <mergeCell ref="L48:L49"/>
    <mergeCell ref="B36:B37"/>
    <mergeCell ref="G36:G37"/>
    <mergeCell ref="L36:L37"/>
    <mergeCell ref="Q36:Q37"/>
    <mergeCell ref="B39:B40"/>
    <mergeCell ref="G39:G40"/>
    <mergeCell ref="L39:L40"/>
    <mergeCell ref="AA42:AA43"/>
    <mergeCell ref="AC42:AC43"/>
    <mergeCell ref="AD42:AD43"/>
    <mergeCell ref="P45:P46"/>
    <mergeCell ref="Q45:Q46"/>
    <mergeCell ref="U45:U46"/>
    <mergeCell ref="V45:V46"/>
    <mergeCell ref="Z45:Z46"/>
    <mergeCell ref="AA45:AA46"/>
    <mergeCell ref="AC45:AC46"/>
    <mergeCell ref="AD45:AD46"/>
    <mergeCell ref="AA48:AA49"/>
    <mergeCell ref="AC48:AC49"/>
    <mergeCell ref="AD48:AD49"/>
    <mergeCell ref="F48:F49"/>
    <mergeCell ref="G48:G49"/>
    <mergeCell ref="P48:P49"/>
    <mergeCell ref="Q48:Q49"/>
    <mergeCell ref="U48:U49"/>
    <mergeCell ref="V48:V49"/>
    <mergeCell ref="Z48:Z4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3" width="5.63"/>
    <col customWidth="1" min="14" max="15" width="9.13"/>
    <col customWidth="1" min="16" max="26" width="8.0"/>
  </cols>
  <sheetData>
    <row r="1" ht="12.75" customHeight="1">
      <c r="A1" s="187"/>
      <c r="B1" s="187"/>
      <c r="C1" s="188" t="s">
        <v>193</v>
      </c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</row>
    <row r="2" ht="12.75" customHeight="1">
      <c r="A2" s="187"/>
      <c r="B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</row>
    <row r="3" ht="12.75" customHeight="1">
      <c r="A3" s="187"/>
      <c r="B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</row>
    <row r="4" ht="12.75" customHeight="1">
      <c r="A4" s="187"/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</row>
    <row r="5" ht="13.5" customHeight="1">
      <c r="A5" s="187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</row>
    <row r="6" ht="20.25" customHeight="1">
      <c r="A6" s="187"/>
      <c r="B6" s="187"/>
      <c r="C6" s="189" t="s">
        <v>194</v>
      </c>
      <c r="D6" s="103"/>
      <c r="E6" s="103"/>
      <c r="F6" s="103"/>
      <c r="G6" s="103"/>
      <c r="H6" s="103"/>
      <c r="I6" s="103"/>
      <c r="J6" s="103"/>
      <c r="K6" s="103"/>
      <c r="L6" s="103"/>
      <c r="M6" s="104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</row>
    <row r="7" ht="4.5" customHeight="1">
      <c r="A7" s="187"/>
      <c r="B7" s="187"/>
      <c r="C7" s="190"/>
      <c r="D7" s="191"/>
      <c r="E7" s="191"/>
      <c r="F7" s="191"/>
      <c r="G7" s="191"/>
      <c r="H7" s="191"/>
      <c r="I7" s="191"/>
      <c r="J7" s="191"/>
      <c r="K7" s="191"/>
      <c r="L7" s="191"/>
      <c r="M7" s="192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</row>
    <row r="8" ht="4.5" customHeight="1">
      <c r="A8" s="187"/>
      <c r="B8" s="187"/>
      <c r="C8" s="193"/>
      <c r="D8" s="194"/>
      <c r="E8" s="194"/>
      <c r="F8" s="194"/>
      <c r="G8" s="194"/>
      <c r="H8" s="194"/>
      <c r="I8" s="194"/>
      <c r="J8" s="194"/>
      <c r="K8" s="194"/>
      <c r="L8" s="194"/>
      <c r="M8" s="195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</row>
    <row r="9" ht="12.75" customHeight="1">
      <c r="A9" s="187"/>
      <c r="B9" s="187"/>
      <c r="C9" s="196" t="s">
        <v>195</v>
      </c>
      <c r="D9" s="191"/>
      <c r="E9" s="191"/>
      <c r="F9" s="191"/>
      <c r="G9" s="191"/>
      <c r="H9" s="191"/>
      <c r="I9" s="191"/>
      <c r="J9" s="191"/>
      <c r="K9" s="191"/>
      <c r="L9" s="191"/>
      <c r="M9" s="192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</row>
    <row r="10" ht="12.75" customHeight="1">
      <c r="A10" s="187"/>
      <c r="B10" s="187"/>
      <c r="C10" s="193"/>
      <c r="D10" s="194"/>
      <c r="E10" s="194"/>
      <c r="F10" s="194"/>
      <c r="G10" s="194"/>
      <c r="H10" s="194"/>
      <c r="I10" s="194"/>
      <c r="J10" s="194"/>
      <c r="K10" s="194"/>
      <c r="L10" s="194"/>
      <c r="M10" s="195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</row>
    <row r="11" ht="19.5" customHeight="1">
      <c r="A11" s="187"/>
      <c r="B11" s="187"/>
      <c r="C11" s="197" t="s">
        <v>196</v>
      </c>
      <c r="D11" s="198" t="s">
        <v>197</v>
      </c>
      <c r="E11" s="199" t="s">
        <v>177</v>
      </c>
      <c r="F11" s="200"/>
      <c r="G11" s="198" t="s">
        <v>198</v>
      </c>
      <c r="H11" s="199" t="s">
        <v>181</v>
      </c>
      <c r="I11" s="200"/>
      <c r="J11" s="201" t="s">
        <v>199</v>
      </c>
      <c r="K11" s="200"/>
      <c r="L11" s="201" t="s">
        <v>200</v>
      </c>
      <c r="M11" s="202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</row>
    <row r="12" ht="12.75" customHeight="1">
      <c r="A12" s="187"/>
      <c r="B12" s="187"/>
      <c r="C12" s="203"/>
      <c r="M12" s="204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</row>
    <row r="13" ht="13.5" customHeight="1">
      <c r="A13" s="187"/>
      <c r="B13" s="187"/>
      <c r="C13" s="205" t="s">
        <v>201</v>
      </c>
      <c r="D13" s="206" t="s">
        <v>202</v>
      </c>
      <c r="E13" s="207" t="s">
        <v>98</v>
      </c>
      <c r="F13" s="207" t="s">
        <v>104</v>
      </c>
      <c r="G13" s="208" t="s">
        <v>198</v>
      </c>
      <c r="H13" s="207" t="s">
        <v>100</v>
      </c>
      <c r="I13" s="207" t="s">
        <v>203</v>
      </c>
      <c r="J13" s="209">
        <v>6.0</v>
      </c>
      <c r="K13" s="210">
        <v>4.0</v>
      </c>
      <c r="L13" s="211">
        <f>IF(AND(J13&gt;K13,J14&gt;K14),2,IF(J13&gt;K13,1,IF(J14&gt;K14,1,0)))</f>
        <v>1</v>
      </c>
      <c r="M13" s="211">
        <f>IF(AND(K13&gt;J13,K14&gt;J14),2,IF(K13&gt;J13,1,IF(K14&gt;J14,1,0)))</f>
        <v>1</v>
      </c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</row>
    <row r="14" ht="12.75" customHeight="1">
      <c r="A14" s="187"/>
      <c r="B14" s="187"/>
      <c r="C14" s="212"/>
      <c r="D14" s="213"/>
      <c r="E14" s="213"/>
      <c r="F14" s="213"/>
      <c r="G14" s="213"/>
      <c r="H14" s="213"/>
      <c r="I14" s="213"/>
      <c r="J14" s="214">
        <v>2.0</v>
      </c>
      <c r="K14" s="215">
        <v>6.0</v>
      </c>
      <c r="L14" s="213"/>
      <c r="M14" s="213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</row>
    <row r="15" ht="4.5" customHeight="1">
      <c r="A15" s="187"/>
      <c r="B15" s="187"/>
      <c r="C15" s="216"/>
      <c r="D15" s="23"/>
      <c r="E15" s="23"/>
      <c r="F15" s="23"/>
      <c r="G15" s="23"/>
      <c r="H15" s="23"/>
      <c r="I15" s="23"/>
      <c r="J15" s="23"/>
      <c r="K15" s="23"/>
      <c r="L15" s="23"/>
      <c r="M15" s="202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</row>
    <row r="16" ht="12.75" customHeight="1">
      <c r="A16" s="187"/>
      <c r="B16" s="187"/>
      <c r="C16" s="205" t="s">
        <v>204</v>
      </c>
      <c r="D16" s="206" t="s">
        <v>205</v>
      </c>
      <c r="E16" s="207" t="s">
        <v>115</v>
      </c>
      <c r="F16" s="207" t="s">
        <v>126</v>
      </c>
      <c r="G16" s="208" t="s">
        <v>198</v>
      </c>
      <c r="H16" s="207" t="s">
        <v>117</v>
      </c>
      <c r="I16" s="207" t="s">
        <v>128</v>
      </c>
      <c r="J16" s="209">
        <v>5.0</v>
      </c>
      <c r="K16" s="210">
        <v>7.0</v>
      </c>
      <c r="L16" s="211">
        <f>IF(AND(J16&gt;K16,J17&gt;K17),2,IF(J16&gt;K16,1,IF(J17&gt;K17,1,0)))</f>
        <v>0</v>
      </c>
      <c r="M16" s="211">
        <f>IF(AND(K16&gt;J16,K17&gt;J17),2,IF(K16&gt;J16,1,IF(K17&gt;J17,1,0)))</f>
        <v>2</v>
      </c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</row>
    <row r="17" ht="12.75" customHeight="1">
      <c r="A17" s="187"/>
      <c r="B17" s="187"/>
      <c r="C17" s="212"/>
      <c r="D17" s="213"/>
      <c r="E17" s="213"/>
      <c r="F17" s="213"/>
      <c r="G17" s="213"/>
      <c r="H17" s="213"/>
      <c r="I17" s="213"/>
      <c r="J17" s="214">
        <v>0.0</v>
      </c>
      <c r="K17" s="215">
        <v>6.0</v>
      </c>
      <c r="L17" s="213"/>
      <c r="M17" s="213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</row>
    <row r="18" ht="4.5" customHeight="1">
      <c r="A18" s="187"/>
      <c r="B18" s="187"/>
      <c r="C18" s="217"/>
      <c r="D18" s="23"/>
      <c r="E18" s="23"/>
      <c r="F18" s="23"/>
      <c r="G18" s="23"/>
      <c r="H18" s="23"/>
      <c r="I18" s="23"/>
      <c r="J18" s="23"/>
      <c r="K18" s="23"/>
      <c r="L18" s="23"/>
      <c r="M18" s="202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</row>
    <row r="19" ht="12.75" customHeight="1">
      <c r="A19" s="187"/>
      <c r="B19" s="187"/>
      <c r="C19" s="205" t="s">
        <v>206</v>
      </c>
      <c r="D19" s="206" t="s">
        <v>207</v>
      </c>
      <c r="E19" s="207" t="s">
        <v>17</v>
      </c>
      <c r="F19" s="207" t="s">
        <v>24</v>
      </c>
      <c r="G19" s="208" t="s">
        <v>198</v>
      </c>
      <c r="H19" s="207" t="s">
        <v>19</v>
      </c>
      <c r="I19" s="207" t="s">
        <v>26</v>
      </c>
      <c r="J19" s="209">
        <v>6.0</v>
      </c>
      <c r="K19" s="210">
        <v>0.0</v>
      </c>
      <c r="L19" s="211">
        <f>IF(AND(J19&gt;K19,J20&gt;K20),2,IF(J19&gt;K19,1,IF(J20&gt;K20,1,0)))</f>
        <v>2</v>
      </c>
      <c r="M19" s="211">
        <f>IF(AND(K19&gt;J19,K20&gt;J20),2,IF(K19&gt;J19,1,IF(K20&gt;J20,1,0)))</f>
        <v>0</v>
      </c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</row>
    <row r="20" ht="12.75" customHeight="1">
      <c r="A20" s="187"/>
      <c r="B20" s="187"/>
      <c r="C20" s="212"/>
      <c r="D20" s="213"/>
      <c r="E20" s="213"/>
      <c r="F20" s="213"/>
      <c r="G20" s="213"/>
      <c r="H20" s="213"/>
      <c r="I20" s="213"/>
      <c r="J20" s="214">
        <v>6.0</v>
      </c>
      <c r="K20" s="215">
        <v>2.0</v>
      </c>
      <c r="L20" s="213"/>
      <c r="M20" s="213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</row>
    <row r="21" ht="4.5" customHeight="1">
      <c r="A21" s="187"/>
      <c r="B21" s="187"/>
      <c r="C21" s="217"/>
      <c r="D21" s="23"/>
      <c r="E21" s="23"/>
      <c r="F21" s="23"/>
      <c r="G21" s="23"/>
      <c r="H21" s="23"/>
      <c r="I21" s="23"/>
      <c r="J21" s="23"/>
      <c r="K21" s="23"/>
      <c r="L21" s="23"/>
      <c r="M21" s="202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</row>
    <row r="22" ht="12.75" customHeight="1">
      <c r="A22" s="187"/>
      <c r="B22" s="187"/>
      <c r="C22" s="218" t="s">
        <v>208</v>
      </c>
      <c r="D22" s="206" t="s">
        <v>209</v>
      </c>
      <c r="E22" s="207" t="s">
        <v>132</v>
      </c>
      <c r="F22" s="207" t="s">
        <v>138</v>
      </c>
      <c r="G22" s="219" t="s">
        <v>198</v>
      </c>
      <c r="H22" s="207" t="s">
        <v>140</v>
      </c>
      <c r="I22" s="207" t="s">
        <v>146</v>
      </c>
      <c r="J22" s="209">
        <v>6.0</v>
      </c>
      <c r="K22" s="210">
        <v>0.0</v>
      </c>
      <c r="L22" s="211">
        <f>IF(AND(J22&gt;K22,J23&gt;K23),2,IF(J22&gt;K22,1,IF(J23&gt;K23,1,0)))</f>
        <v>2</v>
      </c>
      <c r="M22" s="211">
        <f>IF(AND(K22&gt;J22,K23&gt;J23),2,IF(K22&gt;J22,1,IF(K23&gt;J23,1,0)))</f>
        <v>0</v>
      </c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</row>
    <row r="23" ht="12.75" customHeight="1">
      <c r="A23" s="187"/>
      <c r="B23" s="187"/>
      <c r="C23" s="212"/>
      <c r="D23" s="213"/>
      <c r="E23" s="213"/>
      <c r="F23" s="213"/>
      <c r="G23" s="213"/>
      <c r="H23" s="213"/>
      <c r="I23" s="213"/>
      <c r="J23" s="214">
        <v>6.0</v>
      </c>
      <c r="K23" s="215">
        <v>1.0</v>
      </c>
      <c r="L23" s="213"/>
      <c r="M23" s="213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</row>
    <row r="24" ht="4.5" customHeight="1">
      <c r="A24" s="187"/>
      <c r="B24" s="187"/>
      <c r="C24" s="217"/>
      <c r="D24" s="23"/>
      <c r="E24" s="23"/>
      <c r="F24" s="23"/>
      <c r="G24" s="23"/>
      <c r="H24" s="23"/>
      <c r="I24" s="23"/>
      <c r="J24" s="23"/>
      <c r="K24" s="23"/>
      <c r="L24" s="23"/>
      <c r="M24" s="202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</row>
    <row r="25" ht="12.75" customHeight="1">
      <c r="A25" s="187"/>
      <c r="B25" s="187"/>
      <c r="C25" s="220" t="s">
        <v>210</v>
      </c>
      <c r="D25" s="23"/>
      <c r="E25" s="23"/>
      <c r="F25" s="23"/>
      <c r="G25" s="23"/>
      <c r="H25" s="23"/>
      <c r="I25" s="200"/>
      <c r="J25" s="221">
        <f t="shared" ref="J25:M25" si="1">SUM(J13:J23)</f>
        <v>37</v>
      </c>
      <c r="K25" s="222">
        <f t="shared" si="1"/>
        <v>26</v>
      </c>
      <c r="L25" s="221">
        <f t="shared" si="1"/>
        <v>5</v>
      </c>
      <c r="M25" s="223">
        <f t="shared" si="1"/>
        <v>3</v>
      </c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</row>
    <row r="26" ht="4.5" customHeight="1">
      <c r="A26" s="187"/>
      <c r="B26" s="187"/>
      <c r="C26" s="224"/>
      <c r="D26" s="23"/>
      <c r="E26" s="23"/>
      <c r="F26" s="23"/>
      <c r="G26" s="23"/>
      <c r="H26" s="23"/>
      <c r="I26" s="23"/>
      <c r="J26" s="23"/>
      <c r="K26" s="23"/>
      <c r="L26" s="23"/>
      <c r="M26" s="202"/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</row>
    <row r="27" ht="12.75" customHeight="1">
      <c r="A27" s="187"/>
      <c r="B27" s="187"/>
      <c r="C27" s="225"/>
      <c r="D27" s="23"/>
      <c r="E27" s="23"/>
      <c r="F27" s="23"/>
      <c r="G27" s="23"/>
      <c r="H27" s="23"/>
      <c r="I27" s="23"/>
      <c r="J27" s="23"/>
      <c r="K27" s="23"/>
      <c r="L27" s="23"/>
      <c r="M27" s="202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</row>
    <row r="28" ht="12.75" customHeight="1">
      <c r="A28" s="187"/>
      <c r="B28" s="187"/>
      <c r="C28" s="218" t="s">
        <v>211</v>
      </c>
      <c r="D28" s="206" t="s">
        <v>212</v>
      </c>
      <c r="E28" s="207" t="s">
        <v>37</v>
      </c>
      <c r="F28" s="207" t="s">
        <v>9</v>
      </c>
      <c r="G28" s="208" t="s">
        <v>198</v>
      </c>
      <c r="H28" s="207" t="s">
        <v>39</v>
      </c>
      <c r="I28" s="207" t="s">
        <v>45</v>
      </c>
      <c r="J28" s="209">
        <v>3.0</v>
      </c>
      <c r="K28" s="210">
        <v>6.0</v>
      </c>
      <c r="L28" s="211">
        <f>IF(AND(J28&gt;K28,J29&gt;K29),2,IF(J28&gt;K28,1,IF(J29&gt;K29,1,0)))</f>
        <v>1</v>
      </c>
      <c r="M28" s="211">
        <f>IF(AND(K28&gt;J28,K29&gt;J29),2,IF(K28&gt;J28,1,IF(K29&gt;J29,1,0)))</f>
        <v>1</v>
      </c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</row>
    <row r="29" ht="12.75" customHeight="1">
      <c r="A29" s="187"/>
      <c r="B29" s="187"/>
      <c r="C29" s="212"/>
      <c r="D29" s="213"/>
      <c r="E29" s="213"/>
      <c r="F29" s="213"/>
      <c r="G29" s="213"/>
      <c r="H29" s="213"/>
      <c r="I29" s="213"/>
      <c r="J29" s="214">
        <v>6.0</v>
      </c>
      <c r="K29" s="215">
        <v>1.0</v>
      </c>
      <c r="L29" s="213"/>
      <c r="M29" s="213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</row>
    <row r="30" ht="4.5" customHeight="1">
      <c r="A30" s="187"/>
      <c r="B30" s="187"/>
      <c r="C30" s="216"/>
      <c r="D30" s="23"/>
      <c r="E30" s="23"/>
      <c r="F30" s="23"/>
      <c r="G30" s="23"/>
      <c r="H30" s="23"/>
      <c r="I30" s="23"/>
      <c r="J30" s="23"/>
      <c r="K30" s="23"/>
      <c r="L30" s="23"/>
      <c r="M30" s="202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</row>
    <row r="31" ht="12.75" customHeight="1">
      <c r="A31" s="226"/>
      <c r="B31" s="187"/>
      <c r="C31" s="218" t="s">
        <v>213</v>
      </c>
      <c r="D31" s="206" t="s">
        <v>214</v>
      </c>
      <c r="E31" s="207" t="s">
        <v>77</v>
      </c>
      <c r="F31" s="227" t="s">
        <v>215</v>
      </c>
      <c r="G31" s="208" t="s">
        <v>198</v>
      </c>
      <c r="H31" s="207" t="s">
        <v>86</v>
      </c>
      <c r="I31" s="207" t="s">
        <v>93</v>
      </c>
      <c r="J31" s="209">
        <v>4.0</v>
      </c>
      <c r="K31" s="210">
        <v>6.0</v>
      </c>
      <c r="L31" s="211">
        <f>IF(AND(J31&gt;K31,J32&gt;K32),2,IF(J31&gt;K31,1,IF(J32&gt;K32,1,0)))</f>
        <v>0</v>
      </c>
      <c r="M31" s="211">
        <f>IF(AND(K31&gt;J31,K32&gt;J32),2,IF(K31&gt;J31,1,IF(K32&gt;J32,1,0)))</f>
        <v>2</v>
      </c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</row>
    <row r="32" ht="12.75" customHeight="1">
      <c r="A32" s="226"/>
      <c r="B32" s="187"/>
      <c r="C32" s="212"/>
      <c r="D32" s="213"/>
      <c r="E32" s="213"/>
      <c r="F32" s="213"/>
      <c r="G32" s="213"/>
      <c r="H32" s="213"/>
      <c r="I32" s="213"/>
      <c r="J32" s="214">
        <v>5.0</v>
      </c>
      <c r="K32" s="215">
        <v>7.0</v>
      </c>
      <c r="L32" s="213"/>
      <c r="M32" s="213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</row>
    <row r="33" ht="4.5" customHeight="1">
      <c r="A33" s="187"/>
      <c r="B33" s="187"/>
      <c r="C33" s="217"/>
      <c r="D33" s="23"/>
      <c r="E33" s="23"/>
      <c r="F33" s="23"/>
      <c r="G33" s="23"/>
      <c r="H33" s="23"/>
      <c r="I33" s="23"/>
      <c r="J33" s="23"/>
      <c r="K33" s="23"/>
      <c r="L33" s="23"/>
      <c r="M33" s="202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</row>
    <row r="34" ht="12.75" customHeight="1">
      <c r="A34" s="187"/>
      <c r="B34" s="187"/>
      <c r="C34" s="218" t="s">
        <v>208</v>
      </c>
      <c r="D34" s="206" t="s">
        <v>216</v>
      </c>
      <c r="E34" s="207" t="s">
        <v>57</v>
      </c>
      <c r="F34" s="207" t="s">
        <v>64</v>
      </c>
      <c r="G34" s="208" t="s">
        <v>198</v>
      </c>
      <c r="H34" s="207" t="s">
        <v>66</v>
      </c>
      <c r="I34" s="207" t="s">
        <v>73</v>
      </c>
      <c r="J34" s="209">
        <v>6.0</v>
      </c>
      <c r="K34" s="210">
        <v>4.0</v>
      </c>
      <c r="L34" s="211">
        <f>IF(AND(J34&gt;K34,J35&gt;K35),2,IF(J34&gt;K34,1,IF(J35&gt;K35,1,0)))</f>
        <v>2</v>
      </c>
      <c r="M34" s="211">
        <f>IF(AND(K34&gt;J34,K35&gt;J35),2,IF(K34&gt;J34,1,IF(K35&gt;J35,1,0)))</f>
        <v>0</v>
      </c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</row>
    <row r="35" ht="12.75" customHeight="1">
      <c r="A35" s="187"/>
      <c r="B35" s="187"/>
      <c r="C35" s="212"/>
      <c r="D35" s="213"/>
      <c r="E35" s="213"/>
      <c r="F35" s="213"/>
      <c r="G35" s="213"/>
      <c r="H35" s="213"/>
      <c r="I35" s="213"/>
      <c r="J35" s="214">
        <v>6.0</v>
      </c>
      <c r="K35" s="215">
        <v>0.0</v>
      </c>
      <c r="L35" s="213"/>
      <c r="M35" s="213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</row>
    <row r="36" ht="4.5" customHeight="1">
      <c r="A36" s="187"/>
      <c r="B36" s="187"/>
      <c r="C36" s="217"/>
      <c r="D36" s="23"/>
      <c r="E36" s="23"/>
      <c r="F36" s="23"/>
      <c r="G36" s="23"/>
      <c r="H36" s="23"/>
      <c r="I36" s="23"/>
      <c r="J36" s="23"/>
      <c r="K36" s="23"/>
      <c r="L36" s="23"/>
      <c r="M36" s="202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</row>
    <row r="37" ht="4.5" customHeight="1">
      <c r="A37" s="187"/>
      <c r="B37" s="187"/>
      <c r="C37" s="217"/>
      <c r="D37" s="23"/>
      <c r="E37" s="23"/>
      <c r="F37" s="23"/>
      <c r="G37" s="23"/>
      <c r="H37" s="23"/>
      <c r="I37" s="23"/>
      <c r="J37" s="23"/>
      <c r="K37" s="23"/>
      <c r="L37" s="23"/>
      <c r="M37" s="202"/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</row>
    <row r="38" ht="12.75" customHeight="1">
      <c r="A38" s="187"/>
      <c r="B38" s="187"/>
      <c r="C38" s="220" t="s">
        <v>217</v>
      </c>
      <c r="D38" s="23"/>
      <c r="E38" s="23"/>
      <c r="F38" s="23"/>
      <c r="G38" s="23"/>
      <c r="H38" s="23"/>
      <c r="I38" s="200"/>
      <c r="J38" s="221">
        <f t="shared" ref="J38:M38" si="2">SUM(J28:J36)</f>
        <v>30</v>
      </c>
      <c r="K38" s="222">
        <f t="shared" si="2"/>
        <v>24</v>
      </c>
      <c r="L38" s="221">
        <f t="shared" si="2"/>
        <v>3</v>
      </c>
      <c r="M38" s="223">
        <f t="shared" si="2"/>
        <v>3</v>
      </c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</row>
    <row r="39" ht="4.5" customHeight="1">
      <c r="A39" s="187"/>
      <c r="B39" s="187"/>
      <c r="C39" s="224"/>
      <c r="D39" s="23"/>
      <c r="E39" s="23"/>
      <c r="F39" s="23"/>
      <c r="G39" s="23"/>
      <c r="H39" s="23"/>
      <c r="I39" s="23"/>
      <c r="J39" s="23"/>
      <c r="K39" s="23"/>
      <c r="L39" s="23"/>
      <c r="M39" s="202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</row>
    <row r="40" ht="12.75" customHeight="1">
      <c r="A40" s="187"/>
      <c r="B40" s="187"/>
      <c r="C40" s="228" t="s">
        <v>218</v>
      </c>
      <c r="D40" s="23"/>
      <c r="E40" s="23"/>
      <c r="F40" s="23"/>
      <c r="G40" s="23"/>
      <c r="H40" s="23"/>
      <c r="I40" s="200"/>
      <c r="J40" s="229">
        <f t="shared" ref="J40:M40" si="3">J38+J25</f>
        <v>67</v>
      </c>
      <c r="K40" s="230">
        <f t="shared" si="3"/>
        <v>50</v>
      </c>
      <c r="L40" s="231">
        <f t="shared" si="3"/>
        <v>8</v>
      </c>
      <c r="M40" s="232">
        <f t="shared" si="3"/>
        <v>6</v>
      </c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</row>
    <row r="41" ht="6.75" customHeight="1">
      <c r="A41" s="187"/>
      <c r="B41" s="187"/>
      <c r="C41" s="233"/>
      <c r="D41" s="23"/>
      <c r="E41" s="23"/>
      <c r="F41" s="23"/>
      <c r="G41" s="23"/>
      <c r="H41" s="23"/>
      <c r="I41" s="23"/>
      <c r="J41" s="23"/>
      <c r="K41" s="23"/>
      <c r="L41" s="23"/>
      <c r="M41" s="202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</row>
    <row r="42" ht="7.5" customHeight="1">
      <c r="A42" s="187"/>
      <c r="B42" s="187"/>
      <c r="C42" s="196" t="s">
        <v>219</v>
      </c>
      <c r="D42" s="191"/>
      <c r="E42" s="191"/>
      <c r="F42" s="191"/>
      <c r="G42" s="191"/>
      <c r="H42" s="191"/>
      <c r="I42" s="191"/>
      <c r="J42" s="191"/>
      <c r="K42" s="191"/>
      <c r="L42" s="191"/>
      <c r="M42" s="192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</row>
    <row r="43" ht="12.75" customHeight="1">
      <c r="A43" s="187"/>
      <c r="B43" s="187"/>
      <c r="C43" s="193"/>
      <c r="D43" s="194"/>
      <c r="E43" s="194"/>
      <c r="F43" s="194"/>
      <c r="G43" s="194"/>
      <c r="H43" s="194"/>
      <c r="I43" s="194"/>
      <c r="J43" s="194"/>
      <c r="K43" s="194"/>
      <c r="L43" s="194"/>
      <c r="M43" s="195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</row>
    <row r="44" ht="26.25" customHeight="1">
      <c r="A44" s="187"/>
      <c r="B44" s="187"/>
      <c r="C44" s="197" t="s">
        <v>196</v>
      </c>
      <c r="D44" s="198" t="s">
        <v>197</v>
      </c>
      <c r="E44" s="199" t="s">
        <v>220</v>
      </c>
      <c r="F44" s="200"/>
      <c r="G44" s="198" t="s">
        <v>198</v>
      </c>
      <c r="H44" s="199" t="s">
        <v>183</v>
      </c>
      <c r="I44" s="200"/>
      <c r="J44" s="201" t="s">
        <v>199</v>
      </c>
      <c r="K44" s="200"/>
      <c r="L44" s="201" t="s">
        <v>200</v>
      </c>
      <c r="M44" s="202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</row>
    <row r="45" ht="12.75" customHeight="1">
      <c r="A45" s="187"/>
      <c r="B45" s="187"/>
      <c r="C45" s="234"/>
      <c r="D45" s="23"/>
      <c r="E45" s="23"/>
      <c r="F45" s="23"/>
      <c r="G45" s="23"/>
      <c r="H45" s="23"/>
      <c r="I45" s="23"/>
      <c r="J45" s="23"/>
      <c r="K45" s="23"/>
      <c r="L45" s="23"/>
      <c r="M45" s="202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</row>
    <row r="46" ht="12.75" customHeight="1">
      <c r="A46" s="187"/>
      <c r="B46" s="187"/>
      <c r="C46" s="205" t="s">
        <v>201</v>
      </c>
      <c r="D46" s="206" t="s">
        <v>202</v>
      </c>
      <c r="E46" s="207" t="s">
        <v>107</v>
      </c>
      <c r="F46" s="207" t="s">
        <v>221</v>
      </c>
      <c r="G46" s="208" t="s">
        <v>198</v>
      </c>
      <c r="H46" s="207" t="s">
        <v>108</v>
      </c>
      <c r="I46" s="207" t="s">
        <v>113</v>
      </c>
      <c r="J46" s="209">
        <v>6.0</v>
      </c>
      <c r="K46" s="210">
        <v>4.0</v>
      </c>
      <c r="L46" s="211">
        <f>IF(AND(J46&gt;K46,J47&gt;K47),2,IF(J46&gt;K46,1,IF(J47&gt;K47,1,0)))</f>
        <v>2</v>
      </c>
      <c r="M46" s="211">
        <f>IF(AND(K46&gt;J46,K47&gt;J47),2,IF(K46&gt;J46,1,IF(K47&gt;J47,1,0)))</f>
        <v>0</v>
      </c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</row>
    <row r="47" ht="12.75" customHeight="1">
      <c r="A47" s="187"/>
      <c r="B47" s="187"/>
      <c r="C47" s="212"/>
      <c r="D47" s="213"/>
      <c r="E47" s="213"/>
      <c r="F47" s="213"/>
      <c r="G47" s="213"/>
      <c r="H47" s="213"/>
      <c r="I47" s="213"/>
      <c r="J47" s="214">
        <v>7.0</v>
      </c>
      <c r="K47" s="215">
        <v>5.0</v>
      </c>
      <c r="L47" s="213"/>
      <c r="M47" s="213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</row>
    <row r="48" ht="4.5" customHeight="1">
      <c r="A48" s="187"/>
      <c r="B48" s="187"/>
      <c r="C48" s="216"/>
      <c r="D48" s="23"/>
      <c r="E48" s="23"/>
      <c r="F48" s="23"/>
      <c r="G48" s="23"/>
      <c r="H48" s="23"/>
      <c r="I48" s="23"/>
      <c r="J48" s="23"/>
      <c r="K48" s="23"/>
      <c r="L48" s="23"/>
      <c r="M48" s="202"/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</row>
    <row r="49" ht="12.75" customHeight="1">
      <c r="A49" s="187"/>
      <c r="B49" s="187"/>
      <c r="C49" s="205" t="s">
        <v>204</v>
      </c>
      <c r="D49" s="206" t="s">
        <v>209</v>
      </c>
      <c r="E49" s="207" t="s">
        <v>135</v>
      </c>
      <c r="F49" s="207" t="s">
        <v>141</v>
      </c>
      <c r="G49" s="208" t="s">
        <v>198</v>
      </c>
      <c r="H49" s="207" t="s">
        <v>142</v>
      </c>
      <c r="I49" s="207" t="s">
        <v>222</v>
      </c>
      <c r="J49" s="209">
        <v>6.0</v>
      </c>
      <c r="K49" s="210">
        <v>4.0</v>
      </c>
      <c r="L49" s="211">
        <f>IF(AND(J49&gt;K49,J50&gt;K50),2,IF(J49&gt;K49,1,IF(J50&gt;K50,1,0)))</f>
        <v>2</v>
      </c>
      <c r="M49" s="211">
        <f>IF(AND(K49&gt;J49,K50&gt;J50),2,IF(K49&gt;J49,1,IF(K50&gt;J50,1,0)))</f>
        <v>0</v>
      </c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 ht="12.75" customHeight="1">
      <c r="A50" s="187"/>
      <c r="B50" s="187"/>
      <c r="C50" s="212"/>
      <c r="D50" s="213"/>
      <c r="E50" s="213"/>
      <c r="F50" s="213"/>
      <c r="G50" s="213"/>
      <c r="H50" s="213"/>
      <c r="I50" s="213"/>
      <c r="J50" s="214">
        <v>6.0</v>
      </c>
      <c r="K50" s="215">
        <v>1.0</v>
      </c>
      <c r="L50" s="213"/>
      <c r="M50" s="213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 ht="4.5" customHeight="1">
      <c r="A51" s="187"/>
      <c r="B51" s="187"/>
      <c r="C51" s="217"/>
      <c r="D51" s="23"/>
      <c r="E51" s="23"/>
      <c r="F51" s="23"/>
      <c r="G51" s="23"/>
      <c r="H51" s="23"/>
      <c r="I51" s="23"/>
      <c r="J51" s="23"/>
      <c r="K51" s="23"/>
      <c r="L51" s="23"/>
      <c r="M51" s="202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 ht="12.75" customHeight="1">
      <c r="A52" s="187"/>
      <c r="B52" s="187"/>
      <c r="C52" s="205" t="s">
        <v>206</v>
      </c>
      <c r="D52" s="206" t="s">
        <v>207</v>
      </c>
      <c r="E52" s="207" t="s">
        <v>20</v>
      </c>
      <c r="F52" s="207" t="s">
        <v>33</v>
      </c>
      <c r="G52" s="208" t="s">
        <v>198</v>
      </c>
      <c r="H52" s="207" t="s">
        <v>21</v>
      </c>
      <c r="I52" s="207" t="s">
        <v>28</v>
      </c>
      <c r="J52" s="209">
        <v>6.0</v>
      </c>
      <c r="K52" s="210">
        <v>4.0</v>
      </c>
      <c r="L52" s="211">
        <f>IF(AND(J52&gt;K52,J53&gt;K53),2,IF(J52&gt;K52,1,IF(J53&gt;K53,1,0)))</f>
        <v>1</v>
      </c>
      <c r="M52" s="211">
        <f>IF(AND(K52&gt;J52,K53&gt;J53),2,IF(K52&gt;J52,1,IF(K53&gt;J53,1,0)))</f>
        <v>1</v>
      </c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 ht="12.75" customHeight="1">
      <c r="A53" s="187"/>
      <c r="B53" s="187"/>
      <c r="C53" s="212"/>
      <c r="D53" s="213"/>
      <c r="E53" s="213"/>
      <c r="F53" s="213"/>
      <c r="G53" s="213"/>
      <c r="H53" s="213"/>
      <c r="I53" s="213"/>
      <c r="J53" s="214">
        <v>4.0</v>
      </c>
      <c r="K53" s="215">
        <v>6.0</v>
      </c>
      <c r="L53" s="213"/>
      <c r="M53" s="213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  <row r="54" ht="4.5" customHeight="1">
      <c r="A54" s="187"/>
      <c r="B54" s="187"/>
      <c r="C54" s="217"/>
      <c r="D54" s="23"/>
      <c r="E54" s="23"/>
      <c r="F54" s="23"/>
      <c r="G54" s="23"/>
      <c r="H54" s="23"/>
      <c r="I54" s="23"/>
      <c r="J54" s="23"/>
      <c r="K54" s="23"/>
      <c r="L54" s="23"/>
      <c r="M54" s="202"/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</row>
    <row r="55" ht="12.75" customHeight="1">
      <c r="A55" s="187"/>
      <c r="B55" s="187"/>
      <c r="C55" s="205" t="s">
        <v>204</v>
      </c>
      <c r="D55" s="235" t="s">
        <v>205</v>
      </c>
      <c r="E55" s="207" t="s">
        <v>118</v>
      </c>
      <c r="F55" s="207" t="s">
        <v>129</v>
      </c>
      <c r="G55" s="219" t="s">
        <v>198</v>
      </c>
      <c r="H55" s="207" t="s">
        <v>119</v>
      </c>
      <c r="I55" s="207" t="s">
        <v>124</v>
      </c>
      <c r="J55" s="209">
        <v>3.0</v>
      </c>
      <c r="K55" s="210">
        <v>6.0</v>
      </c>
      <c r="L55" s="211">
        <f>IF(AND(J55&gt;K55,J56&gt;K56),2,IF(J55&gt;K55,1,IF(J56&gt;K56,1,0)))</f>
        <v>0</v>
      </c>
      <c r="M55" s="211">
        <f>IF(AND(K55&gt;J55,K56&gt;J56),2,IF(K55&gt;J55,1,IF(K56&gt;J56,1,0)))</f>
        <v>2</v>
      </c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</row>
    <row r="56" ht="12.75" customHeight="1">
      <c r="A56" s="187"/>
      <c r="B56" s="187"/>
      <c r="C56" s="212"/>
      <c r="D56" s="213"/>
      <c r="E56" s="213"/>
      <c r="F56" s="213"/>
      <c r="G56" s="213"/>
      <c r="H56" s="213"/>
      <c r="I56" s="213"/>
      <c r="J56" s="214">
        <v>3.0</v>
      </c>
      <c r="K56" s="215">
        <v>6.0</v>
      </c>
      <c r="L56" s="213"/>
      <c r="M56" s="213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</row>
    <row r="57" ht="4.5" customHeight="1">
      <c r="A57" s="187"/>
      <c r="B57" s="187"/>
      <c r="C57" s="217"/>
      <c r="D57" s="23"/>
      <c r="E57" s="23"/>
      <c r="F57" s="23"/>
      <c r="G57" s="23"/>
      <c r="H57" s="23"/>
      <c r="I57" s="23"/>
      <c r="J57" s="23"/>
      <c r="K57" s="23"/>
      <c r="L57" s="23"/>
      <c r="M57" s="202"/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</row>
    <row r="58" ht="12.75" customHeight="1">
      <c r="A58" s="187"/>
      <c r="B58" s="187"/>
      <c r="C58" s="220" t="s">
        <v>210</v>
      </c>
      <c r="D58" s="23"/>
      <c r="E58" s="23"/>
      <c r="F58" s="23"/>
      <c r="G58" s="23"/>
      <c r="H58" s="23"/>
      <c r="I58" s="200"/>
      <c r="J58" s="221">
        <f t="shared" ref="J58:M58" si="4">SUM(J46:J56)</f>
        <v>41</v>
      </c>
      <c r="K58" s="222">
        <f t="shared" si="4"/>
        <v>36</v>
      </c>
      <c r="L58" s="221">
        <f t="shared" si="4"/>
        <v>5</v>
      </c>
      <c r="M58" s="223">
        <f t="shared" si="4"/>
        <v>3</v>
      </c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</row>
    <row r="59" ht="4.5" customHeight="1">
      <c r="A59" s="187"/>
      <c r="B59" s="187"/>
      <c r="C59" s="224"/>
      <c r="D59" s="23"/>
      <c r="E59" s="23"/>
      <c r="F59" s="23"/>
      <c r="G59" s="23"/>
      <c r="H59" s="23"/>
      <c r="I59" s="23"/>
      <c r="J59" s="23"/>
      <c r="K59" s="23"/>
      <c r="L59" s="23"/>
      <c r="M59" s="202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</row>
    <row r="60" ht="12.75" customHeight="1">
      <c r="A60" s="187"/>
      <c r="B60" s="187"/>
      <c r="C60" s="225"/>
      <c r="D60" s="23"/>
      <c r="E60" s="23"/>
      <c r="F60" s="23"/>
      <c r="G60" s="23"/>
      <c r="H60" s="23"/>
      <c r="I60" s="23"/>
      <c r="J60" s="23"/>
      <c r="K60" s="23"/>
      <c r="L60" s="23"/>
      <c r="M60" s="202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</row>
    <row r="61" ht="12.75" customHeight="1">
      <c r="A61" s="187"/>
      <c r="B61" s="187"/>
      <c r="C61" s="205" t="s">
        <v>223</v>
      </c>
      <c r="D61" s="206" t="s">
        <v>216</v>
      </c>
      <c r="E61" s="207" t="s">
        <v>67</v>
      </c>
      <c r="F61" s="207" t="s">
        <v>74</v>
      </c>
      <c r="G61" s="208" t="s">
        <v>198</v>
      </c>
      <c r="H61" s="207" t="s">
        <v>68</v>
      </c>
      <c r="I61" s="207" t="s">
        <v>13</v>
      </c>
      <c r="J61" s="209">
        <v>7.0</v>
      </c>
      <c r="K61" s="210">
        <v>6.0</v>
      </c>
      <c r="L61" s="211">
        <f>IF(AND(J61&gt;K61,J62&gt;K62),2,IF(J61&gt;K61,1,IF(J62&gt;K62,1,0)))</f>
        <v>2</v>
      </c>
      <c r="M61" s="211">
        <f>IF(AND(K61&gt;J61,K62&gt;J62),2,IF(K61&gt;J61,1,IF(K62&gt;J62,1,0)))</f>
        <v>0</v>
      </c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</row>
    <row r="62" ht="12.75" customHeight="1">
      <c r="A62" s="187"/>
      <c r="B62" s="187"/>
      <c r="C62" s="212"/>
      <c r="D62" s="213"/>
      <c r="E62" s="213"/>
      <c r="F62" s="213"/>
      <c r="G62" s="213"/>
      <c r="H62" s="213"/>
      <c r="I62" s="213"/>
      <c r="J62" s="214">
        <v>6.0</v>
      </c>
      <c r="K62" s="215">
        <v>3.0</v>
      </c>
      <c r="L62" s="213"/>
      <c r="M62" s="213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</row>
    <row r="63" ht="4.5" customHeight="1">
      <c r="A63" s="187"/>
      <c r="B63" s="187"/>
      <c r="C63" s="216"/>
      <c r="D63" s="23"/>
      <c r="E63" s="23"/>
      <c r="F63" s="23"/>
      <c r="G63" s="23"/>
      <c r="H63" s="23"/>
      <c r="I63" s="23"/>
      <c r="J63" s="23"/>
      <c r="K63" s="23"/>
      <c r="L63" s="23"/>
      <c r="M63" s="202"/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</row>
    <row r="64" ht="12.75" customHeight="1">
      <c r="A64" s="187"/>
      <c r="B64" s="187"/>
      <c r="C64" s="218" t="s">
        <v>213</v>
      </c>
      <c r="D64" s="206" t="s">
        <v>214</v>
      </c>
      <c r="E64" s="207" t="s">
        <v>87</v>
      </c>
      <c r="F64" s="207" t="s">
        <v>94</v>
      </c>
      <c r="G64" s="208" t="s">
        <v>198</v>
      </c>
      <c r="H64" s="207" t="s">
        <v>81</v>
      </c>
      <c r="I64" s="207" t="s">
        <v>88</v>
      </c>
      <c r="J64" s="209">
        <v>6.0</v>
      </c>
      <c r="K64" s="210">
        <v>4.0</v>
      </c>
      <c r="L64" s="211">
        <f>IF(AND(J64&gt;K64,J65&gt;K65),2,IF(J64&gt;K64,1,IF(J65&gt;K65,1,0)))</f>
        <v>1</v>
      </c>
      <c r="M64" s="211">
        <f>IF(AND(K64&gt;J64,K65&gt;J65),2,IF(K64&gt;J64,1,IF(K65&gt;J65,1,0)))</f>
        <v>1</v>
      </c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</row>
    <row r="65" ht="12.75" customHeight="1">
      <c r="A65" s="187"/>
      <c r="B65" s="187"/>
      <c r="C65" s="212"/>
      <c r="D65" s="213"/>
      <c r="E65" s="213"/>
      <c r="F65" s="213"/>
      <c r="G65" s="213"/>
      <c r="H65" s="213"/>
      <c r="I65" s="213"/>
      <c r="J65" s="214">
        <v>4.0</v>
      </c>
      <c r="K65" s="215">
        <v>6.0</v>
      </c>
      <c r="L65" s="213"/>
      <c r="M65" s="213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</row>
    <row r="66" ht="4.5" customHeight="1">
      <c r="A66" s="187"/>
      <c r="B66" s="187"/>
      <c r="C66" s="217"/>
      <c r="D66" s="23"/>
      <c r="E66" s="23"/>
      <c r="F66" s="23"/>
      <c r="G66" s="23"/>
      <c r="H66" s="23"/>
      <c r="I66" s="23"/>
      <c r="J66" s="23"/>
      <c r="K66" s="23"/>
      <c r="L66" s="23"/>
      <c r="M66" s="202"/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</row>
    <row r="67" ht="12.75" customHeight="1">
      <c r="A67" s="187"/>
      <c r="B67" s="187"/>
      <c r="C67" s="218" t="s">
        <v>208</v>
      </c>
      <c r="D67" s="206" t="s">
        <v>212</v>
      </c>
      <c r="E67" s="207" t="s">
        <v>40</v>
      </c>
      <c r="F67" s="207" t="s">
        <v>53</v>
      </c>
      <c r="G67" s="208" t="s">
        <v>198</v>
      </c>
      <c r="H67" s="207" t="s">
        <v>224</v>
      </c>
      <c r="I67" s="207" t="s">
        <v>47</v>
      </c>
      <c r="J67" s="209">
        <v>6.0</v>
      </c>
      <c r="K67" s="210">
        <v>3.0</v>
      </c>
      <c r="L67" s="211">
        <f>IF(AND(J67&gt;K67,J68&gt;K68),2,IF(J67&gt;K67,1,IF(J68&gt;K68,1,0)))</f>
        <v>2</v>
      </c>
      <c r="M67" s="211">
        <f>IF(AND(K67&gt;J67,K68&gt;J68),2,IF(K67&gt;J67,1,IF(K68&gt;J68,1,0)))</f>
        <v>0</v>
      </c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</row>
    <row r="68" ht="12.75" customHeight="1">
      <c r="A68" s="187"/>
      <c r="B68" s="187"/>
      <c r="C68" s="212"/>
      <c r="D68" s="213"/>
      <c r="E68" s="213"/>
      <c r="F68" s="213"/>
      <c r="G68" s="213"/>
      <c r="H68" s="213"/>
      <c r="I68" s="213"/>
      <c r="J68" s="214">
        <v>7.0</v>
      </c>
      <c r="K68" s="215">
        <v>6.0</v>
      </c>
      <c r="L68" s="213"/>
      <c r="M68" s="213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</row>
    <row r="69" ht="4.5" customHeight="1">
      <c r="A69" s="187"/>
      <c r="B69" s="187"/>
      <c r="C69" s="217"/>
      <c r="D69" s="23"/>
      <c r="E69" s="23"/>
      <c r="F69" s="23"/>
      <c r="G69" s="23"/>
      <c r="H69" s="23"/>
      <c r="I69" s="23"/>
      <c r="J69" s="23"/>
      <c r="K69" s="23"/>
      <c r="L69" s="23"/>
      <c r="M69" s="202"/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</row>
    <row r="70" ht="4.5" customHeight="1">
      <c r="A70" s="187"/>
      <c r="B70" s="187"/>
      <c r="C70" s="217"/>
      <c r="D70" s="23"/>
      <c r="E70" s="23"/>
      <c r="F70" s="23"/>
      <c r="G70" s="23"/>
      <c r="H70" s="23"/>
      <c r="I70" s="23"/>
      <c r="J70" s="23"/>
      <c r="K70" s="23"/>
      <c r="L70" s="23"/>
      <c r="M70" s="202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</row>
    <row r="71" ht="12.75" customHeight="1">
      <c r="A71" s="187"/>
      <c r="B71" s="187"/>
      <c r="C71" s="220" t="s">
        <v>217</v>
      </c>
      <c r="D71" s="23"/>
      <c r="E71" s="23"/>
      <c r="F71" s="23"/>
      <c r="G71" s="23"/>
      <c r="H71" s="23"/>
      <c r="I71" s="200"/>
      <c r="J71" s="221">
        <f t="shared" ref="J71:M71" si="5">SUM(J61:J69)</f>
        <v>36</v>
      </c>
      <c r="K71" s="222">
        <f t="shared" si="5"/>
        <v>28</v>
      </c>
      <c r="L71" s="221">
        <f t="shared" si="5"/>
        <v>5</v>
      </c>
      <c r="M71" s="223">
        <f t="shared" si="5"/>
        <v>1</v>
      </c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</row>
    <row r="72" ht="4.5" customHeight="1">
      <c r="A72" s="187"/>
      <c r="B72" s="187"/>
      <c r="C72" s="224"/>
      <c r="D72" s="23"/>
      <c r="E72" s="23"/>
      <c r="F72" s="23"/>
      <c r="G72" s="23"/>
      <c r="H72" s="23"/>
      <c r="I72" s="23"/>
      <c r="J72" s="23"/>
      <c r="K72" s="23"/>
      <c r="L72" s="23"/>
      <c r="M72" s="202"/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</row>
    <row r="73" ht="12.75" customHeight="1">
      <c r="A73" s="187"/>
      <c r="B73" s="187"/>
      <c r="C73" s="228" t="s">
        <v>218</v>
      </c>
      <c r="D73" s="23"/>
      <c r="E73" s="23"/>
      <c r="F73" s="23"/>
      <c r="G73" s="23"/>
      <c r="H73" s="23"/>
      <c r="I73" s="200"/>
      <c r="J73" s="229">
        <f t="shared" ref="J73:M73" si="6">J71+J58</f>
        <v>77</v>
      </c>
      <c r="K73" s="230">
        <f t="shared" si="6"/>
        <v>64</v>
      </c>
      <c r="L73" s="231">
        <f t="shared" si="6"/>
        <v>10</v>
      </c>
      <c r="M73" s="232">
        <f t="shared" si="6"/>
        <v>4</v>
      </c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</row>
    <row r="74" ht="6.75" customHeight="1">
      <c r="A74" s="187"/>
      <c r="B74" s="187"/>
      <c r="C74" s="233"/>
      <c r="D74" s="23"/>
      <c r="E74" s="23"/>
      <c r="F74" s="23"/>
      <c r="G74" s="23"/>
      <c r="H74" s="23"/>
      <c r="I74" s="23"/>
      <c r="J74" s="23"/>
      <c r="K74" s="23"/>
      <c r="L74" s="23"/>
      <c r="M74" s="202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</row>
    <row r="75" ht="12.75" customHeight="1">
      <c r="A75" s="187"/>
      <c r="B75" s="187"/>
      <c r="C75" s="196" t="s">
        <v>225</v>
      </c>
      <c r="D75" s="191"/>
      <c r="E75" s="191"/>
      <c r="F75" s="191"/>
      <c r="G75" s="191"/>
      <c r="H75" s="191"/>
      <c r="I75" s="191"/>
      <c r="J75" s="191"/>
      <c r="K75" s="191"/>
      <c r="L75" s="191"/>
      <c r="M75" s="192"/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</row>
    <row r="76" ht="12.75" customHeight="1">
      <c r="A76" s="187"/>
      <c r="B76" s="187"/>
      <c r="C76" s="193"/>
      <c r="D76" s="194"/>
      <c r="E76" s="194"/>
      <c r="F76" s="194"/>
      <c r="G76" s="194"/>
      <c r="H76" s="194"/>
      <c r="I76" s="194"/>
      <c r="J76" s="194"/>
      <c r="K76" s="194"/>
      <c r="L76" s="194"/>
      <c r="M76" s="195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</row>
    <row r="77" ht="26.25" customHeight="1">
      <c r="A77" s="187"/>
      <c r="B77" s="187"/>
      <c r="C77" s="236" t="s">
        <v>196</v>
      </c>
      <c r="D77" s="201" t="s">
        <v>197</v>
      </c>
      <c r="E77" s="199" t="s">
        <v>180</v>
      </c>
      <c r="F77" s="200"/>
      <c r="G77" s="198" t="s">
        <v>198</v>
      </c>
      <c r="H77" s="199" t="s">
        <v>184</v>
      </c>
      <c r="I77" s="200"/>
      <c r="J77" s="237"/>
      <c r="K77" s="200"/>
      <c r="L77" s="201"/>
      <c r="M77" s="202"/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</row>
    <row r="78" ht="12.75" customHeight="1">
      <c r="A78" s="187"/>
      <c r="B78" s="187"/>
      <c r="C78" s="203"/>
      <c r="M78" s="204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</row>
    <row r="79" ht="12.75" customHeight="1">
      <c r="A79" s="187"/>
      <c r="B79" s="187"/>
      <c r="C79" s="205" t="s">
        <v>201</v>
      </c>
      <c r="D79" s="206" t="s">
        <v>202</v>
      </c>
      <c r="E79" s="207" t="s">
        <v>99</v>
      </c>
      <c r="F79" s="207" t="s">
        <v>105</v>
      </c>
      <c r="G79" s="208" t="s">
        <v>198</v>
      </c>
      <c r="H79" s="207" t="s">
        <v>103</v>
      </c>
      <c r="I79" s="207" t="s">
        <v>114</v>
      </c>
      <c r="J79" s="209">
        <v>1.0</v>
      </c>
      <c r="K79" s="210">
        <v>6.0</v>
      </c>
      <c r="L79" s="211">
        <f>IF(AND(J79&gt;K79,J80&gt;K80),2,IF(J79&gt;K79,1,IF(J80&gt;K80,1,0)))</f>
        <v>0</v>
      </c>
      <c r="M79" s="211">
        <f>IF(AND(K79&gt;J79,K80&gt;J80),2,IF(K79&gt;J79,1,IF(K80&gt;J80,1,0)))</f>
        <v>2</v>
      </c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</row>
    <row r="80" ht="12.75" customHeight="1">
      <c r="A80" s="187"/>
      <c r="B80" s="187"/>
      <c r="C80" s="212"/>
      <c r="D80" s="213"/>
      <c r="E80" s="213"/>
      <c r="F80" s="213"/>
      <c r="G80" s="213"/>
      <c r="H80" s="213"/>
      <c r="I80" s="213"/>
      <c r="J80" s="214">
        <v>5.0</v>
      </c>
      <c r="K80" s="215">
        <v>7.0</v>
      </c>
      <c r="L80" s="213"/>
      <c r="M80" s="213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</row>
    <row r="81" ht="4.5" customHeight="1">
      <c r="A81" s="187"/>
      <c r="B81" s="187"/>
      <c r="C81" s="216"/>
      <c r="D81" s="23"/>
      <c r="E81" s="23"/>
      <c r="F81" s="23"/>
      <c r="G81" s="23"/>
      <c r="H81" s="23"/>
      <c r="I81" s="23"/>
      <c r="J81" s="23"/>
      <c r="K81" s="23"/>
      <c r="L81" s="23"/>
      <c r="M81" s="202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</row>
    <row r="82" ht="12.75" customHeight="1">
      <c r="A82" s="187"/>
      <c r="B82" s="187"/>
      <c r="C82" s="205" t="s">
        <v>204</v>
      </c>
      <c r="D82" s="206" t="s">
        <v>205</v>
      </c>
      <c r="E82" s="207" t="s">
        <v>116</v>
      </c>
      <c r="F82" s="207" t="s">
        <v>121</v>
      </c>
      <c r="G82" s="208" t="s">
        <v>198</v>
      </c>
      <c r="H82" s="207" t="s">
        <v>14</v>
      </c>
      <c r="I82" s="207" t="s">
        <v>125</v>
      </c>
      <c r="J82" s="209">
        <v>6.0</v>
      </c>
      <c r="K82" s="210">
        <v>4.0</v>
      </c>
      <c r="L82" s="211">
        <f>IF(AND(J82&gt;K82,J83&gt;K83),2,IF(J82&gt;K82,1,IF(J83&gt;K83,1,0)))</f>
        <v>1</v>
      </c>
      <c r="M82" s="211">
        <f>IF(AND(K82&gt;J82,K83&gt;J83),2,IF(K82&gt;J82,1,IF(K83&gt;J83,1,0)))</f>
        <v>1</v>
      </c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</row>
    <row r="83" ht="12.75" customHeight="1">
      <c r="A83" s="187"/>
      <c r="B83" s="187"/>
      <c r="C83" s="212"/>
      <c r="D83" s="213"/>
      <c r="E83" s="213"/>
      <c r="F83" s="213"/>
      <c r="G83" s="213"/>
      <c r="H83" s="213"/>
      <c r="I83" s="213"/>
      <c r="J83" s="214">
        <v>6.0</v>
      </c>
      <c r="K83" s="215">
        <v>7.0</v>
      </c>
      <c r="L83" s="213"/>
      <c r="M83" s="213"/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</row>
    <row r="84" ht="4.5" customHeight="1">
      <c r="A84" s="187"/>
      <c r="B84" s="187"/>
      <c r="C84" s="217"/>
      <c r="D84" s="23"/>
      <c r="E84" s="23"/>
      <c r="F84" s="23"/>
      <c r="G84" s="23"/>
      <c r="H84" s="23"/>
      <c r="I84" s="23"/>
      <c r="J84" s="23"/>
      <c r="K84" s="23"/>
      <c r="L84" s="23"/>
      <c r="M84" s="202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</row>
    <row r="85" ht="12.75" customHeight="1">
      <c r="A85" s="187"/>
      <c r="B85" s="187"/>
      <c r="C85" s="218" t="s">
        <v>226</v>
      </c>
      <c r="D85" s="206" t="s">
        <v>212</v>
      </c>
      <c r="E85" s="207" t="s">
        <v>38</v>
      </c>
      <c r="F85" s="207" t="s">
        <v>44</v>
      </c>
      <c r="G85" s="208" t="s">
        <v>198</v>
      </c>
      <c r="H85" s="207" t="s">
        <v>42</v>
      </c>
      <c r="I85" s="207" t="s">
        <v>48</v>
      </c>
      <c r="J85" s="209">
        <v>6.0</v>
      </c>
      <c r="K85" s="210">
        <v>4.0</v>
      </c>
      <c r="L85" s="211">
        <f>IF(AND(J85&gt;K85,J86&gt;K86),2,IF(J85&gt;K85,1,IF(J86&gt;K86,1,0)))</f>
        <v>2</v>
      </c>
      <c r="M85" s="211">
        <f>IF(AND(K85&gt;J85,K86&gt;J86),2,IF(K85&gt;J85,1,IF(K86&gt;J86,1,0)))</f>
        <v>0</v>
      </c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</row>
    <row r="86" ht="12.75" customHeight="1">
      <c r="A86" s="187"/>
      <c r="B86" s="187"/>
      <c r="C86" s="212"/>
      <c r="D86" s="213"/>
      <c r="E86" s="213"/>
      <c r="F86" s="213"/>
      <c r="G86" s="213"/>
      <c r="H86" s="213"/>
      <c r="I86" s="213"/>
      <c r="J86" s="214">
        <v>7.0</v>
      </c>
      <c r="K86" s="215">
        <v>6.0</v>
      </c>
      <c r="L86" s="213"/>
      <c r="M86" s="213"/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</row>
    <row r="87" ht="4.5" customHeight="1">
      <c r="A87" s="187"/>
      <c r="B87" s="187"/>
      <c r="C87" s="217"/>
      <c r="D87" s="23"/>
      <c r="E87" s="23"/>
      <c r="F87" s="23"/>
      <c r="G87" s="23"/>
      <c r="H87" s="23"/>
      <c r="I87" s="23"/>
      <c r="J87" s="23"/>
      <c r="K87" s="23"/>
      <c r="L87" s="23"/>
      <c r="M87" s="202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</row>
    <row r="88" ht="12.75" customHeight="1">
      <c r="A88" s="187"/>
      <c r="B88" s="187"/>
      <c r="C88" s="205" t="s">
        <v>206</v>
      </c>
      <c r="D88" s="235" t="s">
        <v>216</v>
      </c>
      <c r="E88" s="207" t="s">
        <v>58</v>
      </c>
      <c r="F88" s="207" t="s">
        <v>72</v>
      </c>
      <c r="G88" s="208" t="s">
        <v>198</v>
      </c>
      <c r="H88" s="207" t="s">
        <v>62</v>
      </c>
      <c r="I88" s="207" t="s">
        <v>75</v>
      </c>
      <c r="J88" s="209">
        <v>3.0</v>
      </c>
      <c r="K88" s="210">
        <v>6.0</v>
      </c>
      <c r="L88" s="211">
        <f>IF(AND(J88&gt;K88,J89&gt;K89),2,IF(J88&gt;K88,1,IF(J89&gt;K89,1,0)))</f>
        <v>1</v>
      </c>
      <c r="M88" s="211">
        <f>IF(AND(K88&gt;J88,K89&gt;J89),2,IF(K88&gt;J88,1,IF(K89&gt;J89,1,0)))</f>
        <v>1</v>
      </c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</row>
    <row r="89" ht="12.75" customHeight="1">
      <c r="A89" s="187"/>
      <c r="B89" s="187"/>
      <c r="C89" s="212"/>
      <c r="D89" s="213"/>
      <c r="E89" s="213"/>
      <c r="F89" s="213"/>
      <c r="G89" s="213"/>
      <c r="H89" s="213"/>
      <c r="I89" s="213"/>
      <c r="J89" s="214">
        <v>6.0</v>
      </c>
      <c r="K89" s="215">
        <v>3.0</v>
      </c>
      <c r="L89" s="213"/>
      <c r="M89" s="213"/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</row>
    <row r="90" ht="4.5" customHeight="1">
      <c r="A90" s="187"/>
      <c r="B90" s="187"/>
      <c r="C90" s="217"/>
      <c r="D90" s="23"/>
      <c r="E90" s="23"/>
      <c r="F90" s="23"/>
      <c r="G90" s="23"/>
      <c r="H90" s="23"/>
      <c r="I90" s="23"/>
      <c r="J90" s="23"/>
      <c r="K90" s="23"/>
      <c r="L90" s="23"/>
      <c r="M90" s="202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</row>
    <row r="91" ht="12.75" customHeight="1">
      <c r="A91" s="187"/>
      <c r="B91" s="187"/>
      <c r="C91" s="220" t="s">
        <v>210</v>
      </c>
      <c r="D91" s="23"/>
      <c r="E91" s="23"/>
      <c r="F91" s="23"/>
      <c r="G91" s="23"/>
      <c r="H91" s="23"/>
      <c r="I91" s="200"/>
      <c r="J91" s="221">
        <f t="shared" ref="J91:M91" si="7">SUM(J79:J89)</f>
        <v>40</v>
      </c>
      <c r="K91" s="222">
        <f t="shared" si="7"/>
        <v>43</v>
      </c>
      <c r="L91" s="221">
        <f t="shared" si="7"/>
        <v>4</v>
      </c>
      <c r="M91" s="223">
        <f t="shared" si="7"/>
        <v>4</v>
      </c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</row>
    <row r="92" ht="4.5" customHeight="1">
      <c r="A92" s="187"/>
      <c r="B92" s="187"/>
      <c r="C92" s="224"/>
      <c r="D92" s="23"/>
      <c r="E92" s="23"/>
      <c r="F92" s="23"/>
      <c r="G92" s="23"/>
      <c r="H92" s="23"/>
      <c r="I92" s="23"/>
      <c r="J92" s="23"/>
      <c r="K92" s="23"/>
      <c r="L92" s="23"/>
      <c r="M92" s="202"/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</row>
    <row r="93" ht="12.75" customHeight="1">
      <c r="A93" s="187"/>
      <c r="B93" s="187"/>
      <c r="C93" s="225"/>
      <c r="D93" s="23"/>
      <c r="E93" s="23"/>
      <c r="F93" s="23"/>
      <c r="G93" s="23"/>
      <c r="H93" s="23"/>
      <c r="I93" s="23"/>
      <c r="J93" s="23"/>
      <c r="K93" s="23"/>
      <c r="L93" s="23"/>
      <c r="M93" s="202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</row>
    <row r="94" ht="4.5" customHeight="1">
      <c r="A94" s="187"/>
      <c r="B94" s="187"/>
      <c r="C94" s="216"/>
      <c r="D94" s="23"/>
      <c r="E94" s="23"/>
      <c r="F94" s="23"/>
      <c r="G94" s="23"/>
      <c r="H94" s="23"/>
      <c r="I94" s="23"/>
      <c r="J94" s="23"/>
      <c r="K94" s="23"/>
      <c r="L94" s="23"/>
      <c r="M94" s="202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</row>
    <row r="95" ht="12.75" customHeight="1">
      <c r="A95" s="187"/>
      <c r="B95" s="187"/>
      <c r="C95" s="218" t="s">
        <v>213</v>
      </c>
      <c r="D95" s="206" t="s">
        <v>209</v>
      </c>
      <c r="E95" s="207" t="s">
        <v>133</v>
      </c>
      <c r="F95" s="207" t="s">
        <v>139</v>
      </c>
      <c r="G95" s="208" t="s">
        <v>198</v>
      </c>
      <c r="H95" s="207" t="s">
        <v>137</v>
      </c>
      <c r="I95" s="207" t="s">
        <v>143</v>
      </c>
      <c r="J95" s="209">
        <v>2.0</v>
      </c>
      <c r="K95" s="210">
        <v>6.0</v>
      </c>
      <c r="L95" s="211">
        <f>IF(AND(J95&gt;K95,J96&gt;K96),2,IF(J95&gt;K95,1,IF(J96&gt;K96,1,0)))</f>
        <v>1</v>
      </c>
      <c r="M95" s="211">
        <f>IF(AND(K95&gt;J95,K96&gt;J96),2,IF(K95&gt;J95,1,IF(K96&gt;J96,1,0)))</f>
        <v>1</v>
      </c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</row>
    <row r="96" ht="12.75" customHeight="1">
      <c r="A96" s="187"/>
      <c r="B96" s="187"/>
      <c r="C96" s="212"/>
      <c r="D96" s="213"/>
      <c r="E96" s="213"/>
      <c r="F96" s="213"/>
      <c r="G96" s="213"/>
      <c r="H96" s="213"/>
      <c r="I96" s="213"/>
      <c r="J96" s="214">
        <v>6.0</v>
      </c>
      <c r="K96" s="215">
        <v>1.0</v>
      </c>
      <c r="L96" s="213"/>
      <c r="M96" s="213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</row>
    <row r="97" ht="4.5" customHeight="1">
      <c r="A97" s="187"/>
      <c r="B97" s="187"/>
      <c r="C97" s="217"/>
      <c r="D97" s="23"/>
      <c r="E97" s="23"/>
      <c r="F97" s="23"/>
      <c r="G97" s="23"/>
      <c r="H97" s="23"/>
      <c r="I97" s="23"/>
      <c r="J97" s="23"/>
      <c r="K97" s="23"/>
      <c r="L97" s="23"/>
      <c r="M97" s="202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</row>
    <row r="98" ht="12.75" customHeight="1">
      <c r="A98" s="187"/>
      <c r="B98" s="187"/>
      <c r="C98" s="218" t="s">
        <v>208</v>
      </c>
      <c r="D98" s="206" t="s">
        <v>214</v>
      </c>
      <c r="E98" s="207" t="s">
        <v>85</v>
      </c>
      <c r="F98" s="207" t="s">
        <v>78</v>
      </c>
      <c r="G98" s="208" t="s">
        <v>198</v>
      </c>
      <c r="H98" s="207" t="s">
        <v>82</v>
      </c>
      <c r="I98" s="207" t="s">
        <v>89</v>
      </c>
      <c r="J98" s="209">
        <v>6.0</v>
      </c>
      <c r="K98" s="210">
        <v>2.0</v>
      </c>
      <c r="L98" s="211">
        <f>IF(AND(J98&gt;K98,J99&gt;K99),2,IF(J98&gt;K98,1,IF(J99&gt;K99,1,0)))</f>
        <v>2</v>
      </c>
      <c r="M98" s="211">
        <f>IF(AND(K98&gt;J98,K99&gt;J99),2,IF(K98&gt;J98,1,IF(K99&gt;J99,1,0)))</f>
        <v>0</v>
      </c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</row>
    <row r="99" ht="12.75" customHeight="1">
      <c r="A99" s="187"/>
      <c r="B99" s="187"/>
      <c r="C99" s="212"/>
      <c r="D99" s="213"/>
      <c r="E99" s="213"/>
      <c r="F99" s="213"/>
      <c r="G99" s="213"/>
      <c r="H99" s="213"/>
      <c r="I99" s="213"/>
      <c r="J99" s="214">
        <v>6.0</v>
      </c>
      <c r="K99" s="215">
        <v>4.0</v>
      </c>
      <c r="L99" s="213"/>
      <c r="M99" s="213"/>
      <c r="N99" s="238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</row>
    <row r="100" ht="4.5" customHeight="1">
      <c r="A100" s="187"/>
      <c r="B100" s="187"/>
      <c r="C100" s="217"/>
      <c r="D100" s="23"/>
      <c r="E100" s="23"/>
      <c r="F100" s="23"/>
      <c r="G100" s="23"/>
      <c r="H100" s="23"/>
      <c r="I100" s="23"/>
      <c r="J100" s="23"/>
      <c r="K100" s="23"/>
      <c r="L100" s="23"/>
      <c r="M100" s="202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</row>
    <row r="101" ht="12.75" customHeight="1">
      <c r="A101" s="187"/>
      <c r="B101" s="187"/>
      <c r="C101" s="218" t="s">
        <v>208</v>
      </c>
      <c r="D101" s="206" t="s">
        <v>207</v>
      </c>
      <c r="E101" s="207" t="s">
        <v>18</v>
      </c>
      <c r="F101" s="207" t="s">
        <v>25</v>
      </c>
      <c r="G101" s="208" t="s">
        <v>198</v>
      </c>
      <c r="H101" s="207" t="s">
        <v>29</v>
      </c>
      <c r="I101" s="207" t="s">
        <v>35</v>
      </c>
      <c r="J101" s="209">
        <v>7.0</v>
      </c>
      <c r="K101" s="210">
        <v>6.0</v>
      </c>
      <c r="L101" s="211">
        <f>IF(AND(J101&gt;K101,J102&gt;K102),2,IF(J101&gt;K101,1,IF(J102&gt;K102,1,0)))</f>
        <v>1</v>
      </c>
      <c r="M101" s="211">
        <f>IF(AND(K101&gt;J101,K102&gt;J102),2,IF(K101&gt;J101,1,IF(K102&gt;J102,1,0)))</f>
        <v>1</v>
      </c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</row>
    <row r="102" ht="12.75" customHeight="1">
      <c r="A102" s="187"/>
      <c r="B102" s="187"/>
      <c r="C102" s="212"/>
      <c r="D102" s="213"/>
      <c r="E102" s="213"/>
      <c r="F102" s="213"/>
      <c r="G102" s="213"/>
      <c r="H102" s="213"/>
      <c r="I102" s="213"/>
      <c r="J102" s="214">
        <v>3.0</v>
      </c>
      <c r="K102" s="215">
        <v>6.0</v>
      </c>
      <c r="L102" s="213"/>
      <c r="M102" s="213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</row>
    <row r="103" ht="4.5" customHeight="1">
      <c r="A103" s="187"/>
      <c r="B103" s="187"/>
      <c r="C103" s="217"/>
      <c r="D103" s="23"/>
      <c r="E103" s="23"/>
      <c r="F103" s="23"/>
      <c r="G103" s="23"/>
      <c r="H103" s="23"/>
      <c r="I103" s="23"/>
      <c r="J103" s="23"/>
      <c r="K103" s="23"/>
      <c r="L103" s="23"/>
      <c r="M103" s="202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</row>
    <row r="104" ht="12.75" customHeight="1">
      <c r="A104" s="187"/>
      <c r="B104" s="187"/>
      <c r="C104" s="220" t="s">
        <v>217</v>
      </c>
      <c r="D104" s="23"/>
      <c r="E104" s="23"/>
      <c r="F104" s="23"/>
      <c r="G104" s="23"/>
      <c r="H104" s="23"/>
      <c r="I104" s="200"/>
      <c r="J104" s="221">
        <f t="shared" ref="J104:M104" si="8">SUM(J94:J102)</f>
        <v>30</v>
      </c>
      <c r="K104" s="222">
        <f t="shared" si="8"/>
        <v>25</v>
      </c>
      <c r="L104" s="221">
        <f t="shared" si="8"/>
        <v>4</v>
      </c>
      <c r="M104" s="223">
        <f t="shared" si="8"/>
        <v>2</v>
      </c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</row>
    <row r="105" ht="4.5" customHeight="1">
      <c r="A105" s="187"/>
      <c r="B105" s="187"/>
      <c r="C105" s="224"/>
      <c r="D105" s="23"/>
      <c r="E105" s="23"/>
      <c r="F105" s="23"/>
      <c r="G105" s="23"/>
      <c r="H105" s="23"/>
      <c r="I105" s="23"/>
      <c r="J105" s="23"/>
      <c r="K105" s="23"/>
      <c r="L105" s="23"/>
      <c r="M105" s="202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</row>
    <row r="106" ht="12.75" customHeight="1">
      <c r="A106" s="187"/>
      <c r="B106" s="187"/>
      <c r="C106" s="228" t="s">
        <v>218</v>
      </c>
      <c r="D106" s="23"/>
      <c r="E106" s="23"/>
      <c r="F106" s="23"/>
      <c r="G106" s="23"/>
      <c r="H106" s="23"/>
      <c r="I106" s="200"/>
      <c r="J106" s="229">
        <f t="shared" ref="J106:M106" si="9">J104+J91</f>
        <v>70</v>
      </c>
      <c r="K106" s="230">
        <f t="shared" si="9"/>
        <v>68</v>
      </c>
      <c r="L106" s="231">
        <f t="shared" si="9"/>
        <v>8</v>
      </c>
      <c r="M106" s="232">
        <f t="shared" si="9"/>
        <v>6</v>
      </c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</row>
    <row r="107" ht="6.75" customHeight="1">
      <c r="A107" s="187"/>
      <c r="B107" s="187"/>
      <c r="C107" s="239"/>
      <c r="D107" s="240"/>
      <c r="E107" s="240"/>
      <c r="F107" s="240"/>
      <c r="G107" s="240"/>
      <c r="H107" s="240"/>
      <c r="I107" s="240"/>
      <c r="J107" s="240"/>
      <c r="K107" s="240"/>
      <c r="L107" s="240"/>
      <c r="M107" s="241"/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</row>
    <row r="108" ht="12.75" customHeight="1">
      <c r="A108" s="187"/>
      <c r="B108" s="187"/>
      <c r="C108" s="187"/>
      <c r="D108" s="187"/>
      <c r="E108" s="187"/>
      <c r="F108" s="187"/>
      <c r="G108" s="187"/>
      <c r="H108" s="187"/>
      <c r="I108" s="187"/>
      <c r="J108" s="187"/>
      <c r="K108" s="187"/>
      <c r="L108" s="187"/>
      <c r="M108" s="187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</row>
    <row r="109" ht="12.75" customHeight="1">
      <c r="A109" s="187"/>
      <c r="B109" s="187"/>
      <c r="C109" s="187"/>
      <c r="D109" s="187"/>
      <c r="E109" s="187"/>
      <c r="F109" s="187"/>
      <c r="G109" s="187"/>
      <c r="H109" s="187"/>
      <c r="I109" s="187"/>
      <c r="J109" s="187"/>
      <c r="K109" s="187"/>
      <c r="L109" s="187"/>
      <c r="M109" s="187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</row>
    <row r="110" ht="12.75" customHeight="1">
      <c r="A110" s="187"/>
      <c r="B110" s="187"/>
      <c r="C110" s="187"/>
      <c r="D110" s="187"/>
      <c r="E110" s="187"/>
      <c r="F110" s="187"/>
      <c r="G110" s="187"/>
      <c r="H110" s="187"/>
      <c r="I110" s="187"/>
      <c r="J110" s="187"/>
      <c r="K110" s="187"/>
      <c r="L110" s="187"/>
      <c r="M110" s="187"/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</row>
    <row r="111" ht="12.75" customHeight="1">
      <c r="A111" s="187"/>
      <c r="B111" s="187"/>
      <c r="C111" s="187"/>
      <c r="D111" s="187"/>
      <c r="E111" s="187"/>
      <c r="F111" s="187"/>
      <c r="G111" s="187"/>
      <c r="H111" s="187"/>
      <c r="I111" s="187"/>
      <c r="J111" s="187"/>
      <c r="K111" s="187"/>
      <c r="L111" s="187"/>
      <c r="M111" s="187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</row>
    <row r="112" ht="12.75" customHeight="1">
      <c r="A112" s="187"/>
      <c r="B112" s="187"/>
      <c r="C112" s="187"/>
      <c r="D112" s="187"/>
      <c r="E112" s="187"/>
      <c r="F112" s="18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</row>
    <row r="113" ht="12.75" customHeight="1">
      <c r="A113" s="187"/>
      <c r="B113" s="187"/>
      <c r="C113" s="187"/>
      <c r="D113" s="187"/>
      <c r="E113" s="187"/>
      <c r="F113" s="187"/>
      <c r="G113" s="187"/>
      <c r="H113" s="187"/>
      <c r="I113" s="187"/>
      <c r="J113" s="187"/>
      <c r="K113" s="187"/>
      <c r="L113" s="187"/>
      <c r="M113" s="187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</row>
    <row r="114" ht="12.75" customHeight="1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</row>
    <row r="115" ht="12.75" customHeight="1">
      <c r="A115" s="18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</row>
    <row r="116" ht="12.75" customHeight="1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</row>
    <row r="117" ht="12.75" customHeight="1">
      <c r="A117" s="18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</row>
    <row r="118" ht="12.75" customHeight="1">
      <c r="A118" s="18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</row>
    <row r="119" ht="12.75" customHeight="1">
      <c r="A119" s="18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</row>
    <row r="120" ht="12.75" customHeight="1">
      <c r="A120" s="18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</row>
    <row r="121" ht="12.75" customHeight="1">
      <c r="A121" s="187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</row>
    <row r="122" ht="12.75" customHeight="1">
      <c r="A122" s="18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</row>
    <row r="123" ht="12.75" customHeight="1">
      <c r="A123" s="187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</row>
    <row r="124" ht="12.75" customHeight="1">
      <c r="A124" s="187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</row>
    <row r="125" ht="12.75" customHeight="1">
      <c r="A125" s="18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</row>
    <row r="126" ht="12.75" customHeight="1">
      <c r="A126" s="18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</row>
    <row r="127" ht="12.75" customHeight="1">
      <c r="A127" s="187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</row>
    <row r="128" ht="12.75" customHeight="1">
      <c r="A128" s="187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</row>
    <row r="129" ht="12.75" customHeight="1">
      <c r="A129" s="18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</row>
    <row r="130" ht="12.75" customHeight="1">
      <c r="A130" s="18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</row>
    <row r="131" ht="12.75" customHeight="1">
      <c r="A131" s="18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</row>
    <row r="132" ht="12.75" customHeight="1">
      <c r="A132" s="187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</row>
    <row r="133" ht="12.75" customHeight="1">
      <c r="A133" s="18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</row>
    <row r="134" ht="12.75" customHeight="1">
      <c r="A134" s="18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</row>
    <row r="135" ht="12.75" customHeight="1">
      <c r="A135" s="18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</row>
    <row r="136" ht="12.75" customHeight="1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</row>
    <row r="137" ht="12.75" customHeight="1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</row>
    <row r="138" ht="12.75" customHeight="1">
      <c r="A138" s="187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</row>
    <row r="139" ht="12.75" customHeight="1">
      <c r="A139" s="18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</row>
    <row r="140" ht="12.75" customHeight="1">
      <c r="A140" s="18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</row>
    <row r="141" ht="12.75" customHeight="1">
      <c r="A141" s="18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</row>
    <row r="142" ht="12.75" customHeight="1">
      <c r="A142" s="187"/>
      <c r="B142" s="187"/>
      <c r="C142" s="187"/>
      <c r="D142" s="187"/>
      <c r="E142" s="187"/>
      <c r="F142" s="187" t="s">
        <v>227</v>
      </c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</row>
    <row r="143" ht="12.75" customHeight="1">
      <c r="A143" s="187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</row>
    <row r="144" ht="12.75" customHeight="1">
      <c r="A144" s="187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</row>
    <row r="145" ht="12.75" customHeight="1">
      <c r="A145" s="187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</row>
    <row r="146" ht="12.75" customHeight="1">
      <c r="A146" s="187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</row>
    <row r="147" ht="12.75" customHeight="1">
      <c r="A147" s="187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</row>
    <row r="148" ht="12.75" customHeight="1">
      <c r="A148" s="187"/>
      <c r="B148" s="187"/>
      <c r="C148" s="187"/>
      <c r="D148" s="187"/>
      <c r="E148" s="187"/>
      <c r="F148" s="187"/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</row>
    <row r="149" ht="12.75" customHeight="1">
      <c r="A149" s="187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</row>
    <row r="150" ht="12.75" customHeight="1">
      <c r="A150" s="187"/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</row>
    <row r="151" ht="12.75" customHeight="1">
      <c r="A151" s="187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</row>
    <row r="152" ht="12.75" customHeight="1">
      <c r="A152" s="187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</row>
    <row r="153" ht="12.75" customHeight="1">
      <c r="A153" s="187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</row>
    <row r="154" ht="12.75" customHeight="1">
      <c r="A154" s="187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</row>
    <row r="155" ht="12.75" customHeight="1">
      <c r="A155" s="187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</row>
    <row r="156" ht="12.75" customHeight="1">
      <c r="A156" s="187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</row>
    <row r="157" ht="12.75" customHeight="1">
      <c r="A157" s="187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</row>
    <row r="158" ht="12.75" customHeight="1">
      <c r="A158" s="187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</row>
    <row r="159" ht="12.75" customHeight="1">
      <c r="A159" s="187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</row>
    <row r="160" ht="12.75" customHeight="1">
      <c r="A160" s="187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</row>
    <row r="161" ht="12.75" customHeight="1">
      <c r="A161" s="187"/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</row>
    <row r="162" ht="12.75" customHeight="1">
      <c r="A162" s="187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</row>
    <row r="163" ht="12.75" customHeight="1">
      <c r="A163" s="187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</row>
    <row r="164" ht="12.75" customHeight="1">
      <c r="A164" s="187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</row>
    <row r="165" ht="12.75" customHeight="1">
      <c r="A165" s="187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</row>
    <row r="166" ht="12.75" customHeight="1">
      <c r="A166" s="187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</row>
    <row r="167" ht="12.75" customHeight="1">
      <c r="A167" s="187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</row>
    <row r="168" ht="12.75" customHeight="1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</row>
    <row r="169" ht="12.75" customHeight="1">
      <c r="A169" s="187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</row>
    <row r="170" ht="12.75" customHeight="1">
      <c r="A170" s="187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</row>
    <row r="171" ht="12.75" customHeight="1">
      <c r="A171" s="187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</row>
    <row r="172" ht="12.75" customHeight="1">
      <c r="A172" s="187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</row>
    <row r="173" ht="12.75" customHeight="1">
      <c r="A173" s="18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</row>
    <row r="174" ht="12.75" customHeight="1">
      <c r="A174" s="187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</row>
    <row r="175" ht="12.75" customHeight="1">
      <c r="A175" s="187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</row>
    <row r="176" ht="12.75" customHeight="1">
      <c r="A176" s="187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</row>
    <row r="177" ht="12.75" customHeight="1">
      <c r="A177" s="187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</row>
    <row r="178" ht="12.75" customHeight="1">
      <c r="A178" s="187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</row>
    <row r="179" ht="12.75" customHeight="1">
      <c r="A179" s="187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</row>
    <row r="180" ht="12.75" customHeight="1">
      <c r="A180" s="187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</row>
    <row r="181" ht="12.75" customHeight="1">
      <c r="A181" s="187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</row>
    <row r="182" ht="12.75" customHeight="1">
      <c r="A182" s="187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</row>
    <row r="183" ht="12.75" customHeight="1">
      <c r="A183" s="187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</row>
    <row r="184" ht="12.75" customHeight="1">
      <c r="A184" s="187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</row>
    <row r="185" ht="12.75" customHeight="1">
      <c r="A185" s="187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</row>
    <row r="186" ht="12.75" customHeight="1">
      <c r="A186" s="187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</row>
    <row r="187" ht="12.75" customHeight="1">
      <c r="A187" s="187"/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</row>
    <row r="188" ht="12.75" customHeight="1">
      <c r="A188" s="187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</row>
    <row r="189" ht="12.75" customHeight="1">
      <c r="A189" s="187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</row>
    <row r="190" ht="12.75" customHeight="1">
      <c r="A190" s="187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</row>
    <row r="191" ht="12.75" customHeight="1">
      <c r="A191" s="187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</row>
    <row r="192" ht="12.75" customHeight="1">
      <c r="A192" s="187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</row>
    <row r="193" ht="12.75" customHeight="1">
      <c r="A193" s="187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</row>
    <row r="194" ht="12.75" customHeight="1">
      <c r="A194" s="187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</row>
    <row r="195" ht="12.75" customHeight="1">
      <c r="A195" s="187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</row>
    <row r="196" ht="12.75" customHeight="1">
      <c r="A196" s="187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</row>
    <row r="197" ht="12.75" customHeight="1">
      <c r="A197" s="187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</row>
    <row r="198" ht="12.75" customHeight="1">
      <c r="A198" s="187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</row>
    <row r="199" ht="12.75" customHeight="1">
      <c r="A199" s="187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</row>
    <row r="200" ht="12.75" customHeight="1">
      <c r="A200" s="187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</row>
    <row r="201" ht="12.75" customHeight="1">
      <c r="A201" s="187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</row>
    <row r="202" ht="12.75" customHeight="1">
      <c r="A202" s="187"/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</row>
    <row r="203" ht="12.75" customHeight="1">
      <c r="A203" s="187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</row>
    <row r="204" ht="12.75" customHeight="1">
      <c r="A204" s="187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</row>
    <row r="205" ht="12.75" customHeight="1">
      <c r="A205" s="187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</row>
    <row r="206" ht="12.75" customHeight="1">
      <c r="A206" s="187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</row>
    <row r="207" ht="12.75" customHeight="1">
      <c r="A207" s="187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</row>
    <row r="208" ht="12.75" customHeight="1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</row>
    <row r="209" ht="12.75" customHeight="1">
      <c r="A209" s="187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</row>
    <row r="210" ht="12.75" customHeight="1">
      <c r="A210" s="187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</row>
    <row r="211" ht="12.75" customHeight="1">
      <c r="A211" s="187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</row>
    <row r="212" ht="12.75" customHeight="1">
      <c r="A212" s="187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</row>
    <row r="213" ht="12.75" customHeight="1">
      <c r="A213" s="187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</row>
    <row r="214" ht="12.75" customHeight="1">
      <c r="A214" s="187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</row>
    <row r="215" ht="12.75" customHeight="1">
      <c r="A215" s="187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</row>
    <row r="216" ht="12.75" customHeight="1">
      <c r="A216" s="187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</row>
    <row r="217" ht="12.75" customHeight="1">
      <c r="A217" s="187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</row>
    <row r="218" ht="12.75" customHeight="1">
      <c r="A218" s="187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</row>
    <row r="219" ht="12.75" customHeight="1">
      <c r="A219" s="187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</row>
    <row r="220" ht="12.75" customHeight="1">
      <c r="A220" s="187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</row>
    <row r="221" ht="12.75" customHeight="1">
      <c r="A221" s="187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</row>
    <row r="222" ht="12.75" customHeight="1">
      <c r="A222" s="187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</row>
    <row r="223" ht="12.75" customHeight="1">
      <c r="A223" s="187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</row>
    <row r="224" ht="12.75" customHeight="1">
      <c r="A224" s="187"/>
      <c r="B224" s="187"/>
      <c r="C224" s="187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</row>
    <row r="225" ht="12.75" customHeight="1">
      <c r="A225" s="187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</row>
    <row r="226" ht="12.75" customHeight="1">
      <c r="A226" s="187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</row>
    <row r="227" ht="12.75" customHeight="1">
      <c r="A227" s="187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</row>
    <row r="228" ht="12.75" customHeight="1">
      <c r="A228" s="187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</row>
    <row r="229" ht="12.75" customHeight="1">
      <c r="A229" s="187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</row>
    <row r="230" ht="12.75" customHeight="1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</row>
    <row r="231" ht="12.75" customHeight="1">
      <c r="A231" s="187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</row>
    <row r="232" ht="12.75" customHeight="1">
      <c r="A232" s="187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</row>
    <row r="233" ht="12.75" customHeight="1">
      <c r="A233" s="187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</row>
    <row r="234" ht="12.75" customHeight="1">
      <c r="A234" s="187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</row>
    <row r="235" ht="12.75" customHeight="1">
      <c r="A235" s="187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</row>
    <row r="236" ht="12.75" customHeight="1">
      <c r="A236" s="187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</row>
    <row r="237" ht="12.75" customHeight="1">
      <c r="A237" s="187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</row>
    <row r="238" ht="12.75" customHeight="1">
      <c r="A238" s="187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</row>
    <row r="239" ht="12.75" customHeight="1">
      <c r="A239" s="187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</row>
    <row r="240" ht="12.75" customHeight="1">
      <c r="A240" s="187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</row>
    <row r="241" ht="12.75" customHeight="1">
      <c r="A241" s="187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</row>
    <row r="242" ht="12.75" customHeight="1">
      <c r="A242" s="187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</row>
    <row r="243" ht="12.75" customHeight="1">
      <c r="A243" s="187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</row>
    <row r="244" ht="12.75" customHeight="1">
      <c r="A244" s="187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</row>
    <row r="245" ht="12.75" customHeight="1">
      <c r="A245" s="187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</row>
    <row r="246" ht="12.75" customHeight="1">
      <c r="A246" s="187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</row>
    <row r="247" ht="12.75" customHeight="1">
      <c r="A247" s="187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</row>
    <row r="248" ht="12.75" customHeight="1">
      <c r="A248" s="187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</row>
    <row r="249" ht="12.75" customHeight="1">
      <c r="A249" s="187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</row>
    <row r="250" ht="12.75" customHeight="1">
      <c r="A250" s="187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</row>
    <row r="251" ht="12.75" customHeight="1">
      <c r="A251" s="187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</row>
    <row r="252" ht="12.75" customHeight="1">
      <c r="A252" s="187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</row>
    <row r="253" ht="12.75" customHeight="1">
      <c r="A253" s="187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</row>
    <row r="254" ht="12.75" customHeight="1">
      <c r="A254" s="187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</row>
    <row r="255" ht="12.75" customHeight="1">
      <c r="A255" s="187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</row>
    <row r="256" ht="12.75" customHeight="1">
      <c r="A256" s="187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</row>
    <row r="257" ht="12.75" customHeight="1">
      <c r="A257" s="187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</row>
    <row r="258" ht="12.75" customHeight="1">
      <c r="A258" s="187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</row>
    <row r="259" ht="12.75" customHeight="1">
      <c r="A259" s="187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</row>
    <row r="260" ht="12.75" customHeight="1">
      <c r="A260" s="187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</row>
    <row r="261" ht="12.75" customHeight="1">
      <c r="A261" s="187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</row>
    <row r="262" ht="12.75" customHeight="1">
      <c r="A262" s="187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</row>
    <row r="263" ht="12.75" customHeight="1">
      <c r="A263" s="187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</row>
    <row r="264" ht="12.75" customHeight="1">
      <c r="A264" s="187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</row>
    <row r="265" ht="12.75" customHeight="1">
      <c r="A265" s="187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</row>
    <row r="266" ht="12.75" customHeight="1">
      <c r="A266" s="187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</row>
    <row r="267" ht="12.75" customHeight="1">
      <c r="A267" s="187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</row>
    <row r="268" ht="12.75" customHeight="1">
      <c r="A268" s="187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</row>
    <row r="269" ht="12.75" customHeight="1">
      <c r="A269" s="187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</row>
    <row r="270" ht="12.75" customHeight="1">
      <c r="A270" s="187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</row>
    <row r="271" ht="12.75" customHeight="1">
      <c r="A271" s="187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</row>
    <row r="272" ht="12.75" customHeight="1">
      <c r="A272" s="187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</row>
    <row r="273" ht="12.75" customHeight="1">
      <c r="A273" s="187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</row>
    <row r="274" ht="12.75" customHeight="1">
      <c r="A274" s="187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</row>
    <row r="275" ht="12.75" customHeight="1">
      <c r="A275" s="187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</row>
    <row r="276" ht="12.75" customHeight="1">
      <c r="A276" s="187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</row>
    <row r="277" ht="12.75" customHeight="1">
      <c r="A277" s="187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</row>
    <row r="278" ht="12.75" customHeight="1">
      <c r="A278" s="187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</row>
    <row r="279" ht="12.75" customHeight="1">
      <c r="A279" s="187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</row>
    <row r="280" ht="12.75" customHeight="1">
      <c r="A280" s="187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</row>
    <row r="281" ht="12.75" customHeight="1">
      <c r="A281" s="187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</row>
    <row r="282" ht="12.75" customHeight="1">
      <c r="A282" s="187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</row>
    <row r="283" ht="12.75" customHeight="1">
      <c r="A283" s="187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</row>
    <row r="284" ht="12.75" customHeight="1">
      <c r="A284" s="187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</row>
    <row r="285" ht="12.75" customHeight="1">
      <c r="A285" s="187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</row>
    <row r="286" ht="12.75" customHeight="1">
      <c r="A286" s="187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</row>
    <row r="287" ht="12.75" customHeight="1">
      <c r="A287" s="187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</row>
    <row r="288" ht="12.75" customHeight="1">
      <c r="A288" s="187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</row>
    <row r="289" ht="12.75" customHeight="1">
      <c r="A289" s="187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</row>
    <row r="290" ht="12.75" customHeight="1">
      <c r="A290" s="187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</row>
    <row r="291" ht="12.75" customHeight="1">
      <c r="A291" s="187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</row>
    <row r="292" ht="12.75" customHeight="1">
      <c r="A292" s="187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</row>
    <row r="293" ht="12.75" customHeight="1">
      <c r="A293" s="187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</row>
    <row r="294" ht="12.75" customHeight="1">
      <c r="A294" s="187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</row>
    <row r="295" ht="12.75" customHeight="1">
      <c r="A295" s="187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</row>
    <row r="296" ht="12.75" customHeight="1">
      <c r="A296" s="187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</row>
    <row r="297" ht="12.75" customHeight="1">
      <c r="A297" s="187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</row>
    <row r="298" ht="12.75" customHeight="1">
      <c r="A298" s="187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</row>
    <row r="299" ht="12.75" customHeight="1">
      <c r="A299" s="187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</row>
    <row r="300" ht="12.75" customHeight="1">
      <c r="A300" s="187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</row>
    <row r="301" ht="12.75" customHeight="1">
      <c r="A301" s="187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</row>
    <row r="302" ht="12.75" customHeight="1">
      <c r="A302" s="187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</row>
    <row r="303" ht="12.75" customHeight="1">
      <c r="A303" s="187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</row>
    <row r="304" ht="12.75" customHeight="1">
      <c r="A304" s="187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</row>
    <row r="305" ht="12.75" customHeight="1">
      <c r="A305" s="187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</row>
    <row r="306" ht="12.75" customHeight="1">
      <c r="A306" s="187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</row>
    <row r="307" ht="12.75" customHeight="1">
      <c r="A307" s="187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</row>
    <row r="308" ht="12.75" customHeight="1">
      <c r="A308" s="187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</row>
    <row r="309" ht="12.75" customHeight="1">
      <c r="A309" s="187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</row>
    <row r="310" ht="12.75" customHeight="1">
      <c r="A310" s="187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</row>
    <row r="311" ht="12.75" customHeight="1">
      <c r="A311" s="187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</row>
    <row r="312" ht="12.75" customHeight="1">
      <c r="A312" s="187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</row>
    <row r="313" ht="12.75" customHeight="1">
      <c r="A313" s="187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</row>
    <row r="314" ht="12.75" customHeight="1">
      <c r="A314" s="187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</row>
    <row r="315" ht="12.75" customHeight="1">
      <c r="A315" s="187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</row>
    <row r="316" ht="12.75" customHeight="1">
      <c r="A316" s="187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</row>
    <row r="317" ht="12.75" customHeight="1">
      <c r="A317" s="187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</row>
    <row r="318" ht="12.75" customHeight="1">
      <c r="A318" s="187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</row>
    <row r="319" ht="12.75" customHeight="1">
      <c r="A319" s="187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</row>
    <row r="320" ht="12.75" customHeight="1">
      <c r="A320" s="187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</row>
    <row r="321" ht="12.75" customHeight="1">
      <c r="A321" s="187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</row>
    <row r="322" ht="12.75" customHeight="1">
      <c r="A322" s="187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</row>
    <row r="323" ht="12.75" customHeight="1">
      <c r="A323" s="187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</row>
    <row r="324" ht="12.75" customHeight="1">
      <c r="A324" s="187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</row>
    <row r="325" ht="12.75" customHeight="1">
      <c r="A325" s="187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</row>
    <row r="326" ht="12.75" customHeight="1">
      <c r="A326" s="187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</row>
    <row r="327" ht="12.75" customHeight="1">
      <c r="A327" s="187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</row>
    <row r="328" ht="12.75" customHeight="1">
      <c r="A328" s="187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</row>
    <row r="329" ht="12.75" customHeight="1">
      <c r="A329" s="187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</row>
    <row r="330" ht="12.75" customHeight="1">
      <c r="A330" s="187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</row>
    <row r="331" ht="12.75" customHeight="1">
      <c r="A331" s="187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</row>
    <row r="332" ht="12.75" customHeight="1">
      <c r="A332" s="187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</row>
    <row r="333" ht="12.75" customHeight="1">
      <c r="A333" s="187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</row>
    <row r="334" ht="12.75" customHeight="1">
      <c r="A334" s="187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</row>
    <row r="335" ht="12.75" customHeight="1">
      <c r="A335" s="187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</row>
    <row r="336" ht="12.75" customHeight="1">
      <c r="A336" s="187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</row>
    <row r="337" ht="12.75" customHeight="1">
      <c r="A337" s="187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</row>
    <row r="338" ht="12.75" customHeight="1">
      <c r="A338" s="187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</row>
    <row r="339" ht="12.75" customHeight="1">
      <c r="A339" s="187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</row>
    <row r="340" ht="12.75" customHeight="1">
      <c r="A340" s="187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</row>
    <row r="341" ht="12.75" customHeight="1">
      <c r="A341" s="187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</row>
    <row r="342" ht="12.75" customHeight="1">
      <c r="A342" s="187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</row>
    <row r="343" ht="12.75" customHeight="1">
      <c r="A343" s="187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</row>
    <row r="344" ht="12.75" customHeight="1">
      <c r="A344" s="187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</row>
    <row r="345" ht="12.75" customHeight="1">
      <c r="A345" s="187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</row>
    <row r="346" ht="12.75" customHeight="1">
      <c r="A346" s="187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</row>
    <row r="347" ht="12.75" customHeight="1">
      <c r="A347" s="187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</row>
    <row r="348" ht="12.75" customHeight="1">
      <c r="A348" s="187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</row>
    <row r="349" ht="12.75" customHeight="1">
      <c r="A349" s="187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</row>
    <row r="350" ht="12.75" customHeight="1">
      <c r="A350" s="187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</row>
    <row r="351" ht="12.75" customHeight="1">
      <c r="A351" s="187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</row>
    <row r="352" ht="12.75" customHeight="1">
      <c r="A352" s="187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</row>
    <row r="353" ht="12.75" customHeight="1">
      <c r="A353" s="187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</row>
    <row r="354" ht="12.75" customHeight="1">
      <c r="A354" s="187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</row>
    <row r="355" ht="12.75" customHeight="1">
      <c r="A355" s="187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</row>
    <row r="356" ht="12.75" customHeight="1">
      <c r="A356" s="187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</row>
    <row r="357" ht="12.75" customHeight="1">
      <c r="A357" s="187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</row>
    <row r="358" ht="12.75" customHeight="1">
      <c r="A358" s="187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</row>
    <row r="359" ht="12.75" customHeight="1">
      <c r="A359" s="187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</row>
    <row r="360" ht="12.75" customHeight="1">
      <c r="A360" s="187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</row>
    <row r="361" ht="12.75" customHeight="1">
      <c r="A361" s="187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</row>
    <row r="362" ht="12.75" customHeight="1">
      <c r="A362" s="187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</row>
    <row r="363" ht="12.75" customHeight="1">
      <c r="A363" s="187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</row>
    <row r="364" ht="12.75" customHeight="1">
      <c r="A364" s="187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</row>
    <row r="365" ht="12.75" customHeight="1">
      <c r="A365" s="187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</row>
    <row r="366" ht="12.75" customHeight="1">
      <c r="A366" s="187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</row>
    <row r="367" ht="12.75" customHeight="1">
      <c r="A367" s="187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</row>
    <row r="368" ht="12.75" customHeight="1">
      <c r="A368" s="187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</row>
    <row r="369" ht="12.75" customHeight="1">
      <c r="A369" s="187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</row>
    <row r="370" ht="12.75" customHeight="1">
      <c r="A370" s="187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</row>
    <row r="371" ht="12.75" customHeight="1">
      <c r="A371" s="187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</row>
    <row r="372" ht="12.75" customHeight="1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</row>
    <row r="373" ht="12.75" customHeight="1">
      <c r="A373" s="187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</row>
    <row r="374" ht="12.75" customHeight="1">
      <c r="A374" s="187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</row>
    <row r="375" ht="12.75" customHeight="1">
      <c r="A375" s="187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</row>
    <row r="376" ht="12.75" customHeight="1">
      <c r="A376" s="187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</row>
    <row r="377" ht="12.75" customHeight="1">
      <c r="A377" s="187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</row>
    <row r="378" ht="12.75" customHeight="1">
      <c r="A378" s="187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</row>
    <row r="379" ht="12.75" customHeight="1">
      <c r="A379" s="187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</row>
    <row r="380" ht="12.75" customHeight="1">
      <c r="A380" s="187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</row>
    <row r="381" ht="12.75" customHeight="1">
      <c r="A381" s="187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</row>
    <row r="382" ht="12.75" customHeight="1">
      <c r="A382" s="187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</row>
    <row r="383" ht="12.75" customHeight="1">
      <c r="A383" s="187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</row>
    <row r="384" ht="12.75" customHeight="1">
      <c r="A384" s="187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</row>
    <row r="385" ht="12.75" customHeight="1">
      <c r="A385" s="187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</row>
    <row r="386" ht="12.75" customHeight="1">
      <c r="A386" s="187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</row>
    <row r="387" ht="12.75" customHeight="1">
      <c r="A387" s="187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</row>
    <row r="388" ht="12.75" customHeight="1">
      <c r="A388" s="187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</row>
    <row r="389" ht="12.75" customHeight="1">
      <c r="A389" s="187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</row>
    <row r="390" ht="12.75" customHeight="1">
      <c r="A390" s="187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</row>
    <row r="391" ht="12.75" customHeight="1">
      <c r="A391" s="187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</row>
    <row r="392" ht="12.75" customHeight="1">
      <c r="A392" s="187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</row>
    <row r="393" ht="12.75" customHeight="1">
      <c r="A393" s="187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</row>
    <row r="394" ht="12.75" customHeight="1">
      <c r="A394" s="187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</row>
    <row r="395" ht="12.75" customHeight="1">
      <c r="A395" s="187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</row>
    <row r="396" ht="12.75" customHeight="1">
      <c r="A396" s="187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</row>
    <row r="397" ht="12.75" customHeight="1">
      <c r="A397" s="187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</row>
    <row r="398" ht="12.75" customHeight="1">
      <c r="A398" s="187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</row>
    <row r="399" ht="12.75" customHeight="1">
      <c r="A399" s="187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</row>
    <row r="400" ht="12.75" customHeight="1">
      <c r="A400" s="187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</row>
    <row r="401" ht="12.75" customHeight="1">
      <c r="A401" s="187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</row>
    <row r="402" ht="12.75" customHeight="1">
      <c r="A402" s="187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</row>
    <row r="403" ht="12.75" customHeight="1">
      <c r="A403" s="187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</row>
    <row r="404" ht="12.75" customHeight="1">
      <c r="A404" s="187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</row>
    <row r="405" ht="12.75" customHeight="1">
      <c r="A405" s="187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</row>
    <row r="406" ht="12.75" customHeight="1">
      <c r="A406" s="187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</row>
    <row r="407" ht="12.75" customHeight="1">
      <c r="A407" s="187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</row>
    <row r="408" ht="12.75" customHeight="1">
      <c r="A408" s="187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</row>
    <row r="409" ht="12.75" customHeight="1">
      <c r="A409" s="187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</row>
    <row r="410" ht="12.75" customHeight="1">
      <c r="A410" s="187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</row>
    <row r="411" ht="12.75" customHeight="1">
      <c r="A411" s="187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</row>
    <row r="412" ht="12.75" customHeight="1">
      <c r="A412" s="187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</row>
    <row r="413" ht="12.75" customHeight="1">
      <c r="A413" s="187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</row>
    <row r="414" ht="12.75" customHeight="1">
      <c r="A414" s="187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</row>
    <row r="415" ht="12.75" customHeight="1">
      <c r="A415" s="187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</row>
    <row r="416" ht="12.75" customHeight="1">
      <c r="A416" s="187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</row>
    <row r="417" ht="12.75" customHeight="1">
      <c r="A417" s="187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</row>
    <row r="418" ht="12.75" customHeight="1">
      <c r="A418" s="187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</row>
    <row r="419" ht="12.75" customHeight="1">
      <c r="A419" s="187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</row>
    <row r="420" ht="12.75" customHeight="1">
      <c r="A420" s="187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</row>
    <row r="421" ht="12.75" customHeight="1">
      <c r="A421" s="187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</row>
    <row r="422" ht="12.75" customHeight="1">
      <c r="A422" s="187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</row>
    <row r="423" ht="12.75" customHeight="1">
      <c r="A423" s="187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</row>
    <row r="424" ht="12.75" customHeight="1">
      <c r="A424" s="187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</row>
    <row r="425" ht="12.75" customHeight="1">
      <c r="A425" s="187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</row>
    <row r="426" ht="12.75" customHeight="1">
      <c r="A426" s="187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</row>
    <row r="427" ht="12.75" customHeight="1">
      <c r="A427" s="187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</row>
    <row r="428" ht="12.75" customHeight="1">
      <c r="A428" s="187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</row>
    <row r="429" ht="12.75" customHeight="1">
      <c r="A429" s="187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</row>
    <row r="430" ht="12.75" customHeight="1">
      <c r="A430" s="187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</row>
    <row r="431" ht="12.75" customHeight="1">
      <c r="A431" s="187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</row>
    <row r="432" ht="12.75" customHeight="1">
      <c r="A432" s="187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</row>
    <row r="433" ht="12.75" customHeight="1">
      <c r="A433" s="187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</row>
    <row r="434" ht="12.75" customHeight="1">
      <c r="A434" s="187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</row>
    <row r="435" ht="12.75" customHeight="1">
      <c r="A435" s="187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</row>
    <row r="436" ht="12.75" customHeight="1">
      <c r="A436" s="187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</row>
    <row r="437" ht="12.75" customHeight="1">
      <c r="A437" s="187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</row>
    <row r="438" ht="12.75" customHeight="1">
      <c r="A438" s="187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</row>
    <row r="439" ht="12.75" customHeight="1">
      <c r="A439" s="187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</row>
    <row r="440" ht="12.75" customHeight="1">
      <c r="A440" s="187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</row>
    <row r="441" ht="12.75" customHeight="1">
      <c r="A441" s="187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</row>
    <row r="442" ht="12.75" customHeight="1">
      <c r="A442" s="187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</row>
    <row r="443" ht="12.75" customHeight="1">
      <c r="A443" s="187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</row>
    <row r="444" ht="12.75" customHeight="1">
      <c r="A444" s="187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</row>
    <row r="445" ht="12.75" customHeight="1">
      <c r="A445" s="187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</row>
    <row r="446" ht="12.75" customHeight="1">
      <c r="A446" s="187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</row>
    <row r="447" ht="12.75" customHeight="1">
      <c r="A447" s="187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</row>
    <row r="448" ht="12.75" customHeight="1">
      <c r="A448" s="187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</row>
    <row r="449" ht="12.75" customHeight="1">
      <c r="A449" s="187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</row>
    <row r="450" ht="12.75" customHeight="1">
      <c r="A450" s="187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</row>
    <row r="451" ht="12.75" customHeight="1">
      <c r="A451" s="187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</row>
    <row r="452" ht="12.75" customHeight="1">
      <c r="A452" s="187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</row>
    <row r="453" ht="12.75" customHeight="1">
      <c r="A453" s="187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</row>
    <row r="454" ht="12.75" customHeight="1">
      <c r="A454" s="187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</row>
    <row r="455" ht="12.75" customHeight="1">
      <c r="A455" s="187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</row>
    <row r="456" ht="12.75" customHeight="1">
      <c r="A456" s="187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</row>
    <row r="457" ht="12.75" customHeight="1">
      <c r="A457" s="187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</row>
    <row r="458" ht="12.75" customHeight="1">
      <c r="A458" s="187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</row>
    <row r="459" ht="12.75" customHeight="1">
      <c r="A459" s="187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</row>
    <row r="460" ht="12.75" customHeight="1">
      <c r="A460" s="187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</row>
    <row r="461" ht="12.75" customHeight="1">
      <c r="A461" s="187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</row>
    <row r="462" ht="12.75" customHeight="1">
      <c r="A462" s="187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</row>
    <row r="463" ht="12.75" customHeight="1">
      <c r="A463" s="187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</row>
    <row r="464" ht="12.75" customHeight="1">
      <c r="A464" s="187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</row>
    <row r="465" ht="12.75" customHeight="1">
      <c r="A465" s="187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</row>
    <row r="466" ht="12.75" customHeight="1">
      <c r="A466" s="187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</row>
    <row r="467" ht="12.75" customHeight="1">
      <c r="A467" s="187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</row>
    <row r="468" ht="12.75" customHeight="1">
      <c r="A468" s="187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</row>
    <row r="469" ht="12.75" customHeight="1">
      <c r="A469" s="187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</row>
    <row r="470" ht="12.75" customHeight="1">
      <c r="A470" s="187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</row>
    <row r="471" ht="12.75" customHeight="1">
      <c r="A471" s="187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</row>
    <row r="472" ht="12.75" customHeight="1">
      <c r="A472" s="187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</row>
    <row r="473" ht="12.75" customHeight="1">
      <c r="A473" s="187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</row>
    <row r="474" ht="12.75" customHeight="1">
      <c r="A474" s="187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</row>
    <row r="475" ht="12.75" customHeight="1">
      <c r="A475" s="187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</row>
    <row r="476" ht="12.75" customHeight="1">
      <c r="A476" s="187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</row>
    <row r="477" ht="12.75" customHeight="1">
      <c r="A477" s="187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</row>
    <row r="478" ht="12.75" customHeight="1">
      <c r="A478" s="187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</row>
    <row r="479" ht="12.75" customHeight="1">
      <c r="A479" s="187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</row>
    <row r="480" ht="12.75" customHeight="1">
      <c r="A480" s="187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</row>
    <row r="481" ht="12.75" customHeight="1">
      <c r="A481" s="187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</row>
    <row r="482" ht="12.75" customHeight="1">
      <c r="A482" s="187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</row>
    <row r="483" ht="12.75" customHeight="1">
      <c r="A483" s="187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</row>
    <row r="484" ht="12.75" customHeight="1">
      <c r="A484" s="187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</row>
    <row r="485" ht="12.75" customHeight="1">
      <c r="A485" s="187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</row>
    <row r="486" ht="12.75" customHeight="1">
      <c r="A486" s="187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</row>
    <row r="487" ht="12.75" customHeight="1">
      <c r="A487" s="187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</row>
    <row r="488" ht="12.75" customHeight="1">
      <c r="A488" s="187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</row>
    <row r="489" ht="12.75" customHeight="1">
      <c r="A489" s="187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</row>
    <row r="490" ht="12.75" customHeight="1">
      <c r="A490" s="187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</row>
    <row r="491" ht="12.75" customHeight="1">
      <c r="A491" s="187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</row>
    <row r="492" ht="12.75" customHeight="1">
      <c r="A492" s="187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</row>
    <row r="493" ht="12.75" customHeight="1">
      <c r="A493" s="187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</row>
    <row r="494" ht="12.75" customHeight="1">
      <c r="A494" s="187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</row>
    <row r="495" ht="12.75" customHeight="1">
      <c r="A495" s="187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</row>
    <row r="496" ht="12.75" customHeight="1">
      <c r="A496" s="187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</row>
    <row r="497" ht="12.75" customHeight="1">
      <c r="A497" s="187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</row>
    <row r="498" ht="12.75" customHeight="1">
      <c r="A498" s="187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</row>
    <row r="499" ht="12.75" customHeight="1">
      <c r="A499" s="187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</row>
    <row r="500" ht="12.75" customHeight="1">
      <c r="A500" s="187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</row>
    <row r="501" ht="12.75" customHeight="1">
      <c r="A501" s="187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</row>
    <row r="502" ht="12.75" customHeight="1">
      <c r="A502" s="187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</row>
    <row r="503" ht="12.75" customHeight="1">
      <c r="A503" s="187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</row>
    <row r="504" ht="12.75" customHeight="1">
      <c r="A504" s="187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</row>
    <row r="505" ht="12.75" customHeight="1">
      <c r="A505" s="187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</row>
    <row r="506" ht="12.75" customHeight="1">
      <c r="A506" s="187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</row>
    <row r="507" ht="12.75" customHeight="1">
      <c r="A507" s="187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</row>
    <row r="508" ht="12.75" customHeight="1">
      <c r="A508" s="187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</row>
    <row r="509" ht="12.75" customHeight="1">
      <c r="A509" s="187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</row>
    <row r="510" ht="12.75" customHeight="1">
      <c r="A510" s="187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</row>
    <row r="511" ht="12.75" customHeight="1">
      <c r="A511" s="187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</row>
    <row r="512" ht="12.75" customHeight="1">
      <c r="A512" s="187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</row>
    <row r="513" ht="12.75" customHeight="1">
      <c r="A513" s="187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</row>
    <row r="514" ht="12.75" customHeight="1">
      <c r="A514" s="187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</row>
    <row r="515" ht="12.75" customHeight="1">
      <c r="A515" s="187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</row>
    <row r="516" ht="12.75" customHeight="1">
      <c r="A516" s="187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</row>
    <row r="517" ht="12.75" customHeight="1">
      <c r="A517" s="187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</row>
    <row r="518" ht="12.75" customHeight="1">
      <c r="A518" s="187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</row>
    <row r="519" ht="12.75" customHeight="1">
      <c r="A519" s="187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</row>
    <row r="520" ht="12.75" customHeight="1">
      <c r="A520" s="187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</row>
    <row r="521" ht="12.75" customHeight="1">
      <c r="A521" s="187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</row>
    <row r="522" ht="12.75" customHeight="1">
      <c r="A522" s="187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</row>
    <row r="523" ht="12.75" customHeight="1">
      <c r="A523" s="187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</row>
    <row r="524" ht="12.75" customHeight="1">
      <c r="A524" s="187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</row>
    <row r="525" ht="12.75" customHeight="1">
      <c r="A525" s="187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</row>
    <row r="526" ht="12.75" customHeight="1">
      <c r="A526" s="187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</row>
    <row r="527" ht="12.75" customHeight="1">
      <c r="A527" s="187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</row>
    <row r="528" ht="12.75" customHeight="1">
      <c r="A528" s="187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</row>
    <row r="529" ht="12.75" customHeight="1">
      <c r="A529" s="187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</row>
    <row r="530" ht="12.75" customHeight="1">
      <c r="A530" s="187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</row>
    <row r="531" ht="12.75" customHeight="1">
      <c r="A531" s="187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</row>
    <row r="532" ht="12.75" customHeight="1">
      <c r="A532" s="187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</row>
    <row r="533" ht="12.75" customHeight="1">
      <c r="A533" s="187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</row>
    <row r="534" ht="12.75" customHeight="1">
      <c r="A534" s="187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</row>
    <row r="535" ht="12.75" customHeight="1">
      <c r="A535" s="187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</row>
    <row r="536" ht="12.75" customHeight="1">
      <c r="A536" s="187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</row>
    <row r="537" ht="12.75" customHeight="1">
      <c r="A537" s="187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</row>
    <row r="538" ht="12.75" customHeight="1">
      <c r="A538" s="187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</row>
    <row r="539" ht="12.75" customHeight="1">
      <c r="A539" s="187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</row>
    <row r="540" ht="12.75" customHeight="1">
      <c r="A540" s="187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</row>
    <row r="541" ht="12.75" customHeight="1">
      <c r="A541" s="187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</row>
    <row r="542" ht="12.75" customHeight="1">
      <c r="A542" s="187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</row>
    <row r="543" ht="12.75" customHeight="1">
      <c r="A543" s="187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</row>
    <row r="544" ht="12.75" customHeight="1">
      <c r="A544" s="187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</row>
    <row r="545" ht="12.75" customHeight="1">
      <c r="A545" s="187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</row>
    <row r="546" ht="12.75" customHeight="1">
      <c r="A546" s="187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</row>
    <row r="547" ht="12.75" customHeight="1">
      <c r="A547" s="187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</row>
    <row r="548" ht="12.75" customHeight="1">
      <c r="A548" s="187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</row>
    <row r="549" ht="12.75" customHeight="1">
      <c r="A549" s="187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</row>
    <row r="550" ht="12.75" customHeight="1">
      <c r="A550" s="187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</row>
    <row r="551" ht="12.75" customHeight="1">
      <c r="A551" s="187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</row>
    <row r="552" ht="12.75" customHeight="1">
      <c r="A552" s="187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</row>
    <row r="553" ht="12.75" customHeight="1">
      <c r="A553" s="187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</row>
    <row r="554" ht="12.75" customHeight="1">
      <c r="A554" s="187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</row>
    <row r="555" ht="12.75" customHeight="1">
      <c r="A555" s="187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</row>
    <row r="556" ht="12.75" customHeight="1">
      <c r="A556" s="187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</row>
    <row r="557" ht="12.75" customHeight="1">
      <c r="A557" s="187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</row>
    <row r="558" ht="12.75" customHeight="1">
      <c r="A558" s="187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</row>
    <row r="559" ht="12.75" customHeight="1">
      <c r="A559" s="187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</row>
    <row r="560" ht="12.75" customHeight="1">
      <c r="A560" s="187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</row>
    <row r="561" ht="12.75" customHeight="1">
      <c r="A561" s="187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</row>
    <row r="562" ht="12.75" customHeight="1">
      <c r="A562" s="187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</row>
    <row r="563" ht="12.75" customHeight="1">
      <c r="A563" s="187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</row>
    <row r="564" ht="12.75" customHeight="1">
      <c r="A564" s="187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</row>
    <row r="565" ht="12.75" customHeight="1">
      <c r="A565" s="187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</row>
    <row r="566" ht="12.75" customHeight="1">
      <c r="A566" s="187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</row>
    <row r="567" ht="12.75" customHeight="1">
      <c r="A567" s="187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</row>
    <row r="568" ht="12.75" customHeight="1">
      <c r="A568" s="187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</row>
    <row r="569" ht="12.75" customHeight="1">
      <c r="A569" s="187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</row>
    <row r="570" ht="12.75" customHeight="1">
      <c r="A570" s="187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</row>
    <row r="571" ht="12.75" customHeight="1">
      <c r="A571" s="187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</row>
    <row r="572" ht="12.75" customHeight="1">
      <c r="A572" s="187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</row>
    <row r="573" ht="12.75" customHeight="1">
      <c r="A573" s="187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</row>
    <row r="574" ht="12.75" customHeight="1">
      <c r="A574" s="187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</row>
    <row r="575" ht="12.75" customHeight="1">
      <c r="A575" s="187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</row>
    <row r="576" ht="12.75" customHeight="1">
      <c r="A576" s="187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</row>
    <row r="577" ht="12.75" customHeight="1">
      <c r="A577" s="187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</row>
    <row r="578" ht="12.75" customHeight="1">
      <c r="A578" s="187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</row>
    <row r="579" ht="12.75" customHeight="1">
      <c r="A579" s="187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</row>
    <row r="580" ht="12.75" customHeight="1">
      <c r="A580" s="187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</row>
    <row r="581" ht="12.75" customHeight="1">
      <c r="A581" s="187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</row>
    <row r="582" ht="12.75" customHeight="1">
      <c r="A582" s="187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</row>
    <row r="583" ht="12.75" customHeight="1">
      <c r="A583" s="187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</row>
    <row r="584" ht="12.75" customHeight="1">
      <c r="A584" s="187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</row>
    <row r="585" ht="12.75" customHeight="1">
      <c r="A585" s="187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</row>
    <row r="586" ht="12.75" customHeight="1">
      <c r="A586" s="187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</row>
    <row r="587" ht="12.75" customHeight="1">
      <c r="A587" s="187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</row>
    <row r="588" ht="12.75" customHeight="1">
      <c r="A588" s="187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</row>
    <row r="589" ht="12.75" customHeight="1">
      <c r="A589" s="187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</row>
    <row r="590" ht="12.75" customHeight="1">
      <c r="A590" s="187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</row>
    <row r="591" ht="12.75" customHeight="1">
      <c r="A591" s="187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</row>
    <row r="592" ht="12.75" customHeight="1">
      <c r="A592" s="187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</row>
    <row r="593" ht="12.75" customHeight="1">
      <c r="A593" s="187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</row>
    <row r="594" ht="12.75" customHeight="1">
      <c r="A594" s="187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</row>
    <row r="595" ht="12.75" customHeight="1">
      <c r="A595" s="187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</row>
    <row r="596" ht="12.75" customHeight="1">
      <c r="A596" s="187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</row>
    <row r="597" ht="12.75" customHeight="1">
      <c r="A597" s="187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</row>
    <row r="598" ht="12.75" customHeight="1">
      <c r="A598" s="187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</row>
    <row r="599" ht="12.75" customHeight="1">
      <c r="A599" s="187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</row>
    <row r="600" ht="12.75" customHeight="1">
      <c r="A600" s="187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</row>
    <row r="601" ht="12.75" customHeight="1">
      <c r="A601" s="187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</row>
    <row r="602" ht="12.75" customHeight="1">
      <c r="A602" s="187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</row>
    <row r="603" ht="12.75" customHeight="1">
      <c r="A603" s="187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</row>
    <row r="604" ht="12.75" customHeight="1">
      <c r="A604" s="187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</row>
    <row r="605" ht="12.75" customHeight="1">
      <c r="A605" s="187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</row>
    <row r="606" ht="12.75" customHeight="1">
      <c r="A606" s="187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</row>
    <row r="607" ht="12.75" customHeight="1">
      <c r="A607" s="187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</row>
    <row r="608" ht="12.75" customHeight="1">
      <c r="A608" s="187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</row>
    <row r="609" ht="12.75" customHeight="1">
      <c r="A609" s="187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</row>
    <row r="610" ht="12.75" customHeight="1">
      <c r="A610" s="187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</row>
    <row r="611" ht="12.75" customHeight="1">
      <c r="A611" s="187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</row>
    <row r="612" ht="12.75" customHeight="1">
      <c r="A612" s="187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</row>
    <row r="613" ht="12.75" customHeight="1">
      <c r="A613" s="187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</row>
    <row r="614" ht="12.75" customHeight="1">
      <c r="A614" s="187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</row>
    <row r="615" ht="12.75" customHeight="1">
      <c r="A615" s="187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</row>
    <row r="616" ht="12.75" customHeight="1">
      <c r="A616" s="187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</row>
    <row r="617" ht="12.75" customHeight="1">
      <c r="A617" s="187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</row>
    <row r="618" ht="12.75" customHeight="1">
      <c r="A618" s="187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</row>
    <row r="619" ht="12.75" customHeight="1">
      <c r="A619" s="187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</row>
    <row r="620" ht="12.75" customHeight="1">
      <c r="A620" s="187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</row>
    <row r="621" ht="12.75" customHeight="1">
      <c r="A621" s="187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</row>
    <row r="622" ht="12.75" customHeight="1">
      <c r="A622" s="187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</row>
    <row r="623" ht="12.75" customHeight="1">
      <c r="A623" s="187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</row>
    <row r="624" ht="12.75" customHeight="1">
      <c r="A624" s="187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</row>
    <row r="625" ht="12.75" customHeight="1">
      <c r="A625" s="187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</row>
    <row r="626" ht="12.75" customHeight="1">
      <c r="A626" s="187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</row>
    <row r="627" ht="12.75" customHeight="1">
      <c r="A627" s="187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</row>
    <row r="628" ht="12.75" customHeight="1">
      <c r="A628" s="187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</row>
    <row r="629" ht="12.75" customHeight="1">
      <c r="A629" s="187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</row>
    <row r="630" ht="12.75" customHeight="1">
      <c r="A630" s="187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</row>
    <row r="631" ht="12.75" customHeight="1">
      <c r="A631" s="187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</row>
    <row r="632" ht="12.75" customHeight="1">
      <c r="A632" s="187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</row>
    <row r="633" ht="12.75" customHeight="1">
      <c r="A633" s="187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</row>
    <row r="634" ht="12.75" customHeight="1">
      <c r="A634" s="187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</row>
    <row r="635" ht="12.75" customHeight="1">
      <c r="A635" s="187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</row>
    <row r="636" ht="12.75" customHeight="1">
      <c r="A636" s="187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</row>
    <row r="637" ht="12.75" customHeight="1">
      <c r="A637" s="187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</row>
    <row r="638" ht="12.75" customHeight="1">
      <c r="A638" s="187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</row>
    <row r="639" ht="12.75" customHeight="1">
      <c r="A639" s="187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</row>
    <row r="640" ht="12.75" customHeight="1">
      <c r="A640" s="187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</row>
    <row r="641" ht="12.75" customHeight="1">
      <c r="A641" s="187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</row>
    <row r="642" ht="12.75" customHeight="1">
      <c r="A642" s="187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</row>
    <row r="643" ht="12.75" customHeight="1">
      <c r="A643" s="187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</row>
    <row r="644" ht="12.75" customHeight="1">
      <c r="A644" s="187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</row>
    <row r="645" ht="12.75" customHeight="1">
      <c r="A645" s="187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</row>
    <row r="646" ht="12.75" customHeight="1">
      <c r="A646" s="187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</row>
    <row r="647" ht="12.75" customHeight="1">
      <c r="A647" s="187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</row>
    <row r="648" ht="12.75" customHeight="1">
      <c r="A648" s="187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</row>
    <row r="649" ht="12.75" customHeight="1">
      <c r="A649" s="187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</row>
    <row r="650" ht="12.75" customHeight="1">
      <c r="A650" s="187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</row>
    <row r="651" ht="12.75" customHeight="1">
      <c r="A651" s="187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</row>
    <row r="652" ht="12.75" customHeight="1">
      <c r="A652" s="187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</row>
    <row r="653" ht="12.75" customHeight="1">
      <c r="A653" s="187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</row>
    <row r="654" ht="12.75" customHeight="1">
      <c r="A654" s="187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</row>
    <row r="655" ht="12.75" customHeight="1">
      <c r="A655" s="187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</row>
    <row r="656" ht="12.75" customHeight="1">
      <c r="A656" s="187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</row>
    <row r="657" ht="12.75" customHeight="1">
      <c r="A657" s="187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</row>
    <row r="658" ht="12.75" customHeight="1">
      <c r="A658" s="187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</row>
    <row r="659" ht="12.75" customHeight="1">
      <c r="A659" s="187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</row>
    <row r="660" ht="12.75" customHeight="1">
      <c r="A660" s="187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</row>
    <row r="661" ht="12.75" customHeight="1">
      <c r="A661" s="187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</row>
    <row r="662" ht="12.75" customHeight="1">
      <c r="A662" s="187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</row>
    <row r="663" ht="12.75" customHeight="1">
      <c r="A663" s="187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</row>
    <row r="664" ht="12.75" customHeight="1">
      <c r="A664" s="187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</row>
    <row r="665" ht="12.75" customHeight="1">
      <c r="A665" s="187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</row>
    <row r="666" ht="12.75" customHeight="1">
      <c r="A666" s="187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</row>
    <row r="667" ht="12.75" customHeight="1">
      <c r="A667" s="187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</row>
    <row r="668" ht="12.75" customHeight="1">
      <c r="A668" s="187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</row>
    <row r="669" ht="12.75" customHeight="1">
      <c r="A669" s="187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</row>
    <row r="670" ht="12.75" customHeight="1">
      <c r="A670" s="187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</row>
    <row r="671" ht="12.75" customHeight="1">
      <c r="A671" s="187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</row>
    <row r="672" ht="12.75" customHeight="1">
      <c r="A672" s="187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</row>
    <row r="673" ht="12.75" customHeight="1">
      <c r="A673" s="187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</row>
    <row r="674" ht="12.75" customHeight="1">
      <c r="A674" s="187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</row>
    <row r="675" ht="12.75" customHeight="1">
      <c r="A675" s="187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</row>
    <row r="676" ht="12.75" customHeight="1">
      <c r="A676" s="187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</row>
    <row r="677" ht="12.75" customHeight="1">
      <c r="A677" s="187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</row>
    <row r="678" ht="12.75" customHeight="1">
      <c r="A678" s="187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</row>
    <row r="679" ht="12.75" customHeight="1">
      <c r="A679" s="187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</row>
    <row r="680" ht="12.75" customHeight="1">
      <c r="A680" s="187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</row>
    <row r="681" ht="12.75" customHeight="1">
      <c r="A681" s="187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</row>
    <row r="682" ht="12.75" customHeight="1">
      <c r="A682" s="187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</row>
    <row r="683" ht="12.75" customHeight="1">
      <c r="A683" s="187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</row>
    <row r="684" ht="12.75" customHeight="1">
      <c r="A684" s="187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</row>
    <row r="685" ht="12.75" customHeight="1">
      <c r="A685" s="187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</row>
    <row r="686" ht="12.75" customHeight="1">
      <c r="A686" s="187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</row>
    <row r="687" ht="12.75" customHeight="1">
      <c r="A687" s="187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</row>
    <row r="688" ht="12.75" customHeight="1">
      <c r="A688" s="187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</row>
    <row r="689" ht="12.75" customHeight="1">
      <c r="A689" s="187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</row>
    <row r="690" ht="12.75" customHeight="1">
      <c r="A690" s="187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</row>
    <row r="691" ht="12.75" customHeight="1">
      <c r="A691" s="187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</row>
    <row r="692" ht="12.75" customHeight="1">
      <c r="A692" s="187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</row>
    <row r="693" ht="12.75" customHeight="1">
      <c r="A693" s="187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</row>
    <row r="694" ht="12.75" customHeight="1">
      <c r="A694" s="187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</row>
    <row r="695" ht="12.75" customHeight="1">
      <c r="A695" s="187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</row>
    <row r="696" ht="12.75" customHeight="1">
      <c r="A696" s="187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</row>
    <row r="697" ht="12.75" customHeight="1">
      <c r="A697" s="187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</row>
    <row r="698" ht="12.75" customHeight="1">
      <c r="A698" s="187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</row>
    <row r="699" ht="12.75" customHeight="1">
      <c r="A699" s="187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</row>
    <row r="700" ht="12.75" customHeight="1">
      <c r="A700" s="187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</row>
    <row r="701" ht="12.75" customHeight="1">
      <c r="A701" s="187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</row>
    <row r="702" ht="12.75" customHeight="1">
      <c r="A702" s="187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</row>
    <row r="703" ht="12.75" customHeight="1">
      <c r="A703" s="187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</row>
    <row r="704" ht="12.75" customHeight="1">
      <c r="A704" s="187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</row>
    <row r="705" ht="12.75" customHeight="1">
      <c r="A705" s="187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</row>
    <row r="706" ht="12.75" customHeight="1">
      <c r="A706" s="187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</row>
    <row r="707" ht="12.75" customHeight="1">
      <c r="A707" s="187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</row>
    <row r="708" ht="12.75" customHeight="1">
      <c r="A708" s="187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</row>
    <row r="709" ht="12.75" customHeight="1">
      <c r="A709" s="187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</row>
    <row r="710" ht="12.75" customHeight="1">
      <c r="A710" s="187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</row>
    <row r="711" ht="12.75" customHeight="1">
      <c r="A711" s="187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</row>
    <row r="712" ht="12.75" customHeight="1">
      <c r="A712" s="187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</row>
    <row r="713" ht="12.75" customHeight="1">
      <c r="A713" s="187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</row>
    <row r="714" ht="12.75" customHeight="1">
      <c r="A714" s="187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</row>
    <row r="715" ht="12.75" customHeight="1">
      <c r="A715" s="187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</row>
    <row r="716" ht="12.75" customHeight="1">
      <c r="A716" s="187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</row>
    <row r="717" ht="12.75" customHeight="1">
      <c r="A717" s="187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</row>
    <row r="718" ht="12.75" customHeight="1">
      <c r="A718" s="187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</row>
    <row r="719" ht="12.75" customHeight="1">
      <c r="A719" s="187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</row>
    <row r="720" ht="12.75" customHeight="1">
      <c r="A720" s="187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</row>
    <row r="721" ht="12.75" customHeight="1">
      <c r="A721" s="187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</row>
    <row r="722" ht="12.75" customHeight="1">
      <c r="A722" s="187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</row>
    <row r="723" ht="12.75" customHeight="1">
      <c r="A723" s="187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</row>
    <row r="724" ht="12.75" customHeight="1">
      <c r="A724" s="187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</row>
    <row r="725" ht="12.75" customHeight="1">
      <c r="A725" s="187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</row>
    <row r="726" ht="12.75" customHeight="1">
      <c r="A726" s="187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</row>
    <row r="727" ht="12.75" customHeight="1">
      <c r="A727" s="187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</row>
    <row r="728" ht="12.75" customHeight="1">
      <c r="A728" s="187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</row>
    <row r="729" ht="12.75" customHeight="1">
      <c r="A729" s="187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</row>
    <row r="730" ht="12.75" customHeight="1">
      <c r="A730" s="187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</row>
    <row r="731" ht="12.75" customHeight="1">
      <c r="A731" s="187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</row>
    <row r="732" ht="12.75" customHeight="1">
      <c r="A732" s="187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</row>
    <row r="733" ht="12.75" customHeight="1">
      <c r="A733" s="187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</row>
    <row r="734" ht="12.75" customHeight="1">
      <c r="A734" s="187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</row>
    <row r="735" ht="12.75" customHeight="1">
      <c r="A735" s="187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</row>
    <row r="736" ht="12.75" customHeight="1">
      <c r="A736" s="187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</row>
    <row r="737" ht="12.75" customHeight="1">
      <c r="A737" s="187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</row>
    <row r="738" ht="12.75" customHeight="1">
      <c r="A738" s="187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</row>
    <row r="739" ht="12.75" customHeight="1">
      <c r="A739" s="187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</row>
    <row r="740" ht="12.75" customHeight="1">
      <c r="A740" s="187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</row>
    <row r="741" ht="12.75" customHeight="1">
      <c r="A741" s="187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</row>
    <row r="742" ht="12.75" customHeight="1">
      <c r="A742" s="187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</row>
    <row r="743" ht="12.75" customHeight="1">
      <c r="A743" s="187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</row>
    <row r="744" ht="12.75" customHeight="1">
      <c r="A744" s="187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</row>
    <row r="745" ht="12.75" customHeight="1">
      <c r="A745" s="187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</row>
    <row r="746" ht="12.75" customHeight="1">
      <c r="A746" s="187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</row>
    <row r="747" ht="12.75" customHeight="1">
      <c r="A747" s="187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</row>
    <row r="748" ht="12.75" customHeight="1">
      <c r="A748" s="187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</row>
    <row r="749" ht="12.75" customHeight="1">
      <c r="A749" s="187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</row>
    <row r="750" ht="12.75" customHeight="1">
      <c r="A750" s="187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</row>
    <row r="751" ht="12.75" customHeight="1">
      <c r="A751" s="187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</row>
    <row r="752" ht="12.75" customHeight="1">
      <c r="A752" s="187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</row>
    <row r="753" ht="12.75" customHeight="1">
      <c r="A753" s="187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</row>
    <row r="754" ht="12.75" customHeight="1">
      <c r="A754" s="187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</row>
    <row r="755" ht="12.75" customHeight="1">
      <c r="A755" s="187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</row>
    <row r="756" ht="12.75" customHeight="1">
      <c r="A756" s="187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</row>
    <row r="757" ht="12.75" customHeight="1">
      <c r="A757" s="187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</row>
    <row r="758" ht="12.75" customHeight="1">
      <c r="A758" s="187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</row>
    <row r="759" ht="12.75" customHeight="1">
      <c r="A759" s="187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</row>
    <row r="760" ht="12.75" customHeight="1">
      <c r="A760" s="187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</row>
    <row r="761" ht="12.75" customHeight="1">
      <c r="A761" s="187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</row>
    <row r="762" ht="12.75" customHeight="1">
      <c r="A762" s="187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</row>
    <row r="763" ht="12.75" customHeight="1">
      <c r="A763" s="187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</row>
    <row r="764" ht="12.75" customHeight="1">
      <c r="A764" s="187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</row>
    <row r="765" ht="12.75" customHeight="1">
      <c r="A765" s="187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</row>
    <row r="766" ht="12.75" customHeight="1">
      <c r="A766" s="187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</row>
    <row r="767" ht="12.75" customHeight="1">
      <c r="A767" s="187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</row>
    <row r="768" ht="12.75" customHeight="1">
      <c r="A768" s="187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</row>
    <row r="769" ht="12.75" customHeight="1">
      <c r="A769" s="187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</row>
    <row r="770" ht="12.75" customHeight="1">
      <c r="A770" s="187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</row>
    <row r="771" ht="12.75" customHeight="1">
      <c r="A771" s="187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</row>
    <row r="772" ht="12.75" customHeight="1">
      <c r="A772" s="187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</row>
    <row r="773" ht="12.75" customHeight="1">
      <c r="A773" s="187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</row>
    <row r="774" ht="12.75" customHeight="1">
      <c r="A774" s="187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</row>
    <row r="775" ht="12.75" customHeight="1">
      <c r="A775" s="187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</row>
    <row r="776" ht="12.75" customHeight="1">
      <c r="A776" s="187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</row>
    <row r="777" ht="12.75" customHeight="1">
      <c r="A777" s="187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</row>
    <row r="778" ht="12.75" customHeight="1">
      <c r="A778" s="187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</row>
    <row r="779" ht="12.75" customHeight="1">
      <c r="A779" s="187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</row>
    <row r="780" ht="12.75" customHeight="1">
      <c r="A780" s="187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</row>
    <row r="781" ht="12.75" customHeight="1">
      <c r="A781" s="187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</row>
    <row r="782" ht="12.75" customHeight="1">
      <c r="A782" s="187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</row>
    <row r="783" ht="12.75" customHeight="1">
      <c r="A783" s="187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</row>
    <row r="784" ht="12.75" customHeight="1">
      <c r="A784" s="187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</row>
    <row r="785" ht="12.75" customHeight="1">
      <c r="A785" s="187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</row>
    <row r="786" ht="12.75" customHeight="1">
      <c r="A786" s="187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</row>
    <row r="787" ht="12.75" customHeight="1">
      <c r="A787" s="187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</row>
    <row r="788" ht="12.75" customHeight="1">
      <c r="A788" s="187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</row>
    <row r="789" ht="12.75" customHeight="1">
      <c r="A789" s="187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</row>
    <row r="790" ht="12.75" customHeight="1">
      <c r="A790" s="187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</row>
    <row r="791" ht="12.75" customHeight="1">
      <c r="A791" s="187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</row>
    <row r="792" ht="12.75" customHeight="1">
      <c r="A792" s="187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</row>
    <row r="793" ht="12.75" customHeight="1">
      <c r="A793" s="187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</row>
    <row r="794" ht="12.75" customHeight="1">
      <c r="A794" s="187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</row>
    <row r="795" ht="12.75" customHeight="1">
      <c r="A795" s="187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</row>
    <row r="796" ht="12.75" customHeight="1">
      <c r="A796" s="187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</row>
    <row r="797" ht="12.75" customHeight="1">
      <c r="A797" s="187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</row>
    <row r="798" ht="12.75" customHeight="1">
      <c r="A798" s="187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</row>
    <row r="799" ht="12.75" customHeight="1">
      <c r="A799" s="187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</row>
    <row r="800" ht="12.75" customHeight="1">
      <c r="A800" s="187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</row>
    <row r="801" ht="12.75" customHeight="1">
      <c r="A801" s="187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</row>
    <row r="802" ht="12.75" customHeight="1">
      <c r="A802" s="187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</row>
    <row r="803" ht="12.75" customHeight="1">
      <c r="A803" s="187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</row>
    <row r="804" ht="12.75" customHeight="1">
      <c r="A804" s="187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</row>
    <row r="805" ht="12.75" customHeight="1">
      <c r="A805" s="187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</row>
    <row r="806" ht="12.75" customHeight="1">
      <c r="A806" s="187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</row>
    <row r="807" ht="12.75" customHeight="1">
      <c r="A807" s="187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</row>
    <row r="808" ht="12.75" customHeight="1">
      <c r="A808" s="187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</row>
    <row r="809" ht="12.75" customHeight="1">
      <c r="A809" s="187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</row>
    <row r="810" ht="12.75" customHeight="1">
      <c r="A810" s="187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</row>
    <row r="811" ht="12.75" customHeight="1">
      <c r="A811" s="187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</row>
    <row r="812" ht="12.75" customHeight="1">
      <c r="A812" s="187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</row>
    <row r="813" ht="12.75" customHeight="1">
      <c r="A813" s="187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</row>
    <row r="814" ht="12.75" customHeight="1">
      <c r="A814" s="187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</row>
    <row r="815" ht="12.75" customHeight="1">
      <c r="A815" s="187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</row>
    <row r="816" ht="12.75" customHeight="1">
      <c r="A816" s="187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</row>
    <row r="817" ht="12.75" customHeight="1">
      <c r="A817" s="187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</row>
    <row r="818" ht="12.75" customHeight="1">
      <c r="A818" s="187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</row>
    <row r="819" ht="12.75" customHeight="1">
      <c r="A819" s="187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</row>
    <row r="820" ht="12.75" customHeight="1">
      <c r="A820" s="187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</row>
    <row r="821" ht="12.75" customHeight="1">
      <c r="A821" s="187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</row>
    <row r="822" ht="12.75" customHeight="1">
      <c r="A822" s="187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</row>
    <row r="823" ht="12.75" customHeight="1">
      <c r="A823" s="187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</row>
    <row r="824" ht="12.75" customHeight="1">
      <c r="A824" s="187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</row>
    <row r="825" ht="12.75" customHeight="1">
      <c r="A825" s="187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</row>
    <row r="826" ht="12.75" customHeight="1">
      <c r="A826" s="187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</row>
    <row r="827" ht="12.75" customHeight="1">
      <c r="A827" s="187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</row>
    <row r="828" ht="12.75" customHeight="1">
      <c r="A828" s="187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</row>
    <row r="829" ht="12.75" customHeight="1">
      <c r="A829" s="187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</row>
    <row r="830" ht="12.75" customHeight="1">
      <c r="A830" s="187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</row>
    <row r="831" ht="12.75" customHeight="1">
      <c r="A831" s="187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</row>
    <row r="832" ht="12.75" customHeight="1">
      <c r="A832" s="187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</row>
    <row r="833" ht="12.75" customHeight="1">
      <c r="A833" s="187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</row>
    <row r="834" ht="12.75" customHeight="1">
      <c r="A834" s="187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</row>
    <row r="835" ht="12.75" customHeight="1">
      <c r="A835" s="187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</row>
    <row r="836" ht="12.75" customHeight="1">
      <c r="A836" s="187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</row>
    <row r="837" ht="12.75" customHeight="1">
      <c r="A837" s="187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</row>
    <row r="838" ht="12.75" customHeight="1">
      <c r="A838" s="187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</row>
    <row r="839" ht="12.75" customHeight="1">
      <c r="A839" s="187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</row>
    <row r="840" ht="12.75" customHeight="1">
      <c r="A840" s="187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</row>
    <row r="841" ht="12.75" customHeight="1">
      <c r="A841" s="187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</row>
    <row r="842" ht="12.75" customHeight="1">
      <c r="A842" s="187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</row>
    <row r="843" ht="12.75" customHeight="1">
      <c r="A843" s="187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</row>
    <row r="844" ht="12.75" customHeight="1">
      <c r="A844" s="187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</row>
    <row r="845" ht="12.75" customHeight="1">
      <c r="A845" s="187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</row>
    <row r="846" ht="12.75" customHeight="1">
      <c r="A846" s="187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</row>
    <row r="847" ht="12.75" customHeight="1">
      <c r="A847" s="187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</row>
    <row r="848" ht="12.75" customHeight="1">
      <c r="A848" s="187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</row>
    <row r="849" ht="12.75" customHeight="1">
      <c r="A849" s="187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</row>
    <row r="850" ht="12.75" customHeight="1">
      <c r="A850" s="187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</row>
    <row r="851" ht="12.75" customHeight="1">
      <c r="A851" s="187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</row>
    <row r="852" ht="12.75" customHeight="1">
      <c r="A852" s="187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</row>
    <row r="853" ht="12.75" customHeight="1">
      <c r="A853" s="187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</row>
    <row r="854" ht="12.75" customHeight="1">
      <c r="A854" s="187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</row>
    <row r="855" ht="12.75" customHeight="1">
      <c r="A855" s="187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</row>
    <row r="856" ht="12.75" customHeight="1">
      <c r="A856" s="187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</row>
    <row r="857" ht="12.75" customHeight="1">
      <c r="A857" s="187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</row>
    <row r="858" ht="12.75" customHeight="1">
      <c r="A858" s="187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</row>
    <row r="859" ht="12.75" customHeight="1">
      <c r="A859" s="187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</row>
    <row r="860" ht="12.75" customHeight="1">
      <c r="A860" s="187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</row>
    <row r="861" ht="12.75" customHeight="1">
      <c r="A861" s="187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</row>
    <row r="862" ht="12.75" customHeight="1">
      <c r="A862" s="187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</row>
    <row r="863" ht="12.75" customHeight="1">
      <c r="A863" s="187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</row>
    <row r="864" ht="12.75" customHeight="1">
      <c r="A864" s="187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</row>
    <row r="865" ht="12.75" customHeight="1">
      <c r="A865" s="187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</row>
    <row r="866" ht="12.75" customHeight="1">
      <c r="A866" s="187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</row>
    <row r="867" ht="12.75" customHeight="1">
      <c r="A867" s="187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</row>
    <row r="868" ht="12.75" customHeight="1">
      <c r="A868" s="187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</row>
    <row r="869" ht="12.75" customHeight="1">
      <c r="A869" s="187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</row>
    <row r="870" ht="12.75" customHeight="1">
      <c r="A870" s="187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</row>
    <row r="871" ht="12.75" customHeight="1">
      <c r="A871" s="187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</row>
    <row r="872" ht="12.75" customHeight="1">
      <c r="A872" s="187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</row>
    <row r="873" ht="12.75" customHeight="1">
      <c r="A873" s="187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</row>
    <row r="874" ht="12.75" customHeight="1">
      <c r="A874" s="187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</row>
    <row r="875" ht="12.75" customHeight="1">
      <c r="A875" s="187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</row>
    <row r="876" ht="12.75" customHeight="1">
      <c r="A876" s="187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</row>
    <row r="877" ht="12.75" customHeight="1">
      <c r="A877" s="187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</row>
    <row r="878" ht="12.75" customHeight="1">
      <c r="A878" s="187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</row>
    <row r="879" ht="12.75" customHeight="1">
      <c r="A879" s="187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</row>
    <row r="880" ht="12.75" customHeight="1">
      <c r="A880" s="187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</row>
    <row r="881" ht="12.75" customHeight="1">
      <c r="A881" s="187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</row>
    <row r="882" ht="12.75" customHeight="1">
      <c r="A882" s="187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</row>
    <row r="883" ht="12.75" customHeight="1">
      <c r="A883" s="187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</row>
    <row r="884" ht="12.75" customHeight="1">
      <c r="A884" s="187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</row>
    <row r="885" ht="12.75" customHeight="1">
      <c r="A885" s="187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</row>
    <row r="886" ht="12.75" customHeight="1">
      <c r="A886" s="187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</row>
    <row r="887" ht="12.75" customHeight="1">
      <c r="A887" s="187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</row>
    <row r="888" ht="12.75" customHeight="1">
      <c r="A888" s="187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</row>
    <row r="889" ht="12.75" customHeight="1">
      <c r="A889" s="187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</row>
    <row r="890" ht="12.75" customHeight="1">
      <c r="A890" s="187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</row>
    <row r="891" ht="12.75" customHeight="1">
      <c r="A891" s="187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</row>
    <row r="892" ht="12.75" customHeight="1">
      <c r="A892" s="187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</row>
    <row r="893" ht="12.75" customHeight="1">
      <c r="A893" s="187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</row>
    <row r="894" ht="12.75" customHeight="1">
      <c r="A894" s="187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</row>
    <row r="895" ht="12.75" customHeight="1">
      <c r="A895" s="187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</row>
    <row r="896" ht="12.75" customHeight="1">
      <c r="A896" s="187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</row>
    <row r="897" ht="12.75" customHeight="1">
      <c r="A897" s="187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</row>
    <row r="898" ht="12.75" customHeight="1">
      <c r="A898" s="187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</row>
    <row r="899" ht="12.75" customHeight="1">
      <c r="A899" s="187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</row>
    <row r="900" ht="12.75" customHeight="1">
      <c r="A900" s="187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</row>
    <row r="901" ht="12.75" customHeight="1">
      <c r="A901" s="187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</row>
    <row r="902" ht="12.75" customHeight="1">
      <c r="A902" s="187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</row>
    <row r="903" ht="12.75" customHeight="1">
      <c r="A903" s="187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</row>
    <row r="904" ht="12.75" customHeight="1">
      <c r="A904" s="187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</row>
    <row r="905" ht="12.75" customHeight="1">
      <c r="A905" s="187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</row>
    <row r="906" ht="12.75" customHeight="1">
      <c r="A906" s="187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</row>
    <row r="907" ht="12.75" customHeight="1">
      <c r="A907" s="187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</row>
    <row r="908" ht="12.75" customHeight="1">
      <c r="A908" s="187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</row>
    <row r="909" ht="12.75" customHeight="1">
      <c r="A909" s="187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</row>
    <row r="910" ht="12.75" customHeight="1">
      <c r="A910" s="187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</row>
    <row r="911" ht="12.75" customHeight="1">
      <c r="A911" s="187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</row>
    <row r="912" ht="12.75" customHeight="1">
      <c r="A912" s="187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</row>
    <row r="913" ht="12.75" customHeight="1">
      <c r="A913" s="187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</row>
    <row r="914" ht="12.75" customHeight="1">
      <c r="A914" s="187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</row>
    <row r="915" ht="12.75" customHeight="1">
      <c r="A915" s="187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</row>
    <row r="916" ht="12.75" customHeight="1">
      <c r="A916" s="187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</row>
    <row r="917" ht="12.75" customHeight="1">
      <c r="A917" s="187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</row>
    <row r="918" ht="12.75" customHeight="1">
      <c r="A918" s="187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</row>
    <row r="919" ht="12.75" customHeight="1">
      <c r="A919" s="187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</row>
    <row r="920" ht="12.75" customHeight="1">
      <c r="A920" s="187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</row>
    <row r="921" ht="12.75" customHeight="1">
      <c r="A921" s="187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</row>
    <row r="922" ht="12.75" customHeight="1">
      <c r="A922" s="187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</row>
    <row r="923" ht="12.75" customHeight="1">
      <c r="A923" s="187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</row>
    <row r="924" ht="12.75" customHeight="1">
      <c r="A924" s="187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</row>
    <row r="925" ht="12.75" customHeight="1">
      <c r="A925" s="187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</row>
    <row r="926" ht="12.75" customHeight="1">
      <c r="A926" s="187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</row>
    <row r="927" ht="12.75" customHeight="1">
      <c r="A927" s="187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</row>
    <row r="928" ht="12.75" customHeight="1">
      <c r="A928" s="187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</row>
    <row r="929" ht="12.75" customHeight="1">
      <c r="A929" s="187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</row>
    <row r="930" ht="12.75" customHeight="1">
      <c r="A930" s="187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</row>
    <row r="931" ht="12.75" customHeight="1">
      <c r="A931" s="187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</row>
    <row r="932" ht="12.75" customHeight="1">
      <c r="A932" s="187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</row>
    <row r="933" ht="12.75" customHeight="1">
      <c r="A933" s="187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</row>
    <row r="934" ht="12.75" customHeight="1">
      <c r="A934" s="187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87"/>
      <c r="V934" s="187"/>
      <c r="W934" s="187"/>
      <c r="X934" s="187"/>
      <c r="Y934" s="187"/>
      <c r="Z934" s="187"/>
    </row>
    <row r="935" ht="12.75" customHeight="1">
      <c r="A935" s="187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87"/>
      <c r="V935" s="187"/>
      <c r="W935" s="187"/>
      <c r="X935" s="187"/>
      <c r="Y935" s="187"/>
      <c r="Z935" s="187"/>
    </row>
    <row r="936" ht="12.75" customHeight="1">
      <c r="A936" s="187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87"/>
      <c r="V936" s="187"/>
      <c r="W936" s="187"/>
      <c r="X936" s="187"/>
      <c r="Y936" s="187"/>
      <c r="Z936" s="187"/>
    </row>
    <row r="937" ht="12.75" customHeight="1">
      <c r="A937" s="187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87"/>
      <c r="V937" s="187"/>
      <c r="W937" s="187"/>
      <c r="X937" s="187"/>
      <c r="Y937" s="187"/>
      <c r="Z937" s="187"/>
    </row>
    <row r="938" ht="12.75" customHeight="1">
      <c r="A938" s="187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87"/>
      <c r="V938" s="187"/>
      <c r="W938" s="187"/>
      <c r="X938" s="187"/>
      <c r="Y938" s="187"/>
      <c r="Z938" s="187"/>
    </row>
    <row r="939" ht="12.75" customHeight="1">
      <c r="A939" s="187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87"/>
      <c r="V939" s="187"/>
      <c r="W939" s="187"/>
      <c r="X939" s="187"/>
      <c r="Y939" s="187"/>
      <c r="Z939" s="187"/>
    </row>
    <row r="940" ht="12.75" customHeight="1">
      <c r="A940" s="187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87"/>
      <c r="V940" s="187"/>
      <c r="W940" s="187"/>
      <c r="X940" s="187"/>
      <c r="Y940" s="187"/>
      <c r="Z940" s="187"/>
    </row>
    <row r="941" ht="12.75" customHeight="1">
      <c r="A941" s="187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87"/>
      <c r="V941" s="187"/>
      <c r="W941" s="187"/>
      <c r="X941" s="187"/>
      <c r="Y941" s="187"/>
      <c r="Z941" s="187"/>
    </row>
    <row r="942" ht="12.75" customHeight="1">
      <c r="A942" s="187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87"/>
      <c r="V942" s="187"/>
      <c r="W942" s="187"/>
      <c r="X942" s="187"/>
      <c r="Y942" s="187"/>
      <c r="Z942" s="187"/>
    </row>
    <row r="943" ht="12.75" customHeight="1">
      <c r="A943" s="187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87"/>
      <c r="V943" s="187"/>
      <c r="W943" s="187"/>
      <c r="X943" s="187"/>
      <c r="Y943" s="187"/>
      <c r="Z943" s="187"/>
    </row>
    <row r="944" ht="12.75" customHeight="1">
      <c r="A944" s="187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87"/>
      <c r="V944" s="187"/>
      <c r="W944" s="187"/>
      <c r="X944" s="187"/>
      <c r="Y944" s="187"/>
      <c r="Z944" s="187"/>
    </row>
    <row r="945" ht="12.75" customHeight="1">
      <c r="A945" s="187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87"/>
      <c r="V945" s="187"/>
      <c r="W945" s="187"/>
      <c r="X945" s="187"/>
      <c r="Y945" s="187"/>
      <c r="Z945" s="187"/>
    </row>
    <row r="946" ht="12.75" customHeight="1">
      <c r="A946" s="187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87"/>
      <c r="V946" s="187"/>
      <c r="W946" s="187"/>
      <c r="X946" s="187"/>
      <c r="Y946" s="187"/>
      <c r="Z946" s="187"/>
    </row>
    <row r="947" ht="12.75" customHeight="1">
      <c r="A947" s="187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87"/>
      <c r="V947" s="187"/>
      <c r="W947" s="187"/>
      <c r="X947" s="187"/>
      <c r="Y947" s="187"/>
      <c r="Z947" s="187"/>
    </row>
    <row r="948" ht="12.75" customHeight="1">
      <c r="A948" s="187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87"/>
      <c r="V948" s="187"/>
      <c r="W948" s="187"/>
      <c r="X948" s="187"/>
      <c r="Y948" s="187"/>
      <c r="Z948" s="187"/>
    </row>
    <row r="949" ht="12.75" customHeight="1">
      <c r="A949" s="187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87"/>
      <c r="V949" s="187"/>
      <c r="W949" s="187"/>
      <c r="X949" s="187"/>
      <c r="Y949" s="187"/>
      <c r="Z949" s="187"/>
    </row>
    <row r="950" ht="12.75" customHeight="1">
      <c r="A950" s="187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87"/>
      <c r="V950" s="187"/>
      <c r="W950" s="187"/>
      <c r="X950" s="187"/>
      <c r="Y950" s="187"/>
      <c r="Z950" s="187"/>
    </row>
    <row r="951" ht="12.75" customHeight="1">
      <c r="A951" s="187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87"/>
      <c r="V951" s="187"/>
      <c r="W951" s="187"/>
      <c r="X951" s="187"/>
      <c r="Y951" s="187"/>
      <c r="Z951" s="187"/>
    </row>
    <row r="952" ht="12.75" customHeight="1">
      <c r="A952" s="187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87"/>
      <c r="V952" s="187"/>
      <c r="W952" s="187"/>
      <c r="X952" s="187"/>
      <c r="Y952" s="187"/>
      <c r="Z952" s="187"/>
    </row>
    <row r="953" ht="12.75" customHeight="1">
      <c r="A953" s="187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87"/>
      <c r="V953" s="187"/>
      <c r="W953" s="187"/>
      <c r="X953" s="187"/>
      <c r="Y953" s="187"/>
      <c r="Z953" s="187"/>
    </row>
    <row r="954" ht="12.75" customHeight="1">
      <c r="A954" s="187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87"/>
      <c r="V954" s="187"/>
      <c r="W954" s="187"/>
      <c r="X954" s="187"/>
      <c r="Y954" s="187"/>
      <c r="Z954" s="187"/>
    </row>
    <row r="955" ht="12.75" customHeight="1">
      <c r="A955" s="187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87"/>
      <c r="V955" s="187"/>
      <c r="W955" s="187"/>
      <c r="X955" s="187"/>
      <c r="Y955" s="187"/>
      <c r="Z955" s="187"/>
    </row>
    <row r="956" ht="12.75" customHeight="1">
      <c r="A956" s="187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87"/>
      <c r="V956" s="187"/>
      <c r="W956" s="187"/>
      <c r="X956" s="187"/>
      <c r="Y956" s="187"/>
      <c r="Z956" s="187"/>
    </row>
    <row r="957" ht="12.75" customHeight="1">
      <c r="A957" s="187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87"/>
      <c r="V957" s="187"/>
      <c r="W957" s="187"/>
      <c r="X957" s="187"/>
      <c r="Y957" s="187"/>
      <c r="Z957" s="187"/>
    </row>
    <row r="958" ht="12.75" customHeight="1">
      <c r="A958" s="187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87"/>
      <c r="V958" s="187"/>
      <c r="W958" s="187"/>
      <c r="X958" s="187"/>
      <c r="Y958" s="187"/>
      <c r="Z958" s="187"/>
    </row>
    <row r="959" ht="12.75" customHeight="1">
      <c r="A959" s="187"/>
      <c r="B959" s="187"/>
      <c r="C959" s="187"/>
      <c r="D959" s="187"/>
      <c r="E959" s="187"/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87"/>
      <c r="V959" s="187"/>
      <c r="W959" s="187"/>
      <c r="X959" s="187"/>
      <c r="Y959" s="187"/>
      <c r="Z959" s="187"/>
    </row>
    <row r="960" ht="12.75" customHeight="1">
      <c r="A960" s="187"/>
      <c r="B960" s="187"/>
      <c r="C960" s="187"/>
      <c r="D960" s="187"/>
      <c r="E960" s="187"/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87"/>
      <c r="V960" s="187"/>
      <c r="W960" s="187"/>
      <c r="X960" s="187"/>
      <c r="Y960" s="187"/>
      <c r="Z960" s="187"/>
    </row>
    <row r="961" ht="12.75" customHeight="1">
      <c r="A961" s="187"/>
      <c r="B961" s="187"/>
      <c r="C961" s="187"/>
      <c r="D961" s="187"/>
      <c r="E961" s="187"/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87"/>
      <c r="V961" s="187"/>
      <c r="W961" s="187"/>
      <c r="X961" s="187"/>
      <c r="Y961" s="187"/>
      <c r="Z961" s="187"/>
    </row>
    <row r="962" ht="12.75" customHeight="1">
      <c r="A962" s="187"/>
      <c r="B962" s="187"/>
      <c r="C962" s="187"/>
      <c r="D962" s="187"/>
      <c r="E962" s="187"/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87"/>
      <c r="V962" s="187"/>
      <c r="W962" s="187"/>
      <c r="X962" s="187"/>
      <c r="Y962" s="187"/>
      <c r="Z962" s="187"/>
    </row>
    <row r="963" ht="12.75" customHeight="1">
      <c r="A963" s="187"/>
      <c r="B963" s="187"/>
      <c r="C963" s="187"/>
      <c r="D963" s="187"/>
      <c r="E963" s="187"/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87"/>
      <c r="V963" s="187"/>
      <c r="W963" s="187"/>
      <c r="X963" s="187"/>
      <c r="Y963" s="187"/>
      <c r="Z963" s="187"/>
    </row>
    <row r="964" ht="12.75" customHeight="1">
      <c r="A964" s="187"/>
      <c r="B964" s="187"/>
      <c r="C964" s="187"/>
      <c r="D964" s="187"/>
      <c r="E964" s="187"/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87"/>
      <c r="V964" s="187"/>
      <c r="W964" s="187"/>
      <c r="X964" s="187"/>
      <c r="Y964" s="187"/>
      <c r="Z964" s="187"/>
    </row>
    <row r="965" ht="12.75" customHeight="1">
      <c r="A965" s="187"/>
      <c r="B965" s="187"/>
      <c r="C965" s="187"/>
      <c r="D965" s="187"/>
      <c r="E965" s="187"/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87"/>
      <c r="V965" s="187"/>
      <c r="W965" s="187"/>
      <c r="X965" s="187"/>
      <c r="Y965" s="187"/>
      <c r="Z965" s="187"/>
    </row>
    <row r="966" ht="12.75" customHeight="1">
      <c r="A966" s="187"/>
      <c r="B966" s="187"/>
      <c r="C966" s="187"/>
      <c r="D966" s="187"/>
      <c r="E966" s="187"/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87"/>
      <c r="V966" s="187"/>
      <c r="W966" s="187"/>
      <c r="X966" s="187"/>
      <c r="Y966" s="187"/>
      <c r="Z966" s="187"/>
    </row>
    <row r="967" ht="12.75" customHeight="1">
      <c r="A967" s="187"/>
      <c r="B967" s="187"/>
      <c r="C967" s="187"/>
      <c r="D967" s="187"/>
      <c r="E967" s="187"/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87"/>
      <c r="V967" s="187"/>
      <c r="W967" s="187"/>
      <c r="X967" s="187"/>
      <c r="Y967" s="187"/>
      <c r="Z967" s="187"/>
    </row>
    <row r="968" ht="12.75" customHeight="1">
      <c r="A968" s="187"/>
      <c r="B968" s="187"/>
      <c r="C968" s="187"/>
      <c r="D968" s="187"/>
      <c r="E968" s="187"/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87"/>
      <c r="V968" s="187"/>
      <c r="W968" s="187"/>
      <c r="X968" s="187"/>
      <c r="Y968" s="187"/>
      <c r="Z968" s="187"/>
    </row>
    <row r="969" ht="12.75" customHeight="1">
      <c r="A969" s="187"/>
      <c r="B969" s="187"/>
      <c r="C969" s="187"/>
      <c r="D969" s="187"/>
      <c r="E969" s="187"/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87"/>
      <c r="V969" s="187"/>
      <c r="W969" s="187"/>
      <c r="X969" s="187"/>
      <c r="Y969" s="187"/>
      <c r="Z969" s="187"/>
    </row>
    <row r="970" ht="12.75" customHeight="1">
      <c r="A970" s="187"/>
      <c r="B970" s="187"/>
      <c r="C970" s="187"/>
      <c r="D970" s="187"/>
      <c r="E970" s="187"/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87"/>
      <c r="V970" s="187"/>
      <c r="W970" s="187"/>
      <c r="X970" s="187"/>
      <c r="Y970" s="187"/>
      <c r="Z970" s="187"/>
    </row>
    <row r="971" ht="12.75" customHeight="1">
      <c r="A971" s="187"/>
      <c r="B971" s="187"/>
      <c r="C971" s="187"/>
      <c r="D971" s="187"/>
      <c r="E971" s="187"/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87"/>
      <c r="V971" s="187"/>
      <c r="W971" s="187"/>
      <c r="X971" s="187"/>
      <c r="Y971" s="187"/>
      <c r="Z971" s="187"/>
    </row>
    <row r="972" ht="12.75" customHeight="1">
      <c r="A972" s="187"/>
      <c r="B972" s="187"/>
      <c r="C972" s="187"/>
      <c r="D972" s="187"/>
      <c r="E972" s="187"/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87"/>
      <c r="V972" s="187"/>
      <c r="W972" s="187"/>
      <c r="X972" s="187"/>
      <c r="Y972" s="187"/>
      <c r="Z972" s="187"/>
    </row>
    <row r="973" ht="12.75" customHeight="1">
      <c r="A973" s="187"/>
      <c r="B973" s="187"/>
      <c r="C973" s="187"/>
      <c r="D973" s="187"/>
      <c r="E973" s="187"/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87"/>
      <c r="V973" s="187"/>
      <c r="W973" s="187"/>
      <c r="X973" s="187"/>
      <c r="Y973" s="187"/>
      <c r="Z973" s="187"/>
    </row>
    <row r="974" ht="12.75" customHeight="1">
      <c r="A974" s="187"/>
      <c r="B974" s="187"/>
      <c r="C974" s="187"/>
      <c r="D974" s="187"/>
      <c r="E974" s="187"/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87"/>
      <c r="V974" s="187"/>
      <c r="W974" s="187"/>
      <c r="X974" s="187"/>
      <c r="Y974" s="187"/>
      <c r="Z974" s="187"/>
    </row>
    <row r="975" ht="12.75" customHeight="1">
      <c r="A975" s="187"/>
      <c r="B975" s="187"/>
      <c r="C975" s="187"/>
      <c r="D975" s="187"/>
      <c r="E975" s="187"/>
      <c r="F975" s="187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87"/>
      <c r="V975" s="187"/>
      <c r="W975" s="187"/>
      <c r="X975" s="187"/>
      <c r="Y975" s="187"/>
      <c r="Z975" s="187"/>
    </row>
    <row r="976" ht="12.75" customHeight="1">
      <c r="A976" s="187"/>
      <c r="B976" s="187"/>
      <c r="C976" s="187"/>
      <c r="D976" s="187"/>
      <c r="E976" s="187"/>
      <c r="F976" s="187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87"/>
      <c r="V976" s="187"/>
      <c r="W976" s="187"/>
      <c r="X976" s="187"/>
      <c r="Y976" s="187"/>
      <c r="Z976" s="187"/>
    </row>
    <row r="977" ht="12.75" customHeight="1">
      <c r="A977" s="187"/>
      <c r="B977" s="187"/>
      <c r="C977" s="187"/>
      <c r="D977" s="187"/>
      <c r="E977" s="187"/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87"/>
      <c r="V977" s="187"/>
      <c r="W977" s="187"/>
      <c r="X977" s="187"/>
      <c r="Y977" s="187"/>
      <c r="Z977" s="187"/>
    </row>
    <row r="978" ht="12.75" customHeight="1">
      <c r="A978" s="187"/>
      <c r="B978" s="187"/>
      <c r="C978" s="187"/>
      <c r="D978" s="187"/>
      <c r="E978" s="187"/>
      <c r="F978" s="187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87"/>
      <c r="V978" s="187"/>
      <c r="W978" s="187"/>
      <c r="X978" s="187"/>
      <c r="Y978" s="187"/>
      <c r="Z978" s="187"/>
    </row>
    <row r="979" ht="12.75" customHeight="1">
      <c r="A979" s="187"/>
      <c r="B979" s="187"/>
      <c r="C979" s="187"/>
      <c r="D979" s="187"/>
      <c r="E979" s="187"/>
      <c r="F979" s="187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87"/>
      <c r="V979" s="187"/>
      <c r="W979" s="187"/>
      <c r="X979" s="187"/>
      <c r="Y979" s="187"/>
      <c r="Z979" s="187"/>
    </row>
    <row r="980" ht="12.75" customHeight="1">
      <c r="A980" s="187"/>
      <c r="B980" s="187"/>
      <c r="C980" s="187"/>
      <c r="D980" s="187"/>
      <c r="E980" s="187"/>
      <c r="F980" s="187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87"/>
      <c r="V980" s="187"/>
      <c r="W980" s="187"/>
      <c r="X980" s="187"/>
      <c r="Y980" s="187"/>
      <c r="Z980" s="187"/>
    </row>
    <row r="981" ht="12.75" customHeight="1">
      <c r="A981" s="187"/>
      <c r="B981" s="187"/>
      <c r="C981" s="187"/>
      <c r="D981" s="187"/>
      <c r="E981" s="187"/>
      <c r="F981" s="187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87"/>
      <c r="V981" s="187"/>
      <c r="W981" s="187"/>
      <c r="X981" s="187"/>
      <c r="Y981" s="187"/>
      <c r="Z981" s="187"/>
    </row>
    <row r="982" ht="12.75" customHeight="1">
      <c r="A982" s="187"/>
      <c r="B982" s="187"/>
      <c r="C982" s="187"/>
      <c r="D982" s="187"/>
      <c r="E982" s="187"/>
      <c r="F982" s="187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87"/>
      <c r="V982" s="187"/>
      <c r="W982" s="187"/>
      <c r="X982" s="187"/>
      <c r="Y982" s="187"/>
      <c r="Z982" s="187"/>
    </row>
    <row r="983" ht="12.75" customHeight="1">
      <c r="A983" s="187"/>
      <c r="B983" s="187"/>
      <c r="C983" s="187"/>
      <c r="D983" s="187"/>
      <c r="E983" s="187"/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87"/>
      <c r="V983" s="187"/>
      <c r="W983" s="187"/>
      <c r="X983" s="187"/>
      <c r="Y983" s="187"/>
      <c r="Z983" s="187"/>
    </row>
    <row r="984" ht="12.75" customHeight="1">
      <c r="A984" s="187"/>
      <c r="B984" s="187"/>
      <c r="C984" s="187"/>
      <c r="D984" s="187"/>
      <c r="E984" s="187"/>
      <c r="F984" s="187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87"/>
      <c r="V984" s="187"/>
      <c r="W984" s="187"/>
      <c r="X984" s="187"/>
      <c r="Y984" s="187"/>
      <c r="Z984" s="187"/>
    </row>
    <row r="985" ht="12.75" customHeight="1">
      <c r="A985" s="187"/>
      <c r="B985" s="187"/>
      <c r="C985" s="187"/>
      <c r="D985" s="187"/>
      <c r="E985" s="187"/>
      <c r="F985" s="187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87"/>
      <c r="V985" s="187"/>
      <c r="W985" s="187"/>
      <c r="X985" s="187"/>
      <c r="Y985" s="187"/>
      <c r="Z985" s="187"/>
    </row>
    <row r="986" ht="12.75" customHeight="1">
      <c r="A986" s="187"/>
      <c r="B986" s="187"/>
      <c r="C986" s="187"/>
      <c r="D986" s="187"/>
      <c r="E986" s="187"/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87"/>
      <c r="V986" s="187"/>
      <c r="W986" s="187"/>
      <c r="X986" s="187"/>
      <c r="Y986" s="187"/>
      <c r="Z986" s="187"/>
    </row>
    <row r="987" ht="12.75" customHeight="1">
      <c r="A987" s="187"/>
      <c r="B987" s="187"/>
      <c r="C987" s="187"/>
      <c r="D987" s="187"/>
      <c r="E987" s="187"/>
      <c r="F987" s="187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87"/>
      <c r="V987" s="187"/>
      <c r="W987" s="187"/>
      <c r="X987" s="187"/>
      <c r="Y987" s="187"/>
      <c r="Z987" s="187"/>
    </row>
    <row r="988" ht="12.75" customHeight="1">
      <c r="A988" s="187"/>
      <c r="B988" s="187"/>
      <c r="C988" s="187"/>
      <c r="D988" s="187"/>
      <c r="E988" s="187"/>
      <c r="F988" s="187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87"/>
      <c r="V988" s="187"/>
      <c r="W988" s="187"/>
      <c r="X988" s="187"/>
      <c r="Y988" s="187"/>
      <c r="Z988" s="187"/>
    </row>
    <row r="989" ht="12.75" customHeight="1">
      <c r="A989" s="187"/>
      <c r="B989" s="187"/>
      <c r="C989" s="187"/>
      <c r="D989" s="187"/>
      <c r="E989" s="187"/>
      <c r="F989" s="187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87"/>
      <c r="V989" s="187"/>
      <c r="W989" s="187"/>
      <c r="X989" s="187"/>
      <c r="Y989" s="187"/>
      <c r="Z989" s="187"/>
    </row>
    <row r="990" ht="12.75" customHeight="1">
      <c r="A990" s="187"/>
      <c r="B990" s="187"/>
      <c r="C990" s="187"/>
      <c r="D990" s="187"/>
      <c r="E990" s="187"/>
      <c r="F990" s="187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87"/>
      <c r="V990" s="187"/>
      <c r="W990" s="187"/>
      <c r="X990" s="187"/>
      <c r="Y990" s="187"/>
      <c r="Z990" s="187"/>
    </row>
    <row r="991" ht="12.75" customHeight="1">
      <c r="A991" s="187"/>
      <c r="B991" s="187"/>
      <c r="C991" s="187"/>
      <c r="D991" s="187"/>
      <c r="E991" s="187"/>
      <c r="F991" s="187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87"/>
      <c r="V991" s="187"/>
      <c r="W991" s="187"/>
      <c r="X991" s="187"/>
      <c r="Y991" s="187"/>
      <c r="Z991" s="187"/>
    </row>
    <row r="992" ht="12.75" customHeight="1">
      <c r="A992" s="187"/>
      <c r="B992" s="187"/>
      <c r="C992" s="187"/>
      <c r="D992" s="187"/>
      <c r="E992" s="187"/>
      <c r="F992" s="187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87"/>
      <c r="V992" s="187"/>
      <c r="W992" s="187"/>
      <c r="X992" s="187"/>
      <c r="Y992" s="187"/>
      <c r="Z992" s="187"/>
    </row>
    <row r="993" ht="12.75" customHeight="1">
      <c r="A993" s="187"/>
      <c r="B993" s="187"/>
      <c r="C993" s="187"/>
      <c r="D993" s="187"/>
      <c r="E993" s="187"/>
      <c r="F993" s="187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87"/>
      <c r="V993" s="187"/>
      <c r="W993" s="187"/>
      <c r="X993" s="187"/>
      <c r="Y993" s="187"/>
      <c r="Z993" s="187"/>
    </row>
    <row r="994" ht="12.75" customHeight="1">
      <c r="A994" s="187"/>
      <c r="B994" s="187"/>
      <c r="C994" s="187"/>
      <c r="D994" s="187"/>
      <c r="E994" s="187"/>
      <c r="F994" s="187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87"/>
      <c r="V994" s="187"/>
      <c r="W994" s="187"/>
      <c r="X994" s="187"/>
      <c r="Y994" s="187"/>
      <c r="Z994" s="187"/>
    </row>
  </sheetData>
  <mergeCells count="255">
    <mergeCell ref="C52:C53"/>
    <mergeCell ref="C55:C56"/>
    <mergeCell ref="D55:D56"/>
    <mergeCell ref="E55:E56"/>
    <mergeCell ref="F55:F56"/>
    <mergeCell ref="G55:G56"/>
    <mergeCell ref="H55:H56"/>
    <mergeCell ref="I55:I56"/>
    <mergeCell ref="L55:L56"/>
    <mergeCell ref="M55:M56"/>
    <mergeCell ref="C57:M57"/>
    <mergeCell ref="C58:I58"/>
    <mergeCell ref="C59:M59"/>
    <mergeCell ref="C60:M60"/>
    <mergeCell ref="L67:L68"/>
    <mergeCell ref="M67:M68"/>
    <mergeCell ref="C67:C68"/>
    <mergeCell ref="D67:D68"/>
    <mergeCell ref="E67:E68"/>
    <mergeCell ref="F67:F68"/>
    <mergeCell ref="G67:G68"/>
    <mergeCell ref="H67:H68"/>
    <mergeCell ref="I67:I68"/>
    <mergeCell ref="G46:G47"/>
    <mergeCell ref="H46:H47"/>
    <mergeCell ref="I46:I47"/>
    <mergeCell ref="L46:L47"/>
    <mergeCell ref="M46:M47"/>
    <mergeCell ref="C48:M48"/>
    <mergeCell ref="E44:F44"/>
    <mergeCell ref="H44:I44"/>
    <mergeCell ref="J44:K44"/>
    <mergeCell ref="L44:M44"/>
    <mergeCell ref="C45:M45"/>
    <mergeCell ref="C46:C47"/>
    <mergeCell ref="D46:D47"/>
    <mergeCell ref="H49:H50"/>
    <mergeCell ref="I49:I50"/>
    <mergeCell ref="L49:L50"/>
    <mergeCell ref="M49:M50"/>
    <mergeCell ref="C51:M51"/>
    <mergeCell ref="E46:E47"/>
    <mergeCell ref="F46:F47"/>
    <mergeCell ref="C49:C50"/>
    <mergeCell ref="D49:D50"/>
    <mergeCell ref="E49:E50"/>
    <mergeCell ref="F49:F50"/>
    <mergeCell ref="G49:G50"/>
    <mergeCell ref="C69:M69"/>
    <mergeCell ref="C70:M70"/>
    <mergeCell ref="C71:I71"/>
    <mergeCell ref="C72:M72"/>
    <mergeCell ref="C73:I73"/>
    <mergeCell ref="C74:M74"/>
    <mergeCell ref="C75:M76"/>
    <mergeCell ref="L85:L86"/>
    <mergeCell ref="M85:M86"/>
    <mergeCell ref="D85:D86"/>
    <mergeCell ref="E85:E86"/>
    <mergeCell ref="F85:F86"/>
    <mergeCell ref="G85:G86"/>
    <mergeCell ref="H85:H86"/>
    <mergeCell ref="I85:I86"/>
    <mergeCell ref="C87:M87"/>
    <mergeCell ref="I88:I89"/>
    <mergeCell ref="L88:L89"/>
    <mergeCell ref="M88:M89"/>
    <mergeCell ref="C90:M90"/>
    <mergeCell ref="C91:I91"/>
    <mergeCell ref="C92:M92"/>
    <mergeCell ref="C93:M93"/>
    <mergeCell ref="I95:I96"/>
    <mergeCell ref="L95:L96"/>
    <mergeCell ref="C94:M94"/>
    <mergeCell ref="C95:C96"/>
    <mergeCell ref="D95:D96"/>
    <mergeCell ref="E95:E96"/>
    <mergeCell ref="F95:F96"/>
    <mergeCell ref="G95:G96"/>
    <mergeCell ref="H95:H96"/>
    <mergeCell ref="H98:H99"/>
    <mergeCell ref="I98:I99"/>
    <mergeCell ref="L98:L99"/>
    <mergeCell ref="M98:M99"/>
    <mergeCell ref="L101:L102"/>
    <mergeCell ref="M101:M102"/>
    <mergeCell ref="M95:M96"/>
    <mergeCell ref="C97:M97"/>
    <mergeCell ref="D98:D99"/>
    <mergeCell ref="E98:E99"/>
    <mergeCell ref="F98:F99"/>
    <mergeCell ref="G98:G99"/>
    <mergeCell ref="C100:M100"/>
    <mergeCell ref="I101:I102"/>
    <mergeCell ref="C103:M103"/>
    <mergeCell ref="C104:I104"/>
    <mergeCell ref="C105:M105"/>
    <mergeCell ref="C106:I106"/>
    <mergeCell ref="C107:M107"/>
    <mergeCell ref="C98:C99"/>
    <mergeCell ref="C101:C102"/>
    <mergeCell ref="D101:D102"/>
    <mergeCell ref="E101:E102"/>
    <mergeCell ref="F101:F102"/>
    <mergeCell ref="G101:G102"/>
    <mergeCell ref="H101:H102"/>
    <mergeCell ref="G79:G80"/>
    <mergeCell ref="H79:H80"/>
    <mergeCell ref="I79:I80"/>
    <mergeCell ref="L79:L80"/>
    <mergeCell ref="M79:M80"/>
    <mergeCell ref="C81:M81"/>
    <mergeCell ref="E77:F77"/>
    <mergeCell ref="H77:I77"/>
    <mergeCell ref="J77:K77"/>
    <mergeCell ref="L77:M77"/>
    <mergeCell ref="C78:M78"/>
    <mergeCell ref="C79:C80"/>
    <mergeCell ref="D79:D80"/>
    <mergeCell ref="H82:H83"/>
    <mergeCell ref="I82:I83"/>
    <mergeCell ref="L82:L83"/>
    <mergeCell ref="M82:M83"/>
    <mergeCell ref="C84:M84"/>
    <mergeCell ref="E79:E80"/>
    <mergeCell ref="F79:F80"/>
    <mergeCell ref="C82:C83"/>
    <mergeCell ref="D82:D83"/>
    <mergeCell ref="E82:E83"/>
    <mergeCell ref="F82:F83"/>
    <mergeCell ref="G82:G83"/>
    <mergeCell ref="C85:C86"/>
    <mergeCell ref="C88:C89"/>
    <mergeCell ref="D88:D89"/>
    <mergeCell ref="E88:E89"/>
    <mergeCell ref="F88:F89"/>
    <mergeCell ref="G88:G89"/>
    <mergeCell ref="H88:H89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C34:C35"/>
    <mergeCell ref="D34:D35"/>
    <mergeCell ref="E34:E35"/>
    <mergeCell ref="F34:F35"/>
    <mergeCell ref="G34:G35"/>
    <mergeCell ref="H34:H35"/>
    <mergeCell ref="I34:I35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6:M36"/>
    <mergeCell ref="C37:M37"/>
    <mergeCell ref="C38:I38"/>
    <mergeCell ref="C39:M39"/>
    <mergeCell ref="C40:I40"/>
    <mergeCell ref="C41:M41"/>
    <mergeCell ref="C42:M43"/>
    <mergeCell ref="L52:L53"/>
    <mergeCell ref="M52:M53"/>
    <mergeCell ref="D52:D53"/>
    <mergeCell ref="E52:E53"/>
    <mergeCell ref="F52:F53"/>
    <mergeCell ref="G52:G53"/>
    <mergeCell ref="H52:H53"/>
    <mergeCell ref="I52:I53"/>
    <mergeCell ref="C54:M54"/>
    <mergeCell ref="L61:L62"/>
    <mergeCell ref="M61:M62"/>
    <mergeCell ref="D61:D62"/>
    <mergeCell ref="E61:E62"/>
    <mergeCell ref="F61:F62"/>
    <mergeCell ref="G61:G62"/>
    <mergeCell ref="H61:H62"/>
    <mergeCell ref="I61:I62"/>
    <mergeCell ref="C63:M63"/>
    <mergeCell ref="I64:I65"/>
    <mergeCell ref="L64:L65"/>
    <mergeCell ref="M64:M65"/>
    <mergeCell ref="C66:M66"/>
    <mergeCell ref="C61:C62"/>
    <mergeCell ref="C64:C65"/>
    <mergeCell ref="D64:D65"/>
    <mergeCell ref="E64:E65"/>
    <mergeCell ref="F64:F65"/>
    <mergeCell ref="G64:G65"/>
    <mergeCell ref="H64:H65"/>
  </mergeCells>
  <printOptions/>
  <pageMargins bottom="0.75" footer="0.0" header="0.0" left="0.7" right="0.7" top="0.75"/>
  <pageSetup paperSize="9" scale="65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3" width="5.63"/>
    <col customWidth="1" min="14" max="15" width="9.13"/>
    <col customWidth="1" min="16" max="26" width="8.0"/>
  </cols>
  <sheetData>
    <row r="1" ht="12.75" customHeight="1">
      <c r="A1" s="187"/>
      <c r="B1" s="187"/>
      <c r="C1" s="188" t="s">
        <v>228</v>
      </c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</row>
    <row r="2" ht="12.75" customHeight="1">
      <c r="A2" s="187"/>
      <c r="B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</row>
    <row r="3" ht="12.75" customHeight="1">
      <c r="A3" s="187"/>
      <c r="B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</row>
    <row r="4" ht="12.75" customHeight="1">
      <c r="A4" s="187"/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</row>
    <row r="5" ht="13.5" customHeight="1">
      <c r="A5" s="187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</row>
    <row r="6" ht="20.25" customHeight="1">
      <c r="A6" s="187"/>
      <c r="B6" s="187"/>
      <c r="C6" s="242" t="s">
        <v>229</v>
      </c>
      <c r="D6" s="243"/>
      <c r="E6" s="243"/>
      <c r="F6" s="243"/>
      <c r="G6" s="243"/>
      <c r="H6" s="243"/>
      <c r="I6" s="243"/>
      <c r="J6" s="243"/>
      <c r="K6" s="243"/>
      <c r="L6" s="243"/>
      <c r="M6" s="244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</row>
    <row r="7" ht="4.5" customHeight="1">
      <c r="A7" s="187"/>
      <c r="B7" s="187"/>
      <c r="C7" s="190"/>
      <c r="D7" s="191"/>
      <c r="E7" s="191"/>
      <c r="F7" s="191"/>
      <c r="G7" s="191"/>
      <c r="H7" s="191"/>
      <c r="I7" s="191"/>
      <c r="J7" s="191"/>
      <c r="K7" s="191"/>
      <c r="L7" s="191"/>
      <c r="M7" s="192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</row>
    <row r="8" ht="4.5" customHeight="1">
      <c r="A8" s="187"/>
      <c r="B8" s="187"/>
      <c r="C8" s="193"/>
      <c r="D8" s="194"/>
      <c r="E8" s="194"/>
      <c r="F8" s="194"/>
      <c r="G8" s="194"/>
      <c r="H8" s="194"/>
      <c r="I8" s="194"/>
      <c r="J8" s="194"/>
      <c r="K8" s="194"/>
      <c r="L8" s="194"/>
      <c r="M8" s="195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</row>
    <row r="9" ht="12.75" customHeight="1">
      <c r="A9" s="187"/>
      <c r="B9" s="187"/>
      <c r="C9" s="196" t="s">
        <v>195</v>
      </c>
      <c r="D9" s="191"/>
      <c r="E9" s="191"/>
      <c r="F9" s="191"/>
      <c r="G9" s="191"/>
      <c r="H9" s="191"/>
      <c r="I9" s="191"/>
      <c r="J9" s="191"/>
      <c r="K9" s="191"/>
      <c r="L9" s="191"/>
      <c r="M9" s="192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</row>
    <row r="10" ht="12.75" customHeight="1">
      <c r="A10" s="187"/>
      <c r="B10" s="187"/>
      <c r="C10" s="193"/>
      <c r="D10" s="194"/>
      <c r="E10" s="194"/>
      <c r="F10" s="194"/>
      <c r="G10" s="194"/>
      <c r="H10" s="194"/>
      <c r="I10" s="194"/>
      <c r="J10" s="194"/>
      <c r="K10" s="194"/>
      <c r="L10" s="194"/>
      <c r="M10" s="195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</row>
    <row r="11" ht="19.5" customHeight="1">
      <c r="A11" s="187"/>
      <c r="B11" s="187"/>
      <c r="C11" s="197" t="s">
        <v>196</v>
      </c>
      <c r="D11" s="198" t="s">
        <v>197</v>
      </c>
      <c r="E11" s="199" t="s">
        <v>230</v>
      </c>
      <c r="F11" s="200"/>
      <c r="G11" s="198" t="s">
        <v>198</v>
      </c>
      <c r="H11" s="199" t="s">
        <v>231</v>
      </c>
      <c r="I11" s="200"/>
      <c r="J11" s="201" t="s">
        <v>199</v>
      </c>
      <c r="K11" s="200"/>
      <c r="L11" s="201" t="s">
        <v>200</v>
      </c>
      <c r="M11" s="202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</row>
    <row r="12" ht="12.75" customHeight="1">
      <c r="A12" s="187"/>
      <c r="B12" s="187"/>
      <c r="C12" s="234"/>
      <c r="D12" s="23"/>
      <c r="E12" s="23"/>
      <c r="F12" s="23"/>
      <c r="G12" s="23"/>
      <c r="H12" s="23"/>
      <c r="I12" s="23"/>
      <c r="J12" s="23"/>
      <c r="K12" s="23"/>
      <c r="L12" s="23"/>
      <c r="M12" s="202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</row>
    <row r="13" ht="13.5" customHeight="1">
      <c r="A13" s="187"/>
      <c r="B13" s="187"/>
      <c r="C13" s="218" t="s">
        <v>232</v>
      </c>
      <c r="D13" s="206" t="s">
        <v>207</v>
      </c>
      <c r="E13" s="207" t="s">
        <v>18</v>
      </c>
      <c r="F13" s="207" t="s">
        <v>32</v>
      </c>
      <c r="G13" s="208" t="s">
        <v>198</v>
      </c>
      <c r="H13" s="207" t="s">
        <v>28</v>
      </c>
      <c r="I13" s="207" t="s">
        <v>34</v>
      </c>
      <c r="J13" s="209">
        <v>0.0</v>
      </c>
      <c r="K13" s="210">
        <v>6.0</v>
      </c>
      <c r="L13" s="211">
        <f>IF(AND(J13&gt;K13,J14&gt;K14),2,IF(J13&gt;K13,1,IF(J14&gt;K14,1,0)))</f>
        <v>0</v>
      </c>
      <c r="M13" s="211">
        <f>IF(AND(K13&gt;J13,K14&gt;J14),2,IF(K13&gt;J13,1,IF(K14&gt;J14,1,0)))</f>
        <v>2</v>
      </c>
      <c r="N13" s="245" t="s">
        <v>233</v>
      </c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</row>
    <row r="14" ht="12.75" customHeight="1">
      <c r="A14" s="187"/>
      <c r="B14" s="187"/>
      <c r="C14" s="212"/>
      <c r="D14" s="213"/>
      <c r="E14" s="213"/>
      <c r="F14" s="213"/>
      <c r="G14" s="213"/>
      <c r="H14" s="213"/>
      <c r="I14" s="213"/>
      <c r="J14" s="214">
        <v>0.0</v>
      </c>
      <c r="K14" s="215">
        <v>6.0</v>
      </c>
      <c r="L14" s="213"/>
      <c r="M14" s="213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</row>
    <row r="15" ht="4.5" customHeight="1">
      <c r="A15" s="187"/>
      <c r="B15" s="187"/>
      <c r="C15" s="216"/>
      <c r="D15" s="23"/>
      <c r="E15" s="23"/>
      <c r="F15" s="23"/>
      <c r="G15" s="23"/>
      <c r="H15" s="23"/>
      <c r="I15" s="23"/>
      <c r="J15" s="23"/>
      <c r="K15" s="23"/>
      <c r="L15" s="23"/>
      <c r="M15" s="202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</row>
    <row r="16" ht="12.75" customHeight="1">
      <c r="A16" s="187"/>
      <c r="B16" s="187"/>
      <c r="C16" s="205" t="s">
        <v>204</v>
      </c>
      <c r="D16" s="206" t="s">
        <v>205</v>
      </c>
      <c r="E16" s="207" t="s">
        <v>121</v>
      </c>
      <c r="F16" s="207" t="s">
        <v>127</v>
      </c>
      <c r="G16" s="208" t="s">
        <v>198</v>
      </c>
      <c r="H16" s="207" t="s">
        <v>119</v>
      </c>
      <c r="I16" s="207" t="s">
        <v>234</v>
      </c>
      <c r="J16" s="209">
        <v>4.0</v>
      </c>
      <c r="K16" s="210">
        <v>6.0</v>
      </c>
      <c r="L16" s="211">
        <f>IF(AND(J16&gt;K16,J17&gt;K17),2,IF(J16&gt;K16,1,IF(J17&gt;K17,1,0)))</f>
        <v>0</v>
      </c>
      <c r="M16" s="211">
        <f>IF(AND(K16&gt;J16,K17&gt;J17),2,IF(K16&gt;J16,1,IF(K17&gt;J17,1,0)))</f>
        <v>2</v>
      </c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</row>
    <row r="17" ht="12.75" customHeight="1">
      <c r="A17" s="187"/>
      <c r="B17" s="187"/>
      <c r="C17" s="212"/>
      <c r="D17" s="213"/>
      <c r="E17" s="213"/>
      <c r="F17" s="213"/>
      <c r="G17" s="213"/>
      <c r="H17" s="213"/>
      <c r="I17" s="213"/>
      <c r="J17" s="214">
        <v>1.0</v>
      </c>
      <c r="K17" s="215">
        <v>6.0</v>
      </c>
      <c r="L17" s="213"/>
      <c r="M17" s="213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</row>
    <row r="18" ht="4.5" customHeight="1">
      <c r="A18" s="187"/>
      <c r="B18" s="187"/>
      <c r="C18" s="217"/>
      <c r="D18" s="23"/>
      <c r="E18" s="23"/>
      <c r="F18" s="23"/>
      <c r="G18" s="23"/>
      <c r="H18" s="23"/>
      <c r="I18" s="23"/>
      <c r="J18" s="23"/>
      <c r="K18" s="23"/>
      <c r="L18" s="23"/>
      <c r="M18" s="202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</row>
    <row r="19" ht="12.75" customHeight="1">
      <c r="A19" s="187"/>
      <c r="B19" s="187"/>
      <c r="C19" s="205" t="s">
        <v>206</v>
      </c>
      <c r="D19" s="206" t="s">
        <v>202</v>
      </c>
      <c r="E19" s="207" t="s">
        <v>99</v>
      </c>
      <c r="F19" s="207" t="s">
        <v>10</v>
      </c>
      <c r="G19" s="208" t="s">
        <v>198</v>
      </c>
      <c r="H19" s="207" t="s">
        <v>102</v>
      </c>
      <c r="I19" s="207" t="s">
        <v>113</v>
      </c>
      <c r="J19" s="209">
        <v>1.0</v>
      </c>
      <c r="K19" s="210">
        <v>6.0</v>
      </c>
      <c r="L19" s="211">
        <f>IF(AND(J19&gt;K19,J20&gt;K20),2,IF(J19&gt;K19,1,IF(J20&gt;K20,1,0)))</f>
        <v>1</v>
      </c>
      <c r="M19" s="211">
        <f>IF(AND(K19&gt;J19,K20&gt;J20),2,IF(K19&gt;J19,1,IF(K20&gt;J20,1,0)))</f>
        <v>1</v>
      </c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</row>
    <row r="20" ht="12.75" customHeight="1">
      <c r="A20" s="187"/>
      <c r="B20" s="187"/>
      <c r="C20" s="212"/>
      <c r="D20" s="213"/>
      <c r="E20" s="213"/>
      <c r="F20" s="213"/>
      <c r="G20" s="213"/>
      <c r="H20" s="213"/>
      <c r="I20" s="213"/>
      <c r="J20" s="214">
        <v>6.0</v>
      </c>
      <c r="K20" s="215">
        <v>3.0</v>
      </c>
      <c r="L20" s="213"/>
      <c r="M20" s="213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</row>
    <row r="21" ht="4.5" customHeight="1">
      <c r="A21" s="187"/>
      <c r="B21" s="187"/>
      <c r="C21" s="217"/>
      <c r="D21" s="23"/>
      <c r="E21" s="23"/>
      <c r="F21" s="23"/>
      <c r="G21" s="23"/>
      <c r="H21" s="23"/>
      <c r="I21" s="23"/>
      <c r="J21" s="23"/>
      <c r="K21" s="23"/>
      <c r="L21" s="23"/>
      <c r="M21" s="202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</row>
    <row r="22" ht="12.75" customHeight="1">
      <c r="A22" s="187"/>
      <c r="B22" s="187"/>
      <c r="C22" s="205" t="s">
        <v>201</v>
      </c>
      <c r="D22" s="235" t="s">
        <v>214</v>
      </c>
      <c r="E22" s="207" t="s">
        <v>85</v>
      </c>
      <c r="F22" s="207" t="s">
        <v>92</v>
      </c>
      <c r="G22" s="219" t="s">
        <v>235</v>
      </c>
      <c r="H22" s="207" t="s">
        <v>81</v>
      </c>
      <c r="I22" s="207" t="s">
        <v>95</v>
      </c>
      <c r="J22" s="209">
        <v>7.0</v>
      </c>
      <c r="K22" s="210">
        <v>5.0</v>
      </c>
      <c r="L22" s="211">
        <f>IF(AND(J22&gt;K22,J23&gt;K23),2,IF(J22&gt;K22,1,IF(J23&gt;K23,1,0)))</f>
        <v>1</v>
      </c>
      <c r="M22" s="211">
        <f>IF(AND(K22&gt;J22,K23&gt;J23),2,IF(K22&gt;J22,1,IF(K23&gt;J23,1,0)))</f>
        <v>1</v>
      </c>
      <c r="N22" s="245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</row>
    <row r="23" ht="12.75" customHeight="1">
      <c r="A23" s="187"/>
      <c r="B23" s="187"/>
      <c r="C23" s="212"/>
      <c r="D23" s="213"/>
      <c r="E23" s="213"/>
      <c r="F23" s="213"/>
      <c r="G23" s="213"/>
      <c r="H23" s="213"/>
      <c r="I23" s="213"/>
      <c r="J23" s="214">
        <v>2.0</v>
      </c>
      <c r="K23" s="215">
        <v>6.0</v>
      </c>
      <c r="L23" s="213"/>
      <c r="M23" s="213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</row>
    <row r="24" ht="4.5" customHeight="1">
      <c r="A24" s="187"/>
      <c r="B24" s="187"/>
      <c r="C24" s="217"/>
      <c r="D24" s="23"/>
      <c r="E24" s="23"/>
      <c r="F24" s="23"/>
      <c r="G24" s="23"/>
      <c r="H24" s="23"/>
      <c r="I24" s="23"/>
      <c r="J24" s="23"/>
      <c r="K24" s="23"/>
      <c r="L24" s="23"/>
      <c r="M24" s="202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</row>
    <row r="25" ht="12.75" customHeight="1">
      <c r="A25" s="187"/>
      <c r="B25" s="187"/>
      <c r="C25" s="220" t="s">
        <v>236</v>
      </c>
      <c r="D25" s="23"/>
      <c r="E25" s="23"/>
      <c r="F25" s="23"/>
      <c r="G25" s="23"/>
      <c r="H25" s="23"/>
      <c r="I25" s="200"/>
      <c r="J25" s="221">
        <f t="shared" ref="J25:M25" si="1">SUM(J13:J23)</f>
        <v>21</v>
      </c>
      <c r="K25" s="222">
        <f t="shared" si="1"/>
        <v>44</v>
      </c>
      <c r="L25" s="221">
        <f t="shared" si="1"/>
        <v>2</v>
      </c>
      <c r="M25" s="223">
        <f t="shared" si="1"/>
        <v>6</v>
      </c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</row>
    <row r="26" ht="4.5" customHeight="1">
      <c r="A26" s="187"/>
      <c r="B26" s="187"/>
      <c r="C26" s="224"/>
      <c r="D26" s="23"/>
      <c r="E26" s="23"/>
      <c r="F26" s="23"/>
      <c r="G26" s="23"/>
      <c r="H26" s="23"/>
      <c r="I26" s="23"/>
      <c r="J26" s="23"/>
      <c r="K26" s="23"/>
      <c r="L26" s="23"/>
      <c r="M26" s="202"/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</row>
    <row r="27" ht="12.75" customHeight="1">
      <c r="A27" s="187"/>
      <c r="B27" s="187"/>
      <c r="C27" s="225"/>
      <c r="D27" s="23"/>
      <c r="E27" s="23"/>
      <c r="F27" s="23"/>
      <c r="G27" s="23"/>
      <c r="H27" s="23"/>
      <c r="I27" s="23"/>
      <c r="J27" s="23"/>
      <c r="K27" s="23"/>
      <c r="L27" s="23"/>
      <c r="M27" s="202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</row>
    <row r="28" ht="12.75" customHeight="1">
      <c r="A28" s="187"/>
      <c r="B28" s="187"/>
      <c r="C28" s="205" t="s">
        <v>223</v>
      </c>
      <c r="D28" s="206" t="s">
        <v>212</v>
      </c>
      <c r="E28" s="207" t="s">
        <v>38</v>
      </c>
      <c r="F28" s="207" t="s">
        <v>44</v>
      </c>
      <c r="G28" s="208" t="s">
        <v>198</v>
      </c>
      <c r="H28" s="207" t="s">
        <v>47</v>
      </c>
      <c r="I28" s="207" t="s">
        <v>54</v>
      </c>
      <c r="J28" s="209">
        <v>6.0</v>
      </c>
      <c r="K28" s="210">
        <v>4.0</v>
      </c>
      <c r="L28" s="211">
        <f>IF(AND(J28&gt;K28,J29&gt;K29),2,IF(J28&gt;K28,1,IF(J29&gt;K29,1,0)))</f>
        <v>2</v>
      </c>
      <c r="M28" s="211">
        <f>IF(AND(K28&gt;J28,K29&gt;J29),2,IF(K28&gt;J28,1,IF(K29&gt;J29,1,0)))</f>
        <v>0</v>
      </c>
      <c r="N28" s="245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</row>
    <row r="29" ht="12.75" customHeight="1">
      <c r="A29" s="187"/>
      <c r="B29" s="187"/>
      <c r="C29" s="212"/>
      <c r="D29" s="213"/>
      <c r="E29" s="213"/>
      <c r="F29" s="213"/>
      <c r="G29" s="213"/>
      <c r="H29" s="213"/>
      <c r="I29" s="213"/>
      <c r="J29" s="214">
        <v>6.0</v>
      </c>
      <c r="K29" s="215">
        <v>4.0</v>
      </c>
      <c r="L29" s="213"/>
      <c r="M29" s="213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</row>
    <row r="30" ht="4.5" customHeight="1">
      <c r="A30" s="187"/>
      <c r="B30" s="187"/>
      <c r="C30" s="216"/>
      <c r="D30" s="23"/>
      <c r="E30" s="23"/>
      <c r="F30" s="23"/>
      <c r="G30" s="23"/>
      <c r="H30" s="23"/>
      <c r="I30" s="23"/>
      <c r="J30" s="23"/>
      <c r="K30" s="23"/>
      <c r="L30" s="23"/>
      <c r="M30" s="202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</row>
    <row r="31" ht="12.75" customHeight="1">
      <c r="A31" s="226"/>
      <c r="B31" s="187"/>
      <c r="C31" s="205" t="s">
        <v>237</v>
      </c>
      <c r="D31" s="206" t="s">
        <v>216</v>
      </c>
      <c r="E31" s="207" t="s">
        <v>65</v>
      </c>
      <c r="F31" s="207" t="s">
        <v>58</v>
      </c>
      <c r="G31" s="208" t="s">
        <v>198</v>
      </c>
      <c r="H31" s="207" t="s">
        <v>61</v>
      </c>
      <c r="I31" s="207" t="s">
        <v>68</v>
      </c>
      <c r="J31" s="209">
        <v>6.0</v>
      </c>
      <c r="K31" s="210">
        <v>3.0</v>
      </c>
      <c r="L31" s="211">
        <f>IF(AND(J31&gt;K31,J32&gt;K32),2,IF(J31&gt;K31,1,IF(J32&gt;K32,1,0)))</f>
        <v>2</v>
      </c>
      <c r="M31" s="211">
        <f>IF(AND(K31&gt;J31,K32&gt;J32),2,IF(K31&gt;J31,1,IF(K32&gt;J32,1,0)))</f>
        <v>0</v>
      </c>
      <c r="N31" s="245"/>
      <c r="O31" s="187"/>
      <c r="P31" s="245"/>
      <c r="Q31" s="187"/>
      <c r="R31" s="187"/>
      <c r="S31" s="187"/>
      <c r="T31" s="187"/>
      <c r="U31" s="187"/>
      <c r="V31" s="187"/>
      <c r="W31" s="187"/>
      <c r="X31" s="187"/>
      <c r="Y31" s="187"/>
      <c r="Z31" s="187"/>
    </row>
    <row r="32" ht="12.75" customHeight="1">
      <c r="A32" s="226"/>
      <c r="B32" s="187"/>
      <c r="C32" s="212"/>
      <c r="D32" s="213"/>
      <c r="E32" s="213"/>
      <c r="F32" s="213"/>
      <c r="G32" s="213"/>
      <c r="H32" s="213"/>
      <c r="I32" s="213"/>
      <c r="J32" s="214">
        <v>6.0</v>
      </c>
      <c r="K32" s="215">
        <v>4.0</v>
      </c>
      <c r="L32" s="213"/>
      <c r="M32" s="213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</row>
    <row r="33" ht="4.5" customHeight="1">
      <c r="A33" s="187"/>
      <c r="B33" s="187"/>
      <c r="C33" s="217"/>
      <c r="D33" s="23"/>
      <c r="E33" s="23"/>
      <c r="F33" s="23"/>
      <c r="G33" s="23"/>
      <c r="H33" s="23"/>
      <c r="I33" s="23"/>
      <c r="J33" s="23"/>
      <c r="K33" s="23"/>
      <c r="L33" s="23"/>
      <c r="M33" s="202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</row>
    <row r="34" ht="12.75" customHeight="1">
      <c r="A34" s="187"/>
      <c r="B34" s="187"/>
      <c r="C34" s="205" t="s">
        <v>238</v>
      </c>
      <c r="D34" s="206" t="s">
        <v>209</v>
      </c>
      <c r="E34" s="207" t="s">
        <v>145</v>
      </c>
      <c r="F34" s="207" t="s">
        <v>139</v>
      </c>
      <c r="G34" s="208" t="s">
        <v>198</v>
      </c>
      <c r="H34" s="207" t="s">
        <v>136</v>
      </c>
      <c r="I34" s="207" t="s">
        <v>142</v>
      </c>
      <c r="J34" s="209">
        <v>6.0</v>
      </c>
      <c r="K34" s="210">
        <v>3.0</v>
      </c>
      <c r="L34" s="211">
        <f>IF(AND(J34&gt;K34,J35&gt;K35),2,IF(J34&gt;K34,1,IF(J35&gt;K35,1,0)))</f>
        <v>2</v>
      </c>
      <c r="M34" s="211">
        <f>IF(AND(K34&gt;J34,K35&gt;J35),2,IF(K34&gt;J34,1,IF(K35&gt;J35,1,0)))</f>
        <v>0</v>
      </c>
      <c r="N34" s="245"/>
      <c r="O34" s="187"/>
      <c r="P34" s="245"/>
      <c r="Q34" s="187"/>
      <c r="R34" s="187"/>
      <c r="S34" s="187"/>
      <c r="T34" s="187"/>
      <c r="U34" s="187"/>
      <c r="V34" s="187"/>
      <c r="W34" s="187"/>
      <c r="X34" s="187"/>
      <c r="Y34" s="187"/>
      <c r="Z34" s="187"/>
    </row>
    <row r="35" ht="12.75" customHeight="1">
      <c r="A35" s="187"/>
      <c r="B35" s="187"/>
      <c r="C35" s="212"/>
      <c r="D35" s="213"/>
      <c r="E35" s="213"/>
      <c r="F35" s="213"/>
      <c r="G35" s="213"/>
      <c r="H35" s="213"/>
      <c r="I35" s="213"/>
      <c r="J35" s="214">
        <v>7.0</v>
      </c>
      <c r="K35" s="215">
        <v>6.0</v>
      </c>
      <c r="L35" s="213"/>
      <c r="M35" s="213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</row>
    <row r="36" ht="4.5" customHeight="1">
      <c r="A36" s="187"/>
      <c r="B36" s="187"/>
      <c r="C36" s="217"/>
      <c r="D36" s="23"/>
      <c r="E36" s="23"/>
      <c r="F36" s="23"/>
      <c r="G36" s="23"/>
      <c r="H36" s="23"/>
      <c r="I36" s="23"/>
      <c r="J36" s="23"/>
      <c r="K36" s="23"/>
      <c r="L36" s="23"/>
      <c r="M36" s="202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</row>
    <row r="37" ht="4.5" customHeight="1">
      <c r="A37" s="187"/>
      <c r="B37" s="187"/>
      <c r="C37" s="217"/>
      <c r="D37" s="23"/>
      <c r="E37" s="23"/>
      <c r="F37" s="23"/>
      <c r="G37" s="23"/>
      <c r="H37" s="23"/>
      <c r="I37" s="23"/>
      <c r="J37" s="23"/>
      <c r="K37" s="23"/>
      <c r="L37" s="23"/>
      <c r="M37" s="202"/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</row>
    <row r="38" ht="12.75" customHeight="1">
      <c r="A38" s="187"/>
      <c r="B38" s="187"/>
      <c r="C38" s="220" t="s">
        <v>239</v>
      </c>
      <c r="D38" s="23"/>
      <c r="E38" s="23"/>
      <c r="F38" s="23"/>
      <c r="G38" s="23"/>
      <c r="H38" s="23"/>
      <c r="I38" s="200"/>
      <c r="J38" s="221">
        <f t="shared" ref="J38:M38" si="2">SUM(J28:J36)</f>
        <v>37</v>
      </c>
      <c r="K38" s="222">
        <f t="shared" si="2"/>
        <v>24</v>
      </c>
      <c r="L38" s="221">
        <f t="shared" si="2"/>
        <v>6</v>
      </c>
      <c r="M38" s="223">
        <f t="shared" si="2"/>
        <v>0</v>
      </c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</row>
    <row r="39" ht="4.5" customHeight="1">
      <c r="A39" s="187"/>
      <c r="B39" s="187"/>
      <c r="C39" s="224"/>
      <c r="D39" s="23"/>
      <c r="E39" s="23"/>
      <c r="F39" s="23"/>
      <c r="G39" s="23"/>
      <c r="H39" s="23"/>
      <c r="I39" s="23"/>
      <c r="J39" s="23"/>
      <c r="K39" s="23"/>
      <c r="L39" s="23"/>
      <c r="M39" s="202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</row>
    <row r="40" ht="12.75" customHeight="1">
      <c r="A40" s="187"/>
      <c r="B40" s="187"/>
      <c r="C40" s="228" t="s">
        <v>240</v>
      </c>
      <c r="D40" s="23"/>
      <c r="E40" s="23"/>
      <c r="F40" s="23"/>
      <c r="G40" s="23"/>
      <c r="H40" s="23"/>
      <c r="I40" s="200"/>
      <c r="J40" s="229">
        <f t="shared" ref="J40:M40" si="3">J38+J25</f>
        <v>58</v>
      </c>
      <c r="K40" s="230">
        <f t="shared" si="3"/>
        <v>68</v>
      </c>
      <c r="L40" s="231">
        <f t="shared" si="3"/>
        <v>8</v>
      </c>
      <c r="M40" s="232">
        <f t="shared" si="3"/>
        <v>6</v>
      </c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</row>
    <row r="41" ht="6.75" customHeight="1">
      <c r="A41" s="187"/>
      <c r="B41" s="187"/>
      <c r="C41" s="233"/>
      <c r="D41" s="23"/>
      <c r="E41" s="23"/>
      <c r="F41" s="23"/>
      <c r="G41" s="23"/>
      <c r="H41" s="23"/>
      <c r="I41" s="23"/>
      <c r="J41" s="23"/>
      <c r="K41" s="23"/>
      <c r="L41" s="23"/>
      <c r="M41" s="202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</row>
    <row r="42" ht="7.5" customHeight="1">
      <c r="A42" s="187"/>
      <c r="B42" s="187"/>
      <c r="C42" s="196" t="s">
        <v>219</v>
      </c>
      <c r="D42" s="191"/>
      <c r="E42" s="191"/>
      <c r="F42" s="191"/>
      <c r="G42" s="191"/>
      <c r="H42" s="191"/>
      <c r="I42" s="191"/>
      <c r="J42" s="191"/>
      <c r="K42" s="191"/>
      <c r="L42" s="191"/>
      <c r="M42" s="192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</row>
    <row r="43" ht="12.75" customHeight="1">
      <c r="A43" s="187"/>
      <c r="B43" s="187"/>
      <c r="C43" s="193"/>
      <c r="D43" s="194"/>
      <c r="E43" s="194"/>
      <c r="F43" s="194"/>
      <c r="G43" s="194"/>
      <c r="H43" s="194"/>
      <c r="I43" s="194"/>
      <c r="J43" s="194"/>
      <c r="K43" s="194"/>
      <c r="L43" s="194"/>
      <c r="M43" s="195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</row>
    <row r="44" ht="26.25" customHeight="1">
      <c r="A44" s="187"/>
      <c r="B44" s="187"/>
      <c r="C44" s="197" t="s">
        <v>196</v>
      </c>
      <c r="D44" s="198" t="s">
        <v>197</v>
      </c>
      <c r="E44" s="199" t="s">
        <v>241</v>
      </c>
      <c r="F44" s="200"/>
      <c r="G44" s="198" t="s">
        <v>198</v>
      </c>
      <c r="H44" s="199" t="s">
        <v>242</v>
      </c>
      <c r="I44" s="200"/>
      <c r="J44" s="201" t="s">
        <v>199</v>
      </c>
      <c r="K44" s="200"/>
      <c r="L44" s="201" t="s">
        <v>200</v>
      </c>
      <c r="M44" s="202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</row>
    <row r="45" ht="12.75" customHeight="1">
      <c r="A45" s="187"/>
      <c r="B45" s="187"/>
      <c r="C45" s="234"/>
      <c r="D45" s="23"/>
      <c r="E45" s="23"/>
      <c r="F45" s="23"/>
      <c r="G45" s="23"/>
      <c r="H45" s="23"/>
      <c r="I45" s="23"/>
      <c r="J45" s="23"/>
      <c r="K45" s="23"/>
      <c r="L45" s="23"/>
      <c r="M45" s="202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</row>
    <row r="46" ht="12.75" customHeight="1">
      <c r="A46" s="187"/>
      <c r="B46" s="187"/>
      <c r="C46" s="205" t="s">
        <v>201</v>
      </c>
      <c r="D46" s="206" t="s">
        <v>207</v>
      </c>
      <c r="E46" s="207" t="s">
        <v>17</v>
      </c>
      <c r="F46" s="207" t="s">
        <v>31</v>
      </c>
      <c r="G46" s="208" t="s">
        <v>198</v>
      </c>
      <c r="H46" s="207" t="s">
        <v>22</v>
      </c>
      <c r="I46" s="207" t="s">
        <v>35</v>
      </c>
      <c r="J46" s="209">
        <v>7.0</v>
      </c>
      <c r="K46" s="210">
        <v>5.0</v>
      </c>
      <c r="L46" s="211">
        <f>IF(AND(J46&gt;K46,J47&gt;K47),2,IF(J46&gt;K46,1,IF(J47&gt;K47,1,0)))</f>
        <v>2</v>
      </c>
      <c r="M46" s="211">
        <f>IF(AND(K46&gt;J46,K47&gt;J47),2,IF(K46&gt;J46,1,IF(K47&gt;J47,1,0)))</f>
        <v>0</v>
      </c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</row>
    <row r="47" ht="12.75" customHeight="1">
      <c r="A47" s="187"/>
      <c r="B47" s="187"/>
      <c r="C47" s="212"/>
      <c r="D47" s="213"/>
      <c r="E47" s="213"/>
      <c r="F47" s="213"/>
      <c r="G47" s="213"/>
      <c r="H47" s="213"/>
      <c r="I47" s="213"/>
      <c r="J47" s="214">
        <v>6.0</v>
      </c>
      <c r="K47" s="215">
        <v>4.0</v>
      </c>
      <c r="L47" s="213"/>
      <c r="M47" s="213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</row>
    <row r="48" ht="4.5" customHeight="1">
      <c r="A48" s="187"/>
      <c r="B48" s="187"/>
      <c r="C48" s="216"/>
      <c r="D48" s="23"/>
      <c r="E48" s="23"/>
      <c r="F48" s="23"/>
      <c r="G48" s="23"/>
      <c r="H48" s="23"/>
      <c r="I48" s="23"/>
      <c r="J48" s="23"/>
      <c r="K48" s="23"/>
      <c r="L48" s="23"/>
      <c r="M48" s="202"/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</row>
    <row r="49" ht="12.75" customHeight="1">
      <c r="A49" s="187"/>
      <c r="B49" s="187"/>
      <c r="C49" s="205" t="s">
        <v>204</v>
      </c>
      <c r="D49" s="206" t="s">
        <v>202</v>
      </c>
      <c r="E49" s="207" t="s">
        <v>98</v>
      </c>
      <c r="F49" s="207" t="s">
        <v>110</v>
      </c>
      <c r="G49" s="208" t="s">
        <v>198</v>
      </c>
      <c r="H49" s="207" t="s">
        <v>103</v>
      </c>
      <c r="I49" s="207" t="s">
        <v>109</v>
      </c>
      <c r="J49" s="209">
        <v>0.0</v>
      </c>
      <c r="K49" s="210">
        <v>6.0</v>
      </c>
      <c r="L49" s="211">
        <f>IF(AND(J49&gt;K49,J50&gt;K50),2,IF(J49&gt;K49,1,IF(J50&gt;K50,1,0)))</f>
        <v>0</v>
      </c>
      <c r="M49" s="211">
        <f>IF(AND(K49&gt;J49,K50&gt;J50),2,IF(K49&gt;J49,1,IF(K50&gt;J50,1,0)))</f>
        <v>2</v>
      </c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 ht="12.75" customHeight="1">
      <c r="A50" s="187"/>
      <c r="B50" s="187"/>
      <c r="C50" s="212"/>
      <c r="D50" s="213"/>
      <c r="E50" s="213"/>
      <c r="F50" s="213"/>
      <c r="G50" s="213"/>
      <c r="H50" s="213"/>
      <c r="I50" s="213"/>
      <c r="J50" s="214">
        <v>0.0</v>
      </c>
      <c r="K50" s="215">
        <v>6.0</v>
      </c>
      <c r="L50" s="213"/>
      <c r="M50" s="213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 ht="4.5" customHeight="1">
      <c r="A51" s="187"/>
      <c r="B51" s="187"/>
      <c r="C51" s="217"/>
      <c r="D51" s="23"/>
      <c r="E51" s="23"/>
      <c r="F51" s="23"/>
      <c r="G51" s="23"/>
      <c r="H51" s="23"/>
      <c r="I51" s="23"/>
      <c r="J51" s="23"/>
      <c r="K51" s="23"/>
      <c r="L51" s="23"/>
      <c r="M51" s="202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 ht="12.75" customHeight="1">
      <c r="A52" s="187"/>
      <c r="B52" s="187"/>
      <c r="C52" s="205" t="s">
        <v>204</v>
      </c>
      <c r="D52" s="206" t="s">
        <v>214</v>
      </c>
      <c r="E52" s="207" t="s">
        <v>77</v>
      </c>
      <c r="F52" s="207" t="s">
        <v>91</v>
      </c>
      <c r="G52" s="208" t="s">
        <v>198</v>
      </c>
      <c r="H52" s="207" t="s">
        <v>82</v>
      </c>
      <c r="I52" s="207" t="s">
        <v>96</v>
      </c>
      <c r="J52" s="209">
        <v>2.0</v>
      </c>
      <c r="K52" s="210">
        <v>6.0</v>
      </c>
      <c r="L52" s="211">
        <f>IF(AND(J52&gt;K52,J53&gt;K53),2,IF(J52&gt;K52,1,IF(J53&gt;K53,1,0)))</f>
        <v>0</v>
      </c>
      <c r="M52" s="211">
        <f>IF(AND(K52&gt;J52,K53&gt;J53),2,IF(K52&gt;J52,1,IF(K53&gt;J53,1,0)))</f>
        <v>2</v>
      </c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 ht="12.75" customHeight="1">
      <c r="A53" s="187"/>
      <c r="B53" s="187"/>
      <c r="C53" s="212"/>
      <c r="D53" s="213"/>
      <c r="E53" s="213"/>
      <c r="F53" s="213"/>
      <c r="G53" s="213"/>
      <c r="H53" s="213"/>
      <c r="I53" s="213"/>
      <c r="J53" s="214">
        <v>5.0</v>
      </c>
      <c r="K53" s="215">
        <v>7.0</v>
      </c>
      <c r="L53" s="213"/>
      <c r="M53" s="213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  <row r="54" ht="4.5" customHeight="1">
      <c r="A54" s="187"/>
      <c r="B54" s="187"/>
      <c r="C54" s="217"/>
      <c r="D54" s="23"/>
      <c r="E54" s="23"/>
      <c r="F54" s="23"/>
      <c r="G54" s="23"/>
      <c r="H54" s="23"/>
      <c r="I54" s="23"/>
      <c r="J54" s="23"/>
      <c r="K54" s="23"/>
      <c r="L54" s="23"/>
      <c r="M54" s="202"/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</row>
    <row r="55" ht="12.75" customHeight="1">
      <c r="A55" s="187"/>
      <c r="B55" s="187"/>
      <c r="C55" s="205" t="s">
        <v>201</v>
      </c>
      <c r="D55" s="235" t="s">
        <v>216</v>
      </c>
      <c r="E55" s="207" t="s">
        <v>64</v>
      </c>
      <c r="F55" s="207" t="s">
        <v>71</v>
      </c>
      <c r="G55" s="219" t="s">
        <v>198</v>
      </c>
      <c r="H55" s="207" t="s">
        <v>62</v>
      </c>
      <c r="I55" s="207" t="s">
        <v>243</v>
      </c>
      <c r="J55" s="209">
        <v>4.0</v>
      </c>
      <c r="K55" s="210">
        <v>6.0</v>
      </c>
      <c r="L55" s="211">
        <f>IF(AND(J55&gt;K55,J56&gt;K56),2,IF(J55&gt;K55,1,IF(J56&gt;K56,1,0)))</f>
        <v>1</v>
      </c>
      <c r="M55" s="211">
        <f>IF(AND(K55&gt;J55,K56&gt;J56),2,IF(K55&gt;J55,1,IF(K56&gt;J56,1,0)))</f>
        <v>1</v>
      </c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</row>
    <row r="56" ht="12.75" customHeight="1">
      <c r="A56" s="187"/>
      <c r="B56" s="187"/>
      <c r="C56" s="212"/>
      <c r="D56" s="213"/>
      <c r="E56" s="213"/>
      <c r="F56" s="213"/>
      <c r="G56" s="213"/>
      <c r="H56" s="213"/>
      <c r="I56" s="213"/>
      <c r="J56" s="214">
        <v>7.0</v>
      </c>
      <c r="K56" s="215">
        <v>5.0</v>
      </c>
      <c r="L56" s="213"/>
      <c r="M56" s="213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</row>
    <row r="57" ht="4.5" customHeight="1">
      <c r="A57" s="187"/>
      <c r="B57" s="187"/>
      <c r="C57" s="217"/>
      <c r="D57" s="23"/>
      <c r="E57" s="23"/>
      <c r="F57" s="23"/>
      <c r="G57" s="23"/>
      <c r="H57" s="23"/>
      <c r="I57" s="23"/>
      <c r="J57" s="23"/>
      <c r="K57" s="23"/>
      <c r="L57" s="23"/>
      <c r="M57" s="202"/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</row>
    <row r="58" ht="12.75" customHeight="1">
      <c r="A58" s="187"/>
      <c r="B58" s="187"/>
      <c r="C58" s="220" t="s">
        <v>236</v>
      </c>
      <c r="D58" s="23"/>
      <c r="E58" s="23"/>
      <c r="F58" s="23"/>
      <c r="G58" s="23"/>
      <c r="H58" s="23"/>
      <c r="I58" s="200"/>
      <c r="J58" s="221">
        <f t="shared" ref="J58:M58" si="4">SUM(J46:J56)</f>
        <v>31</v>
      </c>
      <c r="K58" s="222">
        <f t="shared" si="4"/>
        <v>45</v>
      </c>
      <c r="L58" s="221">
        <f t="shared" si="4"/>
        <v>3</v>
      </c>
      <c r="M58" s="223">
        <f t="shared" si="4"/>
        <v>5</v>
      </c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</row>
    <row r="59" ht="4.5" customHeight="1">
      <c r="A59" s="187"/>
      <c r="B59" s="187"/>
      <c r="C59" s="224"/>
      <c r="D59" s="23"/>
      <c r="E59" s="23"/>
      <c r="F59" s="23"/>
      <c r="G59" s="23"/>
      <c r="H59" s="23"/>
      <c r="I59" s="23"/>
      <c r="J59" s="23"/>
      <c r="K59" s="23"/>
      <c r="L59" s="23"/>
      <c r="M59" s="202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</row>
    <row r="60" ht="12.75" customHeight="1">
      <c r="A60" s="187"/>
      <c r="B60" s="187"/>
      <c r="C60" s="225"/>
      <c r="D60" s="23"/>
      <c r="E60" s="23"/>
      <c r="F60" s="23"/>
      <c r="G60" s="23"/>
      <c r="H60" s="23"/>
      <c r="I60" s="23"/>
      <c r="J60" s="23"/>
      <c r="K60" s="23"/>
      <c r="L60" s="23"/>
      <c r="M60" s="202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</row>
    <row r="61" ht="12.75" customHeight="1">
      <c r="A61" s="187"/>
      <c r="B61" s="187"/>
      <c r="C61" s="218" t="s">
        <v>232</v>
      </c>
      <c r="D61" s="206" t="s">
        <v>205</v>
      </c>
      <c r="E61" s="207" t="s">
        <v>120</v>
      </c>
      <c r="F61" s="207" t="s">
        <v>126</v>
      </c>
      <c r="G61" s="208" t="s">
        <v>198</v>
      </c>
      <c r="H61" s="207" t="s">
        <v>244</v>
      </c>
      <c r="I61" s="207" t="s">
        <v>131</v>
      </c>
      <c r="J61" s="209">
        <v>7.0</v>
      </c>
      <c r="K61" s="210">
        <v>5.0</v>
      </c>
      <c r="L61" s="211">
        <f>IF(AND(J61&gt;K61,J62&gt;K62),2,IF(J61&gt;K61,1,IF(J62&gt;K62,1,0)))</f>
        <v>2</v>
      </c>
      <c r="M61" s="211">
        <f>IF(AND(K61&gt;J61,K62&gt;J62),2,IF(K61&gt;J61,1,IF(K62&gt;J62,1,0)))</f>
        <v>0</v>
      </c>
      <c r="N61" s="245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</row>
    <row r="62" ht="12.75" customHeight="1">
      <c r="A62" s="187"/>
      <c r="B62" s="187"/>
      <c r="C62" s="212"/>
      <c r="D62" s="213"/>
      <c r="E62" s="213"/>
      <c r="F62" s="213"/>
      <c r="G62" s="213"/>
      <c r="H62" s="213"/>
      <c r="I62" s="213"/>
      <c r="J62" s="214">
        <v>6.0</v>
      </c>
      <c r="K62" s="215">
        <v>4.0</v>
      </c>
      <c r="L62" s="213"/>
      <c r="M62" s="213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</row>
    <row r="63" ht="4.5" customHeight="1">
      <c r="A63" s="187"/>
      <c r="B63" s="187"/>
      <c r="C63" s="216"/>
      <c r="D63" s="23"/>
      <c r="E63" s="23"/>
      <c r="F63" s="23"/>
      <c r="G63" s="23"/>
      <c r="H63" s="23"/>
      <c r="I63" s="23"/>
      <c r="J63" s="23"/>
      <c r="K63" s="23"/>
      <c r="L63" s="23"/>
      <c r="M63" s="202"/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</row>
    <row r="64" ht="12.75" customHeight="1">
      <c r="A64" s="187"/>
      <c r="B64" s="187"/>
      <c r="C64" s="218" t="s">
        <v>245</v>
      </c>
      <c r="D64" s="206" t="s">
        <v>209</v>
      </c>
      <c r="E64" s="207" t="s">
        <v>132</v>
      </c>
      <c r="F64" s="207" t="s">
        <v>144</v>
      </c>
      <c r="G64" s="208" t="s">
        <v>198</v>
      </c>
      <c r="H64" s="207" t="s">
        <v>137</v>
      </c>
      <c r="I64" s="207" t="s">
        <v>143</v>
      </c>
      <c r="J64" s="209">
        <v>4.0</v>
      </c>
      <c r="K64" s="210">
        <v>6.0</v>
      </c>
      <c r="L64" s="211">
        <f>IF(AND(J64&gt;K64,J65&gt;K65),2,IF(J64&gt;K64,1,IF(J65&gt;K65,1,0)))</f>
        <v>0</v>
      </c>
      <c r="M64" s="211">
        <f>IF(AND(K64&gt;J64,K65&gt;J65),2,IF(K64&gt;J64,1,IF(K65&gt;J65,1,0)))</f>
        <v>2</v>
      </c>
      <c r="N64" s="245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</row>
    <row r="65" ht="12.75" customHeight="1">
      <c r="A65" s="187"/>
      <c r="B65" s="187"/>
      <c r="C65" s="212"/>
      <c r="D65" s="213"/>
      <c r="E65" s="213"/>
      <c r="F65" s="213"/>
      <c r="G65" s="213"/>
      <c r="H65" s="213"/>
      <c r="I65" s="213"/>
      <c r="J65" s="214">
        <v>2.0</v>
      </c>
      <c r="K65" s="215">
        <v>6.0</v>
      </c>
      <c r="L65" s="213"/>
      <c r="M65" s="213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</row>
    <row r="66" ht="4.5" customHeight="1">
      <c r="A66" s="187"/>
      <c r="B66" s="187"/>
      <c r="C66" s="217"/>
      <c r="D66" s="23"/>
      <c r="E66" s="23"/>
      <c r="F66" s="23"/>
      <c r="G66" s="23"/>
      <c r="H66" s="23"/>
      <c r="I66" s="23"/>
      <c r="J66" s="23"/>
      <c r="K66" s="23"/>
      <c r="L66" s="23"/>
      <c r="M66" s="202"/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</row>
    <row r="67" ht="12.75" customHeight="1">
      <c r="A67" s="187"/>
      <c r="B67" s="187"/>
      <c r="C67" s="205" t="s">
        <v>246</v>
      </c>
      <c r="D67" s="206" t="s">
        <v>212</v>
      </c>
      <c r="E67" s="207" t="s">
        <v>50</v>
      </c>
      <c r="F67" s="207" t="s">
        <v>37</v>
      </c>
      <c r="G67" s="208" t="s">
        <v>198</v>
      </c>
      <c r="H67" s="207" t="s">
        <v>55</v>
      </c>
      <c r="I67" s="207" t="s">
        <v>247</v>
      </c>
      <c r="J67" s="209">
        <v>6.0</v>
      </c>
      <c r="K67" s="210">
        <v>3.0</v>
      </c>
      <c r="L67" s="211">
        <f>IF(AND(J67&gt;K67,J68&gt;K68),2,IF(J67&gt;K67,1,IF(J68&gt;K68,1,0)))</f>
        <v>2</v>
      </c>
      <c r="M67" s="211">
        <f>IF(AND(K67&gt;J67,K68&gt;J68),2,IF(K67&gt;J67,1,IF(K68&gt;J68,1,0)))</f>
        <v>0</v>
      </c>
      <c r="N67" s="245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</row>
    <row r="68" ht="12.75" customHeight="1">
      <c r="A68" s="187"/>
      <c r="B68" s="187"/>
      <c r="C68" s="212"/>
      <c r="D68" s="213"/>
      <c r="E68" s="213"/>
      <c r="F68" s="213"/>
      <c r="G68" s="213"/>
      <c r="H68" s="213"/>
      <c r="I68" s="213"/>
      <c r="J68" s="214">
        <v>6.0</v>
      </c>
      <c r="K68" s="215">
        <v>2.0</v>
      </c>
      <c r="L68" s="213"/>
      <c r="M68" s="213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</row>
    <row r="69" ht="4.5" customHeight="1">
      <c r="A69" s="187"/>
      <c r="B69" s="187"/>
      <c r="C69" s="217"/>
      <c r="D69" s="23"/>
      <c r="E69" s="23"/>
      <c r="F69" s="23"/>
      <c r="G69" s="23"/>
      <c r="H69" s="23"/>
      <c r="I69" s="23"/>
      <c r="J69" s="23"/>
      <c r="K69" s="23"/>
      <c r="L69" s="23"/>
      <c r="M69" s="202"/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</row>
    <row r="70" ht="4.5" customHeight="1">
      <c r="A70" s="187"/>
      <c r="B70" s="187"/>
      <c r="C70" s="217"/>
      <c r="D70" s="23"/>
      <c r="E70" s="23"/>
      <c r="F70" s="23"/>
      <c r="G70" s="23"/>
      <c r="H70" s="23"/>
      <c r="I70" s="23"/>
      <c r="J70" s="23"/>
      <c r="K70" s="23"/>
      <c r="L70" s="23"/>
      <c r="M70" s="202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</row>
    <row r="71" ht="12.75" customHeight="1">
      <c r="A71" s="187"/>
      <c r="B71" s="187"/>
      <c r="C71" s="220" t="s">
        <v>239</v>
      </c>
      <c r="D71" s="23"/>
      <c r="E71" s="23"/>
      <c r="F71" s="23"/>
      <c r="G71" s="23"/>
      <c r="H71" s="23"/>
      <c r="I71" s="200"/>
      <c r="J71" s="221">
        <f t="shared" ref="J71:M71" si="5">SUM(J61:J69)</f>
        <v>31</v>
      </c>
      <c r="K71" s="222">
        <f t="shared" si="5"/>
        <v>26</v>
      </c>
      <c r="L71" s="221">
        <f t="shared" si="5"/>
        <v>4</v>
      </c>
      <c r="M71" s="223">
        <f t="shared" si="5"/>
        <v>2</v>
      </c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</row>
    <row r="72" ht="4.5" customHeight="1">
      <c r="A72" s="187"/>
      <c r="B72" s="187"/>
      <c r="C72" s="224"/>
      <c r="D72" s="23"/>
      <c r="E72" s="23"/>
      <c r="F72" s="23"/>
      <c r="G72" s="23"/>
      <c r="H72" s="23"/>
      <c r="I72" s="23"/>
      <c r="J72" s="23"/>
      <c r="K72" s="23"/>
      <c r="L72" s="23"/>
      <c r="M72" s="202"/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</row>
    <row r="73" ht="12.75" customHeight="1">
      <c r="A73" s="187"/>
      <c r="B73" s="187"/>
      <c r="C73" s="228" t="s">
        <v>240</v>
      </c>
      <c r="D73" s="23"/>
      <c r="E73" s="23"/>
      <c r="F73" s="23"/>
      <c r="G73" s="23"/>
      <c r="H73" s="23"/>
      <c r="I73" s="200"/>
      <c r="J73" s="229">
        <f t="shared" ref="J73:M73" si="6">J71+J58</f>
        <v>62</v>
      </c>
      <c r="K73" s="230">
        <f t="shared" si="6"/>
        <v>71</v>
      </c>
      <c r="L73" s="231">
        <f t="shared" si="6"/>
        <v>7</v>
      </c>
      <c r="M73" s="232">
        <f t="shared" si="6"/>
        <v>7</v>
      </c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</row>
    <row r="74" ht="6.75" customHeight="1">
      <c r="A74" s="187"/>
      <c r="B74" s="187"/>
      <c r="C74" s="233"/>
      <c r="D74" s="23"/>
      <c r="E74" s="23"/>
      <c r="F74" s="23"/>
      <c r="G74" s="23"/>
      <c r="H74" s="23"/>
      <c r="I74" s="23"/>
      <c r="J74" s="23"/>
      <c r="K74" s="23"/>
      <c r="L74" s="23"/>
      <c r="M74" s="202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</row>
    <row r="75" ht="12.75" customHeight="1">
      <c r="A75" s="187"/>
      <c r="B75" s="187"/>
      <c r="C75" s="196" t="s">
        <v>225</v>
      </c>
      <c r="D75" s="191"/>
      <c r="E75" s="191"/>
      <c r="F75" s="191"/>
      <c r="G75" s="191"/>
      <c r="H75" s="191"/>
      <c r="I75" s="191"/>
      <c r="J75" s="191"/>
      <c r="K75" s="191"/>
      <c r="L75" s="191"/>
      <c r="M75" s="192"/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</row>
    <row r="76" ht="12.75" customHeight="1">
      <c r="A76" s="187"/>
      <c r="B76" s="187"/>
      <c r="C76" s="193"/>
      <c r="D76" s="194"/>
      <c r="E76" s="194"/>
      <c r="F76" s="194"/>
      <c r="G76" s="194"/>
      <c r="H76" s="194"/>
      <c r="I76" s="194"/>
      <c r="J76" s="194"/>
      <c r="K76" s="194"/>
      <c r="L76" s="194"/>
      <c r="M76" s="195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</row>
    <row r="77" ht="26.25" customHeight="1">
      <c r="A77" s="187"/>
      <c r="B77" s="187"/>
      <c r="C77" s="236" t="s">
        <v>196</v>
      </c>
      <c r="D77" s="201" t="s">
        <v>197</v>
      </c>
      <c r="E77" s="199" t="s">
        <v>248</v>
      </c>
      <c r="F77" s="200"/>
      <c r="G77" s="198" t="s">
        <v>198</v>
      </c>
      <c r="H77" s="199" t="s">
        <v>249</v>
      </c>
      <c r="I77" s="200"/>
      <c r="J77" s="201" t="s">
        <v>199</v>
      </c>
      <c r="K77" s="200"/>
      <c r="L77" s="201" t="s">
        <v>200</v>
      </c>
      <c r="M77" s="202"/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</row>
    <row r="78" ht="12.75" customHeight="1">
      <c r="A78" s="187"/>
      <c r="B78" s="187"/>
      <c r="C78" s="234"/>
      <c r="D78" s="23"/>
      <c r="E78" s="23"/>
      <c r="F78" s="23"/>
      <c r="G78" s="23"/>
      <c r="H78" s="23"/>
      <c r="I78" s="23"/>
      <c r="J78" s="23"/>
      <c r="K78" s="23"/>
      <c r="L78" s="23"/>
      <c r="M78" s="202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</row>
    <row r="79" ht="12.75" customHeight="1">
      <c r="A79" s="187"/>
      <c r="B79" s="187"/>
      <c r="C79" s="205" t="s">
        <v>201</v>
      </c>
      <c r="D79" s="206" t="s">
        <v>205</v>
      </c>
      <c r="E79" s="207" t="s">
        <v>122</v>
      </c>
      <c r="F79" s="207" t="s">
        <v>250</v>
      </c>
      <c r="G79" s="208" t="s">
        <v>198</v>
      </c>
      <c r="H79" s="207" t="s">
        <v>118</v>
      </c>
      <c r="I79" s="207" t="s">
        <v>123</v>
      </c>
      <c r="J79" s="209">
        <v>2.0</v>
      </c>
      <c r="K79" s="210">
        <v>6.0</v>
      </c>
      <c r="L79" s="211">
        <f>IF(AND(J79&gt;K79,J80&gt;K80),2,IF(J79&gt;K79,1,IF(J80&gt;K80,1,0)))</f>
        <v>0</v>
      </c>
      <c r="M79" s="211">
        <f>IF(AND(K79&gt;J79,K80&gt;J80),2,IF(K79&gt;J79,1,IF(K80&gt;J80,1,0)))</f>
        <v>2</v>
      </c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</row>
    <row r="80" ht="12.75" customHeight="1">
      <c r="A80" s="187"/>
      <c r="B80" s="187"/>
      <c r="C80" s="212"/>
      <c r="D80" s="213"/>
      <c r="E80" s="213"/>
      <c r="F80" s="213"/>
      <c r="G80" s="213"/>
      <c r="H80" s="213"/>
      <c r="I80" s="213"/>
      <c r="J80" s="214">
        <v>2.0</v>
      </c>
      <c r="K80" s="215">
        <v>6.0</v>
      </c>
      <c r="L80" s="213"/>
      <c r="M80" s="213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</row>
    <row r="81" ht="4.5" customHeight="1">
      <c r="A81" s="187"/>
      <c r="B81" s="187"/>
      <c r="C81" s="216"/>
      <c r="D81" s="23"/>
      <c r="E81" s="23"/>
      <c r="F81" s="23"/>
      <c r="G81" s="23"/>
      <c r="H81" s="23"/>
      <c r="I81" s="23"/>
      <c r="J81" s="23"/>
      <c r="K81" s="23"/>
      <c r="L81" s="23"/>
      <c r="M81" s="202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</row>
    <row r="82" ht="12.75" customHeight="1">
      <c r="A82" s="187"/>
      <c r="B82" s="187"/>
      <c r="C82" s="205" t="s">
        <v>204</v>
      </c>
      <c r="D82" s="206" t="s">
        <v>216</v>
      </c>
      <c r="E82" s="207" t="s">
        <v>59</v>
      </c>
      <c r="F82" s="207" t="s">
        <v>66</v>
      </c>
      <c r="G82" s="208" t="s">
        <v>198</v>
      </c>
      <c r="H82" s="207" t="s">
        <v>251</v>
      </c>
      <c r="I82" s="207" t="s">
        <v>67</v>
      </c>
      <c r="J82" s="209">
        <v>3.0</v>
      </c>
      <c r="K82" s="210">
        <v>6.0</v>
      </c>
      <c r="L82" s="211">
        <f>IF(AND(J82&gt;K82,J83&gt;K83),2,IF(J82&gt;K82,1,IF(J83&gt;K83,1,0)))</f>
        <v>1</v>
      </c>
      <c r="M82" s="211">
        <f>IF(AND(K82&gt;J82,K83&gt;J83),2,IF(K82&gt;J82,1,IF(K83&gt;J83,1,0)))</f>
        <v>1</v>
      </c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</row>
    <row r="83" ht="12.75" customHeight="1">
      <c r="A83" s="187"/>
      <c r="B83" s="187"/>
      <c r="C83" s="212"/>
      <c r="D83" s="213"/>
      <c r="E83" s="213"/>
      <c r="F83" s="213"/>
      <c r="G83" s="213"/>
      <c r="H83" s="213"/>
      <c r="I83" s="213"/>
      <c r="J83" s="214">
        <v>7.0</v>
      </c>
      <c r="K83" s="215">
        <v>6.0</v>
      </c>
      <c r="L83" s="213"/>
      <c r="M83" s="213"/>
      <c r="N83" s="238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</row>
    <row r="84" ht="4.5" customHeight="1">
      <c r="A84" s="187"/>
      <c r="B84" s="187"/>
      <c r="C84" s="217"/>
      <c r="D84" s="23"/>
      <c r="E84" s="23"/>
      <c r="F84" s="23"/>
      <c r="G84" s="23"/>
      <c r="H84" s="23"/>
      <c r="I84" s="23"/>
      <c r="J84" s="23"/>
      <c r="K84" s="23"/>
      <c r="L84" s="23"/>
      <c r="M84" s="202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</row>
    <row r="85" ht="12.75" customHeight="1">
      <c r="A85" s="187"/>
      <c r="B85" s="187"/>
      <c r="C85" s="205" t="s">
        <v>206</v>
      </c>
      <c r="D85" s="206" t="s">
        <v>209</v>
      </c>
      <c r="E85" s="207" t="s">
        <v>146</v>
      </c>
      <c r="F85" s="207" t="s">
        <v>140</v>
      </c>
      <c r="G85" s="208" t="s">
        <v>198</v>
      </c>
      <c r="H85" s="207" t="s">
        <v>135</v>
      </c>
      <c r="I85" s="207" t="s">
        <v>141</v>
      </c>
      <c r="J85" s="209">
        <v>2.0</v>
      </c>
      <c r="K85" s="210">
        <v>6.0</v>
      </c>
      <c r="L85" s="211">
        <f>IF(AND(J85&gt;K85,J86&gt;K86),2,IF(J85&gt;K85,1,IF(J86&gt;K86,1,0)))</f>
        <v>0</v>
      </c>
      <c r="M85" s="211">
        <f>IF(AND(K85&gt;J85,K86&gt;J86),2,IF(K85&gt;J85,1,IF(K86&gt;J86,1,0)))</f>
        <v>2</v>
      </c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</row>
    <row r="86" ht="12.75" customHeight="1">
      <c r="A86" s="187"/>
      <c r="B86" s="187"/>
      <c r="C86" s="212"/>
      <c r="D86" s="213"/>
      <c r="E86" s="213"/>
      <c r="F86" s="213"/>
      <c r="G86" s="213"/>
      <c r="H86" s="213"/>
      <c r="I86" s="213"/>
      <c r="J86" s="214">
        <v>3.0</v>
      </c>
      <c r="K86" s="215">
        <v>6.0</v>
      </c>
      <c r="L86" s="213"/>
      <c r="M86" s="213"/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</row>
    <row r="87" ht="4.5" customHeight="1">
      <c r="A87" s="187"/>
      <c r="B87" s="187"/>
      <c r="C87" s="217"/>
      <c r="D87" s="23"/>
      <c r="E87" s="23"/>
      <c r="F87" s="23"/>
      <c r="G87" s="23"/>
      <c r="H87" s="23"/>
      <c r="I87" s="23"/>
      <c r="J87" s="23"/>
      <c r="K87" s="23"/>
      <c r="L87" s="23"/>
      <c r="M87" s="202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</row>
    <row r="88" ht="12.75" customHeight="1">
      <c r="A88" s="187"/>
      <c r="B88" s="187"/>
      <c r="C88" s="205" t="s">
        <v>206</v>
      </c>
      <c r="D88" s="235" t="s">
        <v>202</v>
      </c>
      <c r="E88" s="207" t="s">
        <v>100</v>
      </c>
      <c r="F88" s="207" t="s">
        <v>112</v>
      </c>
      <c r="G88" s="208" t="s">
        <v>198</v>
      </c>
      <c r="H88" s="207" t="s">
        <v>252</v>
      </c>
      <c r="I88" s="207" t="s">
        <v>107</v>
      </c>
      <c r="J88" s="209">
        <v>6.0</v>
      </c>
      <c r="K88" s="210">
        <v>4.0</v>
      </c>
      <c r="L88" s="211">
        <f>IF(AND(J88&gt;K88,J89&gt;K89),2,IF(J88&gt;K88,1,IF(J89&gt;K89,1,0)))</f>
        <v>2</v>
      </c>
      <c r="M88" s="211">
        <f>IF(AND(K88&gt;J88,K89&gt;J89),2,IF(K88&gt;J88,1,IF(K89&gt;J89,1,0)))</f>
        <v>0</v>
      </c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</row>
    <row r="89" ht="12.75" customHeight="1">
      <c r="A89" s="187"/>
      <c r="B89" s="187"/>
      <c r="C89" s="212"/>
      <c r="D89" s="213"/>
      <c r="E89" s="213"/>
      <c r="F89" s="213"/>
      <c r="G89" s="213"/>
      <c r="H89" s="213"/>
      <c r="I89" s="213"/>
      <c r="J89" s="214">
        <v>7.0</v>
      </c>
      <c r="K89" s="215">
        <v>5.0</v>
      </c>
      <c r="L89" s="213"/>
      <c r="M89" s="213"/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</row>
    <row r="90" ht="4.5" customHeight="1">
      <c r="A90" s="187"/>
      <c r="B90" s="187"/>
      <c r="C90" s="217"/>
      <c r="D90" s="23"/>
      <c r="E90" s="23"/>
      <c r="F90" s="23"/>
      <c r="G90" s="23"/>
      <c r="H90" s="23"/>
      <c r="I90" s="23"/>
      <c r="J90" s="23"/>
      <c r="K90" s="23"/>
      <c r="L90" s="23"/>
      <c r="M90" s="202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</row>
    <row r="91" ht="12.75" customHeight="1">
      <c r="A91" s="187"/>
      <c r="B91" s="187"/>
      <c r="C91" s="220" t="s">
        <v>236</v>
      </c>
      <c r="D91" s="23"/>
      <c r="E91" s="23"/>
      <c r="F91" s="23"/>
      <c r="G91" s="23"/>
      <c r="H91" s="23"/>
      <c r="I91" s="200"/>
      <c r="J91" s="221">
        <f t="shared" ref="J91:M91" si="7">SUM(J79:J89)</f>
        <v>32</v>
      </c>
      <c r="K91" s="222">
        <f t="shared" si="7"/>
        <v>45</v>
      </c>
      <c r="L91" s="221">
        <f t="shared" si="7"/>
        <v>3</v>
      </c>
      <c r="M91" s="223">
        <f t="shared" si="7"/>
        <v>5</v>
      </c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</row>
    <row r="92" ht="4.5" customHeight="1">
      <c r="A92" s="187"/>
      <c r="B92" s="187"/>
      <c r="C92" s="224"/>
      <c r="D92" s="23"/>
      <c r="E92" s="23"/>
      <c r="F92" s="23"/>
      <c r="G92" s="23"/>
      <c r="H92" s="23"/>
      <c r="I92" s="23"/>
      <c r="J92" s="23"/>
      <c r="K92" s="23"/>
      <c r="L92" s="23"/>
      <c r="M92" s="202"/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</row>
    <row r="93" ht="12.75" customHeight="1">
      <c r="A93" s="187"/>
      <c r="B93" s="187"/>
      <c r="C93" s="225"/>
      <c r="D93" s="23"/>
      <c r="E93" s="23"/>
      <c r="F93" s="23"/>
      <c r="G93" s="23"/>
      <c r="H93" s="23"/>
      <c r="I93" s="23"/>
      <c r="J93" s="23"/>
      <c r="K93" s="23"/>
      <c r="L93" s="23"/>
      <c r="M93" s="202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</row>
    <row r="94" ht="12.75" customHeight="1">
      <c r="A94" s="187"/>
      <c r="B94" s="187"/>
      <c r="C94" s="218" t="s">
        <v>232</v>
      </c>
      <c r="D94" s="206" t="s">
        <v>207</v>
      </c>
      <c r="E94" s="207" t="s">
        <v>19</v>
      </c>
      <c r="F94" s="207" t="s">
        <v>11</v>
      </c>
      <c r="G94" s="208" t="s">
        <v>198</v>
      </c>
      <c r="H94" s="207" t="s">
        <v>20</v>
      </c>
      <c r="I94" s="207" t="s">
        <v>27</v>
      </c>
      <c r="J94" s="209">
        <v>3.0</v>
      </c>
      <c r="K94" s="210">
        <v>6.0</v>
      </c>
      <c r="L94" s="211">
        <f>IF(AND(J94&gt;K94,J95&gt;K95),2,IF(J94&gt;K94,1,IF(J95&gt;K95,1,0)))</f>
        <v>0</v>
      </c>
      <c r="M94" s="211">
        <f>IF(AND(K94&gt;J94,K95&gt;J95),2,IF(K94&gt;J94,1,IF(K95&gt;J95,1,0)))</f>
        <v>2</v>
      </c>
      <c r="N94" s="245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</row>
    <row r="95" ht="12.75" customHeight="1">
      <c r="A95" s="187"/>
      <c r="B95" s="187"/>
      <c r="C95" s="212"/>
      <c r="D95" s="213"/>
      <c r="E95" s="213"/>
      <c r="F95" s="213"/>
      <c r="G95" s="213"/>
      <c r="H95" s="213"/>
      <c r="I95" s="213"/>
      <c r="J95" s="214">
        <v>2.0</v>
      </c>
      <c r="K95" s="215">
        <v>6.0</v>
      </c>
      <c r="L95" s="213"/>
      <c r="M95" s="213"/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</row>
    <row r="96" ht="4.5" customHeight="1">
      <c r="A96" s="187"/>
      <c r="B96" s="187"/>
      <c r="C96" s="216"/>
      <c r="D96" s="23"/>
      <c r="E96" s="23"/>
      <c r="F96" s="23"/>
      <c r="G96" s="23"/>
      <c r="H96" s="23"/>
      <c r="I96" s="23"/>
      <c r="J96" s="23"/>
      <c r="K96" s="23"/>
      <c r="L96" s="23"/>
      <c r="M96" s="202"/>
      <c r="N96" s="187"/>
      <c r="O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</row>
    <row r="97" ht="12.75" customHeight="1">
      <c r="A97" s="187"/>
      <c r="B97" s="187"/>
      <c r="C97" s="205" t="s">
        <v>253</v>
      </c>
      <c r="D97" s="206" t="s">
        <v>212</v>
      </c>
      <c r="E97" s="207" t="s">
        <v>39</v>
      </c>
      <c r="F97" s="207" t="s">
        <v>52</v>
      </c>
      <c r="G97" s="208" t="s">
        <v>198</v>
      </c>
      <c r="H97" s="207" t="s">
        <v>40</v>
      </c>
      <c r="I97" s="207" t="s">
        <v>53</v>
      </c>
      <c r="J97" s="209">
        <v>2.0</v>
      </c>
      <c r="K97" s="210">
        <v>6.0</v>
      </c>
      <c r="L97" s="211">
        <f>IF(AND(J97&gt;K97,J98&gt;K98),2,IF(J97&gt;K97,1,IF(J98&gt;K98,1,0)))</f>
        <v>0</v>
      </c>
      <c r="M97" s="211">
        <f>IF(AND(K97&gt;J97,K98&gt;J98),2,IF(K97&gt;J97,1,IF(K98&gt;J98,1,0)))</f>
        <v>2</v>
      </c>
      <c r="N97" s="245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</row>
    <row r="98" ht="12.75" customHeight="1">
      <c r="A98" s="187"/>
      <c r="B98" s="187"/>
      <c r="C98" s="212"/>
      <c r="D98" s="213"/>
      <c r="E98" s="213"/>
      <c r="F98" s="213"/>
      <c r="G98" s="213"/>
      <c r="H98" s="213"/>
      <c r="I98" s="213"/>
      <c r="J98" s="214">
        <v>1.0</v>
      </c>
      <c r="K98" s="215">
        <v>6.0</v>
      </c>
      <c r="L98" s="213"/>
      <c r="M98" s="213"/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</row>
    <row r="99" ht="4.5" customHeight="1">
      <c r="A99" s="187"/>
      <c r="B99" s="187"/>
      <c r="C99" s="217"/>
      <c r="D99" s="23"/>
      <c r="E99" s="23"/>
      <c r="F99" s="23"/>
      <c r="G99" s="23"/>
      <c r="H99" s="23"/>
      <c r="I99" s="23"/>
      <c r="J99" s="23"/>
      <c r="K99" s="23"/>
      <c r="L99" s="23"/>
      <c r="M99" s="202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</row>
    <row r="100" ht="12.75" customHeight="1">
      <c r="A100" s="187"/>
      <c r="B100" s="187"/>
      <c r="C100" s="205" t="s">
        <v>254</v>
      </c>
      <c r="D100" s="206" t="s">
        <v>214</v>
      </c>
      <c r="E100" s="207" t="s">
        <v>79</v>
      </c>
      <c r="F100" s="207" t="s">
        <v>93</v>
      </c>
      <c r="G100" s="208" t="s">
        <v>198</v>
      </c>
      <c r="H100" s="207" t="s">
        <v>80</v>
      </c>
      <c r="I100" s="207" t="s">
        <v>94</v>
      </c>
      <c r="J100" s="209">
        <v>6.0</v>
      </c>
      <c r="K100" s="210">
        <v>3.0</v>
      </c>
      <c r="L100" s="211">
        <f>IF(AND(J100&gt;K100,J101&gt;K101),2,IF(J100&gt;K100,1,IF(J101&gt;K101,1,0)))</f>
        <v>2</v>
      </c>
      <c r="M100" s="211">
        <f>IF(AND(K100&gt;J100,K101&gt;J101),2,IF(K100&gt;J100,1,IF(K101&gt;J101,1,0)))</f>
        <v>0</v>
      </c>
      <c r="N100" s="246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</row>
    <row r="101" ht="12.75" customHeight="1">
      <c r="A101" s="187"/>
      <c r="B101" s="187"/>
      <c r="C101" s="212"/>
      <c r="D101" s="213"/>
      <c r="E101" s="213"/>
      <c r="F101" s="213"/>
      <c r="G101" s="213"/>
      <c r="H101" s="213"/>
      <c r="I101" s="213"/>
      <c r="J101" s="214">
        <v>6.0</v>
      </c>
      <c r="K101" s="215">
        <v>1.0</v>
      </c>
      <c r="L101" s="213"/>
      <c r="M101" s="213"/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</row>
    <row r="102" ht="4.5" customHeight="1">
      <c r="A102" s="187"/>
      <c r="B102" s="187"/>
      <c r="C102" s="217"/>
      <c r="D102" s="23"/>
      <c r="E102" s="23"/>
      <c r="F102" s="23"/>
      <c r="G102" s="23"/>
      <c r="H102" s="23"/>
      <c r="I102" s="23"/>
      <c r="J102" s="23"/>
      <c r="K102" s="23"/>
      <c r="L102" s="23"/>
      <c r="M102" s="202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</row>
    <row r="103" ht="4.5" customHeight="1">
      <c r="A103" s="187"/>
      <c r="B103" s="187"/>
      <c r="C103" s="217"/>
      <c r="D103" s="23"/>
      <c r="E103" s="23"/>
      <c r="F103" s="23"/>
      <c r="G103" s="23"/>
      <c r="H103" s="23"/>
      <c r="I103" s="23"/>
      <c r="J103" s="23"/>
      <c r="K103" s="23"/>
      <c r="L103" s="23"/>
      <c r="M103" s="202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</row>
    <row r="104" ht="12.75" customHeight="1">
      <c r="A104" s="187"/>
      <c r="B104" s="187"/>
      <c r="C104" s="220" t="s">
        <v>239</v>
      </c>
      <c r="D104" s="23"/>
      <c r="E104" s="23"/>
      <c r="F104" s="23"/>
      <c r="G104" s="23"/>
      <c r="H104" s="23"/>
      <c r="I104" s="200"/>
      <c r="J104" s="221">
        <f t="shared" ref="J104:M104" si="8">SUM(J94:J102)</f>
        <v>20</v>
      </c>
      <c r="K104" s="222">
        <f t="shared" si="8"/>
        <v>28</v>
      </c>
      <c r="L104" s="221">
        <f t="shared" si="8"/>
        <v>2</v>
      </c>
      <c r="M104" s="223">
        <f t="shared" si="8"/>
        <v>4</v>
      </c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</row>
    <row r="105" ht="4.5" customHeight="1">
      <c r="A105" s="187"/>
      <c r="B105" s="187"/>
      <c r="C105" s="224"/>
      <c r="D105" s="23"/>
      <c r="E105" s="23"/>
      <c r="F105" s="23"/>
      <c r="G105" s="23"/>
      <c r="H105" s="23"/>
      <c r="I105" s="23"/>
      <c r="J105" s="23"/>
      <c r="K105" s="23"/>
      <c r="L105" s="23"/>
      <c r="M105" s="202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</row>
    <row r="106" ht="12.75" customHeight="1">
      <c r="A106" s="187"/>
      <c r="B106" s="187"/>
      <c r="C106" s="228" t="s">
        <v>240</v>
      </c>
      <c r="D106" s="23"/>
      <c r="E106" s="23"/>
      <c r="F106" s="23"/>
      <c r="G106" s="23"/>
      <c r="H106" s="23"/>
      <c r="I106" s="200"/>
      <c r="J106" s="229">
        <f t="shared" ref="J106:M106" si="9">J104+J91</f>
        <v>52</v>
      </c>
      <c r="K106" s="230">
        <f t="shared" si="9"/>
        <v>73</v>
      </c>
      <c r="L106" s="231">
        <f t="shared" si="9"/>
        <v>5</v>
      </c>
      <c r="M106" s="232">
        <f t="shared" si="9"/>
        <v>9</v>
      </c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</row>
    <row r="107" ht="6.75" customHeight="1">
      <c r="A107" s="187"/>
      <c r="B107" s="187"/>
      <c r="C107" s="239"/>
      <c r="D107" s="240"/>
      <c r="E107" s="240"/>
      <c r="F107" s="240"/>
      <c r="G107" s="240"/>
      <c r="H107" s="240"/>
      <c r="I107" s="240"/>
      <c r="J107" s="240"/>
      <c r="K107" s="240"/>
      <c r="L107" s="240"/>
      <c r="M107" s="241"/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</row>
    <row r="108" ht="12.75" customHeight="1">
      <c r="A108" s="187"/>
      <c r="B108" s="187"/>
      <c r="C108" s="187"/>
      <c r="D108" s="187"/>
      <c r="E108" s="187"/>
      <c r="F108" s="187"/>
      <c r="G108" s="187"/>
      <c r="H108" s="187"/>
      <c r="I108" s="187"/>
      <c r="J108" s="187"/>
      <c r="K108" s="187"/>
      <c r="L108" s="187"/>
      <c r="M108" s="187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</row>
    <row r="109" ht="12.75" customHeight="1">
      <c r="A109" s="187"/>
      <c r="B109" s="187"/>
      <c r="C109" s="187"/>
      <c r="D109" s="187"/>
      <c r="E109" s="187"/>
      <c r="F109" s="187"/>
      <c r="G109" s="187"/>
      <c r="H109" s="187"/>
      <c r="I109" s="187"/>
      <c r="J109" s="187"/>
      <c r="K109" s="187"/>
      <c r="L109" s="187"/>
      <c r="M109" s="187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</row>
    <row r="110" ht="12.75" customHeight="1">
      <c r="A110" s="187"/>
      <c r="B110" s="187"/>
      <c r="C110" s="187"/>
      <c r="D110" s="187"/>
      <c r="E110" s="187"/>
      <c r="F110" s="187"/>
      <c r="G110" s="187"/>
      <c r="H110" s="187"/>
      <c r="I110" s="187"/>
      <c r="J110" s="187"/>
      <c r="K110" s="187"/>
      <c r="L110" s="187"/>
      <c r="M110" s="187"/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</row>
    <row r="111" ht="12.75" customHeight="1">
      <c r="A111" s="187"/>
      <c r="B111" s="187"/>
      <c r="C111" s="187"/>
      <c r="D111" s="187"/>
      <c r="E111" s="187"/>
      <c r="F111" s="187"/>
      <c r="G111" s="187"/>
      <c r="H111" s="187"/>
      <c r="I111" s="187"/>
      <c r="J111" s="187"/>
      <c r="K111" s="187"/>
      <c r="L111" s="187"/>
      <c r="M111" s="187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</row>
    <row r="112" ht="12.75" customHeight="1">
      <c r="A112" s="187"/>
      <c r="B112" s="187"/>
      <c r="C112" s="187"/>
      <c r="D112" s="187"/>
      <c r="E112" s="187"/>
      <c r="F112" s="18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</row>
    <row r="113" ht="12.75" customHeight="1">
      <c r="A113" s="187"/>
      <c r="B113" s="187"/>
      <c r="C113" s="187"/>
      <c r="D113" s="187"/>
      <c r="E113" s="187"/>
      <c r="F113" s="187"/>
      <c r="G113" s="187"/>
      <c r="H113" s="187"/>
      <c r="I113" s="187"/>
      <c r="J113" s="187"/>
      <c r="K113" s="187"/>
      <c r="L113" s="187"/>
      <c r="M113" s="187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</row>
    <row r="114" ht="12.75" customHeight="1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</row>
    <row r="115" ht="12.75" customHeight="1">
      <c r="A115" s="18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</row>
    <row r="116" ht="12.75" customHeight="1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</row>
    <row r="117" ht="12.75" customHeight="1">
      <c r="A117" s="18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</row>
    <row r="118" ht="12.75" customHeight="1">
      <c r="A118" s="18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</row>
    <row r="119" ht="12.75" customHeight="1">
      <c r="A119" s="18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</row>
    <row r="120" ht="12.75" customHeight="1">
      <c r="A120" s="18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</row>
    <row r="121" ht="12.75" customHeight="1">
      <c r="A121" s="187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</row>
    <row r="122" ht="12.75" customHeight="1">
      <c r="A122" s="18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</row>
    <row r="123" ht="12.75" customHeight="1">
      <c r="A123" s="187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</row>
    <row r="124" ht="12.75" customHeight="1">
      <c r="A124" s="187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</row>
    <row r="125" ht="12.75" customHeight="1">
      <c r="A125" s="18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</row>
    <row r="126" ht="12.75" customHeight="1">
      <c r="A126" s="18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</row>
    <row r="127" ht="12.75" customHeight="1">
      <c r="A127" s="187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</row>
    <row r="128" ht="12.75" customHeight="1">
      <c r="A128" s="187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</row>
    <row r="129" ht="12.75" customHeight="1">
      <c r="A129" s="18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</row>
    <row r="130" ht="12.75" customHeight="1">
      <c r="A130" s="18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</row>
    <row r="131" ht="12.75" customHeight="1">
      <c r="A131" s="18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</row>
    <row r="132" ht="12.75" customHeight="1">
      <c r="A132" s="187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</row>
    <row r="133" ht="12.75" customHeight="1">
      <c r="A133" s="18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</row>
    <row r="134" ht="12.75" customHeight="1">
      <c r="A134" s="18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</row>
    <row r="135" ht="12.75" customHeight="1">
      <c r="A135" s="18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</row>
    <row r="136" ht="12.75" customHeight="1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</row>
    <row r="137" ht="12.75" customHeight="1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</row>
    <row r="138" ht="12.75" customHeight="1">
      <c r="A138" s="187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</row>
    <row r="139" ht="12.75" customHeight="1">
      <c r="A139" s="18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</row>
    <row r="140" ht="12.75" customHeight="1">
      <c r="A140" s="18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</row>
    <row r="141" ht="12.75" customHeight="1">
      <c r="A141" s="18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</row>
    <row r="142" ht="12.75" customHeight="1">
      <c r="A142" s="187"/>
      <c r="B142" s="187"/>
      <c r="C142" s="187"/>
      <c r="D142" s="187"/>
      <c r="E142" s="187"/>
      <c r="F142" s="187" t="s">
        <v>227</v>
      </c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</row>
    <row r="143" ht="12.75" customHeight="1">
      <c r="A143" s="187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</row>
    <row r="144" ht="12.75" customHeight="1">
      <c r="A144" s="187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</row>
    <row r="145" ht="12.75" customHeight="1">
      <c r="A145" s="187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</row>
    <row r="146" ht="12.75" customHeight="1">
      <c r="A146" s="187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</row>
    <row r="147" ht="12.75" customHeight="1">
      <c r="A147" s="187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</row>
    <row r="148" ht="12.75" customHeight="1">
      <c r="A148" s="187"/>
      <c r="B148" s="187"/>
      <c r="C148" s="187"/>
      <c r="D148" s="187"/>
      <c r="E148" s="187"/>
      <c r="F148" s="187"/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</row>
    <row r="149" ht="12.75" customHeight="1">
      <c r="A149" s="187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</row>
    <row r="150" ht="12.75" customHeight="1">
      <c r="A150" s="187"/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</row>
    <row r="151" ht="12.75" customHeight="1">
      <c r="A151" s="187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</row>
    <row r="152" ht="12.75" customHeight="1">
      <c r="A152" s="187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</row>
    <row r="153" ht="12.75" customHeight="1">
      <c r="A153" s="187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</row>
    <row r="154" ht="12.75" customHeight="1">
      <c r="A154" s="187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</row>
    <row r="155" ht="12.75" customHeight="1">
      <c r="A155" s="187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</row>
    <row r="156" ht="12.75" customHeight="1">
      <c r="A156" s="187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</row>
    <row r="157" ht="12.75" customHeight="1">
      <c r="A157" s="187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</row>
    <row r="158" ht="12.75" customHeight="1">
      <c r="A158" s="187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</row>
    <row r="159" ht="12.75" customHeight="1">
      <c r="A159" s="187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</row>
    <row r="160" ht="12.75" customHeight="1">
      <c r="A160" s="187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</row>
    <row r="161" ht="12.75" customHeight="1">
      <c r="A161" s="187"/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</row>
    <row r="162" ht="12.75" customHeight="1">
      <c r="A162" s="187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</row>
    <row r="163" ht="12.75" customHeight="1">
      <c r="A163" s="187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</row>
    <row r="164" ht="12.75" customHeight="1">
      <c r="A164" s="187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</row>
    <row r="165" ht="12.75" customHeight="1">
      <c r="A165" s="187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</row>
    <row r="166" ht="12.75" customHeight="1">
      <c r="A166" s="187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</row>
    <row r="167" ht="12.75" customHeight="1">
      <c r="A167" s="187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</row>
    <row r="168" ht="12.75" customHeight="1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</row>
    <row r="169" ht="12.75" customHeight="1">
      <c r="A169" s="187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</row>
    <row r="170" ht="12.75" customHeight="1">
      <c r="A170" s="187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</row>
    <row r="171" ht="12.75" customHeight="1">
      <c r="A171" s="187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</row>
    <row r="172" ht="12.75" customHeight="1">
      <c r="A172" s="187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</row>
    <row r="173" ht="12.75" customHeight="1">
      <c r="A173" s="18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</row>
    <row r="174" ht="12.75" customHeight="1">
      <c r="A174" s="187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</row>
    <row r="175" ht="12.75" customHeight="1">
      <c r="A175" s="187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</row>
    <row r="176" ht="12.75" customHeight="1">
      <c r="A176" s="187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</row>
    <row r="177" ht="12.75" customHeight="1">
      <c r="A177" s="187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</row>
    <row r="178" ht="12.75" customHeight="1">
      <c r="A178" s="187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</row>
    <row r="179" ht="12.75" customHeight="1">
      <c r="A179" s="187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</row>
    <row r="180" ht="12.75" customHeight="1">
      <c r="A180" s="187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</row>
    <row r="181" ht="12.75" customHeight="1">
      <c r="A181" s="187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</row>
    <row r="182" ht="12.75" customHeight="1">
      <c r="A182" s="187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</row>
    <row r="183" ht="12.75" customHeight="1">
      <c r="A183" s="187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</row>
    <row r="184" ht="12.75" customHeight="1">
      <c r="A184" s="187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</row>
    <row r="185" ht="12.75" customHeight="1">
      <c r="A185" s="187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</row>
    <row r="186" ht="12.75" customHeight="1">
      <c r="A186" s="187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</row>
    <row r="187" ht="12.75" customHeight="1">
      <c r="A187" s="187"/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</row>
    <row r="188" ht="12.75" customHeight="1">
      <c r="A188" s="187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</row>
    <row r="189" ht="12.75" customHeight="1">
      <c r="A189" s="187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</row>
    <row r="190" ht="12.75" customHeight="1">
      <c r="A190" s="187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</row>
    <row r="191" ht="12.75" customHeight="1">
      <c r="A191" s="187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</row>
    <row r="192" ht="12.75" customHeight="1">
      <c r="A192" s="187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</row>
    <row r="193" ht="12.75" customHeight="1">
      <c r="A193" s="187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</row>
    <row r="194" ht="12.75" customHeight="1">
      <c r="A194" s="187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</row>
    <row r="195" ht="12.75" customHeight="1">
      <c r="A195" s="187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</row>
    <row r="196" ht="12.75" customHeight="1">
      <c r="A196" s="187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</row>
    <row r="197" ht="12.75" customHeight="1">
      <c r="A197" s="187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</row>
    <row r="198" ht="12.75" customHeight="1">
      <c r="A198" s="187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</row>
    <row r="199" ht="12.75" customHeight="1">
      <c r="A199" s="187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</row>
    <row r="200" ht="12.75" customHeight="1">
      <c r="A200" s="187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</row>
    <row r="201" ht="12.75" customHeight="1">
      <c r="A201" s="187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</row>
    <row r="202" ht="12.75" customHeight="1">
      <c r="A202" s="187"/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</row>
    <row r="203" ht="12.75" customHeight="1">
      <c r="A203" s="187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</row>
    <row r="204" ht="12.75" customHeight="1">
      <c r="A204" s="187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</row>
    <row r="205" ht="12.75" customHeight="1">
      <c r="A205" s="187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</row>
    <row r="206" ht="12.75" customHeight="1">
      <c r="A206" s="187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</row>
    <row r="207" ht="12.75" customHeight="1">
      <c r="A207" s="187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</row>
    <row r="208" ht="12.75" customHeight="1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</row>
    <row r="209" ht="12.75" customHeight="1">
      <c r="A209" s="187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</row>
    <row r="210" ht="12.75" customHeight="1">
      <c r="A210" s="187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</row>
    <row r="211" ht="12.75" customHeight="1">
      <c r="A211" s="187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</row>
    <row r="212" ht="12.75" customHeight="1">
      <c r="A212" s="187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</row>
    <row r="213" ht="12.75" customHeight="1">
      <c r="A213" s="187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</row>
    <row r="214" ht="12.75" customHeight="1">
      <c r="A214" s="187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</row>
    <row r="215" ht="12.75" customHeight="1">
      <c r="A215" s="187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</row>
    <row r="216" ht="12.75" customHeight="1">
      <c r="A216" s="187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</row>
    <row r="217" ht="12.75" customHeight="1">
      <c r="A217" s="187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</row>
    <row r="218" ht="12.75" customHeight="1">
      <c r="A218" s="187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</row>
    <row r="219" ht="12.75" customHeight="1">
      <c r="A219" s="187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</row>
    <row r="220" ht="12.75" customHeight="1">
      <c r="A220" s="187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</row>
    <row r="221" ht="12.75" customHeight="1">
      <c r="A221" s="187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</row>
    <row r="222" ht="12.75" customHeight="1">
      <c r="A222" s="187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</row>
    <row r="223" ht="12.75" customHeight="1">
      <c r="A223" s="187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</row>
    <row r="224" ht="12.75" customHeight="1">
      <c r="A224" s="187"/>
      <c r="B224" s="187"/>
      <c r="C224" s="187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</row>
    <row r="225" ht="12.75" customHeight="1">
      <c r="A225" s="187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</row>
    <row r="226" ht="12.75" customHeight="1">
      <c r="A226" s="187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</row>
    <row r="227" ht="12.75" customHeight="1">
      <c r="A227" s="187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</row>
    <row r="228" ht="12.75" customHeight="1">
      <c r="A228" s="187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</row>
    <row r="229" ht="12.75" customHeight="1">
      <c r="A229" s="187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</row>
    <row r="230" ht="12.75" customHeight="1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</row>
    <row r="231" ht="12.75" customHeight="1">
      <c r="A231" s="187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</row>
    <row r="232" ht="12.75" customHeight="1">
      <c r="A232" s="187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</row>
    <row r="233" ht="12.75" customHeight="1">
      <c r="A233" s="187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</row>
    <row r="234" ht="12.75" customHeight="1">
      <c r="A234" s="187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</row>
    <row r="235" ht="12.75" customHeight="1">
      <c r="A235" s="187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</row>
    <row r="236" ht="12.75" customHeight="1">
      <c r="A236" s="187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</row>
    <row r="237" ht="12.75" customHeight="1">
      <c r="A237" s="187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</row>
    <row r="238" ht="12.75" customHeight="1">
      <c r="A238" s="187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</row>
    <row r="239" ht="12.75" customHeight="1">
      <c r="A239" s="187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</row>
    <row r="240" ht="12.75" customHeight="1">
      <c r="A240" s="187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</row>
    <row r="241" ht="12.75" customHeight="1">
      <c r="A241" s="187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</row>
    <row r="242" ht="12.75" customHeight="1">
      <c r="A242" s="187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</row>
    <row r="243" ht="12.75" customHeight="1">
      <c r="A243" s="187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</row>
    <row r="244" ht="12.75" customHeight="1">
      <c r="A244" s="187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</row>
    <row r="245" ht="12.75" customHeight="1">
      <c r="A245" s="187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</row>
    <row r="246" ht="12.75" customHeight="1">
      <c r="A246" s="187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</row>
    <row r="247" ht="12.75" customHeight="1">
      <c r="A247" s="187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</row>
    <row r="248" ht="12.75" customHeight="1">
      <c r="A248" s="187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</row>
    <row r="249" ht="12.75" customHeight="1">
      <c r="A249" s="187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</row>
    <row r="250" ht="12.75" customHeight="1">
      <c r="A250" s="187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</row>
    <row r="251" ht="12.75" customHeight="1">
      <c r="A251" s="187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</row>
    <row r="252" ht="12.75" customHeight="1">
      <c r="A252" s="187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</row>
    <row r="253" ht="12.75" customHeight="1">
      <c r="A253" s="187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</row>
    <row r="254" ht="12.75" customHeight="1">
      <c r="A254" s="187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</row>
    <row r="255" ht="12.75" customHeight="1">
      <c r="A255" s="187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</row>
    <row r="256" ht="12.75" customHeight="1">
      <c r="A256" s="187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</row>
    <row r="257" ht="12.75" customHeight="1">
      <c r="A257" s="187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</row>
    <row r="258" ht="12.75" customHeight="1">
      <c r="A258" s="187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</row>
    <row r="259" ht="12.75" customHeight="1">
      <c r="A259" s="187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</row>
    <row r="260" ht="12.75" customHeight="1">
      <c r="A260" s="187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</row>
    <row r="261" ht="12.75" customHeight="1">
      <c r="A261" s="187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</row>
    <row r="262" ht="12.75" customHeight="1">
      <c r="A262" s="187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</row>
    <row r="263" ht="12.75" customHeight="1">
      <c r="A263" s="187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</row>
    <row r="264" ht="12.75" customHeight="1">
      <c r="A264" s="187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</row>
    <row r="265" ht="12.75" customHeight="1">
      <c r="A265" s="187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</row>
    <row r="266" ht="12.75" customHeight="1">
      <c r="A266" s="187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</row>
    <row r="267" ht="12.75" customHeight="1">
      <c r="A267" s="187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</row>
    <row r="268" ht="12.75" customHeight="1">
      <c r="A268" s="187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</row>
    <row r="269" ht="12.75" customHeight="1">
      <c r="A269" s="187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</row>
    <row r="270" ht="12.75" customHeight="1">
      <c r="A270" s="187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</row>
    <row r="271" ht="12.75" customHeight="1">
      <c r="A271" s="187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</row>
    <row r="272" ht="12.75" customHeight="1">
      <c r="A272" s="187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</row>
    <row r="273" ht="12.75" customHeight="1">
      <c r="A273" s="187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</row>
    <row r="274" ht="12.75" customHeight="1">
      <c r="A274" s="187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</row>
    <row r="275" ht="12.75" customHeight="1">
      <c r="A275" s="187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</row>
    <row r="276" ht="12.75" customHeight="1">
      <c r="A276" s="187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</row>
    <row r="277" ht="12.75" customHeight="1">
      <c r="A277" s="187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</row>
    <row r="278" ht="12.75" customHeight="1">
      <c r="A278" s="187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</row>
    <row r="279" ht="12.75" customHeight="1">
      <c r="A279" s="187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</row>
    <row r="280" ht="12.75" customHeight="1">
      <c r="A280" s="187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</row>
    <row r="281" ht="12.75" customHeight="1">
      <c r="A281" s="187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</row>
    <row r="282" ht="12.75" customHeight="1">
      <c r="A282" s="187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</row>
    <row r="283" ht="12.75" customHeight="1">
      <c r="A283" s="187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</row>
    <row r="284" ht="12.75" customHeight="1">
      <c r="A284" s="187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</row>
    <row r="285" ht="12.75" customHeight="1">
      <c r="A285" s="187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</row>
    <row r="286" ht="12.75" customHeight="1">
      <c r="A286" s="187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</row>
    <row r="287" ht="12.75" customHeight="1">
      <c r="A287" s="187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</row>
    <row r="288" ht="12.75" customHeight="1">
      <c r="A288" s="187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</row>
    <row r="289" ht="12.75" customHeight="1">
      <c r="A289" s="187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</row>
    <row r="290" ht="12.75" customHeight="1">
      <c r="A290" s="187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</row>
    <row r="291" ht="12.75" customHeight="1">
      <c r="A291" s="187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</row>
    <row r="292" ht="12.75" customHeight="1">
      <c r="A292" s="187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</row>
    <row r="293" ht="12.75" customHeight="1">
      <c r="A293" s="187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</row>
    <row r="294" ht="12.75" customHeight="1">
      <c r="A294" s="187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</row>
    <row r="295" ht="12.75" customHeight="1">
      <c r="A295" s="187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</row>
    <row r="296" ht="12.75" customHeight="1">
      <c r="A296" s="187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</row>
    <row r="297" ht="12.75" customHeight="1">
      <c r="A297" s="187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</row>
    <row r="298" ht="12.75" customHeight="1">
      <c r="A298" s="187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</row>
    <row r="299" ht="12.75" customHeight="1">
      <c r="A299" s="187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</row>
    <row r="300" ht="12.75" customHeight="1">
      <c r="A300" s="187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</row>
    <row r="301" ht="12.75" customHeight="1">
      <c r="A301" s="187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</row>
    <row r="302" ht="12.75" customHeight="1">
      <c r="A302" s="187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</row>
    <row r="303" ht="12.75" customHeight="1">
      <c r="A303" s="187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</row>
    <row r="304" ht="12.75" customHeight="1">
      <c r="A304" s="187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</row>
    <row r="305" ht="12.75" customHeight="1">
      <c r="A305" s="187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</row>
    <row r="306" ht="12.75" customHeight="1">
      <c r="A306" s="187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</row>
    <row r="307" ht="12.75" customHeight="1">
      <c r="A307" s="187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</row>
    <row r="308" ht="12.75" customHeight="1">
      <c r="A308" s="187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</row>
    <row r="309" ht="12.75" customHeight="1">
      <c r="A309" s="187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</row>
    <row r="310" ht="12.75" customHeight="1">
      <c r="A310" s="187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</row>
    <row r="311" ht="12.75" customHeight="1">
      <c r="A311" s="187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</row>
    <row r="312" ht="12.75" customHeight="1">
      <c r="A312" s="187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</row>
    <row r="313" ht="12.75" customHeight="1">
      <c r="A313" s="187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</row>
    <row r="314" ht="12.75" customHeight="1">
      <c r="A314" s="187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</row>
    <row r="315" ht="12.75" customHeight="1">
      <c r="A315" s="187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</row>
    <row r="316" ht="12.75" customHeight="1">
      <c r="A316" s="187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</row>
    <row r="317" ht="12.75" customHeight="1">
      <c r="A317" s="187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</row>
    <row r="318" ht="12.75" customHeight="1">
      <c r="A318" s="187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</row>
    <row r="319" ht="12.75" customHeight="1">
      <c r="A319" s="187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</row>
    <row r="320" ht="12.75" customHeight="1">
      <c r="A320" s="187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</row>
    <row r="321" ht="12.75" customHeight="1">
      <c r="A321" s="187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</row>
    <row r="322" ht="12.75" customHeight="1">
      <c r="A322" s="187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</row>
    <row r="323" ht="12.75" customHeight="1">
      <c r="A323" s="187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</row>
    <row r="324" ht="12.75" customHeight="1">
      <c r="A324" s="187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</row>
    <row r="325" ht="12.75" customHeight="1">
      <c r="A325" s="187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</row>
    <row r="326" ht="12.75" customHeight="1">
      <c r="A326" s="187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</row>
    <row r="327" ht="12.75" customHeight="1">
      <c r="A327" s="187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</row>
    <row r="328" ht="12.75" customHeight="1">
      <c r="A328" s="187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</row>
    <row r="329" ht="12.75" customHeight="1">
      <c r="A329" s="187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</row>
    <row r="330" ht="12.75" customHeight="1">
      <c r="A330" s="187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</row>
    <row r="331" ht="12.75" customHeight="1">
      <c r="A331" s="187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</row>
    <row r="332" ht="12.75" customHeight="1">
      <c r="A332" s="187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</row>
    <row r="333" ht="12.75" customHeight="1">
      <c r="A333" s="187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</row>
    <row r="334" ht="12.75" customHeight="1">
      <c r="A334" s="187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</row>
    <row r="335" ht="12.75" customHeight="1">
      <c r="A335" s="187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</row>
    <row r="336" ht="12.75" customHeight="1">
      <c r="A336" s="187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</row>
    <row r="337" ht="12.75" customHeight="1">
      <c r="A337" s="187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</row>
    <row r="338" ht="12.75" customHeight="1">
      <c r="A338" s="187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</row>
    <row r="339" ht="12.75" customHeight="1">
      <c r="A339" s="187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</row>
    <row r="340" ht="12.75" customHeight="1">
      <c r="A340" s="187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</row>
    <row r="341" ht="12.75" customHeight="1">
      <c r="A341" s="187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</row>
    <row r="342" ht="12.75" customHeight="1">
      <c r="A342" s="187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</row>
    <row r="343" ht="12.75" customHeight="1">
      <c r="A343" s="187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</row>
    <row r="344" ht="12.75" customHeight="1">
      <c r="A344" s="187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</row>
    <row r="345" ht="12.75" customHeight="1">
      <c r="A345" s="187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</row>
    <row r="346" ht="12.75" customHeight="1">
      <c r="A346" s="187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</row>
    <row r="347" ht="12.75" customHeight="1">
      <c r="A347" s="187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</row>
    <row r="348" ht="12.75" customHeight="1">
      <c r="A348" s="187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</row>
    <row r="349" ht="12.75" customHeight="1">
      <c r="A349" s="187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</row>
    <row r="350" ht="12.75" customHeight="1">
      <c r="A350" s="187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</row>
    <row r="351" ht="12.75" customHeight="1">
      <c r="A351" s="187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</row>
    <row r="352" ht="12.75" customHeight="1">
      <c r="A352" s="187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</row>
    <row r="353" ht="12.75" customHeight="1">
      <c r="A353" s="187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</row>
    <row r="354" ht="12.75" customHeight="1">
      <c r="A354" s="187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</row>
    <row r="355" ht="12.75" customHeight="1">
      <c r="A355" s="187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</row>
    <row r="356" ht="12.75" customHeight="1">
      <c r="A356" s="187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</row>
    <row r="357" ht="12.75" customHeight="1">
      <c r="A357" s="187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</row>
    <row r="358" ht="12.75" customHeight="1">
      <c r="A358" s="187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</row>
    <row r="359" ht="12.75" customHeight="1">
      <c r="A359" s="187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</row>
    <row r="360" ht="12.75" customHeight="1">
      <c r="A360" s="187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</row>
    <row r="361" ht="12.75" customHeight="1">
      <c r="A361" s="187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</row>
    <row r="362" ht="12.75" customHeight="1">
      <c r="A362" s="187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</row>
    <row r="363" ht="12.75" customHeight="1">
      <c r="A363" s="187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</row>
    <row r="364" ht="12.75" customHeight="1">
      <c r="A364" s="187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</row>
    <row r="365" ht="12.75" customHeight="1">
      <c r="A365" s="187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</row>
    <row r="366" ht="12.75" customHeight="1">
      <c r="A366" s="187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</row>
    <row r="367" ht="12.75" customHeight="1">
      <c r="A367" s="187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</row>
    <row r="368" ht="12.75" customHeight="1">
      <c r="A368" s="187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</row>
    <row r="369" ht="12.75" customHeight="1">
      <c r="A369" s="187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</row>
    <row r="370" ht="12.75" customHeight="1">
      <c r="A370" s="187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</row>
    <row r="371" ht="12.75" customHeight="1">
      <c r="A371" s="187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</row>
    <row r="372" ht="12.75" customHeight="1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</row>
    <row r="373" ht="12.75" customHeight="1">
      <c r="A373" s="187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</row>
    <row r="374" ht="12.75" customHeight="1">
      <c r="A374" s="187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</row>
    <row r="375" ht="12.75" customHeight="1">
      <c r="A375" s="187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</row>
    <row r="376" ht="12.75" customHeight="1">
      <c r="A376" s="187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</row>
    <row r="377" ht="12.75" customHeight="1">
      <c r="A377" s="187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</row>
    <row r="378" ht="12.75" customHeight="1">
      <c r="A378" s="187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</row>
    <row r="379" ht="12.75" customHeight="1">
      <c r="A379" s="187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</row>
    <row r="380" ht="12.75" customHeight="1">
      <c r="A380" s="187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</row>
    <row r="381" ht="12.75" customHeight="1">
      <c r="A381" s="187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</row>
    <row r="382" ht="12.75" customHeight="1">
      <c r="A382" s="187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</row>
    <row r="383" ht="12.75" customHeight="1">
      <c r="A383" s="187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</row>
    <row r="384" ht="12.75" customHeight="1">
      <c r="A384" s="187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</row>
    <row r="385" ht="12.75" customHeight="1">
      <c r="A385" s="187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</row>
    <row r="386" ht="12.75" customHeight="1">
      <c r="A386" s="187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</row>
    <row r="387" ht="12.75" customHeight="1">
      <c r="A387" s="187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</row>
    <row r="388" ht="12.75" customHeight="1">
      <c r="A388" s="187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</row>
    <row r="389" ht="12.75" customHeight="1">
      <c r="A389" s="187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</row>
    <row r="390" ht="12.75" customHeight="1">
      <c r="A390" s="187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</row>
    <row r="391" ht="12.75" customHeight="1">
      <c r="A391" s="187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</row>
    <row r="392" ht="12.75" customHeight="1">
      <c r="A392" s="187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</row>
    <row r="393" ht="12.75" customHeight="1">
      <c r="A393" s="187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</row>
    <row r="394" ht="12.75" customHeight="1">
      <c r="A394" s="187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</row>
    <row r="395" ht="12.75" customHeight="1">
      <c r="A395" s="187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</row>
    <row r="396" ht="12.75" customHeight="1">
      <c r="A396" s="187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</row>
    <row r="397" ht="12.75" customHeight="1">
      <c r="A397" s="187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</row>
    <row r="398" ht="12.75" customHeight="1">
      <c r="A398" s="187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</row>
    <row r="399" ht="12.75" customHeight="1">
      <c r="A399" s="187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</row>
    <row r="400" ht="12.75" customHeight="1">
      <c r="A400" s="187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</row>
    <row r="401" ht="12.75" customHeight="1">
      <c r="A401" s="187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</row>
    <row r="402" ht="12.75" customHeight="1">
      <c r="A402" s="187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</row>
    <row r="403" ht="12.75" customHeight="1">
      <c r="A403" s="187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</row>
    <row r="404" ht="12.75" customHeight="1">
      <c r="A404" s="187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</row>
    <row r="405" ht="12.75" customHeight="1">
      <c r="A405" s="187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</row>
    <row r="406" ht="12.75" customHeight="1">
      <c r="A406" s="187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</row>
    <row r="407" ht="12.75" customHeight="1">
      <c r="A407" s="187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</row>
    <row r="408" ht="12.75" customHeight="1">
      <c r="A408" s="187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</row>
    <row r="409" ht="12.75" customHeight="1">
      <c r="A409" s="187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</row>
    <row r="410" ht="12.75" customHeight="1">
      <c r="A410" s="187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</row>
    <row r="411" ht="12.75" customHeight="1">
      <c r="A411" s="187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</row>
    <row r="412" ht="12.75" customHeight="1">
      <c r="A412" s="187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</row>
    <row r="413" ht="12.75" customHeight="1">
      <c r="A413" s="187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</row>
    <row r="414" ht="12.75" customHeight="1">
      <c r="A414" s="187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</row>
    <row r="415" ht="12.75" customHeight="1">
      <c r="A415" s="187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</row>
    <row r="416" ht="12.75" customHeight="1">
      <c r="A416" s="187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</row>
    <row r="417" ht="12.75" customHeight="1">
      <c r="A417" s="187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</row>
    <row r="418" ht="12.75" customHeight="1">
      <c r="A418" s="187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</row>
    <row r="419" ht="12.75" customHeight="1">
      <c r="A419" s="187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</row>
    <row r="420" ht="12.75" customHeight="1">
      <c r="A420" s="187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</row>
    <row r="421" ht="12.75" customHeight="1">
      <c r="A421" s="187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</row>
    <row r="422" ht="12.75" customHeight="1">
      <c r="A422" s="187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</row>
    <row r="423" ht="12.75" customHeight="1">
      <c r="A423" s="187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</row>
    <row r="424" ht="12.75" customHeight="1">
      <c r="A424" s="187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</row>
    <row r="425" ht="12.75" customHeight="1">
      <c r="A425" s="187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</row>
    <row r="426" ht="12.75" customHeight="1">
      <c r="A426" s="187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</row>
    <row r="427" ht="12.75" customHeight="1">
      <c r="A427" s="187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</row>
    <row r="428" ht="12.75" customHeight="1">
      <c r="A428" s="187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</row>
    <row r="429" ht="12.75" customHeight="1">
      <c r="A429" s="187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</row>
    <row r="430" ht="12.75" customHeight="1">
      <c r="A430" s="187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</row>
    <row r="431" ht="12.75" customHeight="1">
      <c r="A431" s="187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</row>
    <row r="432" ht="12.75" customHeight="1">
      <c r="A432" s="187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</row>
    <row r="433" ht="12.75" customHeight="1">
      <c r="A433" s="187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</row>
    <row r="434" ht="12.75" customHeight="1">
      <c r="A434" s="187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</row>
    <row r="435" ht="12.75" customHeight="1">
      <c r="A435" s="187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</row>
    <row r="436" ht="12.75" customHeight="1">
      <c r="A436" s="187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</row>
    <row r="437" ht="12.75" customHeight="1">
      <c r="A437" s="187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</row>
    <row r="438" ht="12.75" customHeight="1">
      <c r="A438" s="187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</row>
    <row r="439" ht="12.75" customHeight="1">
      <c r="A439" s="187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</row>
    <row r="440" ht="12.75" customHeight="1">
      <c r="A440" s="187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</row>
    <row r="441" ht="12.75" customHeight="1">
      <c r="A441" s="187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</row>
    <row r="442" ht="12.75" customHeight="1">
      <c r="A442" s="187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</row>
    <row r="443" ht="12.75" customHeight="1">
      <c r="A443" s="187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</row>
    <row r="444" ht="12.75" customHeight="1">
      <c r="A444" s="187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</row>
    <row r="445" ht="12.75" customHeight="1">
      <c r="A445" s="187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</row>
    <row r="446" ht="12.75" customHeight="1">
      <c r="A446" s="187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</row>
    <row r="447" ht="12.75" customHeight="1">
      <c r="A447" s="187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</row>
    <row r="448" ht="12.75" customHeight="1">
      <c r="A448" s="187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</row>
    <row r="449" ht="12.75" customHeight="1">
      <c r="A449" s="187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</row>
    <row r="450" ht="12.75" customHeight="1">
      <c r="A450" s="187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</row>
    <row r="451" ht="12.75" customHeight="1">
      <c r="A451" s="187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</row>
    <row r="452" ht="12.75" customHeight="1">
      <c r="A452" s="187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</row>
    <row r="453" ht="12.75" customHeight="1">
      <c r="A453" s="187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</row>
    <row r="454" ht="12.75" customHeight="1">
      <c r="A454" s="187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</row>
    <row r="455" ht="12.75" customHeight="1">
      <c r="A455" s="187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</row>
    <row r="456" ht="12.75" customHeight="1">
      <c r="A456" s="187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</row>
    <row r="457" ht="12.75" customHeight="1">
      <c r="A457" s="187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</row>
    <row r="458" ht="12.75" customHeight="1">
      <c r="A458" s="187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</row>
    <row r="459" ht="12.75" customHeight="1">
      <c r="A459" s="187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</row>
    <row r="460" ht="12.75" customHeight="1">
      <c r="A460" s="187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</row>
    <row r="461" ht="12.75" customHeight="1">
      <c r="A461" s="187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</row>
    <row r="462" ht="12.75" customHeight="1">
      <c r="A462" s="187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</row>
    <row r="463" ht="12.75" customHeight="1">
      <c r="A463" s="187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</row>
    <row r="464" ht="12.75" customHeight="1">
      <c r="A464" s="187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</row>
    <row r="465" ht="12.75" customHeight="1">
      <c r="A465" s="187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</row>
    <row r="466" ht="12.75" customHeight="1">
      <c r="A466" s="187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</row>
    <row r="467" ht="12.75" customHeight="1">
      <c r="A467" s="187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</row>
    <row r="468" ht="12.75" customHeight="1">
      <c r="A468" s="187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</row>
    <row r="469" ht="12.75" customHeight="1">
      <c r="A469" s="187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</row>
    <row r="470" ht="12.75" customHeight="1">
      <c r="A470" s="187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</row>
    <row r="471" ht="12.75" customHeight="1">
      <c r="A471" s="187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</row>
    <row r="472" ht="12.75" customHeight="1">
      <c r="A472" s="187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</row>
    <row r="473" ht="12.75" customHeight="1">
      <c r="A473" s="187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</row>
    <row r="474" ht="12.75" customHeight="1">
      <c r="A474" s="187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</row>
    <row r="475" ht="12.75" customHeight="1">
      <c r="A475" s="187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</row>
    <row r="476" ht="12.75" customHeight="1">
      <c r="A476" s="187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</row>
    <row r="477" ht="12.75" customHeight="1">
      <c r="A477" s="187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</row>
    <row r="478" ht="12.75" customHeight="1">
      <c r="A478" s="187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</row>
    <row r="479" ht="12.75" customHeight="1">
      <c r="A479" s="187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</row>
    <row r="480" ht="12.75" customHeight="1">
      <c r="A480" s="187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</row>
    <row r="481" ht="12.75" customHeight="1">
      <c r="A481" s="187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</row>
    <row r="482" ht="12.75" customHeight="1">
      <c r="A482" s="187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</row>
    <row r="483" ht="12.75" customHeight="1">
      <c r="A483" s="187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</row>
    <row r="484" ht="12.75" customHeight="1">
      <c r="A484" s="187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</row>
    <row r="485" ht="12.75" customHeight="1">
      <c r="A485" s="187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</row>
    <row r="486" ht="12.75" customHeight="1">
      <c r="A486" s="187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</row>
    <row r="487" ht="12.75" customHeight="1">
      <c r="A487" s="187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</row>
    <row r="488" ht="12.75" customHeight="1">
      <c r="A488" s="187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</row>
    <row r="489" ht="12.75" customHeight="1">
      <c r="A489" s="187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</row>
    <row r="490" ht="12.75" customHeight="1">
      <c r="A490" s="187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</row>
    <row r="491" ht="12.75" customHeight="1">
      <c r="A491" s="187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</row>
    <row r="492" ht="12.75" customHeight="1">
      <c r="A492" s="187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</row>
    <row r="493" ht="12.75" customHeight="1">
      <c r="A493" s="187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</row>
    <row r="494" ht="12.75" customHeight="1">
      <c r="A494" s="187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</row>
    <row r="495" ht="12.75" customHeight="1">
      <c r="A495" s="187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</row>
    <row r="496" ht="12.75" customHeight="1">
      <c r="A496" s="187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</row>
    <row r="497" ht="12.75" customHeight="1">
      <c r="A497" s="187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</row>
    <row r="498" ht="12.75" customHeight="1">
      <c r="A498" s="187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</row>
    <row r="499" ht="12.75" customHeight="1">
      <c r="A499" s="187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</row>
    <row r="500" ht="12.75" customHeight="1">
      <c r="A500" s="187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</row>
    <row r="501" ht="12.75" customHeight="1">
      <c r="A501" s="187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</row>
    <row r="502" ht="12.75" customHeight="1">
      <c r="A502" s="187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</row>
    <row r="503" ht="12.75" customHeight="1">
      <c r="A503" s="187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</row>
    <row r="504" ht="12.75" customHeight="1">
      <c r="A504" s="187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</row>
    <row r="505" ht="12.75" customHeight="1">
      <c r="A505" s="187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</row>
    <row r="506" ht="12.75" customHeight="1">
      <c r="A506" s="187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</row>
    <row r="507" ht="12.75" customHeight="1">
      <c r="A507" s="187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</row>
    <row r="508" ht="12.75" customHeight="1">
      <c r="A508" s="187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</row>
    <row r="509" ht="12.75" customHeight="1">
      <c r="A509" s="187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</row>
    <row r="510" ht="12.75" customHeight="1">
      <c r="A510" s="187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</row>
    <row r="511" ht="12.75" customHeight="1">
      <c r="A511" s="187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</row>
    <row r="512" ht="12.75" customHeight="1">
      <c r="A512" s="187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</row>
    <row r="513" ht="12.75" customHeight="1">
      <c r="A513" s="187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</row>
    <row r="514" ht="12.75" customHeight="1">
      <c r="A514" s="187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</row>
    <row r="515" ht="12.75" customHeight="1">
      <c r="A515" s="187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</row>
    <row r="516" ht="12.75" customHeight="1">
      <c r="A516" s="187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</row>
    <row r="517" ht="12.75" customHeight="1">
      <c r="A517" s="187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</row>
    <row r="518" ht="12.75" customHeight="1">
      <c r="A518" s="187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</row>
    <row r="519" ht="12.75" customHeight="1">
      <c r="A519" s="187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</row>
    <row r="520" ht="12.75" customHeight="1">
      <c r="A520" s="187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</row>
    <row r="521" ht="12.75" customHeight="1">
      <c r="A521" s="187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</row>
    <row r="522" ht="12.75" customHeight="1">
      <c r="A522" s="187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</row>
    <row r="523" ht="12.75" customHeight="1">
      <c r="A523" s="187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</row>
    <row r="524" ht="12.75" customHeight="1">
      <c r="A524" s="187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</row>
    <row r="525" ht="12.75" customHeight="1">
      <c r="A525" s="187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</row>
    <row r="526" ht="12.75" customHeight="1">
      <c r="A526" s="187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</row>
    <row r="527" ht="12.75" customHeight="1">
      <c r="A527" s="187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</row>
    <row r="528" ht="12.75" customHeight="1">
      <c r="A528" s="187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</row>
    <row r="529" ht="12.75" customHeight="1">
      <c r="A529" s="187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</row>
    <row r="530" ht="12.75" customHeight="1">
      <c r="A530" s="187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</row>
    <row r="531" ht="12.75" customHeight="1">
      <c r="A531" s="187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</row>
    <row r="532" ht="12.75" customHeight="1">
      <c r="A532" s="187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</row>
    <row r="533" ht="12.75" customHeight="1">
      <c r="A533" s="187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</row>
    <row r="534" ht="12.75" customHeight="1">
      <c r="A534" s="187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</row>
    <row r="535" ht="12.75" customHeight="1">
      <c r="A535" s="187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</row>
    <row r="536" ht="12.75" customHeight="1">
      <c r="A536" s="187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</row>
    <row r="537" ht="12.75" customHeight="1">
      <c r="A537" s="187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</row>
    <row r="538" ht="12.75" customHeight="1">
      <c r="A538" s="187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</row>
    <row r="539" ht="12.75" customHeight="1">
      <c r="A539" s="187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</row>
    <row r="540" ht="12.75" customHeight="1">
      <c r="A540" s="187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</row>
    <row r="541" ht="12.75" customHeight="1">
      <c r="A541" s="187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</row>
    <row r="542" ht="12.75" customHeight="1">
      <c r="A542" s="187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</row>
    <row r="543" ht="12.75" customHeight="1">
      <c r="A543" s="187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</row>
    <row r="544" ht="12.75" customHeight="1">
      <c r="A544" s="187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</row>
    <row r="545" ht="12.75" customHeight="1">
      <c r="A545" s="187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</row>
    <row r="546" ht="12.75" customHeight="1">
      <c r="A546" s="187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</row>
    <row r="547" ht="12.75" customHeight="1">
      <c r="A547" s="187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</row>
    <row r="548" ht="12.75" customHeight="1">
      <c r="A548" s="187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</row>
    <row r="549" ht="12.75" customHeight="1">
      <c r="A549" s="187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</row>
    <row r="550" ht="12.75" customHeight="1">
      <c r="A550" s="187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</row>
    <row r="551" ht="12.75" customHeight="1">
      <c r="A551" s="187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</row>
    <row r="552" ht="12.75" customHeight="1">
      <c r="A552" s="187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</row>
    <row r="553" ht="12.75" customHeight="1">
      <c r="A553" s="187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</row>
    <row r="554" ht="12.75" customHeight="1">
      <c r="A554" s="187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</row>
    <row r="555" ht="12.75" customHeight="1">
      <c r="A555" s="187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</row>
    <row r="556" ht="12.75" customHeight="1">
      <c r="A556" s="187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</row>
    <row r="557" ht="12.75" customHeight="1">
      <c r="A557" s="187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</row>
    <row r="558" ht="12.75" customHeight="1">
      <c r="A558" s="187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</row>
    <row r="559" ht="12.75" customHeight="1">
      <c r="A559" s="187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</row>
    <row r="560" ht="12.75" customHeight="1">
      <c r="A560" s="187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</row>
    <row r="561" ht="12.75" customHeight="1">
      <c r="A561" s="187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</row>
    <row r="562" ht="12.75" customHeight="1">
      <c r="A562" s="187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</row>
    <row r="563" ht="12.75" customHeight="1">
      <c r="A563" s="187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</row>
    <row r="564" ht="12.75" customHeight="1">
      <c r="A564" s="187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</row>
    <row r="565" ht="12.75" customHeight="1">
      <c r="A565" s="187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</row>
    <row r="566" ht="12.75" customHeight="1">
      <c r="A566" s="187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</row>
    <row r="567" ht="12.75" customHeight="1">
      <c r="A567" s="187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</row>
    <row r="568" ht="12.75" customHeight="1">
      <c r="A568" s="187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</row>
    <row r="569" ht="12.75" customHeight="1">
      <c r="A569" s="187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</row>
    <row r="570" ht="12.75" customHeight="1">
      <c r="A570" s="187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</row>
    <row r="571" ht="12.75" customHeight="1">
      <c r="A571" s="187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</row>
    <row r="572" ht="12.75" customHeight="1">
      <c r="A572" s="187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</row>
    <row r="573" ht="12.75" customHeight="1">
      <c r="A573" s="187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</row>
    <row r="574" ht="12.75" customHeight="1">
      <c r="A574" s="187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</row>
    <row r="575" ht="12.75" customHeight="1">
      <c r="A575" s="187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</row>
    <row r="576" ht="12.75" customHeight="1">
      <c r="A576" s="187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</row>
    <row r="577" ht="12.75" customHeight="1">
      <c r="A577" s="187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</row>
    <row r="578" ht="12.75" customHeight="1">
      <c r="A578" s="187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</row>
    <row r="579" ht="12.75" customHeight="1">
      <c r="A579" s="187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</row>
    <row r="580" ht="12.75" customHeight="1">
      <c r="A580" s="187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</row>
    <row r="581" ht="12.75" customHeight="1">
      <c r="A581" s="187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</row>
    <row r="582" ht="12.75" customHeight="1">
      <c r="A582" s="187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</row>
    <row r="583" ht="12.75" customHeight="1">
      <c r="A583" s="187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</row>
    <row r="584" ht="12.75" customHeight="1">
      <c r="A584" s="187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</row>
    <row r="585" ht="12.75" customHeight="1">
      <c r="A585" s="187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</row>
    <row r="586" ht="12.75" customHeight="1">
      <c r="A586" s="187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</row>
    <row r="587" ht="12.75" customHeight="1">
      <c r="A587" s="187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</row>
    <row r="588" ht="12.75" customHeight="1">
      <c r="A588" s="187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</row>
    <row r="589" ht="12.75" customHeight="1">
      <c r="A589" s="187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</row>
    <row r="590" ht="12.75" customHeight="1">
      <c r="A590" s="187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</row>
    <row r="591" ht="12.75" customHeight="1">
      <c r="A591" s="187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</row>
    <row r="592" ht="12.75" customHeight="1">
      <c r="A592" s="187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</row>
    <row r="593" ht="12.75" customHeight="1">
      <c r="A593" s="187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</row>
    <row r="594" ht="12.75" customHeight="1">
      <c r="A594" s="187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</row>
    <row r="595" ht="12.75" customHeight="1">
      <c r="A595" s="187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</row>
    <row r="596" ht="12.75" customHeight="1">
      <c r="A596" s="187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</row>
    <row r="597" ht="12.75" customHeight="1">
      <c r="A597" s="187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</row>
    <row r="598" ht="12.75" customHeight="1">
      <c r="A598" s="187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</row>
    <row r="599" ht="12.75" customHeight="1">
      <c r="A599" s="187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</row>
    <row r="600" ht="12.75" customHeight="1">
      <c r="A600" s="187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</row>
    <row r="601" ht="12.75" customHeight="1">
      <c r="A601" s="187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</row>
    <row r="602" ht="12.75" customHeight="1">
      <c r="A602" s="187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</row>
    <row r="603" ht="12.75" customHeight="1">
      <c r="A603" s="187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</row>
    <row r="604" ht="12.75" customHeight="1">
      <c r="A604" s="187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</row>
    <row r="605" ht="12.75" customHeight="1">
      <c r="A605" s="187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</row>
    <row r="606" ht="12.75" customHeight="1">
      <c r="A606" s="187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</row>
    <row r="607" ht="12.75" customHeight="1">
      <c r="A607" s="187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</row>
    <row r="608" ht="12.75" customHeight="1">
      <c r="A608" s="187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</row>
    <row r="609" ht="12.75" customHeight="1">
      <c r="A609" s="187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</row>
    <row r="610" ht="12.75" customHeight="1">
      <c r="A610" s="187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</row>
    <row r="611" ht="12.75" customHeight="1">
      <c r="A611" s="187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</row>
    <row r="612" ht="12.75" customHeight="1">
      <c r="A612" s="187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</row>
    <row r="613" ht="12.75" customHeight="1">
      <c r="A613" s="187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</row>
    <row r="614" ht="12.75" customHeight="1">
      <c r="A614" s="187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</row>
    <row r="615" ht="12.75" customHeight="1">
      <c r="A615" s="187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</row>
    <row r="616" ht="12.75" customHeight="1">
      <c r="A616" s="187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</row>
    <row r="617" ht="12.75" customHeight="1">
      <c r="A617" s="187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</row>
    <row r="618" ht="12.75" customHeight="1">
      <c r="A618" s="187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</row>
    <row r="619" ht="12.75" customHeight="1">
      <c r="A619" s="187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</row>
    <row r="620" ht="12.75" customHeight="1">
      <c r="A620" s="187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</row>
    <row r="621" ht="12.75" customHeight="1">
      <c r="A621" s="187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</row>
    <row r="622" ht="12.75" customHeight="1">
      <c r="A622" s="187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</row>
    <row r="623" ht="12.75" customHeight="1">
      <c r="A623" s="187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</row>
    <row r="624" ht="12.75" customHeight="1">
      <c r="A624" s="187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</row>
    <row r="625" ht="12.75" customHeight="1">
      <c r="A625" s="187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</row>
    <row r="626" ht="12.75" customHeight="1">
      <c r="A626" s="187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</row>
    <row r="627" ht="12.75" customHeight="1">
      <c r="A627" s="187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</row>
    <row r="628" ht="12.75" customHeight="1">
      <c r="A628" s="187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</row>
    <row r="629" ht="12.75" customHeight="1">
      <c r="A629" s="187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</row>
    <row r="630" ht="12.75" customHeight="1">
      <c r="A630" s="187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</row>
    <row r="631" ht="12.75" customHeight="1">
      <c r="A631" s="187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</row>
    <row r="632" ht="12.75" customHeight="1">
      <c r="A632" s="187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</row>
    <row r="633" ht="12.75" customHeight="1">
      <c r="A633" s="187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</row>
    <row r="634" ht="12.75" customHeight="1">
      <c r="A634" s="187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</row>
    <row r="635" ht="12.75" customHeight="1">
      <c r="A635" s="187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</row>
    <row r="636" ht="12.75" customHeight="1">
      <c r="A636" s="187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</row>
    <row r="637" ht="12.75" customHeight="1">
      <c r="A637" s="187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</row>
    <row r="638" ht="12.75" customHeight="1">
      <c r="A638" s="187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</row>
    <row r="639" ht="12.75" customHeight="1">
      <c r="A639" s="187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</row>
    <row r="640" ht="12.75" customHeight="1">
      <c r="A640" s="187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</row>
    <row r="641" ht="12.75" customHeight="1">
      <c r="A641" s="187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</row>
    <row r="642" ht="12.75" customHeight="1">
      <c r="A642" s="187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</row>
    <row r="643" ht="12.75" customHeight="1">
      <c r="A643" s="187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</row>
    <row r="644" ht="12.75" customHeight="1">
      <c r="A644" s="187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</row>
    <row r="645" ht="12.75" customHeight="1">
      <c r="A645" s="187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</row>
    <row r="646" ht="12.75" customHeight="1">
      <c r="A646" s="187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</row>
    <row r="647" ht="12.75" customHeight="1">
      <c r="A647" s="187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</row>
    <row r="648" ht="12.75" customHeight="1">
      <c r="A648" s="187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</row>
    <row r="649" ht="12.75" customHeight="1">
      <c r="A649" s="187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</row>
    <row r="650" ht="12.75" customHeight="1">
      <c r="A650" s="187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</row>
    <row r="651" ht="12.75" customHeight="1">
      <c r="A651" s="187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</row>
    <row r="652" ht="12.75" customHeight="1">
      <c r="A652" s="187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</row>
    <row r="653" ht="12.75" customHeight="1">
      <c r="A653" s="187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</row>
    <row r="654" ht="12.75" customHeight="1">
      <c r="A654" s="187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</row>
    <row r="655" ht="12.75" customHeight="1">
      <c r="A655" s="187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</row>
    <row r="656" ht="12.75" customHeight="1">
      <c r="A656" s="187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</row>
    <row r="657" ht="12.75" customHeight="1">
      <c r="A657" s="187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</row>
    <row r="658" ht="12.75" customHeight="1">
      <c r="A658" s="187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</row>
    <row r="659" ht="12.75" customHeight="1">
      <c r="A659" s="187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</row>
    <row r="660" ht="12.75" customHeight="1">
      <c r="A660" s="187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</row>
    <row r="661" ht="12.75" customHeight="1">
      <c r="A661" s="187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</row>
    <row r="662" ht="12.75" customHeight="1">
      <c r="A662" s="187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</row>
    <row r="663" ht="12.75" customHeight="1">
      <c r="A663" s="187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</row>
    <row r="664" ht="12.75" customHeight="1">
      <c r="A664" s="187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</row>
    <row r="665" ht="12.75" customHeight="1">
      <c r="A665" s="187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</row>
    <row r="666" ht="12.75" customHeight="1">
      <c r="A666" s="187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</row>
    <row r="667" ht="12.75" customHeight="1">
      <c r="A667" s="187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</row>
    <row r="668" ht="12.75" customHeight="1">
      <c r="A668" s="187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</row>
    <row r="669" ht="12.75" customHeight="1">
      <c r="A669" s="187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</row>
    <row r="670" ht="12.75" customHeight="1">
      <c r="A670" s="187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</row>
    <row r="671" ht="12.75" customHeight="1">
      <c r="A671" s="187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</row>
    <row r="672" ht="12.75" customHeight="1">
      <c r="A672" s="187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</row>
    <row r="673" ht="12.75" customHeight="1">
      <c r="A673" s="187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</row>
    <row r="674" ht="12.75" customHeight="1">
      <c r="A674" s="187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</row>
    <row r="675" ht="12.75" customHeight="1">
      <c r="A675" s="187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</row>
    <row r="676" ht="12.75" customHeight="1">
      <c r="A676" s="187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</row>
    <row r="677" ht="12.75" customHeight="1">
      <c r="A677" s="187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</row>
    <row r="678" ht="12.75" customHeight="1">
      <c r="A678" s="187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</row>
    <row r="679" ht="12.75" customHeight="1">
      <c r="A679" s="187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</row>
    <row r="680" ht="12.75" customHeight="1">
      <c r="A680" s="187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</row>
    <row r="681" ht="12.75" customHeight="1">
      <c r="A681" s="187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</row>
    <row r="682" ht="12.75" customHeight="1">
      <c r="A682" s="187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</row>
    <row r="683" ht="12.75" customHeight="1">
      <c r="A683" s="187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</row>
    <row r="684" ht="12.75" customHeight="1">
      <c r="A684" s="187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</row>
    <row r="685" ht="12.75" customHeight="1">
      <c r="A685" s="187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</row>
    <row r="686" ht="12.75" customHeight="1">
      <c r="A686" s="187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</row>
    <row r="687" ht="12.75" customHeight="1">
      <c r="A687" s="187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</row>
    <row r="688" ht="12.75" customHeight="1">
      <c r="A688" s="187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</row>
    <row r="689" ht="12.75" customHeight="1">
      <c r="A689" s="187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</row>
    <row r="690" ht="12.75" customHeight="1">
      <c r="A690" s="187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</row>
    <row r="691" ht="12.75" customHeight="1">
      <c r="A691" s="187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</row>
    <row r="692" ht="12.75" customHeight="1">
      <c r="A692" s="187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</row>
    <row r="693" ht="12.75" customHeight="1">
      <c r="A693" s="187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</row>
    <row r="694" ht="12.75" customHeight="1">
      <c r="A694" s="187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</row>
    <row r="695" ht="12.75" customHeight="1">
      <c r="A695" s="187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</row>
    <row r="696" ht="12.75" customHeight="1">
      <c r="A696" s="187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</row>
    <row r="697" ht="12.75" customHeight="1">
      <c r="A697" s="187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</row>
    <row r="698" ht="12.75" customHeight="1">
      <c r="A698" s="187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</row>
    <row r="699" ht="12.75" customHeight="1">
      <c r="A699" s="187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</row>
    <row r="700" ht="12.75" customHeight="1">
      <c r="A700" s="187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</row>
    <row r="701" ht="12.75" customHeight="1">
      <c r="A701" s="187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</row>
    <row r="702" ht="12.75" customHeight="1">
      <c r="A702" s="187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</row>
    <row r="703" ht="12.75" customHeight="1">
      <c r="A703" s="187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</row>
    <row r="704" ht="12.75" customHeight="1">
      <c r="A704" s="187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</row>
    <row r="705" ht="12.75" customHeight="1">
      <c r="A705" s="187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</row>
    <row r="706" ht="12.75" customHeight="1">
      <c r="A706" s="187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</row>
    <row r="707" ht="12.75" customHeight="1">
      <c r="A707" s="187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</row>
    <row r="708" ht="12.75" customHeight="1">
      <c r="A708" s="187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</row>
    <row r="709" ht="12.75" customHeight="1">
      <c r="A709" s="187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</row>
    <row r="710" ht="12.75" customHeight="1">
      <c r="A710" s="187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</row>
    <row r="711" ht="12.75" customHeight="1">
      <c r="A711" s="187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</row>
    <row r="712" ht="12.75" customHeight="1">
      <c r="A712" s="187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</row>
    <row r="713" ht="12.75" customHeight="1">
      <c r="A713" s="187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</row>
    <row r="714" ht="12.75" customHeight="1">
      <c r="A714" s="187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</row>
    <row r="715" ht="12.75" customHeight="1">
      <c r="A715" s="187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</row>
    <row r="716" ht="12.75" customHeight="1">
      <c r="A716" s="187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</row>
    <row r="717" ht="12.75" customHeight="1">
      <c r="A717" s="187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</row>
    <row r="718" ht="12.75" customHeight="1">
      <c r="A718" s="187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</row>
    <row r="719" ht="12.75" customHeight="1">
      <c r="A719" s="187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</row>
    <row r="720" ht="12.75" customHeight="1">
      <c r="A720" s="187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</row>
    <row r="721" ht="12.75" customHeight="1">
      <c r="A721" s="187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</row>
    <row r="722" ht="12.75" customHeight="1">
      <c r="A722" s="187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</row>
    <row r="723" ht="12.75" customHeight="1">
      <c r="A723" s="187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</row>
    <row r="724" ht="12.75" customHeight="1">
      <c r="A724" s="187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</row>
    <row r="725" ht="12.75" customHeight="1">
      <c r="A725" s="187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</row>
    <row r="726" ht="12.75" customHeight="1">
      <c r="A726" s="187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</row>
    <row r="727" ht="12.75" customHeight="1">
      <c r="A727" s="187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</row>
    <row r="728" ht="12.75" customHeight="1">
      <c r="A728" s="187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</row>
    <row r="729" ht="12.75" customHeight="1">
      <c r="A729" s="187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</row>
    <row r="730" ht="12.75" customHeight="1">
      <c r="A730" s="187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</row>
    <row r="731" ht="12.75" customHeight="1">
      <c r="A731" s="187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</row>
    <row r="732" ht="12.75" customHeight="1">
      <c r="A732" s="187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</row>
    <row r="733" ht="12.75" customHeight="1">
      <c r="A733" s="187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</row>
    <row r="734" ht="12.75" customHeight="1">
      <c r="A734" s="187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</row>
    <row r="735" ht="12.75" customHeight="1">
      <c r="A735" s="187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</row>
    <row r="736" ht="12.75" customHeight="1">
      <c r="A736" s="187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</row>
    <row r="737" ht="12.75" customHeight="1">
      <c r="A737" s="187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</row>
    <row r="738" ht="12.75" customHeight="1">
      <c r="A738" s="187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</row>
    <row r="739" ht="12.75" customHeight="1">
      <c r="A739" s="187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</row>
    <row r="740" ht="12.75" customHeight="1">
      <c r="A740" s="187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</row>
    <row r="741" ht="12.75" customHeight="1">
      <c r="A741" s="187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</row>
    <row r="742" ht="12.75" customHeight="1">
      <c r="A742" s="187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</row>
    <row r="743" ht="12.75" customHeight="1">
      <c r="A743" s="187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</row>
    <row r="744" ht="12.75" customHeight="1">
      <c r="A744" s="187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</row>
    <row r="745" ht="12.75" customHeight="1">
      <c r="A745" s="187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</row>
    <row r="746" ht="12.75" customHeight="1">
      <c r="A746" s="187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</row>
    <row r="747" ht="12.75" customHeight="1">
      <c r="A747" s="187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</row>
    <row r="748" ht="12.75" customHeight="1">
      <c r="A748" s="187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</row>
    <row r="749" ht="12.75" customHeight="1">
      <c r="A749" s="187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</row>
    <row r="750" ht="12.75" customHeight="1">
      <c r="A750" s="187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</row>
    <row r="751" ht="12.75" customHeight="1">
      <c r="A751" s="187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</row>
    <row r="752" ht="12.75" customHeight="1">
      <c r="A752" s="187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</row>
    <row r="753" ht="12.75" customHeight="1">
      <c r="A753" s="187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</row>
    <row r="754" ht="12.75" customHeight="1">
      <c r="A754" s="187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</row>
    <row r="755" ht="12.75" customHeight="1">
      <c r="A755" s="187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</row>
    <row r="756" ht="12.75" customHeight="1">
      <c r="A756" s="187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</row>
    <row r="757" ht="12.75" customHeight="1">
      <c r="A757" s="187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</row>
    <row r="758" ht="12.75" customHeight="1">
      <c r="A758" s="187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</row>
    <row r="759" ht="12.75" customHeight="1">
      <c r="A759" s="187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</row>
    <row r="760" ht="12.75" customHeight="1">
      <c r="A760" s="187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</row>
    <row r="761" ht="12.75" customHeight="1">
      <c r="A761" s="187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</row>
    <row r="762" ht="12.75" customHeight="1">
      <c r="A762" s="187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</row>
    <row r="763" ht="12.75" customHeight="1">
      <c r="A763" s="187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</row>
    <row r="764" ht="12.75" customHeight="1">
      <c r="A764" s="187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</row>
    <row r="765" ht="12.75" customHeight="1">
      <c r="A765" s="187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</row>
    <row r="766" ht="12.75" customHeight="1">
      <c r="A766" s="187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</row>
    <row r="767" ht="12.75" customHeight="1">
      <c r="A767" s="187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</row>
    <row r="768" ht="12.75" customHeight="1">
      <c r="A768" s="187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</row>
    <row r="769" ht="12.75" customHeight="1">
      <c r="A769" s="187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</row>
    <row r="770" ht="12.75" customHeight="1">
      <c r="A770" s="187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</row>
    <row r="771" ht="12.75" customHeight="1">
      <c r="A771" s="187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</row>
    <row r="772" ht="12.75" customHeight="1">
      <c r="A772" s="187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</row>
    <row r="773" ht="12.75" customHeight="1">
      <c r="A773" s="187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</row>
    <row r="774" ht="12.75" customHeight="1">
      <c r="A774" s="187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</row>
    <row r="775" ht="12.75" customHeight="1">
      <c r="A775" s="187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</row>
    <row r="776" ht="12.75" customHeight="1">
      <c r="A776" s="187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</row>
    <row r="777" ht="12.75" customHeight="1">
      <c r="A777" s="187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</row>
    <row r="778" ht="12.75" customHeight="1">
      <c r="A778" s="187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</row>
    <row r="779" ht="12.75" customHeight="1">
      <c r="A779" s="187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</row>
    <row r="780" ht="12.75" customHeight="1">
      <c r="A780" s="187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</row>
    <row r="781" ht="12.75" customHeight="1">
      <c r="A781" s="187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</row>
    <row r="782" ht="12.75" customHeight="1">
      <c r="A782" s="187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</row>
    <row r="783" ht="12.75" customHeight="1">
      <c r="A783" s="187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</row>
    <row r="784" ht="12.75" customHeight="1">
      <c r="A784" s="187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</row>
    <row r="785" ht="12.75" customHeight="1">
      <c r="A785" s="187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</row>
    <row r="786" ht="12.75" customHeight="1">
      <c r="A786" s="187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</row>
    <row r="787" ht="12.75" customHeight="1">
      <c r="A787" s="187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</row>
    <row r="788" ht="12.75" customHeight="1">
      <c r="A788" s="187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</row>
    <row r="789" ht="12.75" customHeight="1">
      <c r="A789" s="187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</row>
    <row r="790" ht="12.75" customHeight="1">
      <c r="A790" s="187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</row>
    <row r="791" ht="12.75" customHeight="1">
      <c r="A791" s="187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</row>
    <row r="792" ht="12.75" customHeight="1">
      <c r="A792" s="187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</row>
    <row r="793" ht="12.75" customHeight="1">
      <c r="A793" s="187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</row>
    <row r="794" ht="12.75" customHeight="1">
      <c r="A794" s="187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</row>
    <row r="795" ht="12.75" customHeight="1">
      <c r="A795" s="187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</row>
    <row r="796" ht="12.75" customHeight="1">
      <c r="A796" s="187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</row>
    <row r="797" ht="12.75" customHeight="1">
      <c r="A797" s="187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</row>
    <row r="798" ht="12.75" customHeight="1">
      <c r="A798" s="187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</row>
    <row r="799" ht="12.75" customHeight="1">
      <c r="A799" s="187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</row>
    <row r="800" ht="12.75" customHeight="1">
      <c r="A800" s="187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</row>
    <row r="801" ht="12.75" customHeight="1">
      <c r="A801" s="187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</row>
    <row r="802" ht="12.75" customHeight="1">
      <c r="A802" s="187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</row>
    <row r="803" ht="12.75" customHeight="1">
      <c r="A803" s="187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</row>
    <row r="804" ht="12.75" customHeight="1">
      <c r="A804" s="187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</row>
    <row r="805" ht="12.75" customHeight="1">
      <c r="A805" s="187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</row>
    <row r="806" ht="12.75" customHeight="1">
      <c r="A806" s="187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</row>
    <row r="807" ht="12.75" customHeight="1">
      <c r="A807" s="187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</row>
    <row r="808" ht="12.75" customHeight="1">
      <c r="A808" s="187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</row>
    <row r="809" ht="12.75" customHeight="1">
      <c r="A809" s="187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</row>
    <row r="810" ht="12.75" customHeight="1">
      <c r="A810" s="187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</row>
    <row r="811" ht="12.75" customHeight="1">
      <c r="A811" s="187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</row>
    <row r="812" ht="12.75" customHeight="1">
      <c r="A812" s="187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</row>
    <row r="813" ht="12.75" customHeight="1">
      <c r="A813" s="187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</row>
    <row r="814" ht="12.75" customHeight="1">
      <c r="A814" s="187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</row>
    <row r="815" ht="12.75" customHeight="1">
      <c r="A815" s="187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</row>
    <row r="816" ht="12.75" customHeight="1">
      <c r="A816" s="187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</row>
    <row r="817" ht="12.75" customHeight="1">
      <c r="A817" s="187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</row>
    <row r="818" ht="12.75" customHeight="1">
      <c r="A818" s="187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</row>
    <row r="819" ht="12.75" customHeight="1">
      <c r="A819" s="187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</row>
    <row r="820" ht="12.75" customHeight="1">
      <c r="A820" s="187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</row>
    <row r="821" ht="12.75" customHeight="1">
      <c r="A821" s="187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</row>
    <row r="822" ht="12.75" customHeight="1">
      <c r="A822" s="187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</row>
    <row r="823" ht="12.75" customHeight="1">
      <c r="A823" s="187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</row>
    <row r="824" ht="12.75" customHeight="1">
      <c r="A824" s="187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</row>
    <row r="825" ht="12.75" customHeight="1">
      <c r="A825" s="187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</row>
    <row r="826" ht="12.75" customHeight="1">
      <c r="A826" s="187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</row>
    <row r="827" ht="12.75" customHeight="1">
      <c r="A827" s="187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</row>
    <row r="828" ht="12.75" customHeight="1">
      <c r="A828" s="187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</row>
    <row r="829" ht="12.75" customHeight="1">
      <c r="A829" s="187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</row>
    <row r="830" ht="12.75" customHeight="1">
      <c r="A830" s="187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</row>
    <row r="831" ht="12.75" customHeight="1">
      <c r="A831" s="187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</row>
    <row r="832" ht="12.75" customHeight="1">
      <c r="A832" s="187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</row>
    <row r="833" ht="12.75" customHeight="1">
      <c r="A833" s="187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</row>
    <row r="834" ht="12.75" customHeight="1">
      <c r="A834" s="187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</row>
    <row r="835" ht="12.75" customHeight="1">
      <c r="A835" s="187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</row>
    <row r="836" ht="12.75" customHeight="1">
      <c r="A836" s="187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</row>
    <row r="837" ht="12.75" customHeight="1">
      <c r="A837" s="187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</row>
    <row r="838" ht="12.75" customHeight="1">
      <c r="A838" s="187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</row>
    <row r="839" ht="12.75" customHeight="1">
      <c r="A839" s="187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</row>
    <row r="840" ht="12.75" customHeight="1">
      <c r="A840" s="187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</row>
    <row r="841" ht="12.75" customHeight="1">
      <c r="A841" s="187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</row>
    <row r="842" ht="12.75" customHeight="1">
      <c r="A842" s="187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</row>
    <row r="843" ht="12.75" customHeight="1">
      <c r="A843" s="187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</row>
    <row r="844" ht="12.75" customHeight="1">
      <c r="A844" s="187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</row>
    <row r="845" ht="12.75" customHeight="1">
      <c r="A845" s="187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</row>
    <row r="846" ht="12.75" customHeight="1">
      <c r="A846" s="187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</row>
    <row r="847" ht="12.75" customHeight="1">
      <c r="A847" s="187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</row>
    <row r="848" ht="12.75" customHeight="1">
      <c r="A848" s="187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</row>
    <row r="849" ht="12.75" customHeight="1">
      <c r="A849" s="187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</row>
    <row r="850" ht="12.75" customHeight="1">
      <c r="A850" s="187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</row>
    <row r="851" ht="12.75" customHeight="1">
      <c r="A851" s="187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</row>
    <row r="852" ht="12.75" customHeight="1">
      <c r="A852" s="187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</row>
    <row r="853" ht="12.75" customHeight="1">
      <c r="A853" s="187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</row>
    <row r="854" ht="12.75" customHeight="1">
      <c r="A854" s="187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</row>
    <row r="855" ht="12.75" customHeight="1">
      <c r="A855" s="187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</row>
    <row r="856" ht="12.75" customHeight="1">
      <c r="A856" s="187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</row>
    <row r="857" ht="12.75" customHeight="1">
      <c r="A857" s="187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</row>
    <row r="858" ht="12.75" customHeight="1">
      <c r="A858" s="187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</row>
    <row r="859" ht="12.75" customHeight="1">
      <c r="A859" s="187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</row>
    <row r="860" ht="12.75" customHeight="1">
      <c r="A860" s="187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</row>
    <row r="861" ht="12.75" customHeight="1">
      <c r="A861" s="187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</row>
    <row r="862" ht="12.75" customHeight="1">
      <c r="A862" s="187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</row>
    <row r="863" ht="12.75" customHeight="1">
      <c r="A863" s="187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</row>
    <row r="864" ht="12.75" customHeight="1">
      <c r="A864" s="187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</row>
    <row r="865" ht="12.75" customHeight="1">
      <c r="A865" s="187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</row>
    <row r="866" ht="12.75" customHeight="1">
      <c r="A866" s="187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</row>
    <row r="867" ht="12.75" customHeight="1">
      <c r="A867" s="187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</row>
    <row r="868" ht="12.75" customHeight="1">
      <c r="A868" s="187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</row>
    <row r="869" ht="12.75" customHeight="1">
      <c r="A869" s="187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</row>
    <row r="870" ht="12.75" customHeight="1">
      <c r="A870" s="187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</row>
    <row r="871" ht="12.75" customHeight="1">
      <c r="A871" s="187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</row>
    <row r="872" ht="12.75" customHeight="1">
      <c r="A872" s="187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</row>
    <row r="873" ht="12.75" customHeight="1">
      <c r="A873" s="187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</row>
    <row r="874" ht="12.75" customHeight="1">
      <c r="A874" s="187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</row>
    <row r="875" ht="12.75" customHeight="1">
      <c r="A875" s="187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</row>
    <row r="876" ht="12.75" customHeight="1">
      <c r="A876" s="187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</row>
    <row r="877" ht="12.75" customHeight="1">
      <c r="A877" s="187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</row>
    <row r="878" ht="12.75" customHeight="1">
      <c r="A878" s="187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</row>
    <row r="879" ht="12.75" customHeight="1">
      <c r="A879" s="187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</row>
    <row r="880" ht="12.75" customHeight="1">
      <c r="A880" s="187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</row>
    <row r="881" ht="12.75" customHeight="1">
      <c r="A881" s="187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</row>
    <row r="882" ht="12.75" customHeight="1">
      <c r="A882" s="187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</row>
    <row r="883" ht="12.75" customHeight="1">
      <c r="A883" s="187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</row>
    <row r="884" ht="12.75" customHeight="1">
      <c r="A884" s="187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</row>
    <row r="885" ht="12.75" customHeight="1">
      <c r="A885" s="187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</row>
    <row r="886" ht="12.75" customHeight="1">
      <c r="A886" s="187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</row>
    <row r="887" ht="12.75" customHeight="1">
      <c r="A887" s="187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</row>
    <row r="888" ht="12.75" customHeight="1">
      <c r="A888" s="187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</row>
    <row r="889" ht="12.75" customHeight="1">
      <c r="A889" s="187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</row>
    <row r="890" ht="12.75" customHeight="1">
      <c r="A890" s="187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</row>
    <row r="891" ht="12.75" customHeight="1">
      <c r="A891" s="187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</row>
    <row r="892" ht="12.75" customHeight="1">
      <c r="A892" s="187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</row>
    <row r="893" ht="12.75" customHeight="1">
      <c r="A893" s="187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</row>
    <row r="894" ht="12.75" customHeight="1">
      <c r="A894" s="187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</row>
    <row r="895" ht="12.75" customHeight="1">
      <c r="A895" s="187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</row>
    <row r="896" ht="12.75" customHeight="1">
      <c r="A896" s="187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</row>
    <row r="897" ht="12.75" customHeight="1">
      <c r="A897" s="187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</row>
    <row r="898" ht="12.75" customHeight="1">
      <c r="A898" s="187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</row>
    <row r="899" ht="12.75" customHeight="1">
      <c r="A899" s="187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</row>
    <row r="900" ht="12.75" customHeight="1">
      <c r="A900" s="187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</row>
    <row r="901" ht="12.75" customHeight="1">
      <c r="A901" s="187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</row>
    <row r="902" ht="12.75" customHeight="1">
      <c r="A902" s="187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</row>
    <row r="903" ht="12.75" customHeight="1">
      <c r="A903" s="187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</row>
    <row r="904" ht="12.75" customHeight="1">
      <c r="A904" s="187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</row>
    <row r="905" ht="12.75" customHeight="1">
      <c r="A905" s="187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</row>
    <row r="906" ht="12.75" customHeight="1">
      <c r="A906" s="187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</row>
    <row r="907" ht="12.75" customHeight="1">
      <c r="A907" s="187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</row>
    <row r="908" ht="12.75" customHeight="1">
      <c r="A908" s="187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</row>
    <row r="909" ht="12.75" customHeight="1">
      <c r="A909" s="187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</row>
    <row r="910" ht="12.75" customHeight="1">
      <c r="A910" s="187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</row>
    <row r="911" ht="12.75" customHeight="1">
      <c r="A911" s="187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</row>
    <row r="912" ht="12.75" customHeight="1">
      <c r="A912" s="187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</row>
    <row r="913" ht="12.75" customHeight="1">
      <c r="A913" s="187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</row>
    <row r="914" ht="12.75" customHeight="1">
      <c r="A914" s="187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</row>
    <row r="915" ht="12.75" customHeight="1">
      <c r="A915" s="187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</row>
    <row r="916" ht="12.75" customHeight="1">
      <c r="A916" s="187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</row>
    <row r="917" ht="12.75" customHeight="1">
      <c r="A917" s="187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</row>
    <row r="918" ht="12.75" customHeight="1">
      <c r="A918" s="187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</row>
    <row r="919" ht="12.75" customHeight="1">
      <c r="A919" s="187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</row>
    <row r="920" ht="12.75" customHeight="1">
      <c r="A920" s="187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</row>
    <row r="921" ht="12.75" customHeight="1">
      <c r="A921" s="187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</row>
    <row r="922" ht="12.75" customHeight="1">
      <c r="A922" s="187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</row>
    <row r="923" ht="12.75" customHeight="1">
      <c r="A923" s="187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</row>
    <row r="924" ht="12.75" customHeight="1">
      <c r="A924" s="187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</row>
    <row r="925" ht="12.75" customHeight="1">
      <c r="A925" s="187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</row>
    <row r="926" ht="12.75" customHeight="1">
      <c r="A926" s="187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</row>
    <row r="927" ht="12.75" customHeight="1">
      <c r="A927" s="187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</row>
    <row r="928" ht="12.75" customHeight="1">
      <c r="A928" s="187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</row>
    <row r="929" ht="12.75" customHeight="1">
      <c r="A929" s="187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</row>
    <row r="930" ht="12.75" customHeight="1">
      <c r="A930" s="187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</row>
    <row r="931" ht="12.75" customHeight="1">
      <c r="A931" s="187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</row>
    <row r="932" ht="12.75" customHeight="1">
      <c r="A932" s="187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</row>
    <row r="933" ht="12.75" customHeight="1">
      <c r="A933" s="187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</row>
    <row r="934" ht="12.75" customHeight="1">
      <c r="A934" s="187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87"/>
      <c r="V934" s="187"/>
      <c r="W934" s="187"/>
      <c r="X934" s="187"/>
      <c r="Y934" s="187"/>
      <c r="Z934" s="187"/>
    </row>
    <row r="935" ht="12.75" customHeight="1">
      <c r="A935" s="187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87"/>
      <c r="V935" s="187"/>
      <c r="W935" s="187"/>
      <c r="X935" s="187"/>
      <c r="Y935" s="187"/>
      <c r="Z935" s="187"/>
    </row>
    <row r="936" ht="12.75" customHeight="1">
      <c r="A936" s="187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87"/>
      <c r="V936" s="187"/>
      <c r="W936" s="187"/>
      <c r="X936" s="187"/>
      <c r="Y936" s="187"/>
      <c r="Z936" s="187"/>
    </row>
    <row r="937" ht="12.75" customHeight="1">
      <c r="A937" s="187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87"/>
      <c r="V937" s="187"/>
      <c r="W937" s="187"/>
      <c r="X937" s="187"/>
      <c r="Y937" s="187"/>
      <c r="Z937" s="187"/>
    </row>
    <row r="938" ht="12.75" customHeight="1">
      <c r="A938" s="187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87"/>
      <c r="V938" s="187"/>
      <c r="W938" s="187"/>
      <c r="X938" s="187"/>
      <c r="Y938" s="187"/>
      <c r="Z938" s="187"/>
    </row>
    <row r="939" ht="12.75" customHeight="1">
      <c r="A939" s="187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87"/>
      <c r="V939" s="187"/>
      <c r="W939" s="187"/>
      <c r="X939" s="187"/>
      <c r="Y939" s="187"/>
      <c r="Z939" s="187"/>
    </row>
    <row r="940" ht="12.75" customHeight="1">
      <c r="A940" s="187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87"/>
      <c r="V940" s="187"/>
      <c r="W940" s="187"/>
      <c r="X940" s="187"/>
      <c r="Y940" s="187"/>
      <c r="Z940" s="187"/>
    </row>
    <row r="941" ht="12.75" customHeight="1">
      <c r="A941" s="187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87"/>
      <c r="V941" s="187"/>
      <c r="W941" s="187"/>
      <c r="X941" s="187"/>
      <c r="Y941" s="187"/>
      <c r="Z941" s="187"/>
    </row>
    <row r="942" ht="12.75" customHeight="1">
      <c r="A942" s="187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87"/>
      <c r="V942" s="187"/>
      <c r="W942" s="187"/>
      <c r="X942" s="187"/>
      <c r="Y942" s="187"/>
      <c r="Z942" s="187"/>
    </row>
    <row r="943" ht="12.75" customHeight="1">
      <c r="A943" s="187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87"/>
      <c r="V943" s="187"/>
      <c r="W943" s="187"/>
      <c r="X943" s="187"/>
      <c r="Y943" s="187"/>
      <c r="Z943" s="187"/>
    </row>
    <row r="944" ht="12.75" customHeight="1">
      <c r="A944" s="187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87"/>
      <c r="V944" s="187"/>
      <c r="W944" s="187"/>
      <c r="X944" s="187"/>
      <c r="Y944" s="187"/>
      <c r="Z944" s="187"/>
    </row>
    <row r="945" ht="12.75" customHeight="1">
      <c r="A945" s="187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87"/>
      <c r="V945" s="187"/>
      <c r="W945" s="187"/>
      <c r="X945" s="187"/>
      <c r="Y945" s="187"/>
      <c r="Z945" s="187"/>
    </row>
    <row r="946" ht="12.75" customHeight="1">
      <c r="A946" s="187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87"/>
      <c r="V946" s="187"/>
      <c r="W946" s="187"/>
      <c r="X946" s="187"/>
      <c r="Y946" s="187"/>
      <c r="Z946" s="187"/>
    </row>
    <row r="947" ht="12.75" customHeight="1">
      <c r="A947" s="187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87"/>
      <c r="V947" s="187"/>
      <c r="W947" s="187"/>
      <c r="X947" s="187"/>
      <c r="Y947" s="187"/>
      <c r="Z947" s="187"/>
    </row>
    <row r="948" ht="12.75" customHeight="1">
      <c r="A948" s="187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87"/>
      <c r="V948" s="187"/>
      <c r="W948" s="187"/>
      <c r="X948" s="187"/>
      <c r="Y948" s="187"/>
      <c r="Z948" s="187"/>
    </row>
    <row r="949" ht="12.75" customHeight="1">
      <c r="A949" s="187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87"/>
      <c r="V949" s="187"/>
      <c r="W949" s="187"/>
      <c r="X949" s="187"/>
      <c r="Y949" s="187"/>
      <c r="Z949" s="187"/>
    </row>
    <row r="950" ht="12.75" customHeight="1">
      <c r="A950" s="187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87"/>
      <c r="V950" s="187"/>
      <c r="W950" s="187"/>
      <c r="X950" s="187"/>
      <c r="Y950" s="187"/>
      <c r="Z950" s="187"/>
    </row>
    <row r="951" ht="12.75" customHeight="1">
      <c r="A951" s="187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87"/>
      <c r="V951" s="187"/>
      <c r="W951" s="187"/>
      <c r="X951" s="187"/>
      <c r="Y951" s="187"/>
      <c r="Z951" s="187"/>
    </row>
    <row r="952" ht="12.75" customHeight="1">
      <c r="A952" s="187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87"/>
      <c r="V952" s="187"/>
      <c r="W952" s="187"/>
      <c r="X952" s="187"/>
      <c r="Y952" s="187"/>
      <c r="Z952" s="187"/>
    </row>
    <row r="953" ht="12.75" customHeight="1">
      <c r="A953" s="187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87"/>
      <c r="V953" s="187"/>
      <c r="W953" s="187"/>
      <c r="X953" s="187"/>
      <c r="Y953" s="187"/>
      <c r="Z953" s="187"/>
    </row>
    <row r="954" ht="12.75" customHeight="1">
      <c r="A954" s="187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87"/>
      <c r="V954" s="187"/>
      <c r="W954" s="187"/>
      <c r="X954" s="187"/>
      <c r="Y954" s="187"/>
      <c r="Z954" s="187"/>
    </row>
    <row r="955" ht="12.75" customHeight="1">
      <c r="A955" s="187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87"/>
      <c r="V955" s="187"/>
      <c r="W955" s="187"/>
      <c r="X955" s="187"/>
      <c r="Y955" s="187"/>
      <c r="Z955" s="187"/>
    </row>
    <row r="956" ht="12.75" customHeight="1">
      <c r="A956" s="187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87"/>
      <c r="V956" s="187"/>
      <c r="W956" s="187"/>
      <c r="X956" s="187"/>
      <c r="Y956" s="187"/>
      <c r="Z956" s="187"/>
    </row>
    <row r="957" ht="12.75" customHeight="1">
      <c r="A957" s="187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87"/>
      <c r="V957" s="187"/>
      <c r="W957" s="187"/>
      <c r="X957" s="187"/>
      <c r="Y957" s="187"/>
      <c r="Z957" s="187"/>
    </row>
    <row r="958" ht="12.75" customHeight="1">
      <c r="A958" s="187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87"/>
      <c r="V958" s="187"/>
      <c r="W958" s="187"/>
      <c r="X958" s="187"/>
      <c r="Y958" s="187"/>
      <c r="Z958" s="187"/>
    </row>
    <row r="959" ht="12.75" customHeight="1">
      <c r="A959" s="187"/>
      <c r="B959" s="187"/>
      <c r="C959" s="187"/>
      <c r="D959" s="187"/>
      <c r="E959" s="187"/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87"/>
      <c r="V959" s="187"/>
      <c r="W959" s="187"/>
      <c r="X959" s="187"/>
      <c r="Y959" s="187"/>
      <c r="Z959" s="187"/>
    </row>
    <row r="960" ht="12.75" customHeight="1">
      <c r="A960" s="187"/>
      <c r="B960" s="187"/>
      <c r="C960" s="187"/>
      <c r="D960" s="187"/>
      <c r="E960" s="187"/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87"/>
      <c r="V960" s="187"/>
      <c r="W960" s="187"/>
      <c r="X960" s="187"/>
      <c r="Y960" s="187"/>
      <c r="Z960" s="187"/>
    </row>
    <row r="961" ht="12.75" customHeight="1">
      <c r="A961" s="187"/>
      <c r="B961" s="187"/>
      <c r="C961" s="187"/>
      <c r="D961" s="187"/>
      <c r="E961" s="187"/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87"/>
      <c r="V961" s="187"/>
      <c r="W961" s="187"/>
      <c r="X961" s="187"/>
      <c r="Y961" s="187"/>
      <c r="Z961" s="187"/>
    </row>
    <row r="962" ht="12.75" customHeight="1">
      <c r="A962" s="187"/>
      <c r="B962" s="187"/>
      <c r="C962" s="187"/>
      <c r="D962" s="187"/>
      <c r="E962" s="187"/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87"/>
      <c r="V962" s="187"/>
      <c r="W962" s="187"/>
      <c r="X962" s="187"/>
      <c r="Y962" s="187"/>
      <c r="Z962" s="187"/>
    </row>
    <row r="963" ht="12.75" customHeight="1">
      <c r="A963" s="187"/>
      <c r="B963" s="187"/>
      <c r="C963" s="187"/>
      <c r="D963" s="187"/>
      <c r="E963" s="187"/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87"/>
      <c r="V963" s="187"/>
      <c r="W963" s="187"/>
      <c r="X963" s="187"/>
      <c r="Y963" s="187"/>
      <c r="Z963" s="187"/>
    </row>
    <row r="964" ht="12.75" customHeight="1">
      <c r="A964" s="187"/>
      <c r="B964" s="187"/>
      <c r="C964" s="187"/>
      <c r="D964" s="187"/>
      <c r="E964" s="187"/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87"/>
      <c r="V964" s="187"/>
      <c r="W964" s="187"/>
      <c r="X964" s="187"/>
      <c r="Y964" s="187"/>
      <c r="Z964" s="187"/>
    </row>
    <row r="965" ht="12.75" customHeight="1">
      <c r="A965" s="187"/>
      <c r="B965" s="187"/>
      <c r="C965" s="187"/>
      <c r="D965" s="187"/>
      <c r="E965" s="187"/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87"/>
      <c r="V965" s="187"/>
      <c r="W965" s="187"/>
      <c r="X965" s="187"/>
      <c r="Y965" s="187"/>
      <c r="Z965" s="187"/>
    </row>
    <row r="966" ht="12.75" customHeight="1">
      <c r="A966" s="187"/>
      <c r="B966" s="187"/>
      <c r="C966" s="187"/>
      <c r="D966" s="187"/>
      <c r="E966" s="187"/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87"/>
      <c r="V966" s="187"/>
      <c r="W966" s="187"/>
      <c r="X966" s="187"/>
      <c r="Y966" s="187"/>
      <c r="Z966" s="187"/>
    </row>
    <row r="967" ht="12.75" customHeight="1">
      <c r="A967" s="187"/>
      <c r="B967" s="187"/>
      <c r="C967" s="187"/>
      <c r="D967" s="187"/>
      <c r="E967" s="187"/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87"/>
      <c r="V967" s="187"/>
      <c r="W967" s="187"/>
      <c r="X967" s="187"/>
      <c r="Y967" s="187"/>
      <c r="Z967" s="187"/>
    </row>
    <row r="968" ht="12.75" customHeight="1">
      <c r="A968" s="187"/>
      <c r="B968" s="187"/>
      <c r="C968" s="187"/>
      <c r="D968" s="187"/>
      <c r="E968" s="187"/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87"/>
      <c r="V968" s="187"/>
      <c r="W968" s="187"/>
      <c r="X968" s="187"/>
      <c r="Y968" s="187"/>
      <c r="Z968" s="187"/>
    </row>
    <row r="969" ht="12.75" customHeight="1">
      <c r="A969" s="187"/>
      <c r="B969" s="187"/>
      <c r="C969" s="187"/>
      <c r="D969" s="187"/>
      <c r="E969" s="187"/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87"/>
      <c r="V969" s="187"/>
      <c r="W969" s="187"/>
      <c r="X969" s="187"/>
      <c r="Y969" s="187"/>
      <c r="Z969" s="187"/>
    </row>
    <row r="970" ht="12.75" customHeight="1">
      <c r="A970" s="187"/>
      <c r="B970" s="187"/>
      <c r="C970" s="187"/>
      <c r="D970" s="187"/>
      <c r="E970" s="187"/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87"/>
      <c r="V970" s="187"/>
      <c r="W970" s="187"/>
      <c r="X970" s="187"/>
      <c r="Y970" s="187"/>
      <c r="Z970" s="187"/>
    </row>
    <row r="971" ht="12.75" customHeight="1">
      <c r="A971" s="187"/>
      <c r="B971" s="187"/>
      <c r="C971" s="187"/>
      <c r="D971" s="187"/>
      <c r="E971" s="187"/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87"/>
      <c r="V971" s="187"/>
      <c r="W971" s="187"/>
      <c r="X971" s="187"/>
      <c r="Y971" s="187"/>
      <c r="Z971" s="187"/>
    </row>
    <row r="972" ht="12.75" customHeight="1">
      <c r="A972" s="187"/>
      <c r="B972" s="187"/>
      <c r="C972" s="187"/>
      <c r="D972" s="187"/>
      <c r="E972" s="187"/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87"/>
      <c r="V972" s="187"/>
      <c r="W972" s="187"/>
      <c r="X972" s="187"/>
      <c r="Y972" s="187"/>
      <c r="Z972" s="187"/>
    </row>
    <row r="973" ht="12.75" customHeight="1">
      <c r="A973" s="187"/>
      <c r="B973" s="187"/>
      <c r="C973" s="187"/>
      <c r="D973" s="187"/>
      <c r="E973" s="187"/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87"/>
      <c r="V973" s="187"/>
      <c r="W973" s="187"/>
      <c r="X973" s="187"/>
      <c r="Y973" s="187"/>
      <c r="Z973" s="187"/>
    </row>
    <row r="974" ht="12.75" customHeight="1">
      <c r="A974" s="187"/>
      <c r="B974" s="187"/>
      <c r="C974" s="187"/>
      <c r="D974" s="187"/>
      <c r="E974" s="187"/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87"/>
      <c r="V974" s="187"/>
      <c r="W974" s="187"/>
      <c r="X974" s="187"/>
      <c r="Y974" s="187"/>
      <c r="Z974" s="187"/>
    </row>
    <row r="975" ht="12.75" customHeight="1">
      <c r="A975" s="187"/>
      <c r="B975" s="187"/>
      <c r="C975" s="187"/>
      <c r="D975" s="187"/>
      <c r="E975" s="187"/>
      <c r="F975" s="187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87"/>
      <c r="V975" s="187"/>
      <c r="W975" s="187"/>
      <c r="X975" s="187"/>
      <c r="Y975" s="187"/>
      <c r="Z975" s="187"/>
    </row>
    <row r="976" ht="12.75" customHeight="1">
      <c r="A976" s="187"/>
      <c r="B976" s="187"/>
      <c r="C976" s="187"/>
      <c r="D976" s="187"/>
      <c r="E976" s="187"/>
      <c r="F976" s="187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87"/>
      <c r="V976" s="187"/>
      <c r="W976" s="187"/>
      <c r="X976" s="187"/>
      <c r="Y976" s="187"/>
      <c r="Z976" s="187"/>
    </row>
    <row r="977" ht="12.75" customHeight="1">
      <c r="A977" s="187"/>
      <c r="B977" s="187"/>
      <c r="C977" s="187"/>
      <c r="D977" s="187"/>
      <c r="E977" s="187"/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87"/>
      <c r="V977" s="187"/>
      <c r="W977" s="187"/>
      <c r="X977" s="187"/>
      <c r="Y977" s="187"/>
      <c r="Z977" s="187"/>
    </row>
    <row r="978" ht="12.75" customHeight="1">
      <c r="A978" s="187"/>
      <c r="B978" s="187"/>
      <c r="C978" s="187"/>
      <c r="D978" s="187"/>
      <c r="E978" s="187"/>
      <c r="F978" s="187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87"/>
      <c r="V978" s="187"/>
      <c r="W978" s="187"/>
      <c r="X978" s="187"/>
      <c r="Y978" s="187"/>
      <c r="Z978" s="187"/>
    </row>
    <row r="979" ht="12.75" customHeight="1">
      <c r="A979" s="187"/>
      <c r="B979" s="187"/>
      <c r="C979" s="187"/>
      <c r="D979" s="187"/>
      <c r="E979" s="187"/>
      <c r="F979" s="187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87"/>
      <c r="V979" s="187"/>
      <c r="W979" s="187"/>
      <c r="X979" s="187"/>
      <c r="Y979" s="187"/>
      <c r="Z979" s="187"/>
    </row>
    <row r="980" ht="12.75" customHeight="1">
      <c r="A980" s="187"/>
      <c r="B980" s="187"/>
      <c r="C980" s="187"/>
      <c r="D980" s="187"/>
      <c r="E980" s="187"/>
      <c r="F980" s="187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87"/>
      <c r="V980" s="187"/>
      <c r="W980" s="187"/>
      <c r="X980" s="187"/>
      <c r="Y980" s="187"/>
      <c r="Z980" s="187"/>
    </row>
    <row r="981" ht="12.75" customHeight="1">
      <c r="A981" s="187"/>
      <c r="B981" s="187"/>
      <c r="C981" s="187"/>
      <c r="D981" s="187"/>
      <c r="E981" s="187"/>
      <c r="F981" s="187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87"/>
      <c r="V981" s="187"/>
      <c r="W981" s="187"/>
      <c r="X981" s="187"/>
      <c r="Y981" s="187"/>
      <c r="Z981" s="187"/>
    </row>
    <row r="982" ht="12.75" customHeight="1">
      <c r="A982" s="187"/>
      <c r="B982" s="187"/>
      <c r="C982" s="187"/>
      <c r="D982" s="187"/>
      <c r="E982" s="187"/>
      <c r="F982" s="187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87"/>
      <c r="V982" s="187"/>
      <c r="W982" s="187"/>
      <c r="X982" s="187"/>
      <c r="Y982" s="187"/>
      <c r="Z982" s="187"/>
    </row>
    <row r="983" ht="12.75" customHeight="1">
      <c r="A983" s="187"/>
      <c r="B983" s="187"/>
      <c r="C983" s="187"/>
      <c r="D983" s="187"/>
      <c r="E983" s="187"/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87"/>
      <c r="V983" s="187"/>
      <c r="W983" s="187"/>
      <c r="X983" s="187"/>
      <c r="Y983" s="187"/>
      <c r="Z983" s="187"/>
    </row>
    <row r="984" ht="12.75" customHeight="1">
      <c r="A984" s="187"/>
      <c r="B984" s="187"/>
      <c r="C984" s="187"/>
      <c r="D984" s="187"/>
      <c r="E984" s="187"/>
      <c r="F984" s="187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87"/>
      <c r="V984" s="187"/>
      <c r="W984" s="187"/>
      <c r="X984" s="187"/>
      <c r="Y984" s="187"/>
      <c r="Z984" s="187"/>
    </row>
    <row r="985" ht="12.75" customHeight="1">
      <c r="A985" s="187"/>
      <c r="B985" s="187"/>
      <c r="C985" s="187"/>
      <c r="D985" s="187"/>
      <c r="E985" s="187"/>
      <c r="F985" s="187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87"/>
      <c r="V985" s="187"/>
      <c r="W985" s="187"/>
      <c r="X985" s="187"/>
      <c r="Y985" s="187"/>
      <c r="Z985" s="187"/>
    </row>
    <row r="986" ht="12.75" customHeight="1">
      <c r="A986" s="187"/>
      <c r="B986" s="187"/>
      <c r="C986" s="187"/>
      <c r="D986" s="187"/>
      <c r="E986" s="187"/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87"/>
      <c r="V986" s="187"/>
      <c r="W986" s="187"/>
      <c r="X986" s="187"/>
      <c r="Y986" s="187"/>
      <c r="Z986" s="187"/>
    </row>
    <row r="987" ht="12.75" customHeight="1">
      <c r="A987" s="187"/>
      <c r="B987" s="187"/>
      <c r="C987" s="187"/>
      <c r="D987" s="187"/>
      <c r="E987" s="187"/>
      <c r="F987" s="187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87"/>
      <c r="V987" s="187"/>
      <c r="W987" s="187"/>
      <c r="X987" s="187"/>
      <c r="Y987" s="187"/>
      <c r="Z987" s="187"/>
    </row>
    <row r="988" ht="12.75" customHeight="1">
      <c r="A988" s="187"/>
      <c r="B988" s="187"/>
      <c r="C988" s="187"/>
      <c r="D988" s="187"/>
      <c r="E988" s="187"/>
      <c r="F988" s="187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87"/>
      <c r="V988" s="187"/>
      <c r="W988" s="187"/>
      <c r="X988" s="187"/>
      <c r="Y988" s="187"/>
      <c r="Z988" s="187"/>
    </row>
    <row r="989" ht="12.75" customHeight="1">
      <c r="A989" s="187"/>
      <c r="B989" s="187"/>
      <c r="C989" s="187"/>
      <c r="D989" s="187"/>
      <c r="E989" s="187"/>
      <c r="F989" s="187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87"/>
      <c r="V989" s="187"/>
      <c r="W989" s="187"/>
      <c r="X989" s="187"/>
      <c r="Y989" s="187"/>
      <c r="Z989" s="187"/>
    </row>
    <row r="990" ht="12.75" customHeight="1">
      <c r="A990" s="187"/>
      <c r="B990" s="187"/>
      <c r="C990" s="187"/>
      <c r="D990" s="187"/>
      <c r="E990" s="187"/>
      <c r="F990" s="187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87"/>
      <c r="V990" s="187"/>
      <c r="W990" s="187"/>
      <c r="X990" s="187"/>
      <c r="Y990" s="187"/>
      <c r="Z990" s="187"/>
    </row>
    <row r="991" ht="12.75" customHeight="1">
      <c r="A991" s="187"/>
      <c r="B991" s="187"/>
      <c r="C991" s="187"/>
      <c r="D991" s="187"/>
      <c r="E991" s="187"/>
      <c r="F991" s="187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87"/>
      <c r="V991" s="187"/>
      <c r="W991" s="187"/>
      <c r="X991" s="187"/>
      <c r="Y991" s="187"/>
      <c r="Z991" s="187"/>
    </row>
    <row r="992" ht="12.75" customHeight="1">
      <c r="A992" s="187"/>
      <c r="B992" s="187"/>
      <c r="C992" s="187"/>
      <c r="D992" s="187"/>
      <c r="E992" s="187"/>
      <c r="F992" s="187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87"/>
      <c r="V992" s="187"/>
      <c r="W992" s="187"/>
      <c r="X992" s="187"/>
      <c r="Y992" s="187"/>
      <c r="Z992" s="187"/>
    </row>
    <row r="993" ht="12.75" customHeight="1">
      <c r="A993" s="187"/>
      <c r="B993" s="187"/>
      <c r="C993" s="187"/>
      <c r="D993" s="187"/>
      <c r="E993" s="187"/>
      <c r="F993" s="187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87"/>
      <c r="V993" s="187"/>
      <c r="W993" s="187"/>
      <c r="X993" s="187"/>
      <c r="Y993" s="187"/>
      <c r="Z993" s="187"/>
    </row>
    <row r="994" ht="12.75" customHeight="1">
      <c r="A994" s="187"/>
      <c r="B994" s="187"/>
      <c r="C994" s="187"/>
      <c r="D994" s="187"/>
      <c r="E994" s="187"/>
      <c r="F994" s="187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87"/>
      <c r="V994" s="187"/>
      <c r="W994" s="187"/>
      <c r="X994" s="187"/>
      <c r="Y994" s="187"/>
      <c r="Z994" s="187"/>
    </row>
  </sheetData>
  <mergeCells count="256"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C34:C35"/>
    <mergeCell ref="D34:D35"/>
    <mergeCell ref="E34:E35"/>
    <mergeCell ref="F34:F35"/>
    <mergeCell ref="G34:G35"/>
    <mergeCell ref="H34:H35"/>
    <mergeCell ref="I34:I35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6:M36"/>
    <mergeCell ref="C37:M37"/>
    <mergeCell ref="C38:I38"/>
    <mergeCell ref="C39:M39"/>
    <mergeCell ref="C40:I40"/>
    <mergeCell ref="C41:M41"/>
    <mergeCell ref="C42:M43"/>
    <mergeCell ref="L52:L53"/>
    <mergeCell ref="M52:M53"/>
    <mergeCell ref="D52:D53"/>
    <mergeCell ref="E52:E53"/>
    <mergeCell ref="F52:F53"/>
    <mergeCell ref="G52:G53"/>
    <mergeCell ref="H52:H53"/>
    <mergeCell ref="I52:I53"/>
    <mergeCell ref="C54:M54"/>
    <mergeCell ref="L61:L62"/>
    <mergeCell ref="M61:M62"/>
    <mergeCell ref="D61:D62"/>
    <mergeCell ref="E61:E62"/>
    <mergeCell ref="F61:F62"/>
    <mergeCell ref="G61:G62"/>
    <mergeCell ref="H61:H62"/>
    <mergeCell ref="I61:I62"/>
    <mergeCell ref="C63:M63"/>
    <mergeCell ref="I64:I65"/>
    <mergeCell ref="L64:L65"/>
    <mergeCell ref="M64:M65"/>
    <mergeCell ref="C66:M66"/>
    <mergeCell ref="C61:C62"/>
    <mergeCell ref="C64:C65"/>
    <mergeCell ref="D64:D65"/>
    <mergeCell ref="E64:E65"/>
    <mergeCell ref="F64:F65"/>
    <mergeCell ref="G64:G65"/>
    <mergeCell ref="H64:H65"/>
    <mergeCell ref="C85:C86"/>
    <mergeCell ref="C88:C89"/>
    <mergeCell ref="D88:D89"/>
    <mergeCell ref="E88:E89"/>
    <mergeCell ref="F88:F89"/>
    <mergeCell ref="G88:G89"/>
    <mergeCell ref="H88:H89"/>
    <mergeCell ref="I88:I89"/>
    <mergeCell ref="L88:L89"/>
    <mergeCell ref="M88:M89"/>
    <mergeCell ref="C90:M90"/>
    <mergeCell ref="C91:I91"/>
    <mergeCell ref="C92:M92"/>
    <mergeCell ref="C93:M93"/>
    <mergeCell ref="G79:G80"/>
    <mergeCell ref="H79:H80"/>
    <mergeCell ref="I79:I80"/>
    <mergeCell ref="L79:L80"/>
    <mergeCell ref="M79:M80"/>
    <mergeCell ref="C81:M81"/>
    <mergeCell ref="E77:F77"/>
    <mergeCell ref="H77:I77"/>
    <mergeCell ref="J77:K77"/>
    <mergeCell ref="L77:M77"/>
    <mergeCell ref="C78:M78"/>
    <mergeCell ref="C79:C80"/>
    <mergeCell ref="D79:D80"/>
    <mergeCell ref="H82:H83"/>
    <mergeCell ref="I82:I83"/>
    <mergeCell ref="L82:L83"/>
    <mergeCell ref="M82:M83"/>
    <mergeCell ref="C84:M84"/>
    <mergeCell ref="E79:E80"/>
    <mergeCell ref="F79:F80"/>
    <mergeCell ref="C82:C83"/>
    <mergeCell ref="D82:D83"/>
    <mergeCell ref="E82:E83"/>
    <mergeCell ref="F82:F83"/>
    <mergeCell ref="G82:G83"/>
    <mergeCell ref="C102:M102"/>
    <mergeCell ref="C103:M103"/>
    <mergeCell ref="C104:I104"/>
    <mergeCell ref="C105:M105"/>
    <mergeCell ref="C106:I106"/>
    <mergeCell ref="C107:M107"/>
    <mergeCell ref="C52:C53"/>
    <mergeCell ref="C55:C56"/>
    <mergeCell ref="D55:D56"/>
    <mergeCell ref="E55:E56"/>
    <mergeCell ref="F55:F56"/>
    <mergeCell ref="G55:G56"/>
    <mergeCell ref="H55:H56"/>
    <mergeCell ref="I55:I56"/>
    <mergeCell ref="L55:L56"/>
    <mergeCell ref="M55:M56"/>
    <mergeCell ref="C57:M57"/>
    <mergeCell ref="C58:I58"/>
    <mergeCell ref="C59:M59"/>
    <mergeCell ref="C60:M60"/>
    <mergeCell ref="L67:L68"/>
    <mergeCell ref="M67:M68"/>
    <mergeCell ref="C67:C68"/>
    <mergeCell ref="D67:D68"/>
    <mergeCell ref="E67:E68"/>
    <mergeCell ref="F67:F68"/>
    <mergeCell ref="G67:G68"/>
    <mergeCell ref="H67:H68"/>
    <mergeCell ref="I67:I68"/>
    <mergeCell ref="G46:G47"/>
    <mergeCell ref="H46:H47"/>
    <mergeCell ref="I46:I47"/>
    <mergeCell ref="L46:L47"/>
    <mergeCell ref="M46:M47"/>
    <mergeCell ref="C48:M48"/>
    <mergeCell ref="E44:F44"/>
    <mergeCell ref="H44:I44"/>
    <mergeCell ref="J44:K44"/>
    <mergeCell ref="L44:M44"/>
    <mergeCell ref="C45:M45"/>
    <mergeCell ref="C46:C47"/>
    <mergeCell ref="D46:D47"/>
    <mergeCell ref="H49:H50"/>
    <mergeCell ref="I49:I50"/>
    <mergeCell ref="L49:L50"/>
    <mergeCell ref="M49:M50"/>
    <mergeCell ref="C51:M51"/>
    <mergeCell ref="E46:E47"/>
    <mergeCell ref="F46:F47"/>
    <mergeCell ref="C49:C50"/>
    <mergeCell ref="D49:D50"/>
    <mergeCell ref="E49:E50"/>
    <mergeCell ref="F49:F50"/>
    <mergeCell ref="G49:G50"/>
    <mergeCell ref="C69:M69"/>
    <mergeCell ref="C70:M70"/>
    <mergeCell ref="C71:I71"/>
    <mergeCell ref="C72:M72"/>
    <mergeCell ref="C73:I73"/>
    <mergeCell ref="C74:M74"/>
    <mergeCell ref="C75:M76"/>
    <mergeCell ref="L85:L86"/>
    <mergeCell ref="M85:M86"/>
    <mergeCell ref="D85:D86"/>
    <mergeCell ref="E85:E86"/>
    <mergeCell ref="F85:F86"/>
    <mergeCell ref="G85:G86"/>
    <mergeCell ref="H85:H86"/>
    <mergeCell ref="I85:I86"/>
    <mergeCell ref="C87:M87"/>
    <mergeCell ref="L94:L95"/>
    <mergeCell ref="M94:M95"/>
    <mergeCell ref="D94:D95"/>
    <mergeCell ref="E94:E95"/>
    <mergeCell ref="F94:F95"/>
    <mergeCell ref="G94:G95"/>
    <mergeCell ref="H94:H95"/>
    <mergeCell ref="I94:I95"/>
    <mergeCell ref="C96:M96"/>
    <mergeCell ref="I97:I98"/>
    <mergeCell ref="L97:L98"/>
    <mergeCell ref="M97:M98"/>
    <mergeCell ref="C99:M99"/>
    <mergeCell ref="N100:O100"/>
    <mergeCell ref="C94:C95"/>
    <mergeCell ref="C97:C98"/>
    <mergeCell ref="D97:D98"/>
    <mergeCell ref="E97:E98"/>
    <mergeCell ref="F97:F98"/>
    <mergeCell ref="G97:G98"/>
    <mergeCell ref="H97:H98"/>
    <mergeCell ref="L100:L101"/>
    <mergeCell ref="M100:M101"/>
    <mergeCell ref="C100:C101"/>
    <mergeCell ref="D100:D101"/>
    <mergeCell ref="E100:E101"/>
    <mergeCell ref="F100:F101"/>
    <mergeCell ref="G100:G101"/>
    <mergeCell ref="H100:H101"/>
    <mergeCell ref="I100:I101"/>
  </mergeCells>
  <printOptions/>
  <pageMargins bottom="0.75" footer="0.0" header="0.0" left="0.7" right="0.7" top="0.75"/>
  <pageSetup paperSize="9" scale="65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3" width="5.63"/>
    <col customWidth="1" min="14" max="15" width="9.13"/>
    <col customWidth="1" min="16" max="26" width="8.0"/>
  </cols>
  <sheetData>
    <row r="1" ht="12.75" customHeight="1">
      <c r="A1" s="187"/>
      <c r="B1" s="187"/>
      <c r="C1" s="188" t="s">
        <v>228</v>
      </c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</row>
    <row r="2" ht="12.75" customHeight="1">
      <c r="A2" s="187"/>
      <c r="B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</row>
    <row r="3" ht="12.75" customHeight="1">
      <c r="A3" s="187"/>
      <c r="B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</row>
    <row r="4" ht="12.75" customHeight="1">
      <c r="A4" s="187"/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</row>
    <row r="5" ht="13.5" customHeight="1">
      <c r="A5" s="187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</row>
    <row r="6" ht="20.25" customHeight="1">
      <c r="A6" s="187"/>
      <c r="B6" s="187"/>
      <c r="C6" s="189" t="s">
        <v>255</v>
      </c>
      <c r="D6" s="103"/>
      <c r="E6" s="103"/>
      <c r="F6" s="103"/>
      <c r="G6" s="103"/>
      <c r="H6" s="103"/>
      <c r="I6" s="103"/>
      <c r="J6" s="103"/>
      <c r="K6" s="103"/>
      <c r="L6" s="103"/>
      <c r="M6" s="104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</row>
    <row r="7" ht="4.5" customHeight="1">
      <c r="A7" s="187"/>
      <c r="B7" s="187"/>
      <c r="C7" s="190"/>
      <c r="D7" s="191"/>
      <c r="E7" s="191"/>
      <c r="F7" s="191"/>
      <c r="G7" s="191"/>
      <c r="H7" s="191"/>
      <c r="I7" s="191"/>
      <c r="J7" s="191"/>
      <c r="K7" s="191"/>
      <c r="L7" s="191"/>
      <c r="M7" s="192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</row>
    <row r="8" ht="4.5" customHeight="1">
      <c r="A8" s="187"/>
      <c r="B8" s="187"/>
      <c r="C8" s="193"/>
      <c r="D8" s="194"/>
      <c r="E8" s="194"/>
      <c r="F8" s="194"/>
      <c r="G8" s="194"/>
      <c r="H8" s="194"/>
      <c r="I8" s="194"/>
      <c r="J8" s="194"/>
      <c r="K8" s="194"/>
      <c r="L8" s="194"/>
      <c r="M8" s="195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</row>
    <row r="9" ht="12.75" customHeight="1">
      <c r="A9" s="187"/>
      <c r="B9" s="187"/>
      <c r="C9" s="247" t="s">
        <v>256</v>
      </c>
      <c r="D9" s="191"/>
      <c r="E9" s="191"/>
      <c r="F9" s="191"/>
      <c r="G9" s="191"/>
      <c r="H9" s="191"/>
      <c r="I9" s="191"/>
      <c r="J9" s="191"/>
      <c r="K9" s="191"/>
      <c r="L9" s="191"/>
      <c r="M9" s="192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</row>
    <row r="10" ht="12.75" customHeight="1">
      <c r="A10" s="187"/>
      <c r="B10" s="187"/>
      <c r="C10" s="193"/>
      <c r="D10" s="194"/>
      <c r="E10" s="194"/>
      <c r="F10" s="194"/>
      <c r="G10" s="194"/>
      <c r="H10" s="194"/>
      <c r="I10" s="194"/>
      <c r="J10" s="194"/>
      <c r="K10" s="194"/>
      <c r="L10" s="194"/>
      <c r="M10" s="195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</row>
    <row r="11" ht="19.5" customHeight="1">
      <c r="A11" s="187"/>
      <c r="B11" s="187"/>
      <c r="C11" s="197" t="s">
        <v>196</v>
      </c>
      <c r="D11" s="198" t="s">
        <v>197</v>
      </c>
      <c r="E11" s="199" t="s">
        <v>181</v>
      </c>
      <c r="F11" s="200"/>
      <c r="G11" s="198" t="s">
        <v>198</v>
      </c>
      <c r="H11" s="199" t="s">
        <v>184</v>
      </c>
      <c r="I11" s="200"/>
      <c r="J11" s="201" t="s">
        <v>199</v>
      </c>
      <c r="K11" s="200"/>
      <c r="L11" s="201" t="s">
        <v>200</v>
      </c>
      <c r="M11" s="202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</row>
    <row r="12" ht="12.75" customHeight="1">
      <c r="A12" s="187"/>
      <c r="B12" s="187"/>
      <c r="C12" s="203"/>
      <c r="M12" s="204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</row>
    <row r="13" ht="13.5" customHeight="1">
      <c r="A13" s="187"/>
      <c r="B13" s="187"/>
      <c r="C13" s="205" t="s">
        <v>201</v>
      </c>
      <c r="D13" s="206" t="s">
        <v>202</v>
      </c>
      <c r="E13" s="207" t="s">
        <v>100</v>
      </c>
      <c r="F13" s="207" t="s">
        <v>106</v>
      </c>
      <c r="G13" s="208" t="s">
        <v>198</v>
      </c>
      <c r="H13" s="207" t="s">
        <v>103</v>
      </c>
      <c r="I13" s="207" t="s">
        <v>109</v>
      </c>
      <c r="J13" s="209">
        <v>1.0</v>
      </c>
      <c r="K13" s="210">
        <v>6.0</v>
      </c>
      <c r="L13" s="211">
        <f>IF(AND(J13&gt;K13,J14&gt;K14),2,IF(J13&gt;K13,1,IF(J14&gt;K14,1,0)))</f>
        <v>0</v>
      </c>
      <c r="M13" s="211">
        <f>IF(AND(K13&gt;J13,K14&gt;J14),2,IF(K13&gt;J13,1,IF(K14&gt;J14,1,0)))</f>
        <v>2</v>
      </c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</row>
    <row r="14" ht="12.75" customHeight="1">
      <c r="A14" s="187"/>
      <c r="B14" s="187"/>
      <c r="C14" s="212"/>
      <c r="D14" s="213"/>
      <c r="E14" s="213"/>
      <c r="F14" s="213"/>
      <c r="G14" s="213"/>
      <c r="H14" s="213"/>
      <c r="I14" s="213"/>
      <c r="J14" s="214">
        <v>1.0</v>
      </c>
      <c r="K14" s="215">
        <v>6.0</v>
      </c>
      <c r="L14" s="213"/>
      <c r="M14" s="213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</row>
    <row r="15" ht="4.5" customHeight="1">
      <c r="A15" s="187"/>
      <c r="B15" s="187"/>
      <c r="C15" s="216"/>
      <c r="D15" s="23"/>
      <c r="E15" s="23"/>
      <c r="F15" s="23"/>
      <c r="G15" s="23"/>
      <c r="H15" s="23"/>
      <c r="I15" s="23"/>
      <c r="J15" s="23"/>
      <c r="K15" s="23"/>
      <c r="L15" s="23"/>
      <c r="M15" s="202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</row>
    <row r="16" ht="12.75" customHeight="1">
      <c r="A16" s="187"/>
      <c r="B16" s="187"/>
      <c r="C16" s="205" t="s">
        <v>201</v>
      </c>
      <c r="D16" s="206" t="s">
        <v>216</v>
      </c>
      <c r="E16" s="207" t="s">
        <v>59</v>
      </c>
      <c r="F16" s="207" t="s">
        <v>73</v>
      </c>
      <c r="G16" s="208" t="s">
        <v>198</v>
      </c>
      <c r="H16" s="207" t="s">
        <v>69</v>
      </c>
      <c r="I16" s="207" t="s">
        <v>75</v>
      </c>
      <c r="J16" s="209">
        <v>1.0</v>
      </c>
      <c r="K16" s="210">
        <v>6.0</v>
      </c>
      <c r="L16" s="211">
        <f>IF(AND(J16&gt;K16,J17&gt;K17),2,IF(J16&gt;K16,1,IF(J17&gt;K17,1,0)))</f>
        <v>0</v>
      </c>
      <c r="M16" s="211">
        <f>IF(AND(K16&gt;J16,K17&gt;J17),2,IF(K16&gt;J16,1,IF(K17&gt;J17,1,0)))</f>
        <v>2</v>
      </c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</row>
    <row r="17" ht="12.75" customHeight="1">
      <c r="A17" s="187"/>
      <c r="B17" s="187"/>
      <c r="C17" s="212"/>
      <c r="D17" s="213"/>
      <c r="E17" s="213"/>
      <c r="F17" s="213"/>
      <c r="G17" s="213"/>
      <c r="H17" s="213"/>
      <c r="I17" s="213"/>
      <c r="J17" s="214">
        <v>4.0</v>
      </c>
      <c r="K17" s="215">
        <v>6.0</v>
      </c>
      <c r="L17" s="213"/>
      <c r="M17" s="213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</row>
    <row r="18" ht="4.5" customHeight="1">
      <c r="A18" s="187"/>
      <c r="B18" s="187"/>
      <c r="C18" s="217"/>
      <c r="D18" s="23"/>
      <c r="E18" s="23"/>
      <c r="F18" s="23"/>
      <c r="G18" s="23"/>
      <c r="H18" s="23"/>
      <c r="I18" s="23"/>
      <c r="J18" s="23"/>
      <c r="K18" s="23"/>
      <c r="L18" s="23"/>
      <c r="M18" s="202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</row>
    <row r="19" ht="12.75" customHeight="1">
      <c r="A19" s="187"/>
      <c r="B19" s="187"/>
      <c r="C19" s="205" t="s">
        <v>206</v>
      </c>
      <c r="D19" s="206" t="s">
        <v>205</v>
      </c>
      <c r="E19" s="207" t="s">
        <v>117</v>
      </c>
      <c r="F19" s="207" t="s">
        <v>122</v>
      </c>
      <c r="G19" s="208" t="s">
        <v>198</v>
      </c>
      <c r="H19" s="207" t="s">
        <v>14</v>
      </c>
      <c r="I19" s="207" t="s">
        <v>131</v>
      </c>
      <c r="J19" s="209">
        <v>2.0</v>
      </c>
      <c r="K19" s="210">
        <v>6.0</v>
      </c>
      <c r="L19" s="211">
        <f>IF(AND(J19&gt;K19,J20&gt;K20),2,IF(J19&gt;K19,1,IF(J20&gt;K20,1,0)))</f>
        <v>0</v>
      </c>
      <c r="M19" s="211">
        <f>IF(AND(K19&gt;J19,K20&gt;J20),2,IF(K19&gt;J19,1,IF(K20&gt;J20,1,0)))</f>
        <v>2</v>
      </c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</row>
    <row r="20" ht="12.75" customHeight="1">
      <c r="A20" s="187"/>
      <c r="B20" s="187"/>
      <c r="C20" s="212"/>
      <c r="D20" s="213"/>
      <c r="E20" s="213"/>
      <c r="F20" s="213"/>
      <c r="G20" s="213"/>
      <c r="H20" s="213"/>
      <c r="I20" s="213"/>
      <c r="J20" s="214">
        <v>6.0</v>
      </c>
      <c r="K20" s="215">
        <v>7.0</v>
      </c>
      <c r="L20" s="213"/>
      <c r="M20" s="213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</row>
    <row r="21" ht="4.5" customHeight="1">
      <c r="A21" s="187"/>
      <c r="B21" s="187"/>
      <c r="C21" s="217"/>
      <c r="D21" s="23"/>
      <c r="E21" s="23"/>
      <c r="F21" s="23"/>
      <c r="G21" s="23"/>
      <c r="H21" s="23"/>
      <c r="I21" s="23"/>
      <c r="J21" s="23"/>
      <c r="K21" s="23"/>
      <c r="L21" s="23"/>
      <c r="M21" s="202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</row>
    <row r="22" ht="12.75" customHeight="1">
      <c r="A22" s="187"/>
      <c r="B22" s="187"/>
      <c r="C22" s="205" t="s">
        <v>206</v>
      </c>
      <c r="D22" s="248"/>
      <c r="E22" s="211"/>
      <c r="F22" s="211"/>
      <c r="G22" s="208"/>
      <c r="H22" s="211"/>
      <c r="I22" s="211"/>
      <c r="J22" s="249"/>
      <c r="K22" s="250"/>
      <c r="L22" s="211">
        <f>IF(AND(J22&gt;K22,J23&gt;K23),2,IF(J22&gt;K22,1,IF(J23&gt;K23,1,0)))</f>
        <v>0</v>
      </c>
      <c r="M22" s="211">
        <f>IF(AND(K22&gt;J22,K23&gt;J23),2,IF(K22&gt;J22,1,IF(K23&gt;J23,1,0)))</f>
        <v>0</v>
      </c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</row>
    <row r="23" ht="12.75" customHeight="1">
      <c r="A23" s="187"/>
      <c r="B23" s="187"/>
      <c r="C23" s="212"/>
      <c r="D23" s="213"/>
      <c r="E23" s="213"/>
      <c r="F23" s="213"/>
      <c r="G23" s="213"/>
      <c r="H23" s="213"/>
      <c r="I23" s="213"/>
      <c r="J23" s="251"/>
      <c r="K23" s="252"/>
      <c r="L23" s="213"/>
      <c r="M23" s="213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</row>
    <row r="24" ht="4.5" customHeight="1">
      <c r="A24" s="187"/>
      <c r="B24" s="187"/>
      <c r="C24" s="217"/>
      <c r="D24" s="23"/>
      <c r="E24" s="23"/>
      <c r="F24" s="23"/>
      <c r="G24" s="23"/>
      <c r="H24" s="23"/>
      <c r="I24" s="23"/>
      <c r="J24" s="23"/>
      <c r="K24" s="23"/>
      <c r="L24" s="23"/>
      <c r="M24" s="202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</row>
    <row r="25" ht="12.75" customHeight="1">
      <c r="A25" s="187"/>
      <c r="B25" s="187"/>
      <c r="C25" s="220" t="s">
        <v>257</v>
      </c>
      <c r="D25" s="23"/>
      <c r="E25" s="23"/>
      <c r="F25" s="23"/>
      <c r="G25" s="23"/>
      <c r="H25" s="23"/>
      <c r="I25" s="200"/>
      <c r="J25" s="221">
        <f t="shared" ref="J25:M25" si="1">SUM(J13:J23)</f>
        <v>15</v>
      </c>
      <c r="K25" s="222">
        <f t="shared" si="1"/>
        <v>37</v>
      </c>
      <c r="L25" s="221">
        <f t="shared" si="1"/>
        <v>0</v>
      </c>
      <c r="M25" s="223">
        <f t="shared" si="1"/>
        <v>6</v>
      </c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</row>
    <row r="26" ht="4.5" customHeight="1">
      <c r="A26" s="187"/>
      <c r="B26" s="187"/>
      <c r="C26" s="224"/>
      <c r="D26" s="23"/>
      <c r="E26" s="23"/>
      <c r="F26" s="23"/>
      <c r="G26" s="23"/>
      <c r="H26" s="23"/>
      <c r="I26" s="23"/>
      <c r="J26" s="23"/>
      <c r="K26" s="23"/>
      <c r="L26" s="23"/>
      <c r="M26" s="202"/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</row>
    <row r="27" ht="12.75" customHeight="1">
      <c r="A27" s="187"/>
      <c r="B27" s="187"/>
      <c r="C27" s="225"/>
      <c r="D27" s="23"/>
      <c r="E27" s="23"/>
      <c r="F27" s="23"/>
      <c r="G27" s="23"/>
      <c r="H27" s="23"/>
      <c r="I27" s="23"/>
      <c r="J27" s="23"/>
      <c r="K27" s="23"/>
      <c r="L27" s="23"/>
      <c r="M27" s="202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</row>
    <row r="28" ht="12.75" customHeight="1">
      <c r="A28" s="187"/>
      <c r="B28" s="187"/>
      <c r="C28" s="205" t="s">
        <v>223</v>
      </c>
      <c r="D28" s="206" t="s">
        <v>212</v>
      </c>
      <c r="E28" s="207" t="s">
        <v>39</v>
      </c>
      <c r="F28" s="207" t="s">
        <v>52</v>
      </c>
      <c r="G28" s="208" t="s">
        <v>198</v>
      </c>
      <c r="H28" s="207" t="s">
        <v>42</v>
      </c>
      <c r="I28" s="207" t="s">
        <v>48</v>
      </c>
      <c r="J28" s="209">
        <v>6.0</v>
      </c>
      <c r="K28" s="210">
        <v>3.0</v>
      </c>
      <c r="L28" s="211">
        <f>IF(AND(J28&gt;K28,J29&gt;K29),2,IF(J28&gt;K28,1,IF(J29&gt;K29,1,0)))</f>
        <v>1</v>
      </c>
      <c r="M28" s="211">
        <f>IF(AND(K28&gt;J28,K29&gt;J29),2,IF(K28&gt;J28,1,IF(K29&gt;J29,1,0)))</f>
        <v>1</v>
      </c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</row>
    <row r="29" ht="12.75" customHeight="1">
      <c r="A29" s="187"/>
      <c r="B29" s="187"/>
      <c r="C29" s="212"/>
      <c r="D29" s="213"/>
      <c r="E29" s="213"/>
      <c r="F29" s="213"/>
      <c r="G29" s="213"/>
      <c r="H29" s="213"/>
      <c r="I29" s="213"/>
      <c r="J29" s="214">
        <v>3.0</v>
      </c>
      <c r="K29" s="215">
        <v>6.0</v>
      </c>
      <c r="L29" s="213"/>
      <c r="M29" s="213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</row>
    <row r="30" ht="4.5" customHeight="1">
      <c r="A30" s="187"/>
      <c r="B30" s="187"/>
      <c r="C30" s="216"/>
      <c r="D30" s="23"/>
      <c r="E30" s="23"/>
      <c r="F30" s="23"/>
      <c r="G30" s="23"/>
      <c r="H30" s="23"/>
      <c r="I30" s="23"/>
      <c r="J30" s="23"/>
      <c r="K30" s="23"/>
      <c r="L30" s="23"/>
      <c r="M30" s="202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</row>
    <row r="31" ht="12.75" customHeight="1">
      <c r="A31" s="226"/>
      <c r="B31" s="187"/>
      <c r="C31" s="218" t="s">
        <v>213</v>
      </c>
      <c r="D31" s="206" t="s">
        <v>207</v>
      </c>
      <c r="E31" s="207" t="s">
        <v>11</v>
      </c>
      <c r="F31" s="207" t="s">
        <v>26</v>
      </c>
      <c r="G31" s="208" t="s">
        <v>198</v>
      </c>
      <c r="H31" s="207" t="s">
        <v>29</v>
      </c>
      <c r="I31" s="207" t="s">
        <v>35</v>
      </c>
      <c r="J31" s="209">
        <v>4.0</v>
      </c>
      <c r="K31" s="210">
        <v>6.0</v>
      </c>
      <c r="L31" s="211">
        <f>IF(AND(J31&gt;K31,J32&gt;K32),2,IF(J31&gt;K31,1,IF(J32&gt;K32,1,0)))</f>
        <v>0</v>
      </c>
      <c r="M31" s="211">
        <f>IF(AND(K31&gt;J31,K32&gt;J32),2,IF(K31&gt;J31,1,IF(K32&gt;J32,1,0)))</f>
        <v>2</v>
      </c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</row>
    <row r="32" ht="12.75" customHeight="1">
      <c r="A32" s="226"/>
      <c r="B32" s="187"/>
      <c r="C32" s="212"/>
      <c r="D32" s="213"/>
      <c r="E32" s="213"/>
      <c r="F32" s="213"/>
      <c r="G32" s="213"/>
      <c r="H32" s="213"/>
      <c r="I32" s="213"/>
      <c r="J32" s="214">
        <v>3.0</v>
      </c>
      <c r="K32" s="215">
        <v>6.0</v>
      </c>
      <c r="L32" s="213"/>
      <c r="M32" s="213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</row>
    <row r="33" ht="4.5" customHeight="1">
      <c r="A33" s="187"/>
      <c r="B33" s="187"/>
      <c r="C33" s="217"/>
      <c r="D33" s="23"/>
      <c r="E33" s="23"/>
      <c r="F33" s="23"/>
      <c r="G33" s="23"/>
      <c r="H33" s="23"/>
      <c r="I33" s="23"/>
      <c r="J33" s="23"/>
      <c r="K33" s="23"/>
      <c r="L33" s="23"/>
      <c r="M33" s="202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</row>
    <row r="34" ht="12.75" customHeight="1">
      <c r="A34" s="187"/>
      <c r="B34" s="187"/>
      <c r="C34" s="218" t="s">
        <v>213</v>
      </c>
      <c r="D34" s="206" t="s">
        <v>214</v>
      </c>
      <c r="E34" s="207" t="s">
        <v>86</v>
      </c>
      <c r="F34" s="207" t="s">
        <v>93</v>
      </c>
      <c r="G34" s="208" t="s">
        <v>198</v>
      </c>
      <c r="H34" s="207" t="s">
        <v>82</v>
      </c>
      <c r="I34" s="207" t="s">
        <v>89</v>
      </c>
      <c r="J34" s="209">
        <v>4.0</v>
      </c>
      <c r="K34" s="210">
        <v>6.0</v>
      </c>
      <c r="L34" s="211">
        <f>IF(AND(J34&gt;K34,J35&gt;K35),2,IF(J34&gt;K34,1,IF(J35&gt;K35,1,0)))</f>
        <v>1</v>
      </c>
      <c r="M34" s="211">
        <f>IF(AND(K34&gt;J34,K35&gt;J35),2,IF(K34&gt;J34,1,IF(K35&gt;J35,1,0)))</f>
        <v>1</v>
      </c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</row>
    <row r="35" ht="12.75" customHeight="1">
      <c r="A35" s="187"/>
      <c r="B35" s="187"/>
      <c r="C35" s="212"/>
      <c r="D35" s="213"/>
      <c r="E35" s="213"/>
      <c r="F35" s="213"/>
      <c r="G35" s="213"/>
      <c r="H35" s="213"/>
      <c r="I35" s="213"/>
      <c r="J35" s="214">
        <v>6.0</v>
      </c>
      <c r="K35" s="215">
        <v>3.0</v>
      </c>
      <c r="L35" s="213"/>
      <c r="M35" s="213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</row>
    <row r="36" ht="4.5" customHeight="1">
      <c r="A36" s="187"/>
      <c r="B36" s="187"/>
      <c r="C36" s="217"/>
      <c r="D36" s="23"/>
      <c r="E36" s="23"/>
      <c r="F36" s="23"/>
      <c r="G36" s="23"/>
      <c r="H36" s="23"/>
      <c r="I36" s="23"/>
      <c r="J36" s="23"/>
      <c r="K36" s="23"/>
      <c r="L36" s="23"/>
      <c r="M36" s="202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</row>
    <row r="37" ht="12.75" customHeight="1">
      <c r="A37" s="187"/>
      <c r="B37" s="187"/>
      <c r="C37" s="218" t="s">
        <v>208</v>
      </c>
      <c r="D37" s="235" t="s">
        <v>209</v>
      </c>
      <c r="E37" s="207" t="s">
        <v>134</v>
      </c>
      <c r="F37" s="207" t="s">
        <v>146</v>
      </c>
      <c r="G37" s="208" t="s">
        <v>198</v>
      </c>
      <c r="H37" s="207" t="s">
        <v>258</v>
      </c>
      <c r="I37" s="207" t="s">
        <v>149</v>
      </c>
      <c r="J37" s="209">
        <v>6.0</v>
      </c>
      <c r="K37" s="210">
        <v>4.0</v>
      </c>
      <c r="L37" s="211">
        <f>IF(AND(J37&gt;K37,J38&gt;K38),2,IF(J37&gt;K37,1,IF(J38&gt;K38,1,0)))</f>
        <v>1</v>
      </c>
      <c r="M37" s="211">
        <f>IF(AND(K37&gt;J37,K38&gt;J38),2,IF(K37&gt;J37,1,IF(K38&gt;J38,1,0)))</f>
        <v>1</v>
      </c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</row>
    <row r="38" ht="12.75" customHeight="1">
      <c r="A38" s="187"/>
      <c r="B38" s="187"/>
      <c r="C38" s="212"/>
      <c r="D38" s="213"/>
      <c r="E38" s="213"/>
      <c r="F38" s="213"/>
      <c r="G38" s="213"/>
      <c r="H38" s="213"/>
      <c r="I38" s="213"/>
      <c r="J38" s="214">
        <v>4.0</v>
      </c>
      <c r="K38" s="215">
        <v>6.0</v>
      </c>
      <c r="L38" s="213"/>
      <c r="M38" s="213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</row>
    <row r="39" ht="4.5" customHeight="1">
      <c r="A39" s="187"/>
      <c r="B39" s="187"/>
      <c r="C39" s="217"/>
      <c r="D39" s="23"/>
      <c r="E39" s="23"/>
      <c r="F39" s="23"/>
      <c r="G39" s="23"/>
      <c r="H39" s="23"/>
      <c r="I39" s="23"/>
      <c r="J39" s="23"/>
      <c r="K39" s="23"/>
      <c r="L39" s="23"/>
      <c r="M39" s="202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</row>
    <row r="40" ht="12.75" customHeight="1">
      <c r="A40" s="187"/>
      <c r="B40" s="187"/>
      <c r="C40" s="220" t="s">
        <v>259</v>
      </c>
      <c r="D40" s="23"/>
      <c r="E40" s="23"/>
      <c r="F40" s="23"/>
      <c r="G40" s="23"/>
      <c r="H40" s="23"/>
      <c r="I40" s="200"/>
      <c r="J40" s="221">
        <f t="shared" ref="J40:M40" si="2">SUM(J28:J38)</f>
        <v>36</v>
      </c>
      <c r="K40" s="222">
        <f t="shared" si="2"/>
        <v>40</v>
      </c>
      <c r="L40" s="221">
        <f t="shared" si="2"/>
        <v>3</v>
      </c>
      <c r="M40" s="223">
        <f t="shared" si="2"/>
        <v>5</v>
      </c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</row>
    <row r="41" ht="4.5" customHeight="1">
      <c r="A41" s="187"/>
      <c r="B41" s="187"/>
      <c r="C41" s="224"/>
      <c r="D41" s="23"/>
      <c r="E41" s="23"/>
      <c r="F41" s="23"/>
      <c r="G41" s="23"/>
      <c r="H41" s="23"/>
      <c r="I41" s="23"/>
      <c r="J41" s="23"/>
      <c r="K41" s="23"/>
      <c r="L41" s="23"/>
      <c r="M41" s="202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</row>
    <row r="42" ht="12.75" customHeight="1">
      <c r="A42" s="187"/>
      <c r="B42" s="187"/>
      <c r="C42" s="228" t="s">
        <v>260</v>
      </c>
      <c r="D42" s="23"/>
      <c r="E42" s="23"/>
      <c r="F42" s="23"/>
      <c r="G42" s="23"/>
      <c r="H42" s="23"/>
      <c r="I42" s="200"/>
      <c r="J42" s="229">
        <f t="shared" ref="J42:M42" si="3">J40+J25</f>
        <v>51</v>
      </c>
      <c r="K42" s="230">
        <f t="shared" si="3"/>
        <v>77</v>
      </c>
      <c r="L42" s="231">
        <f t="shared" si="3"/>
        <v>3</v>
      </c>
      <c r="M42" s="232">
        <f t="shared" si="3"/>
        <v>11</v>
      </c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</row>
    <row r="43" ht="6.75" customHeight="1">
      <c r="A43" s="187"/>
      <c r="B43" s="187"/>
      <c r="C43" s="233"/>
      <c r="D43" s="23"/>
      <c r="E43" s="23"/>
      <c r="F43" s="23"/>
      <c r="G43" s="23"/>
      <c r="H43" s="23"/>
      <c r="I43" s="23"/>
      <c r="J43" s="23"/>
      <c r="K43" s="23"/>
      <c r="L43" s="23"/>
      <c r="M43" s="202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</row>
    <row r="44" ht="7.5" customHeight="1">
      <c r="A44" s="187"/>
      <c r="B44" s="187"/>
      <c r="C44" s="196" t="s">
        <v>219</v>
      </c>
      <c r="D44" s="191"/>
      <c r="E44" s="191"/>
      <c r="F44" s="191"/>
      <c r="G44" s="191"/>
      <c r="H44" s="191"/>
      <c r="I44" s="191"/>
      <c r="J44" s="191"/>
      <c r="K44" s="191"/>
      <c r="L44" s="191"/>
      <c r="M44" s="192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</row>
    <row r="45" ht="12.75" customHeight="1">
      <c r="A45" s="187"/>
      <c r="B45" s="187"/>
      <c r="C45" s="193"/>
      <c r="D45" s="194"/>
      <c r="E45" s="194"/>
      <c r="F45" s="194"/>
      <c r="G45" s="194"/>
      <c r="H45" s="194"/>
      <c r="I45" s="194"/>
      <c r="J45" s="194"/>
      <c r="K45" s="194"/>
      <c r="L45" s="194"/>
      <c r="M45" s="195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</row>
    <row r="46" ht="26.25" customHeight="1">
      <c r="A46" s="187"/>
      <c r="B46" s="187"/>
      <c r="C46" s="197" t="s">
        <v>196</v>
      </c>
      <c r="D46" s="198" t="s">
        <v>197</v>
      </c>
      <c r="E46" s="199" t="s">
        <v>220</v>
      </c>
      <c r="F46" s="200"/>
      <c r="G46" s="198" t="s">
        <v>198</v>
      </c>
      <c r="H46" s="199" t="s">
        <v>180</v>
      </c>
      <c r="I46" s="200"/>
      <c r="J46" s="201" t="s">
        <v>199</v>
      </c>
      <c r="K46" s="200"/>
      <c r="L46" s="201" t="s">
        <v>200</v>
      </c>
      <c r="M46" s="202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</row>
    <row r="47" ht="12.75" customHeight="1">
      <c r="A47" s="187"/>
      <c r="B47" s="187"/>
      <c r="C47" s="234"/>
      <c r="D47" s="23"/>
      <c r="E47" s="23"/>
      <c r="F47" s="23"/>
      <c r="G47" s="23"/>
      <c r="H47" s="23"/>
      <c r="I47" s="23"/>
      <c r="J47" s="23"/>
      <c r="K47" s="23"/>
      <c r="L47" s="23"/>
      <c r="M47" s="202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</row>
    <row r="48" ht="12.75" customHeight="1">
      <c r="A48" s="187"/>
      <c r="B48" s="187"/>
      <c r="C48" s="205" t="s">
        <v>201</v>
      </c>
      <c r="D48" s="206" t="s">
        <v>207</v>
      </c>
      <c r="E48" s="207" t="s">
        <v>27</v>
      </c>
      <c r="F48" s="207" t="s">
        <v>33</v>
      </c>
      <c r="G48" s="208" t="s">
        <v>198</v>
      </c>
      <c r="H48" s="207" t="s">
        <v>18</v>
      </c>
      <c r="I48" s="207" t="s">
        <v>25</v>
      </c>
      <c r="J48" s="209">
        <v>6.0</v>
      </c>
      <c r="K48" s="210">
        <v>1.0</v>
      </c>
      <c r="L48" s="211">
        <f>IF(AND(J48&gt;K48,J49&gt;K49),2,IF(J48&gt;K48,1,IF(J49&gt;K49,1,0)))</f>
        <v>1</v>
      </c>
      <c r="M48" s="211">
        <f>IF(AND(K48&gt;J48,K49&gt;J49),2,IF(K48&gt;J48,1,IF(K49&gt;J49,1,0)))</f>
        <v>1</v>
      </c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</row>
    <row r="49" ht="12.75" customHeight="1">
      <c r="A49" s="187"/>
      <c r="B49" s="187"/>
      <c r="C49" s="212"/>
      <c r="D49" s="213"/>
      <c r="E49" s="213"/>
      <c r="F49" s="213"/>
      <c r="G49" s="213"/>
      <c r="H49" s="213"/>
      <c r="I49" s="213"/>
      <c r="J49" s="214">
        <v>6.0</v>
      </c>
      <c r="K49" s="215">
        <v>7.0</v>
      </c>
      <c r="L49" s="213"/>
      <c r="M49" s="213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 ht="4.5" customHeight="1">
      <c r="A50" s="187"/>
      <c r="B50" s="187"/>
      <c r="C50" s="216"/>
      <c r="D50" s="23"/>
      <c r="E50" s="23"/>
      <c r="F50" s="23"/>
      <c r="G50" s="23"/>
      <c r="H50" s="23"/>
      <c r="I50" s="23"/>
      <c r="J50" s="23"/>
      <c r="K50" s="23"/>
      <c r="L50" s="23"/>
      <c r="M50" s="202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 ht="12.75" customHeight="1">
      <c r="A51" s="187"/>
      <c r="B51" s="187"/>
      <c r="C51" s="205" t="s">
        <v>204</v>
      </c>
      <c r="D51" s="206" t="s">
        <v>202</v>
      </c>
      <c r="E51" s="207" t="s">
        <v>252</v>
      </c>
      <c r="F51" s="207" t="s">
        <v>12</v>
      </c>
      <c r="G51" s="208" t="s">
        <v>198</v>
      </c>
      <c r="H51" s="207" t="s">
        <v>99</v>
      </c>
      <c r="I51" s="207" t="s">
        <v>105</v>
      </c>
      <c r="J51" s="209">
        <v>6.0</v>
      </c>
      <c r="K51" s="210">
        <v>4.0</v>
      </c>
      <c r="L51" s="211">
        <f>IF(AND(J51&gt;K51,J52&gt;K52),2,IF(J51&gt;K51,1,IF(J52&gt;K52,1,0)))</f>
        <v>2</v>
      </c>
      <c r="M51" s="211">
        <f>IF(AND(K51&gt;J51,K52&gt;J52),2,IF(K51&gt;J51,1,IF(K52&gt;J52,1,0)))</f>
        <v>0</v>
      </c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 ht="12.75" customHeight="1">
      <c r="A52" s="187"/>
      <c r="B52" s="187"/>
      <c r="C52" s="212"/>
      <c r="D52" s="213"/>
      <c r="E52" s="213"/>
      <c r="F52" s="213"/>
      <c r="G52" s="213"/>
      <c r="H52" s="213"/>
      <c r="I52" s="213"/>
      <c r="J52" s="214">
        <v>7.0</v>
      </c>
      <c r="K52" s="215">
        <v>5.0</v>
      </c>
      <c r="L52" s="213"/>
      <c r="M52" s="213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 ht="4.5" customHeight="1">
      <c r="A53" s="187"/>
      <c r="B53" s="187"/>
      <c r="C53" s="217"/>
      <c r="D53" s="23"/>
      <c r="E53" s="23"/>
      <c r="F53" s="23"/>
      <c r="G53" s="23"/>
      <c r="H53" s="23"/>
      <c r="I53" s="23"/>
      <c r="J53" s="23"/>
      <c r="K53" s="23"/>
      <c r="L53" s="23"/>
      <c r="M53" s="202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  <row r="54" ht="12.75" customHeight="1">
      <c r="A54" s="187"/>
      <c r="B54" s="187"/>
      <c r="C54" s="205" t="s">
        <v>204</v>
      </c>
      <c r="D54" s="206" t="s">
        <v>205</v>
      </c>
      <c r="E54" s="207" t="s">
        <v>123</v>
      </c>
      <c r="F54" s="207" t="s">
        <v>129</v>
      </c>
      <c r="G54" s="208" t="s">
        <v>198</v>
      </c>
      <c r="H54" s="207" t="s">
        <v>121</v>
      </c>
      <c r="I54" s="207" t="s">
        <v>261</v>
      </c>
      <c r="J54" s="209">
        <v>0.0</v>
      </c>
      <c r="K54" s="210">
        <v>6.0</v>
      </c>
      <c r="L54" s="211">
        <f>IF(AND(J54&gt;K54,J55&gt;K55),2,IF(J54&gt;K54,1,IF(J55&gt;K55,1,0)))</f>
        <v>1</v>
      </c>
      <c r="M54" s="211">
        <f>IF(AND(K54&gt;J54,K55&gt;J55),2,IF(K54&gt;J54,1,IF(K55&gt;J55,1,0)))</f>
        <v>1</v>
      </c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</row>
    <row r="55" ht="12.75" customHeight="1">
      <c r="A55" s="187"/>
      <c r="B55" s="187"/>
      <c r="C55" s="212"/>
      <c r="D55" s="213"/>
      <c r="E55" s="213"/>
      <c r="F55" s="213"/>
      <c r="G55" s="213"/>
      <c r="H55" s="213"/>
      <c r="I55" s="213"/>
      <c r="J55" s="214">
        <v>6.0</v>
      </c>
      <c r="K55" s="215">
        <v>2.0</v>
      </c>
      <c r="L55" s="213"/>
      <c r="M55" s="213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</row>
    <row r="56" ht="4.5" customHeight="1">
      <c r="A56" s="187"/>
      <c r="B56" s="187"/>
      <c r="C56" s="217"/>
      <c r="D56" s="23"/>
      <c r="E56" s="23"/>
      <c r="F56" s="23"/>
      <c r="G56" s="23"/>
      <c r="H56" s="23"/>
      <c r="I56" s="23"/>
      <c r="J56" s="23"/>
      <c r="K56" s="23"/>
      <c r="L56" s="23"/>
      <c r="M56" s="202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</row>
    <row r="57" ht="12.75" customHeight="1">
      <c r="A57" s="187"/>
      <c r="B57" s="187"/>
      <c r="C57" s="205" t="s">
        <v>206</v>
      </c>
      <c r="D57" s="235" t="s">
        <v>214</v>
      </c>
      <c r="E57" s="207" t="s">
        <v>87</v>
      </c>
      <c r="F57" s="207" t="s">
        <v>262</v>
      </c>
      <c r="G57" s="219" t="s">
        <v>198</v>
      </c>
      <c r="H57" s="207" t="s">
        <v>263</v>
      </c>
      <c r="I57" s="207" t="s">
        <v>92</v>
      </c>
      <c r="J57" s="209">
        <v>2.0</v>
      </c>
      <c r="K57" s="210">
        <v>6.0</v>
      </c>
      <c r="L57" s="211">
        <f>IF(AND(J57&gt;K57,J58&gt;K58),2,IF(J57&gt;K57,1,IF(J58&gt;K58,1,0)))</f>
        <v>0</v>
      </c>
      <c r="M57" s="211">
        <f>IF(AND(K57&gt;J57,K58&gt;J58),2,IF(K57&gt;J57,1,IF(K58&gt;J58,1,0)))</f>
        <v>2</v>
      </c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</row>
    <row r="58" ht="12.75" customHeight="1">
      <c r="A58" s="187"/>
      <c r="B58" s="187"/>
      <c r="C58" s="212"/>
      <c r="D58" s="213"/>
      <c r="E58" s="213"/>
      <c r="F58" s="213"/>
      <c r="G58" s="213"/>
      <c r="H58" s="213"/>
      <c r="I58" s="213"/>
      <c r="J58" s="214">
        <v>0.0</v>
      </c>
      <c r="K58" s="215">
        <v>6.0</v>
      </c>
      <c r="L58" s="213"/>
      <c r="M58" s="213"/>
      <c r="N58" s="245" t="s">
        <v>264</v>
      </c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</row>
    <row r="59" ht="4.5" customHeight="1">
      <c r="A59" s="187"/>
      <c r="B59" s="187"/>
      <c r="C59" s="253"/>
      <c r="D59" s="254"/>
      <c r="E59" s="254"/>
      <c r="F59" s="254"/>
      <c r="G59" s="254"/>
      <c r="H59" s="254"/>
      <c r="I59" s="254"/>
      <c r="J59" s="254"/>
      <c r="K59" s="254"/>
      <c r="L59" s="254"/>
      <c r="M59" s="255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</row>
    <row r="60" ht="12.75" customHeight="1">
      <c r="A60" s="187"/>
      <c r="B60" s="187"/>
      <c r="C60" s="220" t="s">
        <v>257</v>
      </c>
      <c r="D60" s="23"/>
      <c r="E60" s="23"/>
      <c r="F60" s="23"/>
      <c r="G60" s="23"/>
      <c r="H60" s="23"/>
      <c r="I60" s="200"/>
      <c r="J60" s="221">
        <f t="shared" ref="J60:M60" si="4">SUM(J48:J58)</f>
        <v>33</v>
      </c>
      <c r="K60" s="222">
        <f t="shared" si="4"/>
        <v>37</v>
      </c>
      <c r="L60" s="221">
        <f t="shared" si="4"/>
        <v>4</v>
      </c>
      <c r="M60" s="223">
        <f t="shared" si="4"/>
        <v>4</v>
      </c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</row>
    <row r="61" ht="4.5" customHeight="1">
      <c r="A61" s="187"/>
      <c r="B61" s="187"/>
      <c r="C61" s="224"/>
      <c r="D61" s="23"/>
      <c r="E61" s="23"/>
      <c r="F61" s="23"/>
      <c r="G61" s="23"/>
      <c r="H61" s="23"/>
      <c r="I61" s="23"/>
      <c r="J61" s="23"/>
      <c r="K61" s="23"/>
      <c r="L61" s="23"/>
      <c r="M61" s="202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</row>
    <row r="62" ht="12.75" customHeight="1">
      <c r="A62" s="187"/>
      <c r="B62" s="187"/>
      <c r="C62" s="225"/>
      <c r="D62" s="23"/>
      <c r="E62" s="23"/>
      <c r="F62" s="23"/>
      <c r="G62" s="23"/>
      <c r="H62" s="23"/>
      <c r="I62" s="23"/>
      <c r="J62" s="23"/>
      <c r="K62" s="23"/>
      <c r="L62" s="23"/>
      <c r="M62" s="202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</row>
    <row r="63" ht="12.75" customHeight="1">
      <c r="A63" s="187"/>
      <c r="B63" s="187"/>
      <c r="C63" s="205" t="s">
        <v>223</v>
      </c>
      <c r="D63" s="206" t="s">
        <v>216</v>
      </c>
      <c r="E63" s="207" t="s">
        <v>251</v>
      </c>
      <c r="F63" s="207" t="s">
        <v>265</v>
      </c>
      <c r="G63" s="208" t="s">
        <v>198</v>
      </c>
      <c r="H63" s="207" t="s">
        <v>58</v>
      </c>
      <c r="I63" s="207" t="s">
        <v>72</v>
      </c>
      <c r="J63" s="209">
        <v>6.0</v>
      </c>
      <c r="K63" s="210">
        <v>2.0</v>
      </c>
      <c r="L63" s="211">
        <f>IF(AND(J63&gt;K63,J64&gt;K64),2,IF(J63&gt;K63,1,IF(J64&gt;K64,1,0)))</f>
        <v>1</v>
      </c>
      <c r="M63" s="211">
        <f>IF(AND(K63&gt;J63,K64&gt;J64),2,IF(K63&gt;J63,1,IF(K64&gt;J64,1,0)))</f>
        <v>1</v>
      </c>
      <c r="N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</row>
    <row r="64" ht="12.75" customHeight="1">
      <c r="A64" s="187"/>
      <c r="B64" s="187"/>
      <c r="C64" s="212"/>
      <c r="D64" s="213"/>
      <c r="E64" s="213"/>
      <c r="F64" s="213"/>
      <c r="G64" s="213"/>
      <c r="H64" s="213"/>
      <c r="I64" s="213"/>
      <c r="J64" s="214">
        <v>2.0</v>
      </c>
      <c r="K64" s="215">
        <v>6.0</v>
      </c>
      <c r="L64" s="213"/>
      <c r="M64" s="213"/>
      <c r="N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</row>
    <row r="65" ht="4.5" customHeight="1">
      <c r="A65" s="187"/>
      <c r="B65" s="187"/>
      <c r="C65" s="216"/>
      <c r="D65" s="23"/>
      <c r="E65" s="23"/>
      <c r="F65" s="23"/>
      <c r="G65" s="23"/>
      <c r="H65" s="23"/>
      <c r="I65" s="23"/>
      <c r="J65" s="23"/>
      <c r="K65" s="23"/>
      <c r="L65" s="23"/>
      <c r="M65" s="202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</row>
    <row r="66" ht="12.75" customHeight="1">
      <c r="A66" s="187"/>
      <c r="B66" s="187"/>
      <c r="C66" s="218" t="s">
        <v>213</v>
      </c>
      <c r="D66" s="206" t="s">
        <v>212</v>
      </c>
      <c r="E66" s="207" t="s">
        <v>46</v>
      </c>
      <c r="F66" s="207" t="s">
        <v>40</v>
      </c>
      <c r="G66" s="208" t="s">
        <v>198</v>
      </c>
      <c r="H66" s="207" t="s">
        <v>38</v>
      </c>
      <c r="I66" s="207" t="s">
        <v>44</v>
      </c>
      <c r="J66" s="209">
        <v>6.0</v>
      </c>
      <c r="K66" s="210">
        <v>7.0</v>
      </c>
      <c r="L66" s="211">
        <f>IF(AND(J66&gt;K66,J67&gt;K67),2,IF(J66&gt;K66,1,IF(J67&gt;K67,1,0)))</f>
        <v>1</v>
      </c>
      <c r="M66" s="211">
        <f>IF(AND(K66&gt;J66,K67&gt;J67),2,IF(K66&gt;J66,1,IF(K67&gt;J67,1,0)))</f>
        <v>1</v>
      </c>
      <c r="N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</row>
    <row r="67" ht="12.75" customHeight="1">
      <c r="A67" s="187"/>
      <c r="B67" s="187"/>
      <c r="C67" s="212"/>
      <c r="D67" s="213"/>
      <c r="E67" s="213"/>
      <c r="F67" s="213"/>
      <c r="G67" s="213"/>
      <c r="H67" s="213"/>
      <c r="I67" s="213"/>
      <c r="J67" s="214">
        <v>6.0</v>
      </c>
      <c r="K67" s="215">
        <v>4.0</v>
      </c>
      <c r="L67" s="213"/>
      <c r="M67" s="213"/>
      <c r="N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</row>
    <row r="68" ht="4.5" customHeight="1">
      <c r="A68" s="187"/>
      <c r="B68" s="187"/>
      <c r="C68" s="217"/>
      <c r="D68" s="23"/>
      <c r="E68" s="23"/>
      <c r="F68" s="23"/>
      <c r="G68" s="23"/>
      <c r="H68" s="23"/>
      <c r="I68" s="23"/>
      <c r="J68" s="23"/>
      <c r="K68" s="23"/>
      <c r="L68" s="23"/>
      <c r="M68" s="202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</row>
    <row r="69" ht="12.75" customHeight="1">
      <c r="A69" s="187"/>
      <c r="B69" s="187"/>
      <c r="C69" s="205" t="s">
        <v>254</v>
      </c>
      <c r="D69" s="206" t="s">
        <v>209</v>
      </c>
      <c r="E69" s="207" t="s">
        <v>141</v>
      </c>
      <c r="F69" s="207" t="s">
        <v>147</v>
      </c>
      <c r="G69" s="208" t="s">
        <v>198</v>
      </c>
      <c r="H69" s="207" t="s">
        <v>139</v>
      </c>
      <c r="I69" s="207" t="s">
        <v>145</v>
      </c>
      <c r="J69" s="209">
        <v>4.0</v>
      </c>
      <c r="K69" s="210">
        <v>6.0</v>
      </c>
      <c r="L69" s="211">
        <f>IF(AND(J69&gt;K69,J70&gt;K70),2,IF(J69&gt;K69,1,IF(J70&gt;K70,1,0)))</f>
        <v>1</v>
      </c>
      <c r="M69" s="211">
        <f>IF(AND(K69&gt;J69,K70&gt;J70),2,IF(K69&gt;J69,1,IF(K70&gt;J70,1,0)))</f>
        <v>1</v>
      </c>
      <c r="N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</row>
    <row r="70" ht="12.75" customHeight="1">
      <c r="A70" s="187"/>
      <c r="B70" s="187"/>
      <c r="C70" s="212"/>
      <c r="D70" s="213"/>
      <c r="E70" s="213"/>
      <c r="F70" s="213"/>
      <c r="G70" s="213"/>
      <c r="H70" s="213"/>
      <c r="I70" s="213"/>
      <c r="J70" s="214">
        <v>6.0</v>
      </c>
      <c r="K70" s="215">
        <v>2.0</v>
      </c>
      <c r="L70" s="213"/>
      <c r="M70" s="213"/>
      <c r="N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</row>
    <row r="71" ht="4.5" customHeight="1">
      <c r="A71" s="187"/>
      <c r="B71" s="187"/>
      <c r="C71" s="217"/>
      <c r="D71" s="23"/>
      <c r="E71" s="23"/>
      <c r="F71" s="23"/>
      <c r="G71" s="23"/>
      <c r="H71" s="23"/>
      <c r="I71" s="23"/>
      <c r="J71" s="23"/>
      <c r="K71" s="23"/>
      <c r="L71" s="23"/>
      <c r="M71" s="202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</row>
    <row r="72" ht="12.75" customHeight="1">
      <c r="A72" s="187"/>
      <c r="B72" s="187"/>
      <c r="C72" s="205"/>
      <c r="D72" s="248"/>
      <c r="E72" s="211"/>
      <c r="F72" s="211"/>
      <c r="G72" s="208"/>
      <c r="H72" s="211"/>
      <c r="I72" s="211"/>
      <c r="J72" s="249"/>
      <c r="K72" s="250"/>
      <c r="L72" s="211">
        <f>IF(AND(J72&gt;K72,J73&gt;K73),2,IF(J72&gt;K72,1,IF(J73&gt;K73,1,0)))</f>
        <v>0</v>
      </c>
      <c r="M72" s="211">
        <f>IF(AND(K72&gt;J72,K73&gt;J73),2,IF(K72&gt;J72,1,IF(K73&gt;J73,1,0)))</f>
        <v>0</v>
      </c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</row>
    <row r="73" ht="12.75" customHeight="1">
      <c r="A73" s="187"/>
      <c r="B73" s="187"/>
      <c r="C73" s="212"/>
      <c r="D73" s="213"/>
      <c r="E73" s="213"/>
      <c r="F73" s="213"/>
      <c r="G73" s="213"/>
      <c r="H73" s="213"/>
      <c r="I73" s="213"/>
      <c r="J73" s="251"/>
      <c r="K73" s="252"/>
      <c r="L73" s="213"/>
      <c r="M73" s="213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</row>
    <row r="74" ht="4.5" customHeight="1">
      <c r="A74" s="187"/>
      <c r="B74" s="187"/>
      <c r="C74" s="217"/>
      <c r="D74" s="23"/>
      <c r="E74" s="23"/>
      <c r="F74" s="23"/>
      <c r="G74" s="23"/>
      <c r="H74" s="23"/>
      <c r="I74" s="23"/>
      <c r="J74" s="23"/>
      <c r="K74" s="23"/>
      <c r="L74" s="23"/>
      <c r="M74" s="202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</row>
    <row r="75" ht="12.75" customHeight="1">
      <c r="A75" s="187"/>
      <c r="B75" s="187"/>
      <c r="C75" s="220" t="s">
        <v>259</v>
      </c>
      <c r="D75" s="23"/>
      <c r="E75" s="23"/>
      <c r="F75" s="23"/>
      <c r="G75" s="23"/>
      <c r="H75" s="23"/>
      <c r="I75" s="200"/>
      <c r="J75" s="221">
        <f t="shared" ref="J75:M75" si="5">SUM(J63:J73)</f>
        <v>30</v>
      </c>
      <c r="K75" s="222">
        <f t="shared" si="5"/>
        <v>27</v>
      </c>
      <c r="L75" s="221">
        <f t="shared" si="5"/>
        <v>3</v>
      </c>
      <c r="M75" s="223">
        <f t="shared" si="5"/>
        <v>3</v>
      </c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</row>
    <row r="76" ht="4.5" customHeight="1">
      <c r="A76" s="187"/>
      <c r="B76" s="187"/>
      <c r="C76" s="224"/>
      <c r="D76" s="23"/>
      <c r="E76" s="23"/>
      <c r="F76" s="23"/>
      <c r="G76" s="23"/>
      <c r="H76" s="23"/>
      <c r="I76" s="23"/>
      <c r="J76" s="23"/>
      <c r="K76" s="23"/>
      <c r="L76" s="23"/>
      <c r="M76" s="202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</row>
    <row r="77" ht="12.75" customHeight="1">
      <c r="A77" s="187"/>
      <c r="B77" s="187"/>
      <c r="C77" s="228" t="s">
        <v>260</v>
      </c>
      <c r="D77" s="23"/>
      <c r="E77" s="23"/>
      <c r="F77" s="23"/>
      <c r="G77" s="23"/>
      <c r="H77" s="23"/>
      <c r="I77" s="200"/>
      <c r="J77" s="229">
        <f t="shared" ref="J77:M77" si="6">J75+J60</f>
        <v>63</v>
      </c>
      <c r="K77" s="230">
        <f t="shared" si="6"/>
        <v>64</v>
      </c>
      <c r="L77" s="231">
        <f t="shared" si="6"/>
        <v>7</v>
      </c>
      <c r="M77" s="232">
        <f t="shared" si="6"/>
        <v>7</v>
      </c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</row>
    <row r="78" ht="6.75" customHeight="1">
      <c r="A78" s="187"/>
      <c r="B78" s="187"/>
      <c r="C78" s="233"/>
      <c r="D78" s="23"/>
      <c r="E78" s="23"/>
      <c r="F78" s="23"/>
      <c r="G78" s="23"/>
      <c r="H78" s="23"/>
      <c r="I78" s="23"/>
      <c r="J78" s="23"/>
      <c r="K78" s="23"/>
      <c r="L78" s="23"/>
      <c r="M78" s="202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</row>
    <row r="79" ht="12.75" customHeight="1">
      <c r="A79" s="187"/>
      <c r="B79" s="187"/>
      <c r="C79" s="196" t="s">
        <v>225</v>
      </c>
      <c r="D79" s="191"/>
      <c r="E79" s="191"/>
      <c r="F79" s="191"/>
      <c r="G79" s="191"/>
      <c r="H79" s="191"/>
      <c r="I79" s="191"/>
      <c r="J79" s="191"/>
      <c r="K79" s="191"/>
      <c r="L79" s="191"/>
      <c r="M79" s="192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</row>
    <row r="80" ht="12.75" customHeight="1">
      <c r="A80" s="187"/>
      <c r="B80" s="187"/>
      <c r="C80" s="193"/>
      <c r="D80" s="194"/>
      <c r="E80" s="194"/>
      <c r="F80" s="194"/>
      <c r="G80" s="194"/>
      <c r="H80" s="194"/>
      <c r="I80" s="194"/>
      <c r="J80" s="194"/>
      <c r="K80" s="194"/>
      <c r="L80" s="194"/>
      <c r="M80" s="195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</row>
    <row r="81" ht="26.25" customHeight="1">
      <c r="A81" s="187"/>
      <c r="B81" s="187"/>
      <c r="C81" s="236" t="s">
        <v>196</v>
      </c>
      <c r="D81" s="201" t="s">
        <v>197</v>
      </c>
      <c r="E81" s="199" t="s">
        <v>177</v>
      </c>
      <c r="F81" s="200"/>
      <c r="G81" s="198" t="s">
        <v>198</v>
      </c>
      <c r="H81" s="199" t="s">
        <v>183</v>
      </c>
      <c r="I81" s="200"/>
      <c r="J81" s="237"/>
      <c r="K81" s="200"/>
      <c r="L81" s="201"/>
      <c r="M81" s="202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</row>
    <row r="82" ht="12.75" customHeight="1">
      <c r="A82" s="187"/>
      <c r="B82" s="187"/>
      <c r="C82" s="203"/>
      <c r="M82" s="204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</row>
    <row r="83" ht="12.75" customHeight="1">
      <c r="A83" s="187"/>
      <c r="B83" s="187"/>
      <c r="C83" s="205" t="s">
        <v>201</v>
      </c>
      <c r="D83" s="206" t="s">
        <v>207</v>
      </c>
      <c r="E83" s="207" t="s">
        <v>17</v>
      </c>
      <c r="F83" s="207" t="s">
        <v>24</v>
      </c>
      <c r="G83" s="208" t="s">
        <v>198</v>
      </c>
      <c r="H83" s="207" t="s">
        <v>266</v>
      </c>
      <c r="I83" s="207" t="s">
        <v>34</v>
      </c>
      <c r="J83" s="209">
        <v>6.0</v>
      </c>
      <c r="K83" s="210">
        <v>4.0</v>
      </c>
      <c r="L83" s="211">
        <f>IF(AND(J83&gt;K83,J84&gt;K84),2,IF(J83&gt;K83,1,IF(J84&gt;K84,1,0)))</f>
        <v>2</v>
      </c>
      <c r="M83" s="211">
        <f>IF(AND(K83&gt;J83,K84&gt;J84),2,IF(K83&gt;J83,1,IF(K84&gt;J84,1,0)))</f>
        <v>0</v>
      </c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</row>
    <row r="84" ht="12.75" customHeight="1">
      <c r="A84" s="187"/>
      <c r="B84" s="187"/>
      <c r="C84" s="212"/>
      <c r="D84" s="213"/>
      <c r="E84" s="213"/>
      <c r="F84" s="213"/>
      <c r="G84" s="213"/>
      <c r="H84" s="213"/>
      <c r="I84" s="213"/>
      <c r="J84" s="214">
        <v>6.0</v>
      </c>
      <c r="K84" s="215">
        <v>4.0</v>
      </c>
      <c r="L84" s="213"/>
      <c r="M84" s="213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</row>
    <row r="85" ht="4.5" customHeight="1">
      <c r="A85" s="187"/>
      <c r="B85" s="187"/>
      <c r="C85" s="216"/>
      <c r="D85" s="23"/>
      <c r="E85" s="23"/>
      <c r="F85" s="23"/>
      <c r="G85" s="23"/>
      <c r="H85" s="23"/>
      <c r="I85" s="23"/>
      <c r="J85" s="23"/>
      <c r="K85" s="23"/>
      <c r="L85" s="23"/>
      <c r="M85" s="202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</row>
    <row r="86" ht="12.75" customHeight="1">
      <c r="A86" s="187"/>
      <c r="B86" s="187"/>
      <c r="C86" s="205" t="s">
        <v>204</v>
      </c>
      <c r="D86" s="206" t="s">
        <v>202</v>
      </c>
      <c r="E86" s="207" t="s">
        <v>98</v>
      </c>
      <c r="F86" s="207" t="s">
        <v>110</v>
      </c>
      <c r="G86" s="208" t="s">
        <v>198</v>
      </c>
      <c r="H86" s="207" t="s">
        <v>102</v>
      </c>
      <c r="I86" s="207" t="s">
        <v>108</v>
      </c>
      <c r="J86" s="209">
        <v>0.0</v>
      </c>
      <c r="K86" s="210">
        <v>6.0</v>
      </c>
      <c r="L86" s="211">
        <f>IF(AND(J86&gt;K86,J87&gt;K87),2,IF(J86&gt;K86,1,IF(J87&gt;K87,1,0)))</f>
        <v>0</v>
      </c>
      <c r="M86" s="211">
        <f>IF(AND(K86&gt;J86,K87&gt;J87),2,IF(K86&gt;J86,1,IF(K87&gt;J87,1,0)))</f>
        <v>2</v>
      </c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</row>
    <row r="87" ht="12.75" customHeight="1">
      <c r="A87" s="187"/>
      <c r="B87" s="187"/>
      <c r="C87" s="212"/>
      <c r="D87" s="213"/>
      <c r="E87" s="213"/>
      <c r="F87" s="213"/>
      <c r="G87" s="213"/>
      <c r="H87" s="213"/>
      <c r="I87" s="213"/>
      <c r="J87" s="214">
        <v>3.0</v>
      </c>
      <c r="K87" s="215">
        <v>6.0</v>
      </c>
      <c r="L87" s="213"/>
      <c r="M87" s="213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</row>
    <row r="88" ht="4.5" customHeight="1">
      <c r="A88" s="187"/>
      <c r="B88" s="187"/>
      <c r="C88" s="217"/>
      <c r="D88" s="23"/>
      <c r="E88" s="23"/>
      <c r="F88" s="23"/>
      <c r="G88" s="23"/>
      <c r="H88" s="23"/>
      <c r="I88" s="23"/>
      <c r="J88" s="23"/>
      <c r="K88" s="23"/>
      <c r="L88" s="23"/>
      <c r="M88" s="202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</row>
    <row r="89" ht="12.75" customHeight="1">
      <c r="A89" s="187"/>
      <c r="B89" s="187"/>
      <c r="C89" s="205" t="s">
        <v>206</v>
      </c>
      <c r="D89" s="206" t="s">
        <v>209</v>
      </c>
      <c r="E89" s="207" t="s">
        <v>138</v>
      </c>
      <c r="F89" s="207" t="s">
        <v>144</v>
      </c>
      <c r="G89" s="208" t="s">
        <v>198</v>
      </c>
      <c r="H89" s="207" t="s">
        <v>136</v>
      </c>
      <c r="I89" s="207" t="s">
        <v>222</v>
      </c>
      <c r="J89" s="209">
        <v>6.0</v>
      </c>
      <c r="K89" s="210">
        <v>0.0</v>
      </c>
      <c r="L89" s="211">
        <f>IF(AND(J89&gt;K89,J90&gt;K90),2,IF(J89&gt;K89,1,IF(J90&gt;K90,1,0)))</f>
        <v>1</v>
      </c>
      <c r="M89" s="211">
        <f>IF(AND(K89&gt;J89,K90&gt;J90),2,IF(K89&gt;J89,1,IF(K90&gt;J90,1,0)))</f>
        <v>1</v>
      </c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</row>
    <row r="90" ht="12.75" customHeight="1">
      <c r="A90" s="187"/>
      <c r="B90" s="187"/>
      <c r="C90" s="212"/>
      <c r="D90" s="213"/>
      <c r="E90" s="213"/>
      <c r="F90" s="213"/>
      <c r="G90" s="213"/>
      <c r="H90" s="213"/>
      <c r="I90" s="213"/>
      <c r="J90" s="214">
        <v>2.0</v>
      </c>
      <c r="K90" s="215">
        <v>6.0</v>
      </c>
      <c r="L90" s="213"/>
      <c r="M90" s="213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</row>
    <row r="91" ht="4.5" customHeight="1">
      <c r="A91" s="187"/>
      <c r="B91" s="187"/>
      <c r="C91" s="217"/>
      <c r="D91" s="23"/>
      <c r="E91" s="23"/>
      <c r="F91" s="23"/>
      <c r="G91" s="23"/>
      <c r="H91" s="23"/>
      <c r="I91" s="23"/>
      <c r="J91" s="23"/>
      <c r="K91" s="23"/>
      <c r="L91" s="23"/>
      <c r="M91" s="202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</row>
    <row r="92" ht="12.75" customHeight="1">
      <c r="A92" s="187"/>
      <c r="B92" s="187"/>
      <c r="C92" s="205"/>
      <c r="D92" s="248"/>
      <c r="E92" s="211"/>
      <c r="F92" s="211"/>
      <c r="G92" s="208"/>
      <c r="H92" s="211"/>
      <c r="I92" s="211"/>
      <c r="J92" s="249"/>
      <c r="K92" s="250"/>
      <c r="L92" s="211">
        <f>IF(AND(J92&gt;K92,J93&gt;K93),2,IF(J92&gt;K92,1,IF(J93&gt;K93,1,0)))</f>
        <v>0</v>
      </c>
      <c r="M92" s="211">
        <f>IF(AND(K92&gt;J92,K93&gt;J93),2,IF(K92&gt;J92,1,IF(K93&gt;J93,1,0)))</f>
        <v>0</v>
      </c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</row>
    <row r="93" ht="12.75" customHeight="1">
      <c r="A93" s="187"/>
      <c r="B93" s="187"/>
      <c r="C93" s="212"/>
      <c r="D93" s="213"/>
      <c r="E93" s="213"/>
      <c r="F93" s="213"/>
      <c r="G93" s="213"/>
      <c r="H93" s="213"/>
      <c r="I93" s="213"/>
      <c r="J93" s="251"/>
      <c r="K93" s="252"/>
      <c r="L93" s="213"/>
      <c r="M93" s="213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</row>
    <row r="94" ht="4.5" customHeight="1">
      <c r="A94" s="187"/>
      <c r="B94" s="187"/>
      <c r="C94" s="253"/>
      <c r="D94" s="254"/>
      <c r="E94" s="254"/>
      <c r="F94" s="254"/>
      <c r="G94" s="254"/>
      <c r="H94" s="254"/>
      <c r="I94" s="254"/>
      <c r="J94" s="254"/>
      <c r="K94" s="254"/>
      <c r="L94" s="254"/>
      <c r="M94" s="255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</row>
    <row r="95" ht="12.75" customHeight="1">
      <c r="A95" s="187"/>
      <c r="B95" s="187"/>
      <c r="C95" s="220" t="s">
        <v>257</v>
      </c>
      <c r="D95" s="23"/>
      <c r="E95" s="23"/>
      <c r="F95" s="23"/>
      <c r="G95" s="23"/>
      <c r="H95" s="23"/>
      <c r="I95" s="200"/>
      <c r="J95" s="221">
        <f t="shared" ref="J95:M95" si="7">SUM(J83:J93)</f>
        <v>23</v>
      </c>
      <c r="K95" s="222">
        <f t="shared" si="7"/>
        <v>26</v>
      </c>
      <c r="L95" s="221">
        <f t="shared" si="7"/>
        <v>3</v>
      </c>
      <c r="M95" s="223">
        <f t="shared" si="7"/>
        <v>3</v>
      </c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</row>
    <row r="96" ht="4.5" customHeight="1">
      <c r="A96" s="187"/>
      <c r="B96" s="187"/>
      <c r="C96" s="224"/>
      <c r="D96" s="23"/>
      <c r="E96" s="23"/>
      <c r="F96" s="23"/>
      <c r="G96" s="23"/>
      <c r="H96" s="23"/>
      <c r="I96" s="23"/>
      <c r="J96" s="23"/>
      <c r="K96" s="23"/>
      <c r="L96" s="23"/>
      <c r="M96" s="202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</row>
    <row r="97" ht="12.75" customHeight="1">
      <c r="A97" s="187"/>
      <c r="B97" s="187"/>
      <c r="C97" s="225"/>
      <c r="D97" s="23"/>
      <c r="E97" s="23"/>
      <c r="F97" s="23"/>
      <c r="G97" s="23"/>
      <c r="H97" s="23"/>
      <c r="I97" s="23"/>
      <c r="J97" s="23"/>
      <c r="K97" s="23"/>
      <c r="L97" s="23"/>
      <c r="M97" s="202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</row>
    <row r="98" ht="12.75" customHeight="1">
      <c r="A98" s="187"/>
      <c r="B98" s="187"/>
      <c r="C98" s="205" t="s">
        <v>223</v>
      </c>
      <c r="D98" s="206" t="s">
        <v>212</v>
      </c>
      <c r="E98" s="207" t="s">
        <v>9</v>
      </c>
      <c r="F98" s="207" t="s">
        <v>50</v>
      </c>
      <c r="G98" s="208" t="s">
        <v>198</v>
      </c>
      <c r="H98" s="207" t="s">
        <v>41</v>
      </c>
      <c r="I98" s="207" t="s">
        <v>54</v>
      </c>
      <c r="J98" s="209">
        <v>2.0</v>
      </c>
      <c r="K98" s="210">
        <v>6.0</v>
      </c>
      <c r="L98" s="211">
        <f>IF(AND(J98&gt;K98,J99&gt;K99),2,IF(J98&gt;K98,1,IF(J99&gt;K99,1,0)))</f>
        <v>1</v>
      </c>
      <c r="M98" s="211">
        <f>IF(AND(K98&gt;J98,K99&gt;J99),2,IF(K98&gt;J98,1,IF(K99&gt;J99,1,0)))</f>
        <v>1</v>
      </c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</row>
    <row r="99" ht="12.75" customHeight="1">
      <c r="A99" s="187"/>
      <c r="B99" s="187"/>
      <c r="C99" s="212"/>
      <c r="D99" s="213"/>
      <c r="E99" s="213"/>
      <c r="F99" s="213"/>
      <c r="G99" s="213"/>
      <c r="H99" s="213"/>
      <c r="I99" s="213"/>
      <c r="J99" s="214">
        <v>6.0</v>
      </c>
      <c r="K99" s="215">
        <v>4.0</v>
      </c>
      <c r="L99" s="213"/>
      <c r="M99" s="213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</row>
    <row r="100" ht="4.5" customHeight="1">
      <c r="A100" s="187"/>
      <c r="B100" s="187"/>
      <c r="C100" s="216"/>
      <c r="D100" s="23"/>
      <c r="E100" s="23"/>
      <c r="F100" s="23"/>
      <c r="G100" s="23"/>
      <c r="H100" s="23"/>
      <c r="I100" s="23"/>
      <c r="J100" s="23"/>
      <c r="K100" s="23"/>
      <c r="L100" s="23"/>
      <c r="M100" s="202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</row>
    <row r="101" ht="12.75" customHeight="1">
      <c r="A101" s="187"/>
      <c r="B101" s="187"/>
      <c r="C101" s="218" t="s">
        <v>213</v>
      </c>
      <c r="D101" s="206" t="s">
        <v>216</v>
      </c>
      <c r="E101" s="207" t="s">
        <v>57</v>
      </c>
      <c r="F101" s="207" t="s">
        <v>64</v>
      </c>
      <c r="G101" s="208" t="s">
        <v>198</v>
      </c>
      <c r="H101" s="207" t="s">
        <v>13</v>
      </c>
      <c r="I101" s="207" t="s">
        <v>61</v>
      </c>
      <c r="J101" s="209">
        <v>2.0</v>
      </c>
      <c r="K101" s="210">
        <v>6.0</v>
      </c>
      <c r="L101" s="211">
        <f>IF(AND(J101&gt;K101,J102&gt;K102),2,IF(J101&gt;K101,1,IF(J102&gt;K102,1,0)))</f>
        <v>1</v>
      </c>
      <c r="M101" s="211">
        <f>IF(AND(K101&gt;J101,K102&gt;J102),2,IF(K101&gt;J101,1,IF(K102&gt;J102,1,0)))</f>
        <v>1</v>
      </c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</row>
    <row r="102" ht="12.75" customHeight="1">
      <c r="A102" s="187"/>
      <c r="B102" s="187"/>
      <c r="C102" s="212"/>
      <c r="D102" s="213"/>
      <c r="E102" s="213"/>
      <c r="F102" s="213"/>
      <c r="G102" s="213"/>
      <c r="H102" s="213"/>
      <c r="I102" s="213"/>
      <c r="J102" s="214">
        <v>7.0</v>
      </c>
      <c r="K102" s="215">
        <v>5.0</v>
      </c>
      <c r="L102" s="213"/>
      <c r="M102" s="213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</row>
    <row r="103" ht="4.5" customHeight="1">
      <c r="A103" s="187"/>
      <c r="B103" s="187"/>
      <c r="C103" s="217"/>
      <c r="D103" s="23"/>
      <c r="E103" s="23"/>
      <c r="F103" s="23"/>
      <c r="G103" s="23"/>
      <c r="H103" s="23"/>
      <c r="I103" s="23"/>
      <c r="J103" s="23"/>
      <c r="K103" s="23"/>
      <c r="L103" s="23"/>
      <c r="M103" s="202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</row>
    <row r="104" ht="12.75" customHeight="1">
      <c r="A104" s="187"/>
      <c r="B104" s="187"/>
      <c r="C104" s="218" t="s">
        <v>267</v>
      </c>
      <c r="D104" s="206" t="s">
        <v>205</v>
      </c>
      <c r="E104" s="207" t="s">
        <v>120</v>
      </c>
      <c r="F104" s="207" t="s">
        <v>115</v>
      </c>
      <c r="G104" s="208" t="s">
        <v>198</v>
      </c>
      <c r="H104" s="207" t="s">
        <v>124</v>
      </c>
      <c r="I104" s="207" t="s">
        <v>234</v>
      </c>
      <c r="J104" s="209">
        <v>6.0</v>
      </c>
      <c r="K104" s="210">
        <v>7.0</v>
      </c>
      <c r="L104" s="211">
        <f>IF(AND(J104&gt;K104,J105&gt;K105),2,IF(J104&gt;K104,1,IF(J105&gt;K105,1,0)))</f>
        <v>1</v>
      </c>
      <c r="M104" s="211">
        <f>IF(AND(K104&gt;J104,K105&gt;J105),2,IF(K104&gt;J104,1,IF(K105&gt;J105,1,0)))</f>
        <v>1</v>
      </c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</row>
    <row r="105" ht="12.75" customHeight="1">
      <c r="A105" s="187"/>
      <c r="B105" s="187"/>
      <c r="C105" s="212"/>
      <c r="D105" s="213"/>
      <c r="E105" s="213"/>
      <c r="F105" s="213"/>
      <c r="G105" s="213"/>
      <c r="H105" s="213"/>
      <c r="I105" s="213"/>
      <c r="J105" s="214">
        <v>6.0</v>
      </c>
      <c r="K105" s="215">
        <v>1.0</v>
      </c>
      <c r="L105" s="213"/>
      <c r="M105" s="213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</row>
    <row r="106" ht="4.5" customHeight="1">
      <c r="A106" s="187"/>
      <c r="B106" s="187"/>
      <c r="C106" s="217"/>
      <c r="D106" s="23"/>
      <c r="E106" s="23"/>
      <c r="F106" s="23"/>
      <c r="G106" s="23"/>
      <c r="H106" s="23"/>
      <c r="I106" s="23"/>
      <c r="J106" s="23"/>
      <c r="K106" s="23"/>
      <c r="L106" s="23"/>
      <c r="M106" s="202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</row>
    <row r="107" ht="12.75" customHeight="1">
      <c r="A107" s="187"/>
      <c r="B107" s="187"/>
      <c r="C107" s="218" t="s">
        <v>208</v>
      </c>
      <c r="D107" s="235" t="s">
        <v>214</v>
      </c>
      <c r="E107" s="207" t="s">
        <v>84</v>
      </c>
      <c r="F107" s="207" t="s">
        <v>77</v>
      </c>
      <c r="G107" s="208" t="s">
        <v>198</v>
      </c>
      <c r="H107" s="207" t="s">
        <v>88</v>
      </c>
      <c r="I107" s="207" t="s">
        <v>95</v>
      </c>
      <c r="J107" s="209">
        <v>6.0</v>
      </c>
      <c r="K107" s="210">
        <v>2.0</v>
      </c>
      <c r="L107" s="211">
        <f>IF(AND(J107&gt;K107,J108&gt;K108),2,IF(J107&gt;K107,1,IF(J108&gt;K108,1,0)))</f>
        <v>2</v>
      </c>
      <c r="M107" s="211">
        <f>IF(AND(K107&gt;J107,K108&gt;J108),2,IF(K107&gt;J107,1,IF(K108&gt;J108,1,0)))</f>
        <v>0</v>
      </c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</row>
    <row r="108" ht="12.75" customHeight="1">
      <c r="A108" s="187"/>
      <c r="B108" s="187"/>
      <c r="C108" s="212"/>
      <c r="D108" s="213"/>
      <c r="E108" s="213"/>
      <c r="F108" s="213"/>
      <c r="G108" s="213"/>
      <c r="H108" s="213"/>
      <c r="I108" s="213"/>
      <c r="J108" s="214">
        <v>6.0</v>
      </c>
      <c r="K108" s="215">
        <v>0.0</v>
      </c>
      <c r="L108" s="213"/>
      <c r="M108" s="213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</row>
    <row r="109" ht="4.5" customHeight="1">
      <c r="A109" s="187"/>
      <c r="B109" s="187"/>
      <c r="C109" s="217"/>
      <c r="D109" s="23"/>
      <c r="E109" s="23"/>
      <c r="F109" s="23"/>
      <c r="G109" s="23"/>
      <c r="H109" s="23"/>
      <c r="I109" s="23"/>
      <c r="J109" s="23"/>
      <c r="K109" s="23"/>
      <c r="L109" s="23"/>
      <c r="M109" s="202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</row>
    <row r="110" ht="12.75" customHeight="1">
      <c r="A110" s="187"/>
      <c r="B110" s="187"/>
      <c r="C110" s="220" t="s">
        <v>259</v>
      </c>
      <c r="D110" s="23"/>
      <c r="E110" s="23"/>
      <c r="F110" s="23"/>
      <c r="G110" s="23"/>
      <c r="H110" s="23"/>
      <c r="I110" s="200"/>
      <c r="J110" s="221">
        <f t="shared" ref="J110:M110" si="8">SUM(J98:J108)</f>
        <v>41</v>
      </c>
      <c r="K110" s="222">
        <f t="shared" si="8"/>
        <v>31</v>
      </c>
      <c r="L110" s="221">
        <f t="shared" si="8"/>
        <v>5</v>
      </c>
      <c r="M110" s="223">
        <f t="shared" si="8"/>
        <v>3</v>
      </c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</row>
    <row r="111" ht="4.5" customHeight="1">
      <c r="A111" s="187"/>
      <c r="B111" s="187"/>
      <c r="C111" s="224"/>
      <c r="D111" s="23"/>
      <c r="E111" s="23"/>
      <c r="F111" s="23"/>
      <c r="G111" s="23"/>
      <c r="H111" s="23"/>
      <c r="I111" s="23"/>
      <c r="J111" s="23"/>
      <c r="K111" s="23"/>
      <c r="L111" s="23"/>
      <c r="M111" s="202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</row>
    <row r="112" ht="12.75" customHeight="1">
      <c r="A112" s="187"/>
      <c r="B112" s="187"/>
      <c r="C112" s="228" t="s">
        <v>260</v>
      </c>
      <c r="D112" s="23"/>
      <c r="E112" s="23"/>
      <c r="F112" s="23"/>
      <c r="G112" s="23"/>
      <c r="H112" s="23"/>
      <c r="I112" s="200"/>
      <c r="J112" s="229">
        <f t="shared" ref="J112:M112" si="9">J110+J95</f>
        <v>64</v>
      </c>
      <c r="K112" s="230">
        <f t="shared" si="9"/>
        <v>57</v>
      </c>
      <c r="L112" s="231">
        <f t="shared" si="9"/>
        <v>8</v>
      </c>
      <c r="M112" s="232">
        <f t="shared" si="9"/>
        <v>6</v>
      </c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</row>
    <row r="113" ht="6.75" customHeight="1">
      <c r="A113" s="187"/>
      <c r="B113" s="187"/>
      <c r="C113" s="239"/>
      <c r="D113" s="240"/>
      <c r="E113" s="240"/>
      <c r="F113" s="240"/>
      <c r="G113" s="240"/>
      <c r="H113" s="240"/>
      <c r="I113" s="240"/>
      <c r="J113" s="240"/>
      <c r="K113" s="240"/>
      <c r="L113" s="240"/>
      <c r="M113" s="241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</row>
    <row r="114" ht="12.75" customHeight="1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</row>
    <row r="115" ht="12.75" customHeight="1">
      <c r="A115" s="18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</row>
    <row r="116" ht="12.75" customHeight="1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</row>
    <row r="117" ht="12.75" customHeight="1">
      <c r="A117" s="18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</row>
    <row r="118" ht="12.75" customHeight="1">
      <c r="A118" s="18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</row>
    <row r="119" ht="12.75" customHeight="1">
      <c r="A119" s="18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</row>
    <row r="120" ht="12.75" customHeight="1">
      <c r="A120" s="18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</row>
    <row r="121" ht="12.75" customHeight="1">
      <c r="A121" s="187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</row>
    <row r="122" ht="12.75" customHeight="1">
      <c r="A122" s="18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</row>
    <row r="123" ht="12.75" customHeight="1">
      <c r="A123" s="187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</row>
    <row r="124" ht="12.75" customHeight="1">
      <c r="A124" s="187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</row>
    <row r="125" ht="12.75" customHeight="1">
      <c r="A125" s="18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</row>
    <row r="126" ht="12.75" customHeight="1">
      <c r="A126" s="18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</row>
    <row r="127" ht="12.75" customHeight="1">
      <c r="A127" s="187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</row>
    <row r="128" ht="12.75" customHeight="1">
      <c r="A128" s="187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</row>
    <row r="129" ht="12.75" customHeight="1">
      <c r="A129" s="18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</row>
    <row r="130" ht="12.75" customHeight="1">
      <c r="A130" s="18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</row>
    <row r="131" ht="12.75" customHeight="1">
      <c r="A131" s="18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</row>
    <row r="132" ht="12.75" customHeight="1">
      <c r="A132" s="187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</row>
    <row r="133" ht="12.75" customHeight="1">
      <c r="A133" s="18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</row>
    <row r="134" ht="12.75" customHeight="1">
      <c r="A134" s="18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</row>
    <row r="135" ht="12.75" customHeight="1">
      <c r="A135" s="18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</row>
    <row r="136" ht="12.75" customHeight="1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</row>
    <row r="137" ht="12.75" customHeight="1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</row>
    <row r="138" ht="12.75" customHeight="1">
      <c r="A138" s="187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</row>
    <row r="139" ht="12.75" customHeight="1">
      <c r="A139" s="18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</row>
    <row r="140" ht="12.75" customHeight="1">
      <c r="A140" s="18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</row>
    <row r="141" ht="12.75" customHeight="1">
      <c r="A141" s="18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</row>
    <row r="142" ht="12.75" customHeight="1">
      <c r="A142" s="187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</row>
    <row r="143" ht="12.75" customHeight="1">
      <c r="A143" s="187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</row>
    <row r="144" ht="12.75" customHeight="1">
      <c r="A144" s="187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</row>
    <row r="145" ht="12.75" customHeight="1">
      <c r="A145" s="187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</row>
    <row r="146" ht="12.75" customHeight="1">
      <c r="A146" s="187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</row>
    <row r="147" ht="12.75" customHeight="1">
      <c r="A147" s="187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</row>
    <row r="148" ht="12.75" customHeight="1">
      <c r="A148" s="187"/>
      <c r="B148" s="187"/>
      <c r="C148" s="187"/>
      <c r="D148" s="187"/>
      <c r="E148" s="187"/>
      <c r="F148" s="187" t="s">
        <v>227</v>
      </c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</row>
    <row r="149" ht="12.75" customHeight="1">
      <c r="A149" s="187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</row>
    <row r="150" ht="12.75" customHeight="1">
      <c r="A150" s="187"/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</row>
    <row r="151" ht="12.75" customHeight="1">
      <c r="A151" s="187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</row>
    <row r="152" ht="12.75" customHeight="1">
      <c r="A152" s="187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</row>
    <row r="153" ht="12.75" customHeight="1">
      <c r="A153" s="187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</row>
    <row r="154" ht="12.75" customHeight="1">
      <c r="A154" s="187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</row>
    <row r="155" ht="12.75" customHeight="1">
      <c r="A155" s="187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</row>
    <row r="156" ht="12.75" customHeight="1">
      <c r="A156" s="187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</row>
    <row r="157" ht="12.75" customHeight="1">
      <c r="A157" s="187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</row>
    <row r="158" ht="12.75" customHeight="1">
      <c r="A158" s="187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</row>
    <row r="159" ht="12.75" customHeight="1">
      <c r="A159" s="187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</row>
    <row r="160" ht="12.75" customHeight="1">
      <c r="A160" s="187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</row>
    <row r="161" ht="12.75" customHeight="1">
      <c r="A161" s="187"/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</row>
    <row r="162" ht="12.75" customHeight="1">
      <c r="A162" s="187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</row>
    <row r="163" ht="12.75" customHeight="1">
      <c r="A163" s="187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</row>
    <row r="164" ht="12.75" customHeight="1">
      <c r="A164" s="187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</row>
    <row r="165" ht="12.75" customHeight="1">
      <c r="A165" s="187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</row>
    <row r="166" ht="12.75" customHeight="1">
      <c r="A166" s="187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</row>
    <row r="167" ht="12.75" customHeight="1">
      <c r="A167" s="187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</row>
    <row r="168" ht="12.75" customHeight="1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</row>
    <row r="169" ht="12.75" customHeight="1">
      <c r="A169" s="187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</row>
    <row r="170" ht="12.75" customHeight="1">
      <c r="A170" s="187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</row>
    <row r="171" ht="12.75" customHeight="1">
      <c r="A171" s="187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</row>
    <row r="172" ht="12.75" customHeight="1">
      <c r="A172" s="187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</row>
    <row r="173" ht="12.75" customHeight="1">
      <c r="A173" s="18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</row>
    <row r="174" ht="12.75" customHeight="1">
      <c r="A174" s="187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</row>
    <row r="175" ht="12.75" customHeight="1">
      <c r="A175" s="187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</row>
    <row r="176" ht="12.75" customHeight="1">
      <c r="A176" s="187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</row>
    <row r="177" ht="12.75" customHeight="1">
      <c r="A177" s="187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</row>
    <row r="178" ht="12.75" customHeight="1">
      <c r="A178" s="187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</row>
    <row r="179" ht="12.75" customHeight="1">
      <c r="A179" s="187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</row>
    <row r="180" ht="12.75" customHeight="1">
      <c r="A180" s="187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</row>
    <row r="181" ht="12.75" customHeight="1">
      <c r="A181" s="187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</row>
    <row r="182" ht="12.75" customHeight="1">
      <c r="A182" s="187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</row>
    <row r="183" ht="12.75" customHeight="1">
      <c r="A183" s="187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</row>
    <row r="184" ht="12.75" customHeight="1">
      <c r="A184" s="187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</row>
    <row r="185" ht="12.75" customHeight="1">
      <c r="A185" s="187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</row>
    <row r="186" ht="12.75" customHeight="1">
      <c r="A186" s="187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</row>
    <row r="187" ht="12.75" customHeight="1">
      <c r="A187" s="187"/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</row>
    <row r="188" ht="12.75" customHeight="1">
      <c r="A188" s="187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</row>
    <row r="189" ht="12.75" customHeight="1">
      <c r="A189" s="187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</row>
    <row r="190" ht="12.75" customHeight="1">
      <c r="A190" s="187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</row>
    <row r="191" ht="12.75" customHeight="1">
      <c r="A191" s="187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</row>
    <row r="192" ht="12.75" customHeight="1">
      <c r="A192" s="187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</row>
    <row r="193" ht="12.75" customHeight="1">
      <c r="A193" s="187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</row>
    <row r="194" ht="12.75" customHeight="1">
      <c r="A194" s="187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</row>
    <row r="195" ht="12.75" customHeight="1">
      <c r="A195" s="187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</row>
    <row r="196" ht="12.75" customHeight="1">
      <c r="A196" s="187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</row>
    <row r="197" ht="12.75" customHeight="1">
      <c r="A197" s="187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</row>
    <row r="198" ht="12.75" customHeight="1">
      <c r="A198" s="187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</row>
    <row r="199" ht="12.75" customHeight="1">
      <c r="A199" s="187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</row>
    <row r="200" ht="12.75" customHeight="1">
      <c r="A200" s="187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</row>
    <row r="201" ht="12.75" customHeight="1">
      <c r="A201" s="187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</row>
    <row r="202" ht="12.75" customHeight="1">
      <c r="A202" s="187"/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</row>
    <row r="203" ht="12.75" customHeight="1">
      <c r="A203" s="187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</row>
    <row r="204" ht="12.75" customHeight="1">
      <c r="A204" s="187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</row>
    <row r="205" ht="12.75" customHeight="1">
      <c r="A205" s="187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</row>
    <row r="206" ht="12.75" customHeight="1">
      <c r="A206" s="187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</row>
    <row r="207" ht="12.75" customHeight="1">
      <c r="A207" s="187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</row>
    <row r="208" ht="12.75" customHeight="1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</row>
    <row r="209" ht="12.75" customHeight="1">
      <c r="A209" s="187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</row>
    <row r="210" ht="12.75" customHeight="1">
      <c r="A210" s="187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</row>
    <row r="211" ht="12.75" customHeight="1">
      <c r="A211" s="187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</row>
    <row r="212" ht="12.75" customHeight="1">
      <c r="A212" s="187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</row>
    <row r="213" ht="12.75" customHeight="1">
      <c r="A213" s="187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</row>
    <row r="214" ht="12.75" customHeight="1">
      <c r="A214" s="187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</row>
    <row r="215" ht="12.75" customHeight="1">
      <c r="A215" s="187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</row>
    <row r="216" ht="12.75" customHeight="1">
      <c r="A216" s="187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</row>
    <row r="217" ht="12.75" customHeight="1">
      <c r="A217" s="187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</row>
    <row r="218" ht="12.75" customHeight="1">
      <c r="A218" s="187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</row>
    <row r="219" ht="12.75" customHeight="1">
      <c r="A219" s="187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</row>
    <row r="220" ht="12.75" customHeight="1">
      <c r="A220" s="187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</row>
    <row r="221" ht="12.75" customHeight="1">
      <c r="A221" s="187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</row>
    <row r="222" ht="12.75" customHeight="1">
      <c r="A222" s="187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</row>
    <row r="223" ht="12.75" customHeight="1">
      <c r="A223" s="187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</row>
    <row r="224" ht="12.75" customHeight="1">
      <c r="A224" s="187"/>
      <c r="B224" s="187"/>
      <c r="C224" s="187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</row>
    <row r="225" ht="12.75" customHeight="1">
      <c r="A225" s="187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</row>
    <row r="226" ht="12.75" customHeight="1">
      <c r="A226" s="187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</row>
    <row r="227" ht="12.75" customHeight="1">
      <c r="A227" s="187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</row>
    <row r="228" ht="12.75" customHeight="1">
      <c r="A228" s="187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</row>
    <row r="229" ht="12.75" customHeight="1">
      <c r="A229" s="187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</row>
    <row r="230" ht="12.75" customHeight="1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</row>
    <row r="231" ht="12.75" customHeight="1">
      <c r="A231" s="187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</row>
    <row r="232" ht="12.75" customHeight="1">
      <c r="A232" s="187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</row>
    <row r="233" ht="12.75" customHeight="1">
      <c r="A233" s="187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</row>
    <row r="234" ht="12.75" customHeight="1">
      <c r="A234" s="187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</row>
    <row r="235" ht="12.75" customHeight="1">
      <c r="A235" s="187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</row>
    <row r="236" ht="12.75" customHeight="1">
      <c r="A236" s="187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</row>
    <row r="237" ht="12.75" customHeight="1">
      <c r="A237" s="187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</row>
    <row r="238" ht="12.75" customHeight="1">
      <c r="A238" s="187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</row>
    <row r="239" ht="12.75" customHeight="1">
      <c r="A239" s="187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</row>
    <row r="240" ht="12.75" customHeight="1">
      <c r="A240" s="187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</row>
    <row r="241" ht="12.75" customHeight="1">
      <c r="A241" s="187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</row>
    <row r="242" ht="12.75" customHeight="1">
      <c r="A242" s="187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</row>
    <row r="243" ht="12.75" customHeight="1">
      <c r="A243" s="187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</row>
    <row r="244" ht="12.75" customHeight="1">
      <c r="A244" s="187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</row>
    <row r="245" ht="12.75" customHeight="1">
      <c r="A245" s="187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</row>
    <row r="246" ht="12.75" customHeight="1">
      <c r="A246" s="187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</row>
    <row r="247" ht="12.75" customHeight="1">
      <c r="A247" s="187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</row>
    <row r="248" ht="12.75" customHeight="1">
      <c r="A248" s="187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</row>
    <row r="249" ht="12.75" customHeight="1">
      <c r="A249" s="187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</row>
    <row r="250" ht="12.75" customHeight="1">
      <c r="A250" s="187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</row>
    <row r="251" ht="12.75" customHeight="1">
      <c r="A251" s="187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</row>
    <row r="252" ht="12.75" customHeight="1">
      <c r="A252" s="187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</row>
    <row r="253" ht="12.75" customHeight="1">
      <c r="A253" s="187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</row>
    <row r="254" ht="12.75" customHeight="1">
      <c r="A254" s="187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</row>
    <row r="255" ht="12.75" customHeight="1">
      <c r="A255" s="187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</row>
    <row r="256" ht="12.75" customHeight="1">
      <c r="A256" s="187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</row>
    <row r="257" ht="12.75" customHeight="1">
      <c r="A257" s="187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</row>
    <row r="258" ht="12.75" customHeight="1">
      <c r="A258" s="187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</row>
    <row r="259" ht="12.75" customHeight="1">
      <c r="A259" s="187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</row>
    <row r="260" ht="12.75" customHeight="1">
      <c r="A260" s="187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</row>
    <row r="261" ht="12.75" customHeight="1">
      <c r="A261" s="187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</row>
    <row r="262" ht="12.75" customHeight="1">
      <c r="A262" s="187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</row>
    <row r="263" ht="12.75" customHeight="1">
      <c r="A263" s="187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</row>
    <row r="264" ht="12.75" customHeight="1">
      <c r="A264" s="187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</row>
    <row r="265" ht="12.75" customHeight="1">
      <c r="A265" s="187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</row>
    <row r="266" ht="12.75" customHeight="1">
      <c r="A266" s="187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</row>
    <row r="267" ht="12.75" customHeight="1">
      <c r="A267" s="187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</row>
    <row r="268" ht="12.75" customHeight="1">
      <c r="A268" s="187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</row>
    <row r="269" ht="12.75" customHeight="1">
      <c r="A269" s="187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</row>
    <row r="270" ht="12.75" customHeight="1">
      <c r="A270" s="187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</row>
    <row r="271" ht="12.75" customHeight="1">
      <c r="A271" s="187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</row>
    <row r="272" ht="12.75" customHeight="1">
      <c r="A272" s="187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</row>
    <row r="273" ht="12.75" customHeight="1">
      <c r="A273" s="187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</row>
    <row r="274" ht="12.75" customHeight="1">
      <c r="A274" s="187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</row>
    <row r="275" ht="12.75" customHeight="1">
      <c r="A275" s="187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</row>
    <row r="276" ht="12.75" customHeight="1">
      <c r="A276" s="187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</row>
    <row r="277" ht="12.75" customHeight="1">
      <c r="A277" s="187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</row>
    <row r="278" ht="12.75" customHeight="1">
      <c r="A278" s="187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</row>
    <row r="279" ht="12.75" customHeight="1">
      <c r="A279" s="187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</row>
    <row r="280" ht="12.75" customHeight="1">
      <c r="A280" s="187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</row>
    <row r="281" ht="12.75" customHeight="1">
      <c r="A281" s="187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</row>
    <row r="282" ht="12.75" customHeight="1">
      <c r="A282" s="187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</row>
    <row r="283" ht="12.75" customHeight="1">
      <c r="A283" s="187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</row>
    <row r="284" ht="12.75" customHeight="1">
      <c r="A284" s="187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</row>
    <row r="285" ht="12.75" customHeight="1">
      <c r="A285" s="187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</row>
    <row r="286" ht="12.75" customHeight="1">
      <c r="A286" s="187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</row>
    <row r="287" ht="12.75" customHeight="1">
      <c r="A287" s="187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</row>
    <row r="288" ht="12.75" customHeight="1">
      <c r="A288" s="187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</row>
    <row r="289" ht="12.75" customHeight="1">
      <c r="A289" s="187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</row>
    <row r="290" ht="12.75" customHeight="1">
      <c r="A290" s="187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</row>
    <row r="291" ht="12.75" customHeight="1">
      <c r="A291" s="187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</row>
    <row r="292" ht="12.75" customHeight="1">
      <c r="A292" s="187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</row>
    <row r="293" ht="12.75" customHeight="1">
      <c r="A293" s="187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</row>
    <row r="294" ht="12.75" customHeight="1">
      <c r="A294" s="187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</row>
    <row r="295" ht="12.75" customHeight="1">
      <c r="A295" s="187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</row>
    <row r="296" ht="12.75" customHeight="1">
      <c r="A296" s="187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</row>
    <row r="297" ht="12.75" customHeight="1">
      <c r="A297" s="187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</row>
    <row r="298" ht="12.75" customHeight="1">
      <c r="A298" s="187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</row>
    <row r="299" ht="12.75" customHeight="1">
      <c r="A299" s="187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</row>
    <row r="300" ht="12.75" customHeight="1">
      <c r="A300" s="187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</row>
    <row r="301" ht="12.75" customHeight="1">
      <c r="A301" s="187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</row>
    <row r="302" ht="12.75" customHeight="1">
      <c r="A302" s="187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</row>
    <row r="303" ht="12.75" customHeight="1">
      <c r="A303" s="187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</row>
    <row r="304" ht="12.75" customHeight="1">
      <c r="A304" s="187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</row>
    <row r="305" ht="12.75" customHeight="1">
      <c r="A305" s="187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</row>
    <row r="306" ht="12.75" customHeight="1">
      <c r="A306" s="187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</row>
    <row r="307" ht="12.75" customHeight="1">
      <c r="A307" s="187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</row>
    <row r="308" ht="12.75" customHeight="1">
      <c r="A308" s="187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</row>
    <row r="309" ht="12.75" customHeight="1">
      <c r="A309" s="187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</row>
    <row r="310" ht="12.75" customHeight="1">
      <c r="A310" s="187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</row>
    <row r="311" ht="12.75" customHeight="1">
      <c r="A311" s="187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</row>
    <row r="312" ht="12.75" customHeight="1">
      <c r="A312" s="187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</row>
    <row r="313" ht="12.75" customHeight="1">
      <c r="A313" s="187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</row>
    <row r="314" ht="12.75" customHeight="1">
      <c r="A314" s="187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</row>
    <row r="315" ht="12.75" customHeight="1">
      <c r="A315" s="187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</row>
    <row r="316" ht="12.75" customHeight="1">
      <c r="A316" s="187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</row>
    <row r="317" ht="12.75" customHeight="1">
      <c r="A317" s="187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</row>
    <row r="318" ht="12.75" customHeight="1">
      <c r="A318" s="187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</row>
    <row r="319" ht="12.75" customHeight="1">
      <c r="A319" s="187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</row>
    <row r="320" ht="12.75" customHeight="1">
      <c r="A320" s="187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</row>
    <row r="321" ht="12.75" customHeight="1">
      <c r="A321" s="187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</row>
    <row r="322" ht="12.75" customHeight="1">
      <c r="A322" s="187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</row>
    <row r="323" ht="12.75" customHeight="1">
      <c r="A323" s="187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</row>
    <row r="324" ht="12.75" customHeight="1">
      <c r="A324" s="187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</row>
    <row r="325" ht="12.75" customHeight="1">
      <c r="A325" s="187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</row>
    <row r="326" ht="12.75" customHeight="1">
      <c r="A326" s="187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</row>
    <row r="327" ht="12.75" customHeight="1">
      <c r="A327" s="187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</row>
    <row r="328" ht="12.75" customHeight="1">
      <c r="A328" s="187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</row>
    <row r="329" ht="12.75" customHeight="1">
      <c r="A329" s="187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</row>
    <row r="330" ht="12.75" customHeight="1">
      <c r="A330" s="187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</row>
    <row r="331" ht="12.75" customHeight="1">
      <c r="A331" s="187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</row>
    <row r="332" ht="12.75" customHeight="1">
      <c r="A332" s="187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</row>
    <row r="333" ht="12.75" customHeight="1">
      <c r="A333" s="187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</row>
    <row r="334" ht="12.75" customHeight="1">
      <c r="A334" s="187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</row>
    <row r="335" ht="12.75" customHeight="1">
      <c r="A335" s="187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</row>
    <row r="336" ht="12.75" customHeight="1">
      <c r="A336" s="187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</row>
    <row r="337" ht="12.75" customHeight="1">
      <c r="A337" s="187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</row>
    <row r="338" ht="12.75" customHeight="1">
      <c r="A338" s="187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</row>
    <row r="339" ht="12.75" customHeight="1">
      <c r="A339" s="187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</row>
    <row r="340" ht="12.75" customHeight="1">
      <c r="A340" s="187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</row>
    <row r="341" ht="12.75" customHeight="1">
      <c r="A341" s="187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</row>
    <row r="342" ht="12.75" customHeight="1">
      <c r="A342" s="187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</row>
    <row r="343" ht="12.75" customHeight="1">
      <c r="A343" s="187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</row>
    <row r="344" ht="12.75" customHeight="1">
      <c r="A344" s="187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</row>
    <row r="345" ht="12.75" customHeight="1">
      <c r="A345" s="187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</row>
    <row r="346" ht="12.75" customHeight="1">
      <c r="A346" s="187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</row>
    <row r="347" ht="12.75" customHeight="1">
      <c r="A347" s="187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</row>
    <row r="348" ht="12.75" customHeight="1">
      <c r="A348" s="187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</row>
    <row r="349" ht="12.75" customHeight="1">
      <c r="A349" s="187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</row>
    <row r="350" ht="12.75" customHeight="1">
      <c r="A350" s="187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</row>
    <row r="351" ht="12.75" customHeight="1">
      <c r="A351" s="187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</row>
    <row r="352" ht="12.75" customHeight="1">
      <c r="A352" s="187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</row>
    <row r="353" ht="12.75" customHeight="1">
      <c r="A353" s="187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</row>
    <row r="354" ht="12.75" customHeight="1">
      <c r="A354" s="187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</row>
    <row r="355" ht="12.75" customHeight="1">
      <c r="A355" s="187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</row>
    <row r="356" ht="12.75" customHeight="1">
      <c r="A356" s="187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</row>
    <row r="357" ht="12.75" customHeight="1">
      <c r="A357" s="187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</row>
    <row r="358" ht="12.75" customHeight="1">
      <c r="A358" s="187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</row>
    <row r="359" ht="12.75" customHeight="1">
      <c r="A359" s="187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</row>
    <row r="360" ht="12.75" customHeight="1">
      <c r="A360" s="187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</row>
    <row r="361" ht="12.75" customHeight="1">
      <c r="A361" s="187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</row>
    <row r="362" ht="12.75" customHeight="1">
      <c r="A362" s="187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</row>
    <row r="363" ht="12.75" customHeight="1">
      <c r="A363" s="187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</row>
    <row r="364" ht="12.75" customHeight="1">
      <c r="A364" s="187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</row>
    <row r="365" ht="12.75" customHeight="1">
      <c r="A365" s="187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</row>
    <row r="366" ht="12.75" customHeight="1">
      <c r="A366" s="187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</row>
    <row r="367" ht="12.75" customHeight="1">
      <c r="A367" s="187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</row>
    <row r="368" ht="12.75" customHeight="1">
      <c r="A368" s="187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</row>
    <row r="369" ht="12.75" customHeight="1">
      <c r="A369" s="187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</row>
    <row r="370" ht="12.75" customHeight="1">
      <c r="A370" s="187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</row>
    <row r="371" ht="12.75" customHeight="1">
      <c r="A371" s="187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</row>
    <row r="372" ht="12.75" customHeight="1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</row>
    <row r="373" ht="12.75" customHeight="1">
      <c r="A373" s="187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</row>
    <row r="374" ht="12.75" customHeight="1">
      <c r="A374" s="187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</row>
    <row r="375" ht="12.75" customHeight="1">
      <c r="A375" s="187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</row>
    <row r="376" ht="12.75" customHeight="1">
      <c r="A376" s="187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</row>
    <row r="377" ht="12.75" customHeight="1">
      <c r="A377" s="187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</row>
    <row r="378" ht="12.75" customHeight="1">
      <c r="A378" s="187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</row>
    <row r="379" ht="12.75" customHeight="1">
      <c r="A379" s="187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</row>
    <row r="380" ht="12.75" customHeight="1">
      <c r="A380" s="187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</row>
    <row r="381" ht="12.75" customHeight="1">
      <c r="A381" s="187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</row>
    <row r="382" ht="12.75" customHeight="1">
      <c r="A382" s="187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</row>
    <row r="383" ht="12.75" customHeight="1">
      <c r="A383" s="187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</row>
    <row r="384" ht="12.75" customHeight="1">
      <c r="A384" s="187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</row>
    <row r="385" ht="12.75" customHeight="1">
      <c r="A385" s="187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</row>
    <row r="386" ht="12.75" customHeight="1">
      <c r="A386" s="187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</row>
    <row r="387" ht="12.75" customHeight="1">
      <c r="A387" s="187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</row>
    <row r="388" ht="12.75" customHeight="1">
      <c r="A388" s="187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</row>
    <row r="389" ht="12.75" customHeight="1">
      <c r="A389" s="187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</row>
    <row r="390" ht="12.75" customHeight="1">
      <c r="A390" s="187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</row>
    <row r="391" ht="12.75" customHeight="1">
      <c r="A391" s="187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</row>
    <row r="392" ht="12.75" customHeight="1">
      <c r="A392" s="187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</row>
    <row r="393" ht="12.75" customHeight="1">
      <c r="A393" s="187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</row>
    <row r="394" ht="12.75" customHeight="1">
      <c r="A394" s="187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</row>
    <row r="395" ht="12.75" customHeight="1">
      <c r="A395" s="187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</row>
    <row r="396" ht="12.75" customHeight="1">
      <c r="A396" s="187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</row>
    <row r="397" ht="12.75" customHeight="1">
      <c r="A397" s="187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</row>
    <row r="398" ht="12.75" customHeight="1">
      <c r="A398" s="187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</row>
    <row r="399" ht="12.75" customHeight="1">
      <c r="A399" s="187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</row>
    <row r="400" ht="12.75" customHeight="1">
      <c r="A400" s="187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</row>
    <row r="401" ht="12.75" customHeight="1">
      <c r="A401" s="187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</row>
    <row r="402" ht="12.75" customHeight="1">
      <c r="A402" s="187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</row>
    <row r="403" ht="12.75" customHeight="1">
      <c r="A403" s="187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</row>
    <row r="404" ht="12.75" customHeight="1">
      <c r="A404" s="187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</row>
    <row r="405" ht="12.75" customHeight="1">
      <c r="A405" s="187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</row>
    <row r="406" ht="12.75" customHeight="1">
      <c r="A406" s="187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</row>
    <row r="407" ht="12.75" customHeight="1">
      <c r="A407" s="187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</row>
    <row r="408" ht="12.75" customHeight="1">
      <c r="A408" s="187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</row>
    <row r="409" ht="12.75" customHeight="1">
      <c r="A409" s="187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</row>
    <row r="410" ht="12.75" customHeight="1">
      <c r="A410" s="187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</row>
    <row r="411" ht="12.75" customHeight="1">
      <c r="A411" s="187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</row>
    <row r="412" ht="12.75" customHeight="1">
      <c r="A412" s="187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</row>
    <row r="413" ht="12.75" customHeight="1">
      <c r="A413" s="187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</row>
    <row r="414" ht="12.75" customHeight="1">
      <c r="A414" s="187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</row>
    <row r="415" ht="12.75" customHeight="1">
      <c r="A415" s="187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</row>
    <row r="416" ht="12.75" customHeight="1">
      <c r="A416" s="187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</row>
    <row r="417" ht="12.75" customHeight="1">
      <c r="A417" s="187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</row>
    <row r="418" ht="12.75" customHeight="1">
      <c r="A418" s="187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</row>
    <row r="419" ht="12.75" customHeight="1">
      <c r="A419" s="187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</row>
    <row r="420" ht="12.75" customHeight="1">
      <c r="A420" s="187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</row>
    <row r="421" ht="12.75" customHeight="1">
      <c r="A421" s="187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</row>
    <row r="422" ht="12.75" customHeight="1">
      <c r="A422" s="187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</row>
    <row r="423" ht="12.75" customHeight="1">
      <c r="A423" s="187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</row>
    <row r="424" ht="12.75" customHeight="1">
      <c r="A424" s="187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</row>
    <row r="425" ht="12.75" customHeight="1">
      <c r="A425" s="187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</row>
    <row r="426" ht="12.75" customHeight="1">
      <c r="A426" s="187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</row>
    <row r="427" ht="12.75" customHeight="1">
      <c r="A427" s="187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</row>
    <row r="428" ht="12.75" customHeight="1">
      <c r="A428" s="187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</row>
    <row r="429" ht="12.75" customHeight="1">
      <c r="A429" s="187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</row>
    <row r="430" ht="12.75" customHeight="1">
      <c r="A430" s="187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</row>
    <row r="431" ht="12.75" customHeight="1">
      <c r="A431" s="187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</row>
    <row r="432" ht="12.75" customHeight="1">
      <c r="A432" s="187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</row>
    <row r="433" ht="12.75" customHeight="1">
      <c r="A433" s="187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</row>
    <row r="434" ht="12.75" customHeight="1">
      <c r="A434" s="187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</row>
    <row r="435" ht="12.75" customHeight="1">
      <c r="A435" s="187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</row>
    <row r="436" ht="12.75" customHeight="1">
      <c r="A436" s="187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</row>
    <row r="437" ht="12.75" customHeight="1">
      <c r="A437" s="187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</row>
    <row r="438" ht="12.75" customHeight="1">
      <c r="A438" s="187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</row>
    <row r="439" ht="12.75" customHeight="1">
      <c r="A439" s="187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</row>
    <row r="440" ht="12.75" customHeight="1">
      <c r="A440" s="187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</row>
    <row r="441" ht="12.75" customHeight="1">
      <c r="A441" s="187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</row>
    <row r="442" ht="12.75" customHeight="1">
      <c r="A442" s="187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</row>
    <row r="443" ht="12.75" customHeight="1">
      <c r="A443" s="187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</row>
    <row r="444" ht="12.75" customHeight="1">
      <c r="A444" s="187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</row>
    <row r="445" ht="12.75" customHeight="1">
      <c r="A445" s="187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</row>
    <row r="446" ht="12.75" customHeight="1">
      <c r="A446" s="187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</row>
    <row r="447" ht="12.75" customHeight="1">
      <c r="A447" s="187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</row>
    <row r="448" ht="12.75" customHeight="1">
      <c r="A448" s="187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</row>
    <row r="449" ht="12.75" customHeight="1">
      <c r="A449" s="187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</row>
    <row r="450" ht="12.75" customHeight="1">
      <c r="A450" s="187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</row>
    <row r="451" ht="12.75" customHeight="1">
      <c r="A451" s="187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</row>
    <row r="452" ht="12.75" customHeight="1">
      <c r="A452" s="187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</row>
    <row r="453" ht="12.75" customHeight="1">
      <c r="A453" s="187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</row>
    <row r="454" ht="12.75" customHeight="1">
      <c r="A454" s="187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</row>
    <row r="455" ht="12.75" customHeight="1">
      <c r="A455" s="187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</row>
    <row r="456" ht="12.75" customHeight="1">
      <c r="A456" s="187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</row>
    <row r="457" ht="12.75" customHeight="1">
      <c r="A457" s="187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</row>
    <row r="458" ht="12.75" customHeight="1">
      <c r="A458" s="187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</row>
    <row r="459" ht="12.75" customHeight="1">
      <c r="A459" s="187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</row>
    <row r="460" ht="12.75" customHeight="1">
      <c r="A460" s="187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</row>
    <row r="461" ht="12.75" customHeight="1">
      <c r="A461" s="187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</row>
    <row r="462" ht="12.75" customHeight="1">
      <c r="A462" s="187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</row>
    <row r="463" ht="12.75" customHeight="1">
      <c r="A463" s="187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</row>
    <row r="464" ht="12.75" customHeight="1">
      <c r="A464" s="187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</row>
    <row r="465" ht="12.75" customHeight="1">
      <c r="A465" s="187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</row>
    <row r="466" ht="12.75" customHeight="1">
      <c r="A466" s="187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</row>
    <row r="467" ht="12.75" customHeight="1">
      <c r="A467" s="187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</row>
    <row r="468" ht="12.75" customHeight="1">
      <c r="A468" s="187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</row>
    <row r="469" ht="12.75" customHeight="1">
      <c r="A469" s="187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</row>
    <row r="470" ht="12.75" customHeight="1">
      <c r="A470" s="187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</row>
    <row r="471" ht="12.75" customHeight="1">
      <c r="A471" s="187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</row>
    <row r="472" ht="12.75" customHeight="1">
      <c r="A472" s="187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</row>
    <row r="473" ht="12.75" customHeight="1">
      <c r="A473" s="187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</row>
    <row r="474" ht="12.75" customHeight="1">
      <c r="A474" s="187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</row>
    <row r="475" ht="12.75" customHeight="1">
      <c r="A475" s="187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</row>
    <row r="476" ht="12.75" customHeight="1">
      <c r="A476" s="187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</row>
    <row r="477" ht="12.75" customHeight="1">
      <c r="A477" s="187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</row>
    <row r="478" ht="12.75" customHeight="1">
      <c r="A478" s="187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</row>
    <row r="479" ht="12.75" customHeight="1">
      <c r="A479" s="187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</row>
    <row r="480" ht="12.75" customHeight="1">
      <c r="A480" s="187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</row>
    <row r="481" ht="12.75" customHeight="1">
      <c r="A481" s="187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</row>
    <row r="482" ht="12.75" customHeight="1">
      <c r="A482" s="187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</row>
    <row r="483" ht="12.75" customHeight="1">
      <c r="A483" s="187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</row>
    <row r="484" ht="12.75" customHeight="1">
      <c r="A484" s="187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</row>
    <row r="485" ht="12.75" customHeight="1">
      <c r="A485" s="187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</row>
    <row r="486" ht="12.75" customHeight="1">
      <c r="A486" s="187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</row>
    <row r="487" ht="12.75" customHeight="1">
      <c r="A487" s="187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</row>
    <row r="488" ht="12.75" customHeight="1">
      <c r="A488" s="187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</row>
    <row r="489" ht="12.75" customHeight="1">
      <c r="A489" s="187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</row>
    <row r="490" ht="12.75" customHeight="1">
      <c r="A490" s="187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</row>
    <row r="491" ht="12.75" customHeight="1">
      <c r="A491" s="187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</row>
    <row r="492" ht="12.75" customHeight="1">
      <c r="A492" s="187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</row>
    <row r="493" ht="12.75" customHeight="1">
      <c r="A493" s="187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</row>
    <row r="494" ht="12.75" customHeight="1">
      <c r="A494" s="187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</row>
    <row r="495" ht="12.75" customHeight="1">
      <c r="A495" s="187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</row>
    <row r="496" ht="12.75" customHeight="1">
      <c r="A496" s="187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</row>
    <row r="497" ht="12.75" customHeight="1">
      <c r="A497" s="187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</row>
    <row r="498" ht="12.75" customHeight="1">
      <c r="A498" s="187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</row>
    <row r="499" ht="12.75" customHeight="1">
      <c r="A499" s="187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</row>
    <row r="500" ht="12.75" customHeight="1">
      <c r="A500" s="187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</row>
    <row r="501" ht="12.75" customHeight="1">
      <c r="A501" s="187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</row>
    <row r="502" ht="12.75" customHeight="1">
      <c r="A502" s="187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</row>
    <row r="503" ht="12.75" customHeight="1">
      <c r="A503" s="187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</row>
    <row r="504" ht="12.75" customHeight="1">
      <c r="A504" s="187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</row>
    <row r="505" ht="12.75" customHeight="1">
      <c r="A505" s="187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</row>
    <row r="506" ht="12.75" customHeight="1">
      <c r="A506" s="187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</row>
    <row r="507" ht="12.75" customHeight="1">
      <c r="A507" s="187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</row>
    <row r="508" ht="12.75" customHeight="1">
      <c r="A508" s="187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</row>
    <row r="509" ht="12.75" customHeight="1">
      <c r="A509" s="187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</row>
    <row r="510" ht="12.75" customHeight="1">
      <c r="A510" s="187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</row>
    <row r="511" ht="12.75" customHeight="1">
      <c r="A511" s="187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</row>
    <row r="512" ht="12.75" customHeight="1">
      <c r="A512" s="187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</row>
    <row r="513" ht="12.75" customHeight="1">
      <c r="A513" s="187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</row>
    <row r="514" ht="12.75" customHeight="1">
      <c r="A514" s="187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</row>
    <row r="515" ht="12.75" customHeight="1">
      <c r="A515" s="187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</row>
    <row r="516" ht="12.75" customHeight="1">
      <c r="A516" s="187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</row>
    <row r="517" ht="12.75" customHeight="1">
      <c r="A517" s="187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</row>
    <row r="518" ht="12.75" customHeight="1">
      <c r="A518" s="187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</row>
    <row r="519" ht="12.75" customHeight="1">
      <c r="A519" s="187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</row>
    <row r="520" ht="12.75" customHeight="1">
      <c r="A520" s="187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</row>
    <row r="521" ht="12.75" customHeight="1">
      <c r="A521" s="187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</row>
    <row r="522" ht="12.75" customHeight="1">
      <c r="A522" s="187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</row>
    <row r="523" ht="12.75" customHeight="1">
      <c r="A523" s="187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</row>
    <row r="524" ht="12.75" customHeight="1">
      <c r="A524" s="187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</row>
    <row r="525" ht="12.75" customHeight="1">
      <c r="A525" s="187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</row>
    <row r="526" ht="12.75" customHeight="1">
      <c r="A526" s="187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</row>
    <row r="527" ht="12.75" customHeight="1">
      <c r="A527" s="187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</row>
    <row r="528" ht="12.75" customHeight="1">
      <c r="A528" s="187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</row>
    <row r="529" ht="12.75" customHeight="1">
      <c r="A529" s="187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</row>
    <row r="530" ht="12.75" customHeight="1">
      <c r="A530" s="187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</row>
    <row r="531" ht="12.75" customHeight="1">
      <c r="A531" s="187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</row>
    <row r="532" ht="12.75" customHeight="1">
      <c r="A532" s="187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</row>
    <row r="533" ht="12.75" customHeight="1">
      <c r="A533" s="187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</row>
    <row r="534" ht="12.75" customHeight="1">
      <c r="A534" s="187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</row>
    <row r="535" ht="12.75" customHeight="1">
      <c r="A535" s="187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</row>
    <row r="536" ht="12.75" customHeight="1">
      <c r="A536" s="187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</row>
    <row r="537" ht="12.75" customHeight="1">
      <c r="A537" s="187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</row>
    <row r="538" ht="12.75" customHeight="1">
      <c r="A538" s="187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</row>
    <row r="539" ht="12.75" customHeight="1">
      <c r="A539" s="187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</row>
    <row r="540" ht="12.75" customHeight="1">
      <c r="A540" s="187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</row>
    <row r="541" ht="12.75" customHeight="1">
      <c r="A541" s="187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</row>
    <row r="542" ht="12.75" customHeight="1">
      <c r="A542" s="187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</row>
    <row r="543" ht="12.75" customHeight="1">
      <c r="A543" s="187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</row>
    <row r="544" ht="12.75" customHeight="1">
      <c r="A544" s="187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</row>
    <row r="545" ht="12.75" customHeight="1">
      <c r="A545" s="187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</row>
    <row r="546" ht="12.75" customHeight="1">
      <c r="A546" s="187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</row>
    <row r="547" ht="12.75" customHeight="1">
      <c r="A547" s="187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</row>
    <row r="548" ht="12.75" customHeight="1">
      <c r="A548" s="187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</row>
    <row r="549" ht="12.75" customHeight="1">
      <c r="A549" s="187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</row>
    <row r="550" ht="12.75" customHeight="1">
      <c r="A550" s="187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</row>
    <row r="551" ht="12.75" customHeight="1">
      <c r="A551" s="187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</row>
    <row r="552" ht="12.75" customHeight="1">
      <c r="A552" s="187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</row>
    <row r="553" ht="12.75" customHeight="1">
      <c r="A553" s="187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</row>
    <row r="554" ht="12.75" customHeight="1">
      <c r="A554" s="187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</row>
    <row r="555" ht="12.75" customHeight="1">
      <c r="A555" s="187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</row>
    <row r="556" ht="12.75" customHeight="1">
      <c r="A556" s="187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</row>
    <row r="557" ht="12.75" customHeight="1">
      <c r="A557" s="187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</row>
    <row r="558" ht="12.75" customHeight="1">
      <c r="A558" s="187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</row>
    <row r="559" ht="12.75" customHeight="1">
      <c r="A559" s="187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</row>
    <row r="560" ht="12.75" customHeight="1">
      <c r="A560" s="187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</row>
    <row r="561" ht="12.75" customHeight="1">
      <c r="A561" s="187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</row>
    <row r="562" ht="12.75" customHeight="1">
      <c r="A562" s="187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</row>
    <row r="563" ht="12.75" customHeight="1">
      <c r="A563" s="187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</row>
    <row r="564" ht="12.75" customHeight="1">
      <c r="A564" s="187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</row>
    <row r="565" ht="12.75" customHeight="1">
      <c r="A565" s="187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</row>
    <row r="566" ht="12.75" customHeight="1">
      <c r="A566" s="187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</row>
    <row r="567" ht="12.75" customHeight="1">
      <c r="A567" s="187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</row>
    <row r="568" ht="12.75" customHeight="1">
      <c r="A568" s="187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</row>
    <row r="569" ht="12.75" customHeight="1">
      <c r="A569" s="187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</row>
    <row r="570" ht="12.75" customHeight="1">
      <c r="A570" s="187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</row>
    <row r="571" ht="12.75" customHeight="1">
      <c r="A571" s="187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</row>
    <row r="572" ht="12.75" customHeight="1">
      <c r="A572" s="187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</row>
    <row r="573" ht="12.75" customHeight="1">
      <c r="A573" s="187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</row>
    <row r="574" ht="12.75" customHeight="1">
      <c r="A574" s="187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</row>
    <row r="575" ht="12.75" customHeight="1">
      <c r="A575" s="187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</row>
    <row r="576" ht="12.75" customHeight="1">
      <c r="A576" s="187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</row>
    <row r="577" ht="12.75" customHeight="1">
      <c r="A577" s="187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</row>
    <row r="578" ht="12.75" customHeight="1">
      <c r="A578" s="187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</row>
    <row r="579" ht="12.75" customHeight="1">
      <c r="A579" s="187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</row>
    <row r="580" ht="12.75" customHeight="1">
      <c r="A580" s="187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</row>
    <row r="581" ht="12.75" customHeight="1">
      <c r="A581" s="187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</row>
    <row r="582" ht="12.75" customHeight="1">
      <c r="A582" s="187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</row>
    <row r="583" ht="12.75" customHeight="1">
      <c r="A583" s="187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</row>
    <row r="584" ht="12.75" customHeight="1">
      <c r="A584" s="187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</row>
    <row r="585" ht="12.75" customHeight="1">
      <c r="A585" s="187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</row>
    <row r="586" ht="12.75" customHeight="1">
      <c r="A586" s="187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</row>
    <row r="587" ht="12.75" customHeight="1">
      <c r="A587" s="187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</row>
    <row r="588" ht="12.75" customHeight="1">
      <c r="A588" s="187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</row>
    <row r="589" ht="12.75" customHeight="1">
      <c r="A589" s="187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</row>
    <row r="590" ht="12.75" customHeight="1">
      <c r="A590" s="187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</row>
    <row r="591" ht="12.75" customHeight="1">
      <c r="A591" s="187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</row>
    <row r="592" ht="12.75" customHeight="1">
      <c r="A592" s="187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</row>
    <row r="593" ht="12.75" customHeight="1">
      <c r="A593" s="187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</row>
    <row r="594" ht="12.75" customHeight="1">
      <c r="A594" s="187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</row>
    <row r="595" ht="12.75" customHeight="1">
      <c r="A595" s="187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</row>
    <row r="596" ht="12.75" customHeight="1">
      <c r="A596" s="187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</row>
    <row r="597" ht="12.75" customHeight="1">
      <c r="A597" s="187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</row>
    <row r="598" ht="12.75" customHeight="1">
      <c r="A598" s="187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</row>
    <row r="599" ht="12.75" customHeight="1">
      <c r="A599" s="187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</row>
    <row r="600" ht="12.75" customHeight="1">
      <c r="A600" s="187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</row>
    <row r="601" ht="12.75" customHeight="1">
      <c r="A601" s="187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</row>
    <row r="602" ht="12.75" customHeight="1">
      <c r="A602" s="187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</row>
    <row r="603" ht="12.75" customHeight="1">
      <c r="A603" s="187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</row>
    <row r="604" ht="12.75" customHeight="1">
      <c r="A604" s="187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</row>
    <row r="605" ht="12.75" customHeight="1">
      <c r="A605" s="187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</row>
    <row r="606" ht="12.75" customHeight="1">
      <c r="A606" s="187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</row>
    <row r="607" ht="12.75" customHeight="1">
      <c r="A607" s="187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</row>
    <row r="608" ht="12.75" customHeight="1">
      <c r="A608" s="187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</row>
    <row r="609" ht="12.75" customHeight="1">
      <c r="A609" s="187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</row>
    <row r="610" ht="12.75" customHeight="1">
      <c r="A610" s="187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</row>
    <row r="611" ht="12.75" customHeight="1">
      <c r="A611" s="187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</row>
    <row r="612" ht="12.75" customHeight="1">
      <c r="A612" s="187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</row>
    <row r="613" ht="12.75" customHeight="1">
      <c r="A613" s="187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</row>
    <row r="614" ht="12.75" customHeight="1">
      <c r="A614" s="187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</row>
    <row r="615" ht="12.75" customHeight="1">
      <c r="A615" s="187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</row>
    <row r="616" ht="12.75" customHeight="1">
      <c r="A616" s="187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</row>
    <row r="617" ht="12.75" customHeight="1">
      <c r="A617" s="187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</row>
    <row r="618" ht="12.75" customHeight="1">
      <c r="A618" s="187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</row>
    <row r="619" ht="12.75" customHeight="1">
      <c r="A619" s="187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</row>
    <row r="620" ht="12.75" customHeight="1">
      <c r="A620" s="187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</row>
    <row r="621" ht="12.75" customHeight="1">
      <c r="A621" s="187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</row>
    <row r="622" ht="12.75" customHeight="1">
      <c r="A622" s="187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</row>
    <row r="623" ht="12.75" customHeight="1">
      <c r="A623" s="187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</row>
    <row r="624" ht="12.75" customHeight="1">
      <c r="A624" s="187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</row>
    <row r="625" ht="12.75" customHeight="1">
      <c r="A625" s="187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</row>
    <row r="626" ht="12.75" customHeight="1">
      <c r="A626" s="187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</row>
    <row r="627" ht="12.75" customHeight="1">
      <c r="A627" s="187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</row>
    <row r="628" ht="12.75" customHeight="1">
      <c r="A628" s="187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</row>
    <row r="629" ht="12.75" customHeight="1">
      <c r="A629" s="187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</row>
    <row r="630" ht="12.75" customHeight="1">
      <c r="A630" s="187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</row>
    <row r="631" ht="12.75" customHeight="1">
      <c r="A631" s="187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</row>
    <row r="632" ht="12.75" customHeight="1">
      <c r="A632" s="187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</row>
    <row r="633" ht="12.75" customHeight="1">
      <c r="A633" s="187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</row>
    <row r="634" ht="12.75" customHeight="1">
      <c r="A634" s="187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</row>
    <row r="635" ht="12.75" customHeight="1">
      <c r="A635" s="187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</row>
    <row r="636" ht="12.75" customHeight="1">
      <c r="A636" s="187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</row>
    <row r="637" ht="12.75" customHeight="1">
      <c r="A637" s="187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</row>
    <row r="638" ht="12.75" customHeight="1">
      <c r="A638" s="187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</row>
    <row r="639" ht="12.75" customHeight="1">
      <c r="A639" s="187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</row>
    <row r="640" ht="12.75" customHeight="1">
      <c r="A640" s="187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</row>
    <row r="641" ht="12.75" customHeight="1">
      <c r="A641" s="187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</row>
    <row r="642" ht="12.75" customHeight="1">
      <c r="A642" s="187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</row>
    <row r="643" ht="12.75" customHeight="1">
      <c r="A643" s="187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</row>
    <row r="644" ht="12.75" customHeight="1">
      <c r="A644" s="187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</row>
    <row r="645" ht="12.75" customHeight="1">
      <c r="A645" s="187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</row>
    <row r="646" ht="12.75" customHeight="1">
      <c r="A646" s="187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</row>
    <row r="647" ht="12.75" customHeight="1">
      <c r="A647" s="187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</row>
    <row r="648" ht="12.75" customHeight="1">
      <c r="A648" s="187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</row>
    <row r="649" ht="12.75" customHeight="1">
      <c r="A649" s="187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</row>
    <row r="650" ht="12.75" customHeight="1">
      <c r="A650" s="187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</row>
    <row r="651" ht="12.75" customHeight="1">
      <c r="A651" s="187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</row>
    <row r="652" ht="12.75" customHeight="1">
      <c r="A652" s="187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</row>
    <row r="653" ht="12.75" customHeight="1">
      <c r="A653" s="187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</row>
    <row r="654" ht="12.75" customHeight="1">
      <c r="A654" s="187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</row>
    <row r="655" ht="12.75" customHeight="1">
      <c r="A655" s="187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</row>
    <row r="656" ht="12.75" customHeight="1">
      <c r="A656" s="187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</row>
    <row r="657" ht="12.75" customHeight="1">
      <c r="A657" s="187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</row>
    <row r="658" ht="12.75" customHeight="1">
      <c r="A658" s="187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</row>
    <row r="659" ht="12.75" customHeight="1">
      <c r="A659" s="187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</row>
    <row r="660" ht="12.75" customHeight="1">
      <c r="A660" s="187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</row>
    <row r="661" ht="12.75" customHeight="1">
      <c r="A661" s="187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</row>
    <row r="662" ht="12.75" customHeight="1">
      <c r="A662" s="187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</row>
    <row r="663" ht="12.75" customHeight="1">
      <c r="A663" s="187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</row>
    <row r="664" ht="12.75" customHeight="1">
      <c r="A664" s="187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</row>
    <row r="665" ht="12.75" customHeight="1">
      <c r="A665" s="187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</row>
    <row r="666" ht="12.75" customHeight="1">
      <c r="A666" s="187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</row>
    <row r="667" ht="12.75" customHeight="1">
      <c r="A667" s="187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</row>
    <row r="668" ht="12.75" customHeight="1">
      <c r="A668" s="187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</row>
    <row r="669" ht="12.75" customHeight="1">
      <c r="A669" s="187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</row>
    <row r="670" ht="12.75" customHeight="1">
      <c r="A670" s="187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</row>
    <row r="671" ht="12.75" customHeight="1">
      <c r="A671" s="187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</row>
    <row r="672" ht="12.75" customHeight="1">
      <c r="A672" s="187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</row>
    <row r="673" ht="12.75" customHeight="1">
      <c r="A673" s="187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</row>
    <row r="674" ht="12.75" customHeight="1">
      <c r="A674" s="187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</row>
    <row r="675" ht="12.75" customHeight="1">
      <c r="A675" s="187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</row>
    <row r="676" ht="12.75" customHeight="1">
      <c r="A676" s="187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</row>
    <row r="677" ht="12.75" customHeight="1">
      <c r="A677" s="187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</row>
    <row r="678" ht="12.75" customHeight="1">
      <c r="A678" s="187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</row>
    <row r="679" ht="12.75" customHeight="1">
      <c r="A679" s="187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</row>
    <row r="680" ht="12.75" customHeight="1">
      <c r="A680" s="187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</row>
    <row r="681" ht="12.75" customHeight="1">
      <c r="A681" s="187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</row>
    <row r="682" ht="12.75" customHeight="1">
      <c r="A682" s="187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</row>
    <row r="683" ht="12.75" customHeight="1">
      <c r="A683" s="187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</row>
    <row r="684" ht="12.75" customHeight="1">
      <c r="A684" s="187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</row>
    <row r="685" ht="12.75" customHeight="1">
      <c r="A685" s="187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</row>
    <row r="686" ht="12.75" customHeight="1">
      <c r="A686" s="187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</row>
    <row r="687" ht="12.75" customHeight="1">
      <c r="A687" s="187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</row>
    <row r="688" ht="12.75" customHeight="1">
      <c r="A688" s="187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</row>
    <row r="689" ht="12.75" customHeight="1">
      <c r="A689" s="187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</row>
    <row r="690" ht="12.75" customHeight="1">
      <c r="A690" s="187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</row>
    <row r="691" ht="12.75" customHeight="1">
      <c r="A691" s="187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</row>
    <row r="692" ht="12.75" customHeight="1">
      <c r="A692" s="187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</row>
    <row r="693" ht="12.75" customHeight="1">
      <c r="A693" s="187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</row>
    <row r="694" ht="12.75" customHeight="1">
      <c r="A694" s="187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</row>
    <row r="695" ht="12.75" customHeight="1">
      <c r="A695" s="187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</row>
    <row r="696" ht="12.75" customHeight="1">
      <c r="A696" s="187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</row>
    <row r="697" ht="12.75" customHeight="1">
      <c r="A697" s="187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</row>
    <row r="698" ht="12.75" customHeight="1">
      <c r="A698" s="187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</row>
    <row r="699" ht="12.75" customHeight="1">
      <c r="A699" s="187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</row>
    <row r="700" ht="12.75" customHeight="1">
      <c r="A700" s="187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</row>
    <row r="701" ht="12.75" customHeight="1">
      <c r="A701" s="187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</row>
    <row r="702" ht="12.75" customHeight="1">
      <c r="A702" s="187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</row>
    <row r="703" ht="12.75" customHeight="1">
      <c r="A703" s="187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</row>
    <row r="704" ht="12.75" customHeight="1">
      <c r="A704" s="187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</row>
    <row r="705" ht="12.75" customHeight="1">
      <c r="A705" s="187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</row>
    <row r="706" ht="12.75" customHeight="1">
      <c r="A706" s="187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</row>
    <row r="707" ht="12.75" customHeight="1">
      <c r="A707" s="187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</row>
    <row r="708" ht="12.75" customHeight="1">
      <c r="A708" s="187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</row>
    <row r="709" ht="12.75" customHeight="1">
      <c r="A709" s="187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</row>
    <row r="710" ht="12.75" customHeight="1">
      <c r="A710" s="187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</row>
    <row r="711" ht="12.75" customHeight="1">
      <c r="A711" s="187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</row>
    <row r="712" ht="12.75" customHeight="1">
      <c r="A712" s="187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</row>
    <row r="713" ht="12.75" customHeight="1">
      <c r="A713" s="187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</row>
    <row r="714" ht="12.75" customHeight="1">
      <c r="A714" s="187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</row>
    <row r="715" ht="12.75" customHeight="1">
      <c r="A715" s="187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</row>
    <row r="716" ht="12.75" customHeight="1">
      <c r="A716" s="187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</row>
    <row r="717" ht="12.75" customHeight="1">
      <c r="A717" s="187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</row>
    <row r="718" ht="12.75" customHeight="1">
      <c r="A718" s="187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</row>
    <row r="719" ht="12.75" customHeight="1">
      <c r="A719" s="187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</row>
    <row r="720" ht="12.75" customHeight="1">
      <c r="A720" s="187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</row>
    <row r="721" ht="12.75" customHeight="1">
      <c r="A721" s="187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</row>
    <row r="722" ht="12.75" customHeight="1">
      <c r="A722" s="187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</row>
    <row r="723" ht="12.75" customHeight="1">
      <c r="A723" s="187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</row>
    <row r="724" ht="12.75" customHeight="1">
      <c r="A724" s="187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</row>
    <row r="725" ht="12.75" customHeight="1">
      <c r="A725" s="187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</row>
    <row r="726" ht="12.75" customHeight="1">
      <c r="A726" s="187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</row>
    <row r="727" ht="12.75" customHeight="1">
      <c r="A727" s="187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</row>
    <row r="728" ht="12.75" customHeight="1">
      <c r="A728" s="187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</row>
    <row r="729" ht="12.75" customHeight="1">
      <c r="A729" s="187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</row>
    <row r="730" ht="12.75" customHeight="1">
      <c r="A730" s="187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</row>
    <row r="731" ht="12.75" customHeight="1">
      <c r="A731" s="187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</row>
    <row r="732" ht="12.75" customHeight="1">
      <c r="A732" s="187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</row>
    <row r="733" ht="12.75" customHeight="1">
      <c r="A733" s="187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</row>
    <row r="734" ht="12.75" customHeight="1">
      <c r="A734" s="187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</row>
    <row r="735" ht="12.75" customHeight="1">
      <c r="A735" s="187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</row>
    <row r="736" ht="12.75" customHeight="1">
      <c r="A736" s="187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</row>
    <row r="737" ht="12.75" customHeight="1">
      <c r="A737" s="187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</row>
    <row r="738" ht="12.75" customHeight="1">
      <c r="A738" s="187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</row>
    <row r="739" ht="12.75" customHeight="1">
      <c r="A739" s="187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</row>
    <row r="740" ht="12.75" customHeight="1">
      <c r="A740" s="187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</row>
    <row r="741" ht="12.75" customHeight="1">
      <c r="A741" s="187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</row>
    <row r="742" ht="12.75" customHeight="1">
      <c r="A742" s="187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</row>
    <row r="743" ht="12.75" customHeight="1">
      <c r="A743" s="187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</row>
    <row r="744" ht="12.75" customHeight="1">
      <c r="A744" s="187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</row>
    <row r="745" ht="12.75" customHeight="1">
      <c r="A745" s="187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</row>
    <row r="746" ht="12.75" customHeight="1">
      <c r="A746" s="187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</row>
    <row r="747" ht="12.75" customHeight="1">
      <c r="A747" s="187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</row>
    <row r="748" ht="12.75" customHeight="1">
      <c r="A748" s="187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</row>
    <row r="749" ht="12.75" customHeight="1">
      <c r="A749" s="187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</row>
    <row r="750" ht="12.75" customHeight="1">
      <c r="A750" s="187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</row>
    <row r="751" ht="12.75" customHeight="1">
      <c r="A751" s="187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</row>
    <row r="752" ht="12.75" customHeight="1">
      <c r="A752" s="187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</row>
    <row r="753" ht="12.75" customHeight="1">
      <c r="A753" s="187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</row>
    <row r="754" ht="12.75" customHeight="1">
      <c r="A754" s="187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</row>
    <row r="755" ht="12.75" customHeight="1">
      <c r="A755" s="187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</row>
    <row r="756" ht="12.75" customHeight="1">
      <c r="A756" s="187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</row>
    <row r="757" ht="12.75" customHeight="1">
      <c r="A757" s="187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</row>
    <row r="758" ht="12.75" customHeight="1">
      <c r="A758" s="187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</row>
    <row r="759" ht="12.75" customHeight="1">
      <c r="A759" s="187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</row>
    <row r="760" ht="12.75" customHeight="1">
      <c r="A760" s="187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</row>
    <row r="761" ht="12.75" customHeight="1">
      <c r="A761" s="187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</row>
    <row r="762" ht="12.75" customHeight="1">
      <c r="A762" s="187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</row>
    <row r="763" ht="12.75" customHeight="1">
      <c r="A763" s="187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</row>
    <row r="764" ht="12.75" customHeight="1">
      <c r="A764" s="187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</row>
    <row r="765" ht="12.75" customHeight="1">
      <c r="A765" s="187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</row>
    <row r="766" ht="12.75" customHeight="1">
      <c r="A766" s="187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</row>
    <row r="767" ht="12.75" customHeight="1">
      <c r="A767" s="187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</row>
    <row r="768" ht="12.75" customHeight="1">
      <c r="A768" s="187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</row>
    <row r="769" ht="12.75" customHeight="1">
      <c r="A769" s="187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</row>
    <row r="770" ht="12.75" customHeight="1">
      <c r="A770" s="187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</row>
    <row r="771" ht="12.75" customHeight="1">
      <c r="A771" s="187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</row>
    <row r="772" ht="12.75" customHeight="1">
      <c r="A772" s="187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</row>
    <row r="773" ht="12.75" customHeight="1">
      <c r="A773" s="187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</row>
    <row r="774" ht="12.75" customHeight="1">
      <c r="A774" s="187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</row>
    <row r="775" ht="12.75" customHeight="1">
      <c r="A775" s="187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</row>
    <row r="776" ht="12.75" customHeight="1">
      <c r="A776" s="187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</row>
    <row r="777" ht="12.75" customHeight="1">
      <c r="A777" s="187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</row>
    <row r="778" ht="12.75" customHeight="1">
      <c r="A778" s="187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</row>
    <row r="779" ht="12.75" customHeight="1">
      <c r="A779" s="187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</row>
    <row r="780" ht="12.75" customHeight="1">
      <c r="A780" s="187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</row>
    <row r="781" ht="12.75" customHeight="1">
      <c r="A781" s="187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</row>
    <row r="782" ht="12.75" customHeight="1">
      <c r="A782" s="187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</row>
    <row r="783" ht="12.75" customHeight="1">
      <c r="A783" s="187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</row>
    <row r="784" ht="12.75" customHeight="1">
      <c r="A784" s="187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</row>
    <row r="785" ht="12.75" customHeight="1">
      <c r="A785" s="187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</row>
    <row r="786" ht="12.75" customHeight="1">
      <c r="A786" s="187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</row>
    <row r="787" ht="12.75" customHeight="1">
      <c r="A787" s="187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</row>
    <row r="788" ht="12.75" customHeight="1">
      <c r="A788" s="187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</row>
    <row r="789" ht="12.75" customHeight="1">
      <c r="A789" s="187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</row>
    <row r="790" ht="12.75" customHeight="1">
      <c r="A790" s="187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</row>
    <row r="791" ht="12.75" customHeight="1">
      <c r="A791" s="187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</row>
    <row r="792" ht="12.75" customHeight="1">
      <c r="A792" s="187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</row>
    <row r="793" ht="12.75" customHeight="1">
      <c r="A793" s="187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</row>
    <row r="794" ht="12.75" customHeight="1">
      <c r="A794" s="187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</row>
    <row r="795" ht="12.75" customHeight="1">
      <c r="A795" s="187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</row>
    <row r="796" ht="12.75" customHeight="1">
      <c r="A796" s="187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</row>
    <row r="797" ht="12.75" customHeight="1">
      <c r="A797" s="187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</row>
    <row r="798" ht="12.75" customHeight="1">
      <c r="A798" s="187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</row>
    <row r="799" ht="12.75" customHeight="1">
      <c r="A799" s="187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</row>
    <row r="800" ht="12.75" customHeight="1">
      <c r="A800" s="187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</row>
    <row r="801" ht="12.75" customHeight="1">
      <c r="A801" s="187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</row>
    <row r="802" ht="12.75" customHeight="1">
      <c r="A802" s="187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</row>
    <row r="803" ht="12.75" customHeight="1">
      <c r="A803" s="187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</row>
    <row r="804" ht="12.75" customHeight="1">
      <c r="A804" s="187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</row>
    <row r="805" ht="12.75" customHeight="1">
      <c r="A805" s="187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</row>
    <row r="806" ht="12.75" customHeight="1">
      <c r="A806" s="187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</row>
    <row r="807" ht="12.75" customHeight="1">
      <c r="A807" s="187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</row>
    <row r="808" ht="12.75" customHeight="1">
      <c r="A808" s="187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</row>
    <row r="809" ht="12.75" customHeight="1">
      <c r="A809" s="187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</row>
    <row r="810" ht="12.75" customHeight="1">
      <c r="A810" s="187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</row>
    <row r="811" ht="12.75" customHeight="1">
      <c r="A811" s="187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</row>
    <row r="812" ht="12.75" customHeight="1">
      <c r="A812" s="187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</row>
    <row r="813" ht="12.75" customHeight="1">
      <c r="A813" s="187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</row>
    <row r="814" ht="12.75" customHeight="1">
      <c r="A814" s="187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</row>
    <row r="815" ht="12.75" customHeight="1">
      <c r="A815" s="187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</row>
    <row r="816" ht="12.75" customHeight="1">
      <c r="A816" s="187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</row>
    <row r="817" ht="12.75" customHeight="1">
      <c r="A817" s="187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</row>
    <row r="818" ht="12.75" customHeight="1">
      <c r="A818" s="187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</row>
    <row r="819" ht="12.75" customHeight="1">
      <c r="A819" s="187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</row>
    <row r="820" ht="12.75" customHeight="1">
      <c r="A820" s="187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</row>
    <row r="821" ht="12.75" customHeight="1">
      <c r="A821" s="187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</row>
    <row r="822" ht="12.75" customHeight="1">
      <c r="A822" s="187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</row>
    <row r="823" ht="12.75" customHeight="1">
      <c r="A823" s="187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</row>
    <row r="824" ht="12.75" customHeight="1">
      <c r="A824" s="187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</row>
    <row r="825" ht="12.75" customHeight="1">
      <c r="A825" s="187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</row>
    <row r="826" ht="12.75" customHeight="1">
      <c r="A826" s="187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</row>
    <row r="827" ht="12.75" customHeight="1">
      <c r="A827" s="187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</row>
    <row r="828" ht="12.75" customHeight="1">
      <c r="A828" s="187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</row>
    <row r="829" ht="12.75" customHeight="1">
      <c r="A829" s="187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</row>
    <row r="830" ht="12.75" customHeight="1">
      <c r="A830" s="187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</row>
    <row r="831" ht="12.75" customHeight="1">
      <c r="A831" s="187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</row>
    <row r="832" ht="12.75" customHeight="1">
      <c r="A832" s="187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</row>
    <row r="833" ht="12.75" customHeight="1">
      <c r="A833" s="187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</row>
    <row r="834" ht="12.75" customHeight="1">
      <c r="A834" s="187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</row>
    <row r="835" ht="12.75" customHeight="1">
      <c r="A835" s="187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</row>
    <row r="836" ht="12.75" customHeight="1">
      <c r="A836" s="187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</row>
    <row r="837" ht="12.75" customHeight="1">
      <c r="A837" s="187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</row>
    <row r="838" ht="12.75" customHeight="1">
      <c r="A838" s="187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</row>
    <row r="839" ht="12.75" customHeight="1">
      <c r="A839" s="187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</row>
    <row r="840" ht="12.75" customHeight="1">
      <c r="A840" s="187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</row>
    <row r="841" ht="12.75" customHeight="1">
      <c r="A841" s="187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</row>
    <row r="842" ht="12.75" customHeight="1">
      <c r="A842" s="187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</row>
    <row r="843" ht="12.75" customHeight="1">
      <c r="A843" s="187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</row>
    <row r="844" ht="12.75" customHeight="1">
      <c r="A844" s="187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</row>
    <row r="845" ht="12.75" customHeight="1">
      <c r="A845" s="187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</row>
    <row r="846" ht="12.75" customHeight="1">
      <c r="A846" s="187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</row>
    <row r="847" ht="12.75" customHeight="1">
      <c r="A847" s="187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</row>
    <row r="848" ht="12.75" customHeight="1">
      <c r="A848" s="187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</row>
    <row r="849" ht="12.75" customHeight="1">
      <c r="A849" s="187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</row>
    <row r="850" ht="12.75" customHeight="1">
      <c r="A850" s="187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</row>
    <row r="851" ht="12.75" customHeight="1">
      <c r="A851" s="187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</row>
    <row r="852" ht="12.75" customHeight="1">
      <c r="A852" s="187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</row>
    <row r="853" ht="12.75" customHeight="1">
      <c r="A853" s="187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</row>
    <row r="854" ht="12.75" customHeight="1">
      <c r="A854" s="187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</row>
    <row r="855" ht="12.75" customHeight="1">
      <c r="A855" s="187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</row>
    <row r="856" ht="12.75" customHeight="1">
      <c r="A856" s="187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</row>
    <row r="857" ht="12.75" customHeight="1">
      <c r="A857" s="187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</row>
    <row r="858" ht="12.75" customHeight="1">
      <c r="A858" s="187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</row>
    <row r="859" ht="12.75" customHeight="1">
      <c r="A859" s="187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</row>
    <row r="860" ht="12.75" customHeight="1">
      <c r="A860" s="187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</row>
    <row r="861" ht="12.75" customHeight="1">
      <c r="A861" s="187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</row>
    <row r="862" ht="12.75" customHeight="1">
      <c r="A862" s="187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</row>
    <row r="863" ht="12.75" customHeight="1">
      <c r="A863" s="187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</row>
    <row r="864" ht="12.75" customHeight="1">
      <c r="A864" s="187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</row>
    <row r="865" ht="12.75" customHeight="1">
      <c r="A865" s="187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</row>
    <row r="866" ht="12.75" customHeight="1">
      <c r="A866" s="187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</row>
    <row r="867" ht="12.75" customHeight="1">
      <c r="A867" s="187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</row>
    <row r="868" ht="12.75" customHeight="1">
      <c r="A868" s="187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</row>
    <row r="869" ht="12.75" customHeight="1">
      <c r="A869" s="187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</row>
    <row r="870" ht="12.75" customHeight="1">
      <c r="A870" s="187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</row>
    <row r="871" ht="12.75" customHeight="1">
      <c r="A871" s="187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</row>
    <row r="872" ht="12.75" customHeight="1">
      <c r="A872" s="187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</row>
    <row r="873" ht="12.75" customHeight="1">
      <c r="A873" s="187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</row>
    <row r="874" ht="12.75" customHeight="1">
      <c r="A874" s="187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</row>
    <row r="875" ht="12.75" customHeight="1">
      <c r="A875" s="187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</row>
    <row r="876" ht="12.75" customHeight="1">
      <c r="A876" s="187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</row>
    <row r="877" ht="12.75" customHeight="1">
      <c r="A877" s="187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</row>
    <row r="878" ht="12.75" customHeight="1">
      <c r="A878" s="187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</row>
    <row r="879" ht="12.75" customHeight="1">
      <c r="A879" s="187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</row>
    <row r="880" ht="12.75" customHeight="1">
      <c r="A880" s="187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</row>
    <row r="881" ht="12.75" customHeight="1">
      <c r="A881" s="187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</row>
    <row r="882" ht="12.75" customHeight="1">
      <c r="A882" s="187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</row>
    <row r="883" ht="12.75" customHeight="1">
      <c r="A883" s="187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</row>
    <row r="884" ht="12.75" customHeight="1">
      <c r="A884" s="187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</row>
    <row r="885" ht="12.75" customHeight="1">
      <c r="A885" s="187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</row>
    <row r="886" ht="12.75" customHeight="1">
      <c r="A886" s="187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</row>
    <row r="887" ht="12.75" customHeight="1">
      <c r="A887" s="187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</row>
    <row r="888" ht="12.75" customHeight="1">
      <c r="A888" s="187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</row>
    <row r="889" ht="12.75" customHeight="1">
      <c r="A889" s="187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</row>
    <row r="890" ht="12.75" customHeight="1">
      <c r="A890" s="187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</row>
    <row r="891" ht="12.75" customHeight="1">
      <c r="A891" s="187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</row>
    <row r="892" ht="12.75" customHeight="1">
      <c r="A892" s="187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</row>
    <row r="893" ht="12.75" customHeight="1">
      <c r="A893" s="187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</row>
    <row r="894" ht="12.75" customHeight="1">
      <c r="A894" s="187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</row>
    <row r="895" ht="12.75" customHeight="1">
      <c r="A895" s="187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</row>
    <row r="896" ht="12.75" customHeight="1">
      <c r="A896" s="187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</row>
    <row r="897" ht="12.75" customHeight="1">
      <c r="A897" s="187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</row>
    <row r="898" ht="12.75" customHeight="1">
      <c r="A898" s="187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</row>
    <row r="899" ht="12.75" customHeight="1">
      <c r="A899" s="187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</row>
    <row r="900" ht="12.75" customHeight="1">
      <c r="A900" s="187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</row>
    <row r="901" ht="12.75" customHeight="1">
      <c r="A901" s="187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</row>
    <row r="902" ht="12.75" customHeight="1">
      <c r="A902" s="187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</row>
    <row r="903" ht="12.75" customHeight="1">
      <c r="A903" s="187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</row>
    <row r="904" ht="12.75" customHeight="1">
      <c r="A904" s="187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</row>
    <row r="905" ht="12.75" customHeight="1">
      <c r="A905" s="187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</row>
    <row r="906" ht="12.75" customHeight="1">
      <c r="A906" s="187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</row>
    <row r="907" ht="12.75" customHeight="1">
      <c r="A907" s="187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</row>
    <row r="908" ht="12.75" customHeight="1">
      <c r="A908" s="187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</row>
    <row r="909" ht="12.75" customHeight="1">
      <c r="A909" s="187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</row>
    <row r="910" ht="12.75" customHeight="1">
      <c r="A910" s="187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</row>
    <row r="911" ht="12.75" customHeight="1">
      <c r="A911" s="187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</row>
    <row r="912" ht="12.75" customHeight="1">
      <c r="A912" s="187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</row>
    <row r="913" ht="12.75" customHeight="1">
      <c r="A913" s="187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</row>
    <row r="914" ht="12.75" customHeight="1">
      <c r="A914" s="187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</row>
    <row r="915" ht="12.75" customHeight="1">
      <c r="A915" s="187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</row>
    <row r="916" ht="12.75" customHeight="1">
      <c r="A916" s="187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</row>
    <row r="917" ht="12.75" customHeight="1">
      <c r="A917" s="187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</row>
    <row r="918" ht="12.75" customHeight="1">
      <c r="A918" s="187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</row>
    <row r="919" ht="12.75" customHeight="1">
      <c r="A919" s="187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</row>
    <row r="920" ht="12.75" customHeight="1">
      <c r="A920" s="187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</row>
    <row r="921" ht="12.75" customHeight="1">
      <c r="A921" s="187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</row>
    <row r="922" ht="12.75" customHeight="1">
      <c r="A922" s="187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</row>
    <row r="923" ht="12.75" customHeight="1">
      <c r="A923" s="187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</row>
    <row r="924" ht="12.75" customHeight="1">
      <c r="A924" s="187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</row>
    <row r="925" ht="12.75" customHeight="1">
      <c r="A925" s="187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</row>
    <row r="926" ht="12.75" customHeight="1">
      <c r="A926" s="187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</row>
    <row r="927" ht="12.75" customHeight="1">
      <c r="A927" s="187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</row>
    <row r="928" ht="12.75" customHeight="1">
      <c r="A928" s="187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</row>
    <row r="929" ht="12.75" customHeight="1">
      <c r="A929" s="187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</row>
    <row r="930" ht="12.75" customHeight="1">
      <c r="A930" s="187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</row>
    <row r="931" ht="12.75" customHeight="1">
      <c r="A931" s="187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</row>
    <row r="932" ht="12.75" customHeight="1">
      <c r="A932" s="187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</row>
    <row r="933" ht="12.75" customHeight="1">
      <c r="A933" s="187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</row>
    <row r="934" ht="12.75" customHeight="1">
      <c r="A934" s="187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87"/>
      <c r="V934" s="187"/>
      <c r="W934" s="187"/>
      <c r="X934" s="187"/>
      <c r="Y934" s="187"/>
      <c r="Z934" s="187"/>
    </row>
    <row r="935" ht="12.75" customHeight="1">
      <c r="A935" s="187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87"/>
      <c r="V935" s="187"/>
      <c r="W935" s="187"/>
      <c r="X935" s="187"/>
      <c r="Y935" s="187"/>
      <c r="Z935" s="187"/>
    </row>
    <row r="936" ht="12.75" customHeight="1">
      <c r="A936" s="187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87"/>
      <c r="V936" s="187"/>
      <c r="W936" s="187"/>
      <c r="X936" s="187"/>
      <c r="Y936" s="187"/>
      <c r="Z936" s="187"/>
    </row>
    <row r="937" ht="12.75" customHeight="1">
      <c r="A937" s="187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87"/>
      <c r="V937" s="187"/>
      <c r="W937" s="187"/>
      <c r="X937" s="187"/>
      <c r="Y937" s="187"/>
      <c r="Z937" s="187"/>
    </row>
    <row r="938" ht="12.75" customHeight="1">
      <c r="A938" s="187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87"/>
      <c r="V938" s="187"/>
      <c r="W938" s="187"/>
      <c r="X938" s="187"/>
      <c r="Y938" s="187"/>
      <c r="Z938" s="187"/>
    </row>
    <row r="939" ht="12.75" customHeight="1">
      <c r="A939" s="187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87"/>
      <c r="V939" s="187"/>
      <c r="W939" s="187"/>
      <c r="X939" s="187"/>
      <c r="Y939" s="187"/>
      <c r="Z939" s="187"/>
    </row>
    <row r="940" ht="12.75" customHeight="1">
      <c r="A940" s="187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87"/>
      <c r="V940" s="187"/>
      <c r="W940" s="187"/>
      <c r="X940" s="187"/>
      <c r="Y940" s="187"/>
      <c r="Z940" s="187"/>
    </row>
    <row r="941" ht="12.75" customHeight="1">
      <c r="A941" s="187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87"/>
      <c r="V941" s="187"/>
      <c r="W941" s="187"/>
      <c r="X941" s="187"/>
      <c r="Y941" s="187"/>
      <c r="Z941" s="187"/>
    </row>
    <row r="942" ht="12.75" customHeight="1">
      <c r="A942" s="187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87"/>
      <c r="V942" s="187"/>
      <c r="W942" s="187"/>
      <c r="X942" s="187"/>
      <c r="Y942" s="187"/>
      <c r="Z942" s="187"/>
    </row>
    <row r="943" ht="12.75" customHeight="1">
      <c r="A943" s="187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87"/>
      <c r="V943" s="187"/>
      <c r="W943" s="187"/>
      <c r="X943" s="187"/>
      <c r="Y943" s="187"/>
      <c r="Z943" s="187"/>
    </row>
    <row r="944" ht="12.75" customHeight="1">
      <c r="A944" s="187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87"/>
      <c r="V944" s="187"/>
      <c r="W944" s="187"/>
      <c r="X944" s="187"/>
      <c r="Y944" s="187"/>
      <c r="Z944" s="187"/>
    </row>
    <row r="945" ht="12.75" customHeight="1">
      <c r="A945" s="187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87"/>
      <c r="V945" s="187"/>
      <c r="W945" s="187"/>
      <c r="X945" s="187"/>
      <c r="Y945" s="187"/>
      <c r="Z945" s="187"/>
    </row>
    <row r="946" ht="12.75" customHeight="1">
      <c r="A946" s="187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87"/>
      <c r="V946" s="187"/>
      <c r="W946" s="187"/>
      <c r="X946" s="187"/>
      <c r="Y946" s="187"/>
      <c r="Z946" s="187"/>
    </row>
    <row r="947" ht="12.75" customHeight="1">
      <c r="A947" s="187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87"/>
      <c r="V947" s="187"/>
      <c r="W947" s="187"/>
      <c r="X947" s="187"/>
      <c r="Y947" s="187"/>
      <c r="Z947" s="187"/>
    </row>
    <row r="948" ht="12.75" customHeight="1">
      <c r="A948" s="187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87"/>
      <c r="V948" s="187"/>
      <c r="W948" s="187"/>
      <c r="X948" s="187"/>
      <c r="Y948" s="187"/>
      <c r="Z948" s="187"/>
    </row>
    <row r="949" ht="12.75" customHeight="1">
      <c r="A949" s="187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87"/>
      <c r="V949" s="187"/>
      <c r="W949" s="187"/>
      <c r="X949" s="187"/>
      <c r="Y949" s="187"/>
      <c r="Z949" s="187"/>
    </row>
    <row r="950" ht="12.75" customHeight="1">
      <c r="A950" s="187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87"/>
      <c r="V950" s="187"/>
      <c r="W950" s="187"/>
      <c r="X950" s="187"/>
      <c r="Y950" s="187"/>
      <c r="Z950" s="187"/>
    </row>
    <row r="951" ht="12.75" customHeight="1">
      <c r="A951" s="187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87"/>
      <c r="V951" s="187"/>
      <c r="W951" s="187"/>
      <c r="X951" s="187"/>
      <c r="Y951" s="187"/>
      <c r="Z951" s="187"/>
    </row>
    <row r="952" ht="12.75" customHeight="1">
      <c r="A952" s="187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87"/>
      <c r="V952" s="187"/>
      <c r="W952" s="187"/>
      <c r="X952" s="187"/>
      <c r="Y952" s="187"/>
      <c r="Z952" s="187"/>
    </row>
    <row r="953" ht="12.75" customHeight="1">
      <c r="A953" s="187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87"/>
      <c r="V953" s="187"/>
      <c r="W953" s="187"/>
      <c r="X953" s="187"/>
      <c r="Y953" s="187"/>
      <c r="Z953" s="187"/>
    </row>
    <row r="954" ht="12.75" customHeight="1">
      <c r="A954" s="187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87"/>
      <c r="V954" s="187"/>
      <c r="W954" s="187"/>
      <c r="X954" s="187"/>
      <c r="Y954" s="187"/>
      <c r="Z954" s="187"/>
    </row>
    <row r="955" ht="12.75" customHeight="1">
      <c r="A955" s="187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87"/>
      <c r="V955" s="187"/>
      <c r="W955" s="187"/>
      <c r="X955" s="187"/>
      <c r="Y955" s="187"/>
      <c r="Z955" s="187"/>
    </row>
    <row r="956" ht="12.75" customHeight="1">
      <c r="A956" s="187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87"/>
      <c r="V956" s="187"/>
      <c r="W956" s="187"/>
      <c r="X956" s="187"/>
      <c r="Y956" s="187"/>
      <c r="Z956" s="187"/>
    </row>
    <row r="957" ht="12.75" customHeight="1">
      <c r="A957" s="187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87"/>
      <c r="V957" s="187"/>
      <c r="W957" s="187"/>
      <c r="X957" s="187"/>
      <c r="Y957" s="187"/>
      <c r="Z957" s="187"/>
    </row>
    <row r="958" ht="12.75" customHeight="1">
      <c r="A958" s="187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87"/>
      <c r="V958" s="187"/>
      <c r="W958" s="187"/>
      <c r="X958" s="187"/>
      <c r="Y958" s="187"/>
      <c r="Z958" s="187"/>
    </row>
    <row r="959" ht="12.75" customHeight="1">
      <c r="A959" s="187"/>
      <c r="B959" s="187"/>
      <c r="C959" s="187"/>
      <c r="D959" s="187"/>
      <c r="E959" s="187"/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87"/>
      <c r="V959" s="187"/>
      <c r="W959" s="187"/>
      <c r="X959" s="187"/>
      <c r="Y959" s="187"/>
      <c r="Z959" s="187"/>
    </row>
    <row r="960" ht="12.75" customHeight="1">
      <c r="A960" s="187"/>
      <c r="B960" s="187"/>
      <c r="C960" s="187"/>
      <c r="D960" s="187"/>
      <c r="E960" s="187"/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87"/>
      <c r="V960" s="187"/>
      <c r="W960" s="187"/>
      <c r="X960" s="187"/>
      <c r="Y960" s="187"/>
      <c r="Z960" s="187"/>
    </row>
    <row r="961" ht="12.75" customHeight="1">
      <c r="A961" s="187"/>
      <c r="B961" s="187"/>
      <c r="C961" s="187"/>
      <c r="D961" s="187"/>
      <c r="E961" s="187"/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87"/>
      <c r="V961" s="187"/>
      <c r="W961" s="187"/>
      <c r="X961" s="187"/>
      <c r="Y961" s="187"/>
      <c r="Z961" s="187"/>
    </row>
    <row r="962" ht="12.75" customHeight="1">
      <c r="A962" s="187"/>
      <c r="B962" s="187"/>
      <c r="C962" s="187"/>
      <c r="D962" s="187"/>
      <c r="E962" s="187"/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87"/>
      <c r="V962" s="187"/>
      <c r="W962" s="187"/>
      <c r="X962" s="187"/>
      <c r="Y962" s="187"/>
      <c r="Z962" s="187"/>
    </row>
    <row r="963" ht="12.75" customHeight="1">
      <c r="A963" s="187"/>
      <c r="B963" s="187"/>
      <c r="C963" s="187"/>
      <c r="D963" s="187"/>
      <c r="E963" s="187"/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87"/>
      <c r="V963" s="187"/>
      <c r="W963" s="187"/>
      <c r="X963" s="187"/>
      <c r="Y963" s="187"/>
      <c r="Z963" s="187"/>
    </row>
    <row r="964" ht="12.75" customHeight="1">
      <c r="A964" s="187"/>
      <c r="B964" s="187"/>
      <c r="C964" s="187"/>
      <c r="D964" s="187"/>
      <c r="E964" s="187"/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87"/>
      <c r="V964" s="187"/>
      <c r="W964" s="187"/>
      <c r="X964" s="187"/>
      <c r="Y964" s="187"/>
      <c r="Z964" s="187"/>
    </row>
    <row r="965" ht="12.75" customHeight="1">
      <c r="A965" s="187"/>
      <c r="B965" s="187"/>
      <c r="C965" s="187"/>
      <c r="D965" s="187"/>
      <c r="E965" s="187"/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87"/>
      <c r="V965" s="187"/>
      <c r="W965" s="187"/>
      <c r="X965" s="187"/>
      <c r="Y965" s="187"/>
      <c r="Z965" s="187"/>
    </row>
    <row r="966" ht="12.75" customHeight="1">
      <c r="A966" s="187"/>
      <c r="B966" s="187"/>
      <c r="C966" s="187"/>
      <c r="D966" s="187"/>
      <c r="E966" s="187"/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87"/>
      <c r="V966" s="187"/>
      <c r="W966" s="187"/>
      <c r="X966" s="187"/>
      <c r="Y966" s="187"/>
      <c r="Z966" s="187"/>
    </row>
    <row r="967" ht="12.75" customHeight="1">
      <c r="A967" s="187"/>
      <c r="B967" s="187"/>
      <c r="C967" s="187"/>
      <c r="D967" s="187"/>
      <c r="E967" s="187"/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87"/>
      <c r="V967" s="187"/>
      <c r="W967" s="187"/>
      <c r="X967" s="187"/>
      <c r="Y967" s="187"/>
      <c r="Z967" s="187"/>
    </row>
    <row r="968" ht="12.75" customHeight="1">
      <c r="A968" s="187"/>
      <c r="B968" s="187"/>
      <c r="C968" s="187"/>
      <c r="D968" s="187"/>
      <c r="E968" s="187"/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87"/>
      <c r="V968" s="187"/>
      <c r="W968" s="187"/>
      <c r="X968" s="187"/>
      <c r="Y968" s="187"/>
      <c r="Z968" s="187"/>
    </row>
    <row r="969" ht="12.75" customHeight="1">
      <c r="A969" s="187"/>
      <c r="B969" s="187"/>
      <c r="C969" s="187"/>
      <c r="D969" s="187"/>
      <c r="E969" s="187"/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87"/>
      <c r="V969" s="187"/>
      <c r="W969" s="187"/>
      <c r="X969" s="187"/>
      <c r="Y969" s="187"/>
      <c r="Z969" s="187"/>
    </row>
    <row r="970" ht="12.75" customHeight="1">
      <c r="A970" s="187"/>
      <c r="B970" s="187"/>
      <c r="C970" s="187"/>
      <c r="D970" s="187"/>
      <c r="E970" s="187"/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87"/>
      <c r="V970" s="187"/>
      <c r="W970" s="187"/>
      <c r="X970" s="187"/>
      <c r="Y970" s="187"/>
      <c r="Z970" s="187"/>
    </row>
    <row r="971" ht="12.75" customHeight="1">
      <c r="A971" s="187"/>
      <c r="B971" s="187"/>
      <c r="C971" s="187"/>
      <c r="D971" s="187"/>
      <c r="E971" s="187"/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87"/>
      <c r="V971" s="187"/>
      <c r="W971" s="187"/>
      <c r="X971" s="187"/>
      <c r="Y971" s="187"/>
      <c r="Z971" s="187"/>
    </row>
    <row r="972" ht="12.75" customHeight="1">
      <c r="A972" s="187"/>
      <c r="B972" s="187"/>
      <c r="C972" s="187"/>
      <c r="D972" s="187"/>
      <c r="E972" s="187"/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87"/>
      <c r="V972" s="187"/>
      <c r="W972" s="187"/>
      <c r="X972" s="187"/>
      <c r="Y972" s="187"/>
      <c r="Z972" s="187"/>
    </row>
    <row r="973" ht="12.75" customHeight="1">
      <c r="A973" s="187"/>
      <c r="B973" s="187"/>
      <c r="C973" s="187"/>
      <c r="D973" s="187"/>
      <c r="E973" s="187"/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87"/>
      <c r="V973" s="187"/>
      <c r="W973" s="187"/>
      <c r="X973" s="187"/>
      <c r="Y973" s="187"/>
      <c r="Z973" s="187"/>
    </row>
    <row r="974" ht="12.75" customHeight="1">
      <c r="A974" s="187"/>
      <c r="B974" s="187"/>
      <c r="C974" s="187"/>
      <c r="D974" s="187"/>
      <c r="E974" s="187"/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87"/>
      <c r="V974" s="187"/>
      <c r="W974" s="187"/>
      <c r="X974" s="187"/>
      <c r="Y974" s="187"/>
      <c r="Z974" s="187"/>
    </row>
    <row r="975" ht="12.75" customHeight="1">
      <c r="A975" s="187"/>
      <c r="B975" s="187"/>
      <c r="C975" s="187"/>
      <c r="D975" s="187"/>
      <c r="E975" s="187"/>
      <c r="F975" s="187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87"/>
      <c r="V975" s="187"/>
      <c r="W975" s="187"/>
      <c r="X975" s="187"/>
      <c r="Y975" s="187"/>
      <c r="Z975" s="187"/>
    </row>
    <row r="976" ht="12.75" customHeight="1">
      <c r="A976" s="187"/>
      <c r="B976" s="187"/>
      <c r="C976" s="187"/>
      <c r="D976" s="187"/>
      <c r="E976" s="187"/>
      <c r="F976" s="187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87"/>
      <c r="V976" s="187"/>
      <c r="W976" s="187"/>
      <c r="X976" s="187"/>
      <c r="Y976" s="187"/>
      <c r="Z976" s="187"/>
    </row>
    <row r="977" ht="12.75" customHeight="1">
      <c r="A977" s="187"/>
      <c r="B977" s="187"/>
      <c r="C977" s="187"/>
      <c r="D977" s="187"/>
      <c r="E977" s="187"/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87"/>
      <c r="V977" s="187"/>
      <c r="W977" s="187"/>
      <c r="X977" s="187"/>
      <c r="Y977" s="187"/>
      <c r="Z977" s="187"/>
    </row>
    <row r="978" ht="12.75" customHeight="1">
      <c r="A978" s="187"/>
      <c r="B978" s="187"/>
      <c r="C978" s="187"/>
      <c r="D978" s="187"/>
      <c r="E978" s="187"/>
      <c r="F978" s="187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87"/>
      <c r="V978" s="187"/>
      <c r="W978" s="187"/>
      <c r="X978" s="187"/>
      <c r="Y978" s="187"/>
      <c r="Z978" s="187"/>
    </row>
    <row r="979" ht="12.75" customHeight="1">
      <c r="A979" s="187"/>
      <c r="B979" s="187"/>
      <c r="C979" s="187"/>
      <c r="D979" s="187"/>
      <c r="E979" s="187"/>
      <c r="F979" s="187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87"/>
      <c r="V979" s="187"/>
      <c r="W979" s="187"/>
      <c r="X979" s="187"/>
      <c r="Y979" s="187"/>
      <c r="Z979" s="187"/>
    </row>
    <row r="980" ht="12.75" customHeight="1">
      <c r="A980" s="187"/>
      <c r="B980" s="187"/>
      <c r="C980" s="187"/>
      <c r="D980" s="187"/>
      <c r="E980" s="187"/>
      <c r="F980" s="187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87"/>
      <c r="V980" s="187"/>
      <c r="W980" s="187"/>
      <c r="X980" s="187"/>
      <c r="Y980" s="187"/>
      <c r="Z980" s="187"/>
    </row>
    <row r="981" ht="12.75" customHeight="1">
      <c r="A981" s="187"/>
      <c r="B981" s="187"/>
      <c r="C981" s="187"/>
      <c r="D981" s="187"/>
      <c r="E981" s="187"/>
      <c r="F981" s="187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87"/>
      <c r="V981" s="187"/>
      <c r="W981" s="187"/>
      <c r="X981" s="187"/>
      <c r="Y981" s="187"/>
      <c r="Z981" s="187"/>
    </row>
    <row r="982" ht="12.75" customHeight="1">
      <c r="A982" s="187"/>
      <c r="B982" s="187"/>
      <c r="C982" s="187"/>
      <c r="D982" s="187"/>
      <c r="E982" s="187"/>
      <c r="F982" s="187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87"/>
      <c r="V982" s="187"/>
      <c r="W982" s="187"/>
      <c r="X982" s="187"/>
      <c r="Y982" s="187"/>
      <c r="Z982" s="187"/>
    </row>
    <row r="983" ht="12.75" customHeight="1">
      <c r="A983" s="187"/>
      <c r="B983" s="187"/>
      <c r="C983" s="187"/>
      <c r="D983" s="187"/>
      <c r="E983" s="187"/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87"/>
      <c r="V983" s="187"/>
      <c r="W983" s="187"/>
      <c r="X983" s="187"/>
      <c r="Y983" s="187"/>
      <c r="Z983" s="187"/>
    </row>
    <row r="984" ht="12.75" customHeight="1">
      <c r="A984" s="187"/>
      <c r="B984" s="187"/>
      <c r="C984" s="187"/>
      <c r="D984" s="187"/>
      <c r="E984" s="187"/>
      <c r="F984" s="187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87"/>
      <c r="V984" s="187"/>
      <c r="W984" s="187"/>
      <c r="X984" s="187"/>
      <c r="Y984" s="187"/>
      <c r="Z984" s="187"/>
    </row>
    <row r="985" ht="12.75" customHeight="1">
      <c r="A985" s="187"/>
      <c r="B985" s="187"/>
      <c r="C985" s="187"/>
      <c r="D985" s="187"/>
      <c r="E985" s="187"/>
      <c r="F985" s="187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87"/>
      <c r="V985" s="187"/>
      <c r="W985" s="187"/>
      <c r="X985" s="187"/>
      <c r="Y985" s="187"/>
      <c r="Z985" s="187"/>
    </row>
    <row r="986" ht="12.75" customHeight="1">
      <c r="A986" s="187"/>
      <c r="B986" s="187"/>
      <c r="C986" s="187"/>
      <c r="D986" s="187"/>
      <c r="E986" s="187"/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87"/>
      <c r="V986" s="187"/>
      <c r="W986" s="187"/>
      <c r="X986" s="187"/>
      <c r="Y986" s="187"/>
      <c r="Z986" s="187"/>
    </row>
    <row r="987" ht="12.75" customHeight="1">
      <c r="A987" s="187"/>
      <c r="B987" s="187"/>
      <c r="C987" s="187"/>
      <c r="D987" s="187"/>
      <c r="E987" s="187"/>
      <c r="F987" s="187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87"/>
      <c r="V987" s="187"/>
      <c r="W987" s="187"/>
      <c r="X987" s="187"/>
      <c r="Y987" s="187"/>
      <c r="Z987" s="187"/>
    </row>
    <row r="988" ht="12.75" customHeight="1">
      <c r="A988" s="187"/>
      <c r="B988" s="187"/>
      <c r="C988" s="187"/>
      <c r="D988" s="187"/>
      <c r="E988" s="187"/>
      <c r="F988" s="187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87"/>
      <c r="V988" s="187"/>
      <c r="W988" s="187"/>
      <c r="X988" s="187"/>
      <c r="Y988" s="187"/>
      <c r="Z988" s="187"/>
    </row>
    <row r="989" ht="12.75" customHeight="1">
      <c r="A989" s="187"/>
      <c r="B989" s="187"/>
      <c r="C989" s="187"/>
      <c r="D989" s="187"/>
      <c r="E989" s="187"/>
      <c r="F989" s="187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87"/>
      <c r="V989" s="187"/>
      <c r="W989" s="187"/>
      <c r="X989" s="187"/>
      <c r="Y989" s="187"/>
      <c r="Z989" s="187"/>
    </row>
    <row r="990" ht="12.75" customHeight="1">
      <c r="A990" s="187"/>
      <c r="B990" s="187"/>
      <c r="C990" s="187"/>
      <c r="D990" s="187"/>
      <c r="E990" s="187"/>
      <c r="F990" s="187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87"/>
      <c r="V990" s="187"/>
      <c r="W990" s="187"/>
      <c r="X990" s="187"/>
      <c r="Y990" s="187"/>
      <c r="Z990" s="187"/>
    </row>
    <row r="991" ht="12.75" customHeight="1">
      <c r="A991" s="187"/>
      <c r="B991" s="187"/>
      <c r="C991" s="187"/>
      <c r="D991" s="187"/>
      <c r="E991" s="187"/>
      <c r="F991" s="187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87"/>
      <c r="V991" s="187"/>
      <c r="W991" s="187"/>
      <c r="X991" s="187"/>
      <c r="Y991" s="187"/>
      <c r="Z991" s="187"/>
    </row>
    <row r="992" ht="12.75" customHeight="1">
      <c r="A992" s="187"/>
      <c r="B992" s="187"/>
      <c r="C992" s="187"/>
      <c r="D992" s="187"/>
      <c r="E992" s="187"/>
      <c r="F992" s="187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87"/>
      <c r="V992" s="187"/>
      <c r="W992" s="187"/>
      <c r="X992" s="187"/>
      <c r="Y992" s="187"/>
      <c r="Z992" s="187"/>
    </row>
    <row r="993" ht="12.75" customHeight="1">
      <c r="A993" s="187"/>
      <c r="B993" s="187"/>
      <c r="C993" s="187"/>
      <c r="D993" s="187"/>
      <c r="E993" s="187"/>
      <c r="F993" s="187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87"/>
      <c r="V993" s="187"/>
      <c r="W993" s="187"/>
      <c r="X993" s="187"/>
      <c r="Y993" s="187"/>
      <c r="Z993" s="187"/>
    </row>
    <row r="994" ht="12.75" customHeight="1">
      <c r="A994" s="187"/>
      <c r="B994" s="187"/>
      <c r="C994" s="187"/>
      <c r="D994" s="187"/>
      <c r="E994" s="187"/>
      <c r="F994" s="187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87"/>
      <c r="V994" s="187"/>
      <c r="W994" s="187"/>
      <c r="X994" s="187"/>
      <c r="Y994" s="187"/>
      <c r="Z994" s="187"/>
    </row>
    <row r="995" ht="12.75" customHeight="1">
      <c r="A995" s="187"/>
      <c r="B995" s="187"/>
      <c r="C995" s="187"/>
      <c r="D995" s="187"/>
      <c r="E995" s="187"/>
      <c r="F995" s="187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87"/>
      <c r="V995" s="187"/>
      <c r="W995" s="187"/>
      <c r="X995" s="187"/>
      <c r="Y995" s="187"/>
      <c r="Z995" s="187"/>
    </row>
    <row r="996" ht="12.75" customHeight="1">
      <c r="A996" s="187"/>
      <c r="B996" s="187"/>
      <c r="C996" s="187"/>
      <c r="D996" s="187"/>
      <c r="E996" s="187"/>
      <c r="F996" s="187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87"/>
      <c r="V996" s="187"/>
      <c r="W996" s="187"/>
      <c r="X996" s="187"/>
      <c r="Y996" s="187"/>
      <c r="Z996" s="187"/>
    </row>
    <row r="997" ht="12.75" customHeight="1">
      <c r="A997" s="187"/>
      <c r="B997" s="187"/>
      <c r="C997" s="187"/>
      <c r="D997" s="187"/>
      <c r="E997" s="187"/>
      <c r="F997" s="187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87"/>
      <c r="V997" s="187"/>
      <c r="W997" s="187"/>
      <c r="X997" s="187"/>
      <c r="Y997" s="187"/>
      <c r="Z997" s="187"/>
    </row>
    <row r="998" ht="12.75" customHeight="1">
      <c r="A998" s="187"/>
      <c r="B998" s="187"/>
      <c r="C998" s="187"/>
      <c r="D998" s="187"/>
      <c r="E998" s="187"/>
      <c r="F998" s="187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87"/>
      <c r="V998" s="187"/>
      <c r="W998" s="187"/>
      <c r="X998" s="187"/>
      <c r="Y998" s="187"/>
      <c r="Z998" s="187"/>
    </row>
    <row r="999" ht="12.75" customHeight="1">
      <c r="A999" s="187"/>
      <c r="B999" s="187"/>
      <c r="C999" s="187"/>
      <c r="D999" s="187"/>
      <c r="E999" s="187"/>
      <c r="F999" s="187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87"/>
      <c r="V999" s="187"/>
      <c r="W999" s="187"/>
      <c r="X999" s="187"/>
      <c r="Y999" s="187"/>
      <c r="Z999" s="187"/>
    </row>
    <row r="1000" ht="12.75" customHeight="1">
      <c r="A1000" s="187"/>
      <c r="B1000" s="187"/>
      <c r="C1000" s="187"/>
      <c r="D1000" s="187"/>
      <c r="E1000" s="187"/>
      <c r="F1000" s="187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87"/>
      <c r="V1000" s="187"/>
      <c r="W1000" s="187"/>
      <c r="X1000" s="187"/>
      <c r="Y1000" s="187"/>
      <c r="Z1000" s="187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paperSize="9" scale="6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3" width="5.63"/>
    <col customWidth="1" min="14" max="15" width="9.13"/>
    <col customWidth="1" min="16" max="26" width="8.0"/>
  </cols>
  <sheetData>
    <row r="1" ht="12.75" customHeight="1">
      <c r="A1" s="187"/>
      <c r="B1" s="187"/>
      <c r="C1" s="188" t="s">
        <v>268</v>
      </c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</row>
    <row r="2" ht="12.75" customHeight="1">
      <c r="A2" s="187"/>
      <c r="B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</row>
    <row r="3" ht="12.75" customHeight="1">
      <c r="A3" s="187"/>
      <c r="B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</row>
    <row r="4" ht="12.75" customHeight="1">
      <c r="A4" s="187"/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</row>
    <row r="5" ht="13.5" customHeight="1">
      <c r="A5" s="187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</row>
    <row r="6" ht="20.25" customHeight="1">
      <c r="A6" s="187"/>
      <c r="B6" s="187"/>
      <c r="C6" s="189" t="s">
        <v>269</v>
      </c>
      <c r="D6" s="103"/>
      <c r="E6" s="103"/>
      <c r="F6" s="103"/>
      <c r="G6" s="103"/>
      <c r="H6" s="103"/>
      <c r="I6" s="103"/>
      <c r="J6" s="103"/>
      <c r="K6" s="103"/>
      <c r="L6" s="103"/>
      <c r="M6" s="104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</row>
    <row r="7" ht="4.5" customHeight="1">
      <c r="A7" s="187"/>
      <c r="B7" s="187"/>
      <c r="C7" s="190"/>
      <c r="D7" s="191"/>
      <c r="E7" s="191"/>
      <c r="F7" s="191"/>
      <c r="G7" s="191"/>
      <c r="H7" s="191"/>
      <c r="I7" s="191"/>
      <c r="J7" s="191"/>
      <c r="K7" s="191"/>
      <c r="L7" s="191"/>
      <c r="M7" s="192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</row>
    <row r="8" ht="4.5" customHeight="1">
      <c r="A8" s="187"/>
      <c r="B8" s="187"/>
      <c r="C8" s="193"/>
      <c r="D8" s="194"/>
      <c r="E8" s="194"/>
      <c r="F8" s="194"/>
      <c r="G8" s="194"/>
      <c r="H8" s="194"/>
      <c r="I8" s="194"/>
      <c r="J8" s="194"/>
      <c r="K8" s="194"/>
      <c r="L8" s="194"/>
      <c r="M8" s="195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</row>
    <row r="9" ht="12.75" customHeight="1">
      <c r="A9" s="187"/>
      <c r="B9" s="187"/>
      <c r="C9" s="196" t="s">
        <v>195</v>
      </c>
      <c r="D9" s="191"/>
      <c r="E9" s="191"/>
      <c r="F9" s="191"/>
      <c r="G9" s="191"/>
      <c r="H9" s="191"/>
      <c r="I9" s="191"/>
      <c r="J9" s="191"/>
      <c r="K9" s="191"/>
      <c r="L9" s="191"/>
      <c r="M9" s="192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</row>
    <row r="10" ht="12.75" customHeight="1">
      <c r="A10" s="187"/>
      <c r="B10" s="187"/>
      <c r="C10" s="193"/>
      <c r="D10" s="194"/>
      <c r="E10" s="194"/>
      <c r="F10" s="194"/>
      <c r="G10" s="194"/>
      <c r="H10" s="194"/>
      <c r="I10" s="194"/>
      <c r="J10" s="194"/>
      <c r="K10" s="194"/>
      <c r="L10" s="194"/>
      <c r="M10" s="195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</row>
    <row r="11" ht="19.5" customHeight="1">
      <c r="A11" s="187"/>
      <c r="B11" s="187"/>
      <c r="C11" s="197" t="s">
        <v>196</v>
      </c>
      <c r="D11" s="198" t="s">
        <v>197</v>
      </c>
      <c r="E11" s="199" t="s">
        <v>249</v>
      </c>
      <c r="F11" s="200"/>
      <c r="G11" s="198"/>
      <c r="H11" s="199" t="s">
        <v>242</v>
      </c>
      <c r="I11" s="200"/>
      <c r="J11" s="201" t="s">
        <v>199</v>
      </c>
      <c r="K11" s="200"/>
      <c r="L11" s="201" t="s">
        <v>200</v>
      </c>
      <c r="M11" s="202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</row>
    <row r="12" ht="12.75" customHeight="1">
      <c r="A12" s="187"/>
      <c r="B12" s="187"/>
      <c r="C12" s="203"/>
      <c r="M12" s="204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</row>
    <row r="13" ht="13.5" customHeight="1">
      <c r="A13" s="187"/>
      <c r="B13" s="187"/>
      <c r="C13" s="205" t="s">
        <v>201</v>
      </c>
      <c r="D13" s="206" t="s">
        <v>207</v>
      </c>
      <c r="E13" s="207" t="s">
        <v>20</v>
      </c>
      <c r="F13" s="207" t="s">
        <v>27</v>
      </c>
      <c r="G13" s="208" t="s">
        <v>198</v>
      </c>
      <c r="H13" s="207" t="s">
        <v>22</v>
      </c>
      <c r="I13" s="207" t="s">
        <v>29</v>
      </c>
      <c r="J13" s="209">
        <v>7.0</v>
      </c>
      <c r="K13" s="210">
        <v>6.0</v>
      </c>
      <c r="L13" s="211">
        <f>IF(AND(J13&gt;K13,J14&gt;K14),2,IF(J13&gt;K13,1,IF(J14&gt;K14,1,0)))</f>
        <v>1</v>
      </c>
      <c r="M13" s="211">
        <f>IF(AND(K13&gt;J13,K14&gt;J14),2,IF(K13&gt;J13,1,IF(K14&gt;J14,1,0)))</f>
        <v>1</v>
      </c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</row>
    <row r="14" ht="12.75" customHeight="1">
      <c r="A14" s="187"/>
      <c r="B14" s="187"/>
      <c r="C14" s="212"/>
      <c r="D14" s="213"/>
      <c r="E14" s="213"/>
      <c r="F14" s="213"/>
      <c r="G14" s="213"/>
      <c r="H14" s="213"/>
      <c r="I14" s="213"/>
      <c r="J14" s="214">
        <v>4.0</v>
      </c>
      <c r="K14" s="215">
        <v>6.0</v>
      </c>
      <c r="L14" s="213"/>
      <c r="M14" s="213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</row>
    <row r="15" ht="4.5" customHeight="1">
      <c r="A15" s="187"/>
      <c r="B15" s="187"/>
      <c r="C15" s="216"/>
      <c r="D15" s="23"/>
      <c r="E15" s="23"/>
      <c r="F15" s="23"/>
      <c r="G15" s="23"/>
      <c r="H15" s="23"/>
      <c r="I15" s="23"/>
      <c r="J15" s="23"/>
      <c r="K15" s="23"/>
      <c r="L15" s="23"/>
      <c r="M15" s="202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</row>
    <row r="16" ht="12.75" customHeight="1">
      <c r="A16" s="187"/>
      <c r="B16" s="187"/>
      <c r="C16" s="205" t="s">
        <v>204</v>
      </c>
      <c r="D16" s="206" t="s">
        <v>214</v>
      </c>
      <c r="E16" s="207" t="s">
        <v>141</v>
      </c>
      <c r="F16" s="207" t="s">
        <v>270</v>
      </c>
      <c r="G16" s="208" t="s">
        <v>198</v>
      </c>
      <c r="H16" s="207" t="s">
        <v>143</v>
      </c>
      <c r="I16" s="207" t="s">
        <v>149</v>
      </c>
      <c r="J16" s="209">
        <v>6.0</v>
      </c>
      <c r="K16" s="210">
        <v>3.0</v>
      </c>
      <c r="L16" s="211">
        <f>IF(AND(J16&gt;K16,J17&gt;K17),2,IF(J16&gt;K16,1,IF(J17&gt;K17,1,0)))</f>
        <v>2</v>
      </c>
      <c r="M16" s="211">
        <f>IF(AND(K16&gt;J16,K17&gt;J17),2,IF(K16&gt;J16,1,IF(K17&gt;J17,1,0)))</f>
        <v>0</v>
      </c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</row>
    <row r="17" ht="12.75" customHeight="1">
      <c r="A17" s="187"/>
      <c r="B17" s="187"/>
      <c r="C17" s="212"/>
      <c r="D17" s="213"/>
      <c r="E17" s="213"/>
      <c r="F17" s="213"/>
      <c r="G17" s="213"/>
      <c r="H17" s="213"/>
      <c r="I17" s="213"/>
      <c r="J17" s="214">
        <v>6.0</v>
      </c>
      <c r="K17" s="215">
        <v>4.0</v>
      </c>
      <c r="L17" s="213"/>
      <c r="M17" s="213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</row>
    <row r="18" ht="4.5" customHeight="1">
      <c r="A18" s="187"/>
      <c r="B18" s="187"/>
      <c r="C18" s="217"/>
      <c r="D18" s="23"/>
      <c r="E18" s="23"/>
      <c r="F18" s="23"/>
      <c r="G18" s="23"/>
      <c r="H18" s="23"/>
      <c r="I18" s="23"/>
      <c r="J18" s="23"/>
      <c r="K18" s="23"/>
      <c r="L18" s="23"/>
      <c r="M18" s="202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</row>
    <row r="19" ht="12.75" customHeight="1">
      <c r="A19" s="187"/>
      <c r="B19" s="187"/>
      <c r="C19" s="205" t="s">
        <v>206</v>
      </c>
      <c r="D19" s="256"/>
      <c r="E19" s="211"/>
      <c r="F19" s="211"/>
      <c r="G19" s="208" t="s">
        <v>198</v>
      </c>
      <c r="H19" s="211"/>
      <c r="I19" s="211"/>
      <c r="J19" s="249"/>
      <c r="K19" s="250"/>
      <c r="L19" s="211">
        <f>IF(AND(J19&gt;K19,J20&gt;K20),2,IF(J19&gt;K19,1,IF(J20&gt;K20,1,0)))</f>
        <v>0</v>
      </c>
      <c r="M19" s="211">
        <f>IF(AND(K19&gt;J19,K20&gt;J20),2,IF(K19&gt;J19,1,IF(K20&gt;J20,1,0)))</f>
        <v>0</v>
      </c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</row>
    <row r="20" ht="12.75" customHeight="1">
      <c r="A20" s="187"/>
      <c r="B20" s="187"/>
      <c r="C20" s="212"/>
      <c r="D20" s="213"/>
      <c r="E20" s="213"/>
      <c r="F20" s="213"/>
      <c r="G20" s="213"/>
      <c r="H20" s="213"/>
      <c r="I20" s="213"/>
      <c r="J20" s="251"/>
      <c r="K20" s="252"/>
      <c r="L20" s="213"/>
      <c r="M20" s="213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</row>
    <row r="21" ht="4.5" customHeight="1">
      <c r="A21" s="187"/>
      <c r="B21" s="187"/>
      <c r="C21" s="217"/>
      <c r="D21" s="23"/>
      <c r="E21" s="23"/>
      <c r="F21" s="23"/>
      <c r="G21" s="23"/>
      <c r="H21" s="23"/>
      <c r="I21" s="23"/>
      <c r="J21" s="23"/>
      <c r="K21" s="23"/>
      <c r="L21" s="23"/>
      <c r="M21" s="202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</row>
    <row r="22" ht="12.75" customHeight="1">
      <c r="A22" s="187"/>
      <c r="B22" s="187"/>
      <c r="C22" s="205" t="s">
        <v>204</v>
      </c>
      <c r="D22" s="235" t="s">
        <v>209</v>
      </c>
      <c r="E22" s="207" t="s">
        <v>271</v>
      </c>
      <c r="F22" s="207" t="s">
        <v>87</v>
      </c>
      <c r="G22" s="208" t="s">
        <v>198</v>
      </c>
      <c r="H22" s="207" t="s">
        <v>89</v>
      </c>
      <c r="I22" s="207" t="s">
        <v>96</v>
      </c>
      <c r="J22" s="209">
        <v>3.0</v>
      </c>
      <c r="K22" s="210">
        <v>6.0</v>
      </c>
      <c r="L22" s="211">
        <f>IF(AND(J22&gt;K22,J23&gt;K23),2,IF(J22&gt;K22,1,IF(J23&gt;K23,1,0)))</f>
        <v>0</v>
      </c>
      <c r="M22" s="211">
        <f>IF(AND(K22&gt;J22,K23&gt;J23),2,IF(K22&gt;J22,1,IF(K23&gt;J23,1,0)))</f>
        <v>2</v>
      </c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</row>
    <row r="23" ht="12.75" customHeight="1">
      <c r="A23" s="187"/>
      <c r="B23" s="187"/>
      <c r="C23" s="212"/>
      <c r="D23" s="213"/>
      <c r="E23" s="213"/>
      <c r="F23" s="213"/>
      <c r="G23" s="213"/>
      <c r="H23" s="213"/>
      <c r="I23" s="213"/>
      <c r="J23" s="214">
        <v>3.0</v>
      </c>
      <c r="K23" s="215">
        <v>6.0</v>
      </c>
      <c r="L23" s="213"/>
      <c r="M23" s="213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</row>
    <row r="24" ht="4.5" customHeight="1">
      <c r="A24" s="187"/>
      <c r="B24" s="187"/>
      <c r="C24" s="217"/>
      <c r="D24" s="23"/>
      <c r="E24" s="23"/>
      <c r="F24" s="23"/>
      <c r="G24" s="23"/>
      <c r="H24" s="23"/>
      <c r="I24" s="23"/>
      <c r="J24" s="23"/>
      <c r="K24" s="23"/>
      <c r="L24" s="23"/>
      <c r="M24" s="202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</row>
    <row r="25" ht="12.75" customHeight="1">
      <c r="A25" s="187"/>
      <c r="B25" s="187"/>
      <c r="C25" s="220" t="s">
        <v>272</v>
      </c>
      <c r="D25" s="23"/>
      <c r="E25" s="23"/>
      <c r="F25" s="23"/>
      <c r="G25" s="23"/>
      <c r="H25" s="23"/>
      <c r="I25" s="200"/>
      <c r="J25" s="221">
        <f t="shared" ref="J25:M25" si="1">SUM(J13:J23)</f>
        <v>29</v>
      </c>
      <c r="K25" s="222">
        <f t="shared" si="1"/>
        <v>31</v>
      </c>
      <c r="L25" s="221">
        <f t="shared" si="1"/>
        <v>3</v>
      </c>
      <c r="M25" s="223">
        <f t="shared" si="1"/>
        <v>3</v>
      </c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</row>
    <row r="26" ht="4.5" customHeight="1">
      <c r="A26" s="187"/>
      <c r="B26" s="187"/>
      <c r="C26" s="224"/>
      <c r="D26" s="23"/>
      <c r="E26" s="23"/>
      <c r="F26" s="23"/>
      <c r="G26" s="23"/>
      <c r="H26" s="23"/>
      <c r="I26" s="23"/>
      <c r="J26" s="23"/>
      <c r="K26" s="23"/>
      <c r="L26" s="23"/>
      <c r="M26" s="202"/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</row>
    <row r="27" ht="12.75" customHeight="1">
      <c r="A27" s="187"/>
      <c r="B27" s="187"/>
      <c r="C27" s="225"/>
      <c r="D27" s="23"/>
      <c r="E27" s="23"/>
      <c r="F27" s="23"/>
      <c r="G27" s="23"/>
      <c r="H27" s="23"/>
      <c r="I27" s="23"/>
      <c r="J27" s="23"/>
      <c r="K27" s="23"/>
      <c r="L27" s="23"/>
      <c r="M27" s="202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</row>
    <row r="28" ht="12.75" customHeight="1">
      <c r="A28" s="187"/>
      <c r="B28" s="187"/>
      <c r="C28" s="205" t="s">
        <v>201</v>
      </c>
      <c r="D28" s="206" t="s">
        <v>216</v>
      </c>
      <c r="E28" s="207" t="s">
        <v>251</v>
      </c>
      <c r="F28" s="207" t="s">
        <v>67</v>
      </c>
      <c r="G28" s="208" t="s">
        <v>198</v>
      </c>
      <c r="H28" s="207" t="s">
        <v>69</v>
      </c>
      <c r="I28" s="207" t="s">
        <v>75</v>
      </c>
      <c r="J28" s="209">
        <v>2.0</v>
      </c>
      <c r="K28" s="210">
        <v>6.0</v>
      </c>
      <c r="L28" s="211">
        <f>IF(AND(J28&gt;K28,J29&gt;K29),2,IF(J28&gt;K28,1,IF(J29&gt;K29,1,0)))</f>
        <v>1</v>
      </c>
      <c r="M28" s="211">
        <f>IF(AND(K28&gt;J28,K29&gt;J29),2,IF(K28&gt;J28,1,IF(K29&gt;J29,1,0)))</f>
        <v>1</v>
      </c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</row>
    <row r="29" ht="12.75" customHeight="1">
      <c r="A29" s="187"/>
      <c r="B29" s="187"/>
      <c r="C29" s="212"/>
      <c r="D29" s="213"/>
      <c r="E29" s="213"/>
      <c r="F29" s="213"/>
      <c r="G29" s="213"/>
      <c r="H29" s="213"/>
      <c r="I29" s="213"/>
      <c r="J29" s="214">
        <v>7.0</v>
      </c>
      <c r="K29" s="215">
        <v>5.0</v>
      </c>
      <c r="L29" s="213"/>
      <c r="M29" s="213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</row>
    <row r="30" ht="4.5" customHeight="1">
      <c r="A30" s="187"/>
      <c r="B30" s="187"/>
      <c r="C30" s="216"/>
      <c r="D30" s="23"/>
      <c r="E30" s="23"/>
      <c r="F30" s="23"/>
      <c r="G30" s="23"/>
      <c r="H30" s="23"/>
      <c r="I30" s="23"/>
      <c r="J30" s="23"/>
      <c r="K30" s="23"/>
      <c r="L30" s="23"/>
      <c r="M30" s="202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</row>
    <row r="31" ht="12.75" customHeight="1">
      <c r="A31" s="226"/>
      <c r="B31" s="187"/>
      <c r="C31" s="205" t="s">
        <v>204</v>
      </c>
      <c r="D31" s="206" t="s">
        <v>202</v>
      </c>
      <c r="E31" s="207" t="s">
        <v>107</v>
      </c>
      <c r="F31" s="207" t="s">
        <v>252</v>
      </c>
      <c r="G31" s="208" t="s">
        <v>198</v>
      </c>
      <c r="H31" s="207" t="s">
        <v>273</v>
      </c>
      <c r="I31" s="207" t="s">
        <v>114</v>
      </c>
      <c r="J31" s="209">
        <v>0.0</v>
      </c>
      <c r="K31" s="210">
        <v>6.0</v>
      </c>
      <c r="L31" s="211">
        <f>IF(AND(J31&gt;K31,J32&gt;K32),2,IF(J31&gt;K31,1,IF(J32&gt;K32,1,0)))</f>
        <v>0</v>
      </c>
      <c r="M31" s="211">
        <f>IF(AND(K31&gt;J31,K32&gt;J32),2,IF(K31&gt;J31,1,IF(K32&gt;J32,1,0)))</f>
        <v>2</v>
      </c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</row>
    <row r="32" ht="12.75" customHeight="1">
      <c r="A32" s="226"/>
      <c r="B32" s="187"/>
      <c r="C32" s="212"/>
      <c r="D32" s="213"/>
      <c r="E32" s="213"/>
      <c r="F32" s="213"/>
      <c r="G32" s="213"/>
      <c r="H32" s="213"/>
      <c r="I32" s="213"/>
      <c r="J32" s="214">
        <v>1.0</v>
      </c>
      <c r="K32" s="215">
        <v>6.0</v>
      </c>
      <c r="L32" s="213"/>
      <c r="M32" s="213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</row>
    <row r="33" ht="4.5" customHeight="1">
      <c r="A33" s="187"/>
      <c r="B33" s="187"/>
      <c r="C33" s="217"/>
      <c r="D33" s="23"/>
      <c r="E33" s="23"/>
      <c r="F33" s="23"/>
      <c r="G33" s="23"/>
      <c r="H33" s="23"/>
      <c r="I33" s="23"/>
      <c r="J33" s="23"/>
      <c r="K33" s="23"/>
      <c r="L33" s="23"/>
      <c r="M33" s="202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</row>
    <row r="34" ht="12.75" customHeight="1">
      <c r="A34" s="187"/>
      <c r="B34" s="187"/>
      <c r="C34" s="205" t="s">
        <v>206</v>
      </c>
      <c r="D34" s="206" t="s">
        <v>205</v>
      </c>
      <c r="E34" s="207" t="s">
        <v>118</v>
      </c>
      <c r="F34" s="207" t="s">
        <v>123</v>
      </c>
      <c r="G34" s="208" t="s">
        <v>198</v>
      </c>
      <c r="H34" s="207" t="s">
        <v>14</v>
      </c>
      <c r="I34" s="207" t="s">
        <v>131</v>
      </c>
      <c r="J34" s="209">
        <v>6.0</v>
      </c>
      <c r="K34" s="210">
        <v>3.0</v>
      </c>
      <c r="L34" s="211">
        <f>IF(AND(J34&gt;K34,J35&gt;K35),2,IF(J34&gt;K34,1,IF(J35&gt;K35,1,0)))</f>
        <v>1</v>
      </c>
      <c r="M34" s="211">
        <f>IF(AND(K34&gt;J34,K35&gt;J35),2,IF(K34&gt;J34,1,IF(K35&gt;J35,1,0)))</f>
        <v>1</v>
      </c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</row>
    <row r="35" ht="12.75" customHeight="1">
      <c r="A35" s="187"/>
      <c r="B35" s="187"/>
      <c r="C35" s="212"/>
      <c r="D35" s="213"/>
      <c r="E35" s="213"/>
      <c r="F35" s="213"/>
      <c r="G35" s="213"/>
      <c r="H35" s="213"/>
      <c r="I35" s="213"/>
      <c r="J35" s="214">
        <v>6.0</v>
      </c>
      <c r="K35" s="215">
        <v>7.0</v>
      </c>
      <c r="L35" s="213"/>
      <c r="M35" s="213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</row>
    <row r="36" ht="4.5" customHeight="1">
      <c r="A36" s="187"/>
      <c r="B36" s="187"/>
      <c r="C36" s="217"/>
      <c r="D36" s="23"/>
      <c r="E36" s="23"/>
      <c r="F36" s="23"/>
      <c r="G36" s="23"/>
      <c r="H36" s="23"/>
      <c r="I36" s="23"/>
      <c r="J36" s="23"/>
      <c r="K36" s="23"/>
      <c r="L36" s="23"/>
      <c r="M36" s="202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</row>
    <row r="37" ht="12.75" customHeight="1">
      <c r="A37" s="187"/>
      <c r="B37" s="187"/>
      <c r="C37" s="205" t="s">
        <v>201</v>
      </c>
      <c r="D37" s="257" t="s">
        <v>212</v>
      </c>
      <c r="E37" s="207" t="s">
        <v>40</v>
      </c>
      <c r="F37" s="207" t="s">
        <v>53</v>
      </c>
      <c r="G37" s="208" t="s">
        <v>198</v>
      </c>
      <c r="H37" s="207" t="s">
        <v>247</v>
      </c>
      <c r="I37" s="207" t="s">
        <v>55</v>
      </c>
      <c r="J37" s="209">
        <v>6.0</v>
      </c>
      <c r="K37" s="210">
        <v>7.0</v>
      </c>
      <c r="L37" s="211">
        <f>IF(AND(J37&gt;K37,J38&gt;K38),2,IF(J37&gt;K37,1,IF(J38&gt;K38,1,0)))</f>
        <v>1</v>
      </c>
      <c r="M37" s="211">
        <f>IF(AND(K37&gt;J37,K38&gt;J38),2,IF(K37&gt;J37,1,IF(K38&gt;J38,1,0)))</f>
        <v>1</v>
      </c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</row>
    <row r="38" ht="12.75" customHeight="1">
      <c r="A38" s="187"/>
      <c r="B38" s="187"/>
      <c r="C38" s="212"/>
      <c r="D38" s="213"/>
      <c r="E38" s="213"/>
      <c r="F38" s="213"/>
      <c r="G38" s="213"/>
      <c r="H38" s="213"/>
      <c r="I38" s="213"/>
      <c r="J38" s="214">
        <v>6.0</v>
      </c>
      <c r="K38" s="215">
        <v>3.0</v>
      </c>
      <c r="L38" s="213"/>
      <c r="M38" s="213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</row>
    <row r="39" ht="4.5" customHeight="1">
      <c r="A39" s="187"/>
      <c r="B39" s="187"/>
      <c r="C39" s="217"/>
      <c r="D39" s="23"/>
      <c r="E39" s="23"/>
      <c r="F39" s="23"/>
      <c r="G39" s="23"/>
      <c r="H39" s="23"/>
      <c r="I39" s="23"/>
      <c r="J39" s="23"/>
      <c r="K39" s="23"/>
      <c r="L39" s="23"/>
      <c r="M39" s="202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</row>
    <row r="40" ht="12.75" customHeight="1">
      <c r="A40" s="187"/>
      <c r="B40" s="187"/>
      <c r="C40" s="220" t="s">
        <v>274</v>
      </c>
      <c r="D40" s="23"/>
      <c r="E40" s="23"/>
      <c r="F40" s="23"/>
      <c r="G40" s="23"/>
      <c r="H40" s="23"/>
      <c r="I40" s="200"/>
      <c r="J40" s="221">
        <f t="shared" ref="J40:M40" si="2">SUM(J28:J38)</f>
        <v>34</v>
      </c>
      <c r="K40" s="222">
        <f t="shared" si="2"/>
        <v>43</v>
      </c>
      <c r="L40" s="221">
        <f t="shared" si="2"/>
        <v>3</v>
      </c>
      <c r="M40" s="223">
        <f t="shared" si="2"/>
        <v>5</v>
      </c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</row>
    <row r="41" ht="4.5" customHeight="1">
      <c r="A41" s="187"/>
      <c r="B41" s="187"/>
      <c r="C41" s="224"/>
      <c r="D41" s="23"/>
      <c r="E41" s="23"/>
      <c r="F41" s="23"/>
      <c r="G41" s="23"/>
      <c r="H41" s="23"/>
      <c r="I41" s="23"/>
      <c r="J41" s="23"/>
      <c r="K41" s="23"/>
      <c r="L41" s="23"/>
      <c r="M41" s="202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</row>
    <row r="42" ht="12.75" customHeight="1">
      <c r="A42" s="187"/>
      <c r="B42" s="187"/>
      <c r="C42" s="228" t="s">
        <v>275</v>
      </c>
      <c r="D42" s="23"/>
      <c r="E42" s="23"/>
      <c r="F42" s="23"/>
      <c r="G42" s="23"/>
      <c r="H42" s="23"/>
      <c r="I42" s="200"/>
      <c r="J42" s="229">
        <f t="shared" ref="J42:M42" si="3">J40+J25</f>
        <v>63</v>
      </c>
      <c r="K42" s="230">
        <f t="shared" si="3"/>
        <v>74</v>
      </c>
      <c r="L42" s="231">
        <f t="shared" si="3"/>
        <v>6</v>
      </c>
      <c r="M42" s="232">
        <f t="shared" si="3"/>
        <v>8</v>
      </c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</row>
    <row r="43" ht="6.75" customHeight="1">
      <c r="A43" s="187"/>
      <c r="B43" s="187"/>
      <c r="C43" s="233"/>
      <c r="D43" s="23"/>
      <c r="E43" s="23"/>
      <c r="F43" s="23"/>
      <c r="G43" s="23"/>
      <c r="H43" s="23"/>
      <c r="I43" s="23"/>
      <c r="J43" s="23"/>
      <c r="K43" s="23"/>
      <c r="L43" s="23"/>
      <c r="M43" s="202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</row>
    <row r="44" ht="7.5" customHeight="1">
      <c r="A44" s="187"/>
      <c r="B44" s="187"/>
      <c r="C44" s="196" t="s">
        <v>219</v>
      </c>
      <c r="D44" s="191"/>
      <c r="E44" s="191"/>
      <c r="F44" s="191"/>
      <c r="G44" s="191"/>
      <c r="H44" s="191"/>
      <c r="I44" s="191"/>
      <c r="J44" s="191"/>
      <c r="K44" s="191"/>
      <c r="L44" s="191"/>
      <c r="M44" s="192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</row>
    <row r="45" ht="12.75" customHeight="1">
      <c r="A45" s="187"/>
      <c r="B45" s="187"/>
      <c r="C45" s="193"/>
      <c r="D45" s="194"/>
      <c r="E45" s="194"/>
      <c r="F45" s="194"/>
      <c r="G45" s="194"/>
      <c r="H45" s="194"/>
      <c r="I45" s="194"/>
      <c r="J45" s="194"/>
      <c r="K45" s="194"/>
      <c r="L45" s="194"/>
      <c r="M45" s="195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</row>
    <row r="46" ht="26.25" customHeight="1">
      <c r="A46" s="187"/>
      <c r="B46" s="187"/>
      <c r="C46" s="197" t="s">
        <v>196</v>
      </c>
      <c r="D46" s="198" t="s">
        <v>197</v>
      </c>
      <c r="E46" s="199" t="s">
        <v>181</v>
      </c>
      <c r="F46" s="200"/>
      <c r="G46" s="198"/>
      <c r="H46" s="199" t="s">
        <v>183</v>
      </c>
      <c r="I46" s="200"/>
      <c r="J46" s="201" t="s">
        <v>199</v>
      </c>
      <c r="K46" s="200"/>
      <c r="L46" s="201" t="s">
        <v>200</v>
      </c>
      <c r="M46" s="202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</row>
    <row r="47" ht="12.75" customHeight="1">
      <c r="A47" s="187"/>
      <c r="B47" s="187"/>
      <c r="C47" s="234"/>
      <c r="D47" s="23"/>
      <c r="E47" s="23"/>
      <c r="F47" s="23"/>
      <c r="G47" s="23"/>
      <c r="H47" s="23"/>
      <c r="I47" s="23"/>
      <c r="J47" s="23"/>
      <c r="K47" s="23"/>
      <c r="L47" s="23"/>
      <c r="M47" s="202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</row>
    <row r="48" ht="12.75" customHeight="1">
      <c r="A48" s="187"/>
      <c r="B48" s="187"/>
      <c r="C48" s="205" t="s">
        <v>201</v>
      </c>
      <c r="D48" s="206" t="s">
        <v>202</v>
      </c>
      <c r="E48" s="207" t="s">
        <v>100</v>
      </c>
      <c r="F48" s="207" t="s">
        <v>112</v>
      </c>
      <c r="G48" s="208" t="s">
        <v>198</v>
      </c>
      <c r="H48" s="207" t="s">
        <v>102</v>
      </c>
      <c r="I48" s="207" t="s">
        <v>113</v>
      </c>
      <c r="J48" s="209">
        <v>7.0</v>
      </c>
      <c r="K48" s="210">
        <v>5.0</v>
      </c>
      <c r="L48" s="211">
        <f>IF(AND(J48&gt;K48,J49&gt;K49),2,IF(J48&gt;K48,1,IF(J49&gt;K49,1,0)))</f>
        <v>2</v>
      </c>
      <c r="M48" s="211">
        <f>IF(AND(K48&gt;J48,K49&gt;J49),2,IF(K48&gt;J48,1,IF(K49&gt;J49,1,0)))</f>
        <v>0</v>
      </c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</row>
    <row r="49" ht="12.75" customHeight="1">
      <c r="A49" s="187"/>
      <c r="B49" s="187"/>
      <c r="C49" s="212"/>
      <c r="D49" s="213"/>
      <c r="E49" s="213"/>
      <c r="F49" s="213"/>
      <c r="G49" s="213"/>
      <c r="H49" s="213"/>
      <c r="I49" s="213"/>
      <c r="J49" s="214">
        <v>6.0</v>
      </c>
      <c r="K49" s="215">
        <v>4.0</v>
      </c>
      <c r="L49" s="213"/>
      <c r="M49" s="213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 ht="4.5" customHeight="1">
      <c r="A50" s="187"/>
      <c r="B50" s="187"/>
      <c r="C50" s="216"/>
      <c r="D50" s="23"/>
      <c r="E50" s="23"/>
      <c r="F50" s="23"/>
      <c r="G50" s="23"/>
      <c r="H50" s="23"/>
      <c r="I50" s="23"/>
      <c r="J50" s="23"/>
      <c r="K50" s="23"/>
      <c r="L50" s="23"/>
      <c r="M50" s="202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 ht="12.75" customHeight="1">
      <c r="A51" s="187"/>
      <c r="B51" s="187"/>
      <c r="C51" s="218" t="s">
        <v>204</v>
      </c>
      <c r="D51" s="206" t="s">
        <v>209</v>
      </c>
      <c r="E51" s="207" t="s">
        <v>134</v>
      </c>
      <c r="F51" s="207" t="s">
        <v>140</v>
      </c>
      <c r="G51" s="208" t="s">
        <v>198</v>
      </c>
      <c r="H51" s="207" t="s">
        <v>136</v>
      </c>
      <c r="I51" s="207" t="s">
        <v>222</v>
      </c>
      <c r="J51" s="209">
        <v>7.0</v>
      </c>
      <c r="K51" s="210">
        <v>5.0</v>
      </c>
      <c r="L51" s="211">
        <f>IF(AND(J51&gt;K51,J52&gt;K52),2,IF(J51&gt;K51,1,IF(J52&gt;K52,1,0)))</f>
        <v>2</v>
      </c>
      <c r="M51" s="211">
        <f>IF(AND(K51&gt;J51,K52&gt;J52),2,IF(K51&gt;J51,1,IF(K52&gt;J52,1,0)))</f>
        <v>0</v>
      </c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 ht="12.75" customHeight="1">
      <c r="A52" s="187"/>
      <c r="B52" s="187"/>
      <c r="C52" s="212"/>
      <c r="D52" s="213"/>
      <c r="E52" s="213"/>
      <c r="F52" s="213"/>
      <c r="G52" s="213"/>
      <c r="H52" s="213"/>
      <c r="I52" s="213"/>
      <c r="J52" s="214">
        <v>6.0</v>
      </c>
      <c r="K52" s="215">
        <v>4.0</v>
      </c>
      <c r="L52" s="213"/>
      <c r="M52" s="213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 ht="4.5" customHeight="1">
      <c r="A53" s="187"/>
      <c r="B53" s="187"/>
      <c r="C53" s="217"/>
      <c r="D53" s="23"/>
      <c r="E53" s="23"/>
      <c r="F53" s="23"/>
      <c r="G53" s="23"/>
      <c r="H53" s="23"/>
      <c r="I53" s="23"/>
      <c r="J53" s="23"/>
      <c r="K53" s="23"/>
      <c r="L53" s="23"/>
      <c r="M53" s="202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  <row r="54" ht="12.75" customHeight="1">
      <c r="A54" s="187"/>
      <c r="B54" s="187"/>
      <c r="C54" s="218" t="s">
        <v>206</v>
      </c>
      <c r="D54" s="206" t="s">
        <v>216</v>
      </c>
      <c r="E54" s="207" t="s">
        <v>59</v>
      </c>
      <c r="F54" s="207" t="s">
        <v>73</v>
      </c>
      <c r="G54" s="208" t="s">
        <v>198</v>
      </c>
      <c r="H54" s="207" t="s">
        <v>61</v>
      </c>
      <c r="I54" s="207" t="s">
        <v>68</v>
      </c>
      <c r="J54" s="209">
        <v>6.0</v>
      </c>
      <c r="K54" s="210">
        <v>7.0</v>
      </c>
      <c r="L54" s="211">
        <f>IF(AND(J54&gt;K54,J55&gt;K55),2,IF(J54&gt;K54,1,IF(J55&gt;K55,1,0)))</f>
        <v>1</v>
      </c>
      <c r="M54" s="211">
        <f>IF(AND(K54&gt;J54,K55&gt;J55),2,IF(K54&gt;J54,1,IF(K55&gt;J55,1,0)))</f>
        <v>1</v>
      </c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</row>
    <row r="55" ht="12.75" customHeight="1">
      <c r="A55" s="187"/>
      <c r="B55" s="187"/>
      <c r="C55" s="212"/>
      <c r="D55" s="213"/>
      <c r="E55" s="213"/>
      <c r="F55" s="213"/>
      <c r="G55" s="213"/>
      <c r="H55" s="213"/>
      <c r="I55" s="213"/>
      <c r="J55" s="214">
        <v>7.0</v>
      </c>
      <c r="K55" s="215">
        <v>6.0</v>
      </c>
      <c r="L55" s="213"/>
      <c r="M55" s="213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</row>
    <row r="56" ht="4.5" customHeight="1">
      <c r="A56" s="187"/>
      <c r="B56" s="187"/>
      <c r="C56" s="217"/>
      <c r="D56" s="23"/>
      <c r="E56" s="23"/>
      <c r="F56" s="23"/>
      <c r="G56" s="23"/>
      <c r="H56" s="23"/>
      <c r="I56" s="23"/>
      <c r="J56" s="23"/>
      <c r="K56" s="23"/>
      <c r="L56" s="23"/>
      <c r="M56" s="202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</row>
    <row r="57" ht="12.75" customHeight="1">
      <c r="A57" s="187"/>
      <c r="B57" s="187"/>
      <c r="C57" s="205" t="s">
        <v>201</v>
      </c>
      <c r="D57" s="235" t="s">
        <v>212</v>
      </c>
      <c r="E57" s="207" t="s">
        <v>45</v>
      </c>
      <c r="F57" s="207" t="s">
        <v>52</v>
      </c>
      <c r="G57" s="219" t="s">
        <v>198</v>
      </c>
      <c r="H57" s="207" t="s">
        <v>47</v>
      </c>
      <c r="I57" s="207" t="s">
        <v>54</v>
      </c>
      <c r="J57" s="209">
        <v>6.0</v>
      </c>
      <c r="K57" s="210">
        <v>4.0</v>
      </c>
      <c r="L57" s="211">
        <f>IF(AND(J57&gt;K57,J58&gt;K58),2,IF(J57&gt;K57,1,IF(J58&gt;K58,1,0)))</f>
        <v>1</v>
      </c>
      <c r="M57" s="211">
        <f>IF(AND(K57&gt;J57,K58&gt;J58),2,IF(K57&gt;J57,1,IF(K58&gt;J58,1,0)))</f>
        <v>1</v>
      </c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</row>
    <row r="58" ht="12.75" customHeight="1">
      <c r="A58" s="187"/>
      <c r="B58" s="187"/>
      <c r="C58" s="212"/>
      <c r="D58" s="213"/>
      <c r="E58" s="213"/>
      <c r="F58" s="213"/>
      <c r="G58" s="213"/>
      <c r="H58" s="213"/>
      <c r="I58" s="213"/>
      <c r="J58" s="214">
        <v>2.0</v>
      </c>
      <c r="K58" s="215">
        <v>6.0</v>
      </c>
      <c r="L58" s="213"/>
      <c r="M58" s="213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</row>
    <row r="59" ht="4.5" customHeight="1">
      <c r="A59" s="187"/>
      <c r="B59" s="187"/>
      <c r="C59" s="253"/>
      <c r="D59" s="254"/>
      <c r="E59" s="254"/>
      <c r="F59" s="254"/>
      <c r="G59" s="254"/>
      <c r="H59" s="254"/>
      <c r="I59" s="254"/>
      <c r="J59" s="254"/>
      <c r="K59" s="254"/>
      <c r="L59" s="254"/>
      <c r="M59" s="255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</row>
    <row r="60" ht="12.75" customHeight="1">
      <c r="A60" s="187"/>
      <c r="B60" s="187"/>
      <c r="C60" s="220" t="s">
        <v>272</v>
      </c>
      <c r="D60" s="23"/>
      <c r="E60" s="23"/>
      <c r="F60" s="23"/>
      <c r="G60" s="23"/>
      <c r="H60" s="23"/>
      <c r="I60" s="200"/>
      <c r="J60" s="221">
        <f t="shared" ref="J60:M60" si="4">SUM(J48:J58)</f>
        <v>47</v>
      </c>
      <c r="K60" s="222">
        <f t="shared" si="4"/>
        <v>41</v>
      </c>
      <c r="L60" s="221">
        <f t="shared" si="4"/>
        <v>6</v>
      </c>
      <c r="M60" s="223">
        <f t="shared" si="4"/>
        <v>2</v>
      </c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</row>
    <row r="61" ht="4.5" customHeight="1">
      <c r="A61" s="187"/>
      <c r="B61" s="187"/>
      <c r="C61" s="224"/>
      <c r="D61" s="23"/>
      <c r="E61" s="23"/>
      <c r="F61" s="23"/>
      <c r="G61" s="23"/>
      <c r="H61" s="23"/>
      <c r="I61" s="23"/>
      <c r="J61" s="23"/>
      <c r="K61" s="23"/>
      <c r="L61" s="23"/>
      <c r="M61" s="202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</row>
    <row r="62" ht="12.75" customHeight="1">
      <c r="A62" s="187"/>
      <c r="B62" s="187"/>
      <c r="C62" s="225"/>
      <c r="D62" s="23"/>
      <c r="E62" s="23"/>
      <c r="F62" s="23"/>
      <c r="G62" s="23"/>
      <c r="H62" s="23"/>
      <c r="I62" s="23"/>
      <c r="J62" s="23"/>
      <c r="K62" s="23"/>
      <c r="L62" s="23"/>
      <c r="M62" s="202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</row>
    <row r="63" ht="12.75" customHeight="1">
      <c r="A63" s="187"/>
      <c r="B63" s="187"/>
      <c r="C63" s="205" t="s">
        <v>201</v>
      </c>
      <c r="D63" s="206" t="s">
        <v>207</v>
      </c>
      <c r="E63" s="207" t="s">
        <v>19</v>
      </c>
      <c r="F63" s="207" t="s">
        <v>26</v>
      </c>
      <c r="G63" s="208" t="s">
        <v>198</v>
      </c>
      <c r="H63" s="207" t="s">
        <v>21</v>
      </c>
      <c r="I63" s="207" t="s">
        <v>276</v>
      </c>
      <c r="J63" s="209">
        <v>7.0</v>
      </c>
      <c r="K63" s="210">
        <v>5.0</v>
      </c>
      <c r="L63" s="211">
        <f>IF(AND(J63&gt;K63,J64&gt;K64),2,IF(J63&gt;K63,1,IF(J64&gt;K64,1,0)))</f>
        <v>1</v>
      </c>
      <c r="M63" s="211">
        <f>IF(AND(K63&gt;J63,K64&gt;J64),2,IF(K63&gt;J63,1,IF(K64&gt;J64,1,0)))</f>
        <v>1</v>
      </c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</row>
    <row r="64" ht="12.75" customHeight="1">
      <c r="A64" s="187"/>
      <c r="B64" s="187"/>
      <c r="C64" s="212"/>
      <c r="D64" s="213"/>
      <c r="E64" s="213"/>
      <c r="F64" s="213"/>
      <c r="G64" s="213"/>
      <c r="H64" s="213"/>
      <c r="I64" s="213"/>
      <c r="J64" s="214">
        <v>1.0</v>
      </c>
      <c r="K64" s="215">
        <v>6.0</v>
      </c>
      <c r="L64" s="213"/>
      <c r="M64" s="213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</row>
    <row r="65" ht="4.5" customHeight="1">
      <c r="A65" s="187"/>
      <c r="B65" s="187"/>
      <c r="C65" s="216"/>
      <c r="D65" s="23"/>
      <c r="E65" s="23"/>
      <c r="F65" s="23"/>
      <c r="G65" s="23"/>
      <c r="H65" s="23"/>
      <c r="I65" s="23"/>
      <c r="J65" s="23"/>
      <c r="K65" s="23"/>
      <c r="L65" s="23"/>
      <c r="M65" s="202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</row>
    <row r="66" ht="12.75" customHeight="1">
      <c r="A66" s="187"/>
      <c r="B66" s="187"/>
      <c r="C66" s="218" t="s">
        <v>277</v>
      </c>
      <c r="D66" s="206" t="s">
        <v>205</v>
      </c>
      <c r="E66" s="207" t="s">
        <v>117</v>
      </c>
      <c r="F66" s="207" t="s">
        <v>128</v>
      </c>
      <c r="G66" s="208" t="s">
        <v>198</v>
      </c>
      <c r="H66" s="207" t="s">
        <v>119</v>
      </c>
      <c r="I66" s="207" t="s">
        <v>234</v>
      </c>
      <c r="J66" s="209">
        <v>6.0</v>
      </c>
      <c r="K66" s="210">
        <v>3.0</v>
      </c>
      <c r="L66" s="211">
        <f>IF(AND(J66&gt;K66,J67&gt;K67),2,IF(J66&gt;K66,1,IF(J67&gt;K67,1,0)))</f>
        <v>1</v>
      </c>
      <c r="M66" s="211">
        <f>IF(AND(K66&gt;J66,K67&gt;J67),2,IF(K66&gt;J66,1,IF(K67&gt;J67,1,0)))</f>
        <v>1</v>
      </c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</row>
    <row r="67" ht="12.75" customHeight="1">
      <c r="A67" s="187"/>
      <c r="B67" s="187"/>
      <c r="C67" s="212"/>
      <c r="D67" s="213"/>
      <c r="E67" s="213"/>
      <c r="F67" s="213"/>
      <c r="G67" s="213"/>
      <c r="H67" s="213"/>
      <c r="I67" s="213"/>
      <c r="J67" s="214">
        <v>3.0</v>
      </c>
      <c r="K67" s="215">
        <v>6.0</v>
      </c>
      <c r="L67" s="213"/>
      <c r="M67" s="213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</row>
    <row r="68" ht="4.5" customHeight="1">
      <c r="A68" s="187"/>
      <c r="B68" s="187"/>
      <c r="C68" s="217"/>
      <c r="D68" s="23"/>
      <c r="E68" s="23"/>
      <c r="F68" s="23"/>
      <c r="G68" s="23"/>
      <c r="H68" s="23"/>
      <c r="I68" s="23"/>
      <c r="J68" s="23"/>
      <c r="K68" s="23"/>
      <c r="L68" s="23"/>
      <c r="M68" s="202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</row>
    <row r="69" ht="12.75" customHeight="1">
      <c r="A69" s="187"/>
      <c r="B69" s="187"/>
      <c r="C69" s="218" t="s">
        <v>277</v>
      </c>
      <c r="D69" s="256"/>
      <c r="E69" s="211"/>
      <c r="F69" s="211"/>
      <c r="G69" s="208" t="s">
        <v>198</v>
      </c>
      <c r="H69" s="211"/>
      <c r="I69" s="211"/>
      <c r="J69" s="249"/>
      <c r="K69" s="250"/>
      <c r="L69" s="211">
        <f>IF(AND(J69&gt;K69,J70&gt;K70),2,IF(J69&gt;K69,1,IF(J70&gt;K70,1,0)))</f>
        <v>0</v>
      </c>
      <c r="M69" s="211">
        <f>IF(AND(K69&gt;J69,K70&gt;J70),2,IF(K69&gt;J69,1,IF(K70&gt;J70,1,0)))</f>
        <v>0</v>
      </c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</row>
    <row r="70" ht="12.75" customHeight="1">
      <c r="A70" s="187"/>
      <c r="B70" s="187"/>
      <c r="C70" s="212"/>
      <c r="D70" s="213"/>
      <c r="E70" s="213"/>
      <c r="F70" s="213"/>
      <c r="G70" s="213"/>
      <c r="H70" s="213"/>
      <c r="I70" s="213"/>
      <c r="J70" s="251"/>
      <c r="K70" s="252"/>
      <c r="L70" s="213"/>
      <c r="M70" s="213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</row>
    <row r="71" ht="4.5" customHeight="1">
      <c r="A71" s="187"/>
      <c r="B71" s="187"/>
      <c r="C71" s="217"/>
      <c r="D71" s="23"/>
      <c r="E71" s="23"/>
      <c r="F71" s="23"/>
      <c r="G71" s="23"/>
      <c r="H71" s="23"/>
      <c r="I71" s="23"/>
      <c r="J71" s="23"/>
      <c r="K71" s="23"/>
      <c r="L71" s="23"/>
      <c r="M71" s="202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</row>
    <row r="72" ht="12.75" customHeight="1">
      <c r="A72" s="187"/>
      <c r="B72" s="187"/>
      <c r="C72" s="218" t="s">
        <v>226</v>
      </c>
      <c r="D72" s="257" t="s">
        <v>214</v>
      </c>
      <c r="E72" s="207" t="s">
        <v>79</v>
      </c>
      <c r="F72" s="207" t="s">
        <v>86</v>
      </c>
      <c r="G72" s="219" t="s">
        <v>198</v>
      </c>
      <c r="H72" s="207" t="s">
        <v>88</v>
      </c>
      <c r="I72" s="207" t="s">
        <v>95</v>
      </c>
      <c r="J72" s="209">
        <v>6.0</v>
      </c>
      <c r="K72" s="210">
        <v>0.0</v>
      </c>
      <c r="L72" s="211">
        <f>IF(AND(J72&gt;K72,J73&gt;K73),2,IF(J72&gt;K72,1,IF(J73&gt;K73,1,0)))</f>
        <v>2</v>
      </c>
      <c r="M72" s="211">
        <f>IF(AND(K72&gt;J72,K73&gt;J73),2,IF(K72&gt;J72,1,IF(K73&gt;J73,1,0)))</f>
        <v>0</v>
      </c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</row>
    <row r="73" ht="12.75" customHeight="1">
      <c r="A73" s="187"/>
      <c r="B73" s="187"/>
      <c r="C73" s="212"/>
      <c r="D73" s="213"/>
      <c r="E73" s="213"/>
      <c r="F73" s="213"/>
      <c r="G73" s="213"/>
      <c r="H73" s="213"/>
      <c r="I73" s="213"/>
      <c r="J73" s="214">
        <v>6.0</v>
      </c>
      <c r="K73" s="215">
        <v>0.0</v>
      </c>
      <c r="L73" s="213"/>
      <c r="M73" s="213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</row>
    <row r="74" ht="4.5" customHeight="1">
      <c r="A74" s="187"/>
      <c r="B74" s="187"/>
      <c r="C74" s="217"/>
      <c r="D74" s="23"/>
      <c r="E74" s="23"/>
      <c r="F74" s="23"/>
      <c r="G74" s="23"/>
      <c r="H74" s="23"/>
      <c r="I74" s="23"/>
      <c r="J74" s="23"/>
      <c r="K74" s="23"/>
      <c r="L74" s="23"/>
      <c r="M74" s="202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</row>
    <row r="75" ht="12.75" customHeight="1">
      <c r="A75" s="187"/>
      <c r="B75" s="187"/>
      <c r="C75" s="220" t="s">
        <v>274</v>
      </c>
      <c r="D75" s="23"/>
      <c r="E75" s="23"/>
      <c r="F75" s="23"/>
      <c r="G75" s="23"/>
      <c r="H75" s="23"/>
      <c r="I75" s="200"/>
      <c r="J75" s="221">
        <f t="shared" ref="J75:M75" si="5">SUM(J63:J73)</f>
        <v>29</v>
      </c>
      <c r="K75" s="222">
        <f t="shared" si="5"/>
        <v>20</v>
      </c>
      <c r="L75" s="221">
        <f t="shared" si="5"/>
        <v>4</v>
      </c>
      <c r="M75" s="223">
        <f t="shared" si="5"/>
        <v>2</v>
      </c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</row>
    <row r="76" ht="4.5" customHeight="1">
      <c r="A76" s="187"/>
      <c r="B76" s="187"/>
      <c r="C76" s="224"/>
      <c r="D76" s="23"/>
      <c r="E76" s="23"/>
      <c r="F76" s="23"/>
      <c r="G76" s="23"/>
      <c r="H76" s="23"/>
      <c r="I76" s="23"/>
      <c r="J76" s="23"/>
      <c r="K76" s="23"/>
      <c r="L76" s="23"/>
      <c r="M76" s="202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</row>
    <row r="77" ht="12.75" customHeight="1">
      <c r="A77" s="187"/>
      <c r="B77" s="187"/>
      <c r="C77" s="228" t="s">
        <v>275</v>
      </c>
      <c r="D77" s="23"/>
      <c r="E77" s="23"/>
      <c r="F77" s="23"/>
      <c r="G77" s="23"/>
      <c r="H77" s="23"/>
      <c r="I77" s="200"/>
      <c r="J77" s="229">
        <f t="shared" ref="J77:M77" si="6">J75+J60</f>
        <v>76</v>
      </c>
      <c r="K77" s="230">
        <f t="shared" si="6"/>
        <v>61</v>
      </c>
      <c r="L77" s="231">
        <f t="shared" si="6"/>
        <v>10</v>
      </c>
      <c r="M77" s="232">
        <f t="shared" si="6"/>
        <v>4</v>
      </c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</row>
    <row r="78" ht="6.75" customHeight="1">
      <c r="A78" s="187"/>
      <c r="B78" s="187"/>
      <c r="C78" s="233"/>
      <c r="D78" s="23"/>
      <c r="E78" s="23"/>
      <c r="F78" s="23"/>
      <c r="G78" s="23"/>
      <c r="H78" s="23"/>
      <c r="I78" s="23"/>
      <c r="J78" s="23"/>
      <c r="K78" s="23"/>
      <c r="L78" s="23"/>
      <c r="M78" s="202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</row>
    <row r="79" ht="12.75" customHeight="1">
      <c r="A79" s="187"/>
      <c r="B79" s="187"/>
      <c r="C79" s="196" t="s">
        <v>225</v>
      </c>
      <c r="D79" s="191"/>
      <c r="E79" s="191"/>
      <c r="F79" s="191"/>
      <c r="G79" s="191"/>
      <c r="H79" s="191"/>
      <c r="I79" s="191"/>
      <c r="J79" s="191"/>
      <c r="K79" s="191"/>
      <c r="L79" s="191"/>
      <c r="M79" s="192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</row>
    <row r="80" ht="12.75" customHeight="1">
      <c r="A80" s="187"/>
      <c r="B80" s="187"/>
      <c r="C80" s="193"/>
      <c r="D80" s="194"/>
      <c r="E80" s="194"/>
      <c r="F80" s="194"/>
      <c r="G80" s="194"/>
      <c r="H80" s="194"/>
      <c r="I80" s="194"/>
      <c r="J80" s="194"/>
      <c r="K80" s="194"/>
      <c r="L80" s="194"/>
      <c r="M80" s="195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</row>
    <row r="81" ht="26.25" customHeight="1">
      <c r="A81" s="187"/>
      <c r="B81" s="187"/>
      <c r="C81" s="236" t="s">
        <v>196</v>
      </c>
      <c r="D81" s="201" t="s">
        <v>197</v>
      </c>
      <c r="E81" s="199" t="s">
        <v>177</v>
      </c>
      <c r="F81" s="200"/>
      <c r="G81" s="198"/>
      <c r="H81" s="199" t="s">
        <v>180</v>
      </c>
      <c r="I81" s="200"/>
      <c r="J81" s="237"/>
      <c r="K81" s="200"/>
      <c r="L81" s="201"/>
      <c r="M81" s="202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</row>
    <row r="82" ht="12.75" customHeight="1">
      <c r="A82" s="187"/>
      <c r="B82" s="187"/>
      <c r="C82" s="203"/>
      <c r="M82" s="204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</row>
    <row r="83" ht="12.75" customHeight="1">
      <c r="A83" s="187"/>
      <c r="B83" s="187"/>
      <c r="C83" s="205" t="s">
        <v>201</v>
      </c>
      <c r="D83" s="206" t="s">
        <v>209</v>
      </c>
      <c r="E83" s="207" t="s">
        <v>132</v>
      </c>
      <c r="F83" s="207" t="s">
        <v>144</v>
      </c>
      <c r="G83" s="208" t="s">
        <v>198</v>
      </c>
      <c r="H83" s="207" t="s">
        <v>133</v>
      </c>
      <c r="I83" s="207" t="s">
        <v>145</v>
      </c>
      <c r="J83" s="209">
        <v>4.0</v>
      </c>
      <c r="K83" s="210">
        <v>6.0</v>
      </c>
      <c r="L83" s="211">
        <f>IF(AND(J83&gt;K83,J84&gt;K84),2,IF(J83&gt;K83,1,IF(J84&gt;K84,1,0)))</f>
        <v>1</v>
      </c>
      <c r="M83" s="211">
        <f>IF(AND(K83&gt;J83,K84&gt;J84),2,IF(K83&gt;J83,1,IF(K84&gt;J84,1,0)))</f>
        <v>1</v>
      </c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</row>
    <row r="84" ht="12.75" customHeight="1">
      <c r="A84" s="187"/>
      <c r="B84" s="187"/>
      <c r="C84" s="212"/>
      <c r="D84" s="213"/>
      <c r="E84" s="213"/>
      <c r="F84" s="213"/>
      <c r="G84" s="213"/>
      <c r="H84" s="213"/>
      <c r="I84" s="213"/>
      <c r="J84" s="214">
        <v>7.0</v>
      </c>
      <c r="K84" s="215">
        <v>6.0</v>
      </c>
      <c r="L84" s="213"/>
      <c r="M84" s="213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</row>
    <row r="85" ht="4.5" customHeight="1">
      <c r="A85" s="187"/>
      <c r="B85" s="187"/>
      <c r="C85" s="216"/>
      <c r="D85" s="23"/>
      <c r="E85" s="23"/>
      <c r="F85" s="23"/>
      <c r="G85" s="23"/>
      <c r="H85" s="23"/>
      <c r="I85" s="23"/>
      <c r="J85" s="23"/>
      <c r="K85" s="23"/>
      <c r="L85" s="23"/>
      <c r="M85" s="202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</row>
    <row r="86" ht="12.75" customHeight="1">
      <c r="A86" s="187"/>
      <c r="B86" s="187"/>
      <c r="C86" s="205" t="s">
        <v>204</v>
      </c>
      <c r="D86" s="206" t="s">
        <v>216</v>
      </c>
      <c r="E86" s="207" t="s">
        <v>57</v>
      </c>
      <c r="F86" s="207" t="s">
        <v>64</v>
      </c>
      <c r="G86" s="208" t="s">
        <v>198</v>
      </c>
      <c r="H86" s="207" t="s">
        <v>58</v>
      </c>
      <c r="I86" s="207" t="s">
        <v>72</v>
      </c>
      <c r="J86" s="209">
        <v>6.0</v>
      </c>
      <c r="K86" s="210">
        <v>2.0</v>
      </c>
      <c r="L86" s="211">
        <f>IF(AND(J86&gt;K86,J87&gt;K87),2,IF(J86&gt;K86,1,IF(J87&gt;K87,1,0)))</f>
        <v>2</v>
      </c>
      <c r="M86" s="211">
        <f>IF(AND(K86&gt;J86,K87&gt;J87),2,IF(K86&gt;J86,1,IF(K87&gt;J87,1,0)))</f>
        <v>0</v>
      </c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</row>
    <row r="87" ht="12.75" customHeight="1">
      <c r="A87" s="187"/>
      <c r="B87" s="187"/>
      <c r="C87" s="212"/>
      <c r="D87" s="213"/>
      <c r="E87" s="213"/>
      <c r="F87" s="213"/>
      <c r="G87" s="213"/>
      <c r="H87" s="213"/>
      <c r="I87" s="213"/>
      <c r="J87" s="214">
        <v>6.0</v>
      </c>
      <c r="K87" s="215">
        <v>3.0</v>
      </c>
      <c r="L87" s="213"/>
      <c r="M87" s="213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</row>
    <row r="88" ht="4.5" customHeight="1">
      <c r="A88" s="187"/>
      <c r="B88" s="187"/>
      <c r="C88" s="217"/>
      <c r="D88" s="23"/>
      <c r="E88" s="23"/>
      <c r="F88" s="23"/>
      <c r="G88" s="23"/>
      <c r="H88" s="23"/>
      <c r="I88" s="23"/>
      <c r="J88" s="23"/>
      <c r="K88" s="23"/>
      <c r="L88" s="23"/>
      <c r="M88" s="202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</row>
    <row r="89" ht="12.75" customHeight="1">
      <c r="A89" s="187"/>
      <c r="B89" s="187"/>
      <c r="C89" s="205" t="s">
        <v>206</v>
      </c>
      <c r="D89" s="206" t="s">
        <v>212</v>
      </c>
      <c r="E89" s="207" t="s">
        <v>278</v>
      </c>
      <c r="F89" s="207" t="s">
        <v>50</v>
      </c>
      <c r="G89" s="208" t="s">
        <v>198</v>
      </c>
      <c r="H89" s="207" t="s">
        <v>51</v>
      </c>
      <c r="I89" s="207" t="s">
        <v>44</v>
      </c>
      <c r="J89" s="209">
        <v>7.0</v>
      </c>
      <c r="K89" s="210">
        <v>5.0</v>
      </c>
      <c r="L89" s="211">
        <f>IF(AND(J89&gt;K89,J90&gt;K90),2,IF(J89&gt;K89,1,IF(J90&gt;K90,1,0)))</f>
        <v>2</v>
      </c>
      <c r="M89" s="211">
        <f>IF(AND(K89&gt;J89,K90&gt;J90),2,IF(K89&gt;J89,1,IF(K90&gt;J90,1,0)))</f>
        <v>0</v>
      </c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</row>
    <row r="90" ht="12.75" customHeight="1">
      <c r="A90" s="187"/>
      <c r="B90" s="187"/>
      <c r="C90" s="212"/>
      <c r="D90" s="213"/>
      <c r="E90" s="213"/>
      <c r="F90" s="213"/>
      <c r="G90" s="213"/>
      <c r="H90" s="213"/>
      <c r="I90" s="213"/>
      <c r="J90" s="214">
        <v>6.0</v>
      </c>
      <c r="K90" s="215">
        <v>4.0</v>
      </c>
      <c r="L90" s="213"/>
      <c r="M90" s="213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</row>
    <row r="91" ht="4.5" customHeight="1">
      <c r="A91" s="187"/>
      <c r="B91" s="187"/>
      <c r="C91" s="217"/>
      <c r="D91" s="23"/>
      <c r="E91" s="23"/>
      <c r="F91" s="23"/>
      <c r="G91" s="23"/>
      <c r="H91" s="23"/>
      <c r="I91" s="23"/>
      <c r="J91" s="23"/>
      <c r="K91" s="23"/>
      <c r="L91" s="23"/>
      <c r="M91" s="202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</row>
    <row r="92" ht="12.75" customHeight="1">
      <c r="A92" s="187"/>
      <c r="B92" s="187"/>
      <c r="C92" s="205"/>
      <c r="D92" s="248"/>
      <c r="E92" s="211"/>
      <c r="F92" s="211"/>
      <c r="G92" s="208"/>
      <c r="H92" s="211"/>
      <c r="I92" s="211"/>
      <c r="J92" s="249"/>
      <c r="K92" s="250"/>
      <c r="L92" s="211">
        <f>IF(AND(J92&gt;K92,J93&gt;K93),2,IF(J92&gt;K92,1,IF(J93&gt;K93,1,0)))</f>
        <v>0</v>
      </c>
      <c r="M92" s="211">
        <f>IF(AND(K92&gt;J92,K93&gt;J93),2,IF(K92&gt;J92,1,IF(K93&gt;J93,1,0)))</f>
        <v>0</v>
      </c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</row>
    <row r="93" ht="12.75" customHeight="1">
      <c r="A93" s="187"/>
      <c r="B93" s="187"/>
      <c r="C93" s="212"/>
      <c r="D93" s="213"/>
      <c r="E93" s="213"/>
      <c r="F93" s="213"/>
      <c r="G93" s="213"/>
      <c r="H93" s="213"/>
      <c r="I93" s="213"/>
      <c r="J93" s="251"/>
      <c r="K93" s="252"/>
      <c r="L93" s="213"/>
      <c r="M93" s="213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</row>
    <row r="94" ht="4.5" customHeight="1">
      <c r="A94" s="187"/>
      <c r="B94" s="187"/>
      <c r="C94" s="253"/>
      <c r="D94" s="254"/>
      <c r="E94" s="254"/>
      <c r="F94" s="254"/>
      <c r="G94" s="254"/>
      <c r="H94" s="254"/>
      <c r="I94" s="254"/>
      <c r="J94" s="254"/>
      <c r="K94" s="254"/>
      <c r="L94" s="254"/>
      <c r="M94" s="255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</row>
    <row r="95" ht="12.75" customHeight="1">
      <c r="A95" s="187"/>
      <c r="B95" s="187"/>
      <c r="C95" s="220" t="s">
        <v>272</v>
      </c>
      <c r="D95" s="23"/>
      <c r="E95" s="23"/>
      <c r="F95" s="23"/>
      <c r="G95" s="23"/>
      <c r="H95" s="23"/>
      <c r="I95" s="200"/>
      <c r="J95" s="221">
        <f t="shared" ref="J95:M95" si="7">SUM(J83:J93)</f>
        <v>36</v>
      </c>
      <c r="K95" s="222">
        <f t="shared" si="7"/>
        <v>26</v>
      </c>
      <c r="L95" s="221">
        <f t="shared" si="7"/>
        <v>5</v>
      </c>
      <c r="M95" s="223">
        <f t="shared" si="7"/>
        <v>1</v>
      </c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</row>
    <row r="96" ht="4.5" customHeight="1">
      <c r="A96" s="187"/>
      <c r="B96" s="187"/>
      <c r="C96" s="224"/>
      <c r="D96" s="23"/>
      <c r="E96" s="23"/>
      <c r="F96" s="23"/>
      <c r="G96" s="23"/>
      <c r="H96" s="23"/>
      <c r="I96" s="23"/>
      <c r="J96" s="23"/>
      <c r="K96" s="23"/>
      <c r="L96" s="23"/>
      <c r="M96" s="202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</row>
    <row r="97" ht="12.75" customHeight="1">
      <c r="A97" s="187"/>
      <c r="B97" s="187"/>
      <c r="C97" s="225"/>
      <c r="D97" s="23"/>
      <c r="E97" s="23"/>
      <c r="F97" s="23"/>
      <c r="G97" s="23"/>
      <c r="H97" s="23"/>
      <c r="I97" s="23"/>
      <c r="J97" s="23"/>
      <c r="K97" s="23"/>
      <c r="L97" s="23"/>
      <c r="M97" s="202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</row>
    <row r="98" ht="12.75" customHeight="1">
      <c r="A98" s="187"/>
      <c r="B98" s="187"/>
      <c r="C98" s="205" t="s">
        <v>201</v>
      </c>
      <c r="D98" s="206" t="s">
        <v>207</v>
      </c>
      <c r="E98" s="207" t="s">
        <v>279</v>
      </c>
      <c r="F98" s="207" t="s">
        <v>31</v>
      </c>
      <c r="G98" s="208" t="s">
        <v>198</v>
      </c>
      <c r="H98" s="207" t="s">
        <v>32</v>
      </c>
      <c r="I98" s="207" t="s">
        <v>25</v>
      </c>
      <c r="J98" s="209">
        <v>6.0</v>
      </c>
      <c r="K98" s="210">
        <v>3.0</v>
      </c>
      <c r="L98" s="211">
        <f>IF(AND(J98&gt;K98,J99&gt;K99),2,IF(J98&gt;K98,1,IF(J99&gt;K99,1,0)))</f>
        <v>1</v>
      </c>
      <c r="M98" s="211">
        <f>IF(AND(K98&gt;J98,K99&gt;J99),2,IF(K98&gt;J98,1,IF(K99&gt;J99,1,0)))</f>
        <v>1</v>
      </c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</row>
    <row r="99" ht="12.75" customHeight="1">
      <c r="A99" s="187"/>
      <c r="B99" s="187"/>
      <c r="C99" s="212"/>
      <c r="D99" s="213"/>
      <c r="E99" s="213"/>
      <c r="F99" s="213"/>
      <c r="G99" s="213"/>
      <c r="H99" s="213"/>
      <c r="I99" s="213"/>
      <c r="J99" s="214">
        <v>3.0</v>
      </c>
      <c r="K99" s="215">
        <v>6.0</v>
      </c>
      <c r="L99" s="213"/>
      <c r="M99" s="213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</row>
    <row r="100" ht="4.5" customHeight="1">
      <c r="A100" s="187"/>
      <c r="B100" s="187"/>
      <c r="C100" s="216"/>
      <c r="D100" s="23"/>
      <c r="E100" s="23"/>
      <c r="F100" s="23"/>
      <c r="G100" s="23"/>
      <c r="H100" s="23"/>
      <c r="I100" s="23"/>
      <c r="J100" s="23"/>
      <c r="K100" s="23"/>
      <c r="L100" s="23"/>
      <c r="M100" s="202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</row>
    <row r="101" ht="12.75" customHeight="1">
      <c r="A101" s="187"/>
      <c r="B101" s="187"/>
      <c r="C101" s="205" t="s">
        <v>204</v>
      </c>
      <c r="D101" s="206" t="s">
        <v>205</v>
      </c>
      <c r="E101" s="207" t="s">
        <v>120</v>
      </c>
      <c r="F101" s="207" t="s">
        <v>126</v>
      </c>
      <c r="G101" s="208" t="s">
        <v>198</v>
      </c>
      <c r="H101" s="207" t="s">
        <v>121</v>
      </c>
      <c r="I101" s="207" t="s">
        <v>127</v>
      </c>
      <c r="J101" s="209">
        <v>6.0</v>
      </c>
      <c r="K101" s="210">
        <v>4.0</v>
      </c>
      <c r="L101" s="211">
        <f>IF(AND(J101&gt;K101,J102&gt;K102),2,IF(J101&gt;K101,1,IF(J102&gt;K102,1,0)))</f>
        <v>2</v>
      </c>
      <c r="M101" s="211">
        <f>IF(AND(K101&gt;J101,K102&gt;J102),2,IF(K101&gt;J101,1,IF(K102&gt;J102,1,0)))</f>
        <v>0</v>
      </c>
      <c r="N101" s="245" t="s">
        <v>280</v>
      </c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</row>
    <row r="102" ht="12.75" customHeight="1">
      <c r="A102" s="187"/>
      <c r="B102" s="187"/>
      <c r="C102" s="212"/>
      <c r="D102" s="213"/>
      <c r="E102" s="213"/>
      <c r="F102" s="213"/>
      <c r="G102" s="213"/>
      <c r="H102" s="213"/>
      <c r="I102" s="213"/>
      <c r="J102" s="214">
        <v>6.0</v>
      </c>
      <c r="K102" s="215">
        <v>1.0</v>
      </c>
      <c r="L102" s="213"/>
      <c r="M102" s="213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</row>
    <row r="103" ht="4.5" customHeight="1">
      <c r="A103" s="187"/>
      <c r="B103" s="187"/>
      <c r="C103" s="217"/>
      <c r="D103" s="23"/>
      <c r="E103" s="23"/>
      <c r="F103" s="23"/>
      <c r="G103" s="23"/>
      <c r="H103" s="23"/>
      <c r="I103" s="23"/>
      <c r="J103" s="23"/>
      <c r="K103" s="23"/>
      <c r="L103" s="23"/>
      <c r="M103" s="202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</row>
    <row r="104" ht="12.75" customHeight="1">
      <c r="A104" s="187"/>
      <c r="B104" s="187"/>
      <c r="C104" s="205" t="s">
        <v>204</v>
      </c>
      <c r="D104" s="206" t="s">
        <v>214</v>
      </c>
      <c r="E104" s="207" t="s">
        <v>281</v>
      </c>
      <c r="F104" s="207" t="s">
        <v>84</v>
      </c>
      <c r="G104" s="208" t="s">
        <v>198</v>
      </c>
      <c r="H104" s="207" t="s">
        <v>85</v>
      </c>
      <c r="I104" s="207" t="s">
        <v>92</v>
      </c>
      <c r="J104" s="209">
        <v>6.0</v>
      </c>
      <c r="K104" s="210">
        <v>1.0</v>
      </c>
      <c r="L104" s="211">
        <f>IF(AND(J104&gt;K104,J105&gt;K105),2,IF(J104&gt;K104,1,IF(J105&gt;K105,1,0)))</f>
        <v>2</v>
      </c>
      <c r="M104" s="211">
        <f>IF(AND(K104&gt;J104,K105&gt;J105),2,IF(K104&gt;J104,1,IF(K105&gt;J105,1,0)))</f>
        <v>0</v>
      </c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</row>
    <row r="105" ht="12.75" customHeight="1">
      <c r="A105" s="187"/>
      <c r="B105" s="187"/>
      <c r="C105" s="212"/>
      <c r="D105" s="213"/>
      <c r="E105" s="213"/>
      <c r="F105" s="213"/>
      <c r="G105" s="213"/>
      <c r="H105" s="213"/>
      <c r="I105" s="213"/>
      <c r="J105" s="214">
        <v>7.0</v>
      </c>
      <c r="K105" s="215">
        <v>6.0</v>
      </c>
      <c r="L105" s="213"/>
      <c r="M105" s="213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</row>
    <row r="106" ht="4.5" customHeight="1">
      <c r="A106" s="187"/>
      <c r="B106" s="187"/>
      <c r="C106" s="217"/>
      <c r="D106" s="23"/>
      <c r="E106" s="23"/>
      <c r="F106" s="23"/>
      <c r="G106" s="23"/>
      <c r="H106" s="23"/>
      <c r="I106" s="23"/>
      <c r="J106" s="23"/>
      <c r="K106" s="23"/>
      <c r="L106" s="23"/>
      <c r="M106" s="202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</row>
    <row r="107" ht="12.75" customHeight="1">
      <c r="A107" s="187"/>
      <c r="B107" s="187"/>
      <c r="C107" s="205" t="s">
        <v>206</v>
      </c>
      <c r="D107" s="235" t="s">
        <v>202</v>
      </c>
      <c r="E107" s="207" t="s">
        <v>104</v>
      </c>
      <c r="F107" s="207" t="s">
        <v>110</v>
      </c>
      <c r="G107" s="219" t="s">
        <v>198</v>
      </c>
      <c r="H107" s="207" t="s">
        <v>282</v>
      </c>
      <c r="I107" s="207" t="s">
        <v>283</v>
      </c>
      <c r="J107" s="209">
        <v>0.0</v>
      </c>
      <c r="K107" s="210">
        <v>6.0</v>
      </c>
      <c r="L107" s="211">
        <f>IF(AND(J107&gt;K107,J108&gt;K108),2,IF(J107&gt;K107,1,IF(J108&gt;K108,1,0)))</f>
        <v>0</v>
      </c>
      <c r="M107" s="211">
        <f>IF(AND(K107&gt;J107,K108&gt;J108),2,IF(K107&gt;J107,1,IF(K108&gt;J108,1,0)))</f>
        <v>2</v>
      </c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</row>
    <row r="108" ht="12.75" customHeight="1">
      <c r="A108" s="187"/>
      <c r="B108" s="187"/>
      <c r="C108" s="212"/>
      <c r="D108" s="213"/>
      <c r="E108" s="213"/>
      <c r="F108" s="213"/>
      <c r="G108" s="213"/>
      <c r="H108" s="213"/>
      <c r="I108" s="213"/>
      <c r="J108" s="214">
        <v>5.0</v>
      </c>
      <c r="K108" s="215">
        <v>7.0</v>
      </c>
      <c r="L108" s="213"/>
      <c r="M108" s="213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</row>
    <row r="109" ht="4.5" customHeight="1">
      <c r="A109" s="187"/>
      <c r="B109" s="187"/>
      <c r="C109" s="217"/>
      <c r="D109" s="23"/>
      <c r="E109" s="23"/>
      <c r="F109" s="23"/>
      <c r="G109" s="23"/>
      <c r="H109" s="23"/>
      <c r="I109" s="23"/>
      <c r="J109" s="23"/>
      <c r="K109" s="23"/>
      <c r="L109" s="23"/>
      <c r="M109" s="202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</row>
    <row r="110" ht="12.75" customHeight="1">
      <c r="A110" s="187"/>
      <c r="B110" s="187"/>
      <c r="C110" s="220" t="s">
        <v>274</v>
      </c>
      <c r="D110" s="23"/>
      <c r="E110" s="23"/>
      <c r="F110" s="23"/>
      <c r="G110" s="23"/>
      <c r="H110" s="23"/>
      <c r="I110" s="200"/>
      <c r="J110" s="221">
        <f t="shared" ref="J110:M110" si="8">SUM(J98:J108)</f>
        <v>39</v>
      </c>
      <c r="K110" s="222">
        <f t="shared" si="8"/>
        <v>34</v>
      </c>
      <c r="L110" s="221">
        <f t="shared" si="8"/>
        <v>5</v>
      </c>
      <c r="M110" s="223">
        <f t="shared" si="8"/>
        <v>3</v>
      </c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</row>
    <row r="111" ht="4.5" customHeight="1">
      <c r="A111" s="187"/>
      <c r="B111" s="187"/>
      <c r="C111" s="224"/>
      <c r="D111" s="23"/>
      <c r="E111" s="23"/>
      <c r="F111" s="23"/>
      <c r="G111" s="23"/>
      <c r="H111" s="23"/>
      <c r="I111" s="23"/>
      <c r="J111" s="23"/>
      <c r="K111" s="23"/>
      <c r="L111" s="23"/>
      <c r="M111" s="202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</row>
    <row r="112" ht="12.75" customHeight="1">
      <c r="A112" s="187"/>
      <c r="B112" s="187"/>
      <c r="C112" s="228" t="s">
        <v>275</v>
      </c>
      <c r="D112" s="23"/>
      <c r="E112" s="23"/>
      <c r="F112" s="23"/>
      <c r="G112" s="23"/>
      <c r="H112" s="23"/>
      <c r="I112" s="200"/>
      <c r="J112" s="229">
        <f t="shared" ref="J112:M112" si="9">J110+J95</f>
        <v>75</v>
      </c>
      <c r="K112" s="230">
        <f t="shared" si="9"/>
        <v>60</v>
      </c>
      <c r="L112" s="231">
        <f t="shared" si="9"/>
        <v>10</v>
      </c>
      <c r="M112" s="232">
        <f t="shared" si="9"/>
        <v>4</v>
      </c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</row>
    <row r="113" ht="6.75" customHeight="1">
      <c r="A113" s="187"/>
      <c r="B113" s="187"/>
      <c r="C113" s="239"/>
      <c r="D113" s="240"/>
      <c r="E113" s="240"/>
      <c r="F113" s="240"/>
      <c r="G113" s="240"/>
      <c r="H113" s="240"/>
      <c r="I113" s="240"/>
      <c r="J113" s="240"/>
      <c r="K113" s="240"/>
      <c r="L113" s="240"/>
      <c r="M113" s="241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</row>
    <row r="114" ht="12.75" customHeight="1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</row>
    <row r="115" ht="12.75" customHeight="1">
      <c r="A115" s="18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</row>
    <row r="116" ht="12.75" customHeight="1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</row>
    <row r="117" ht="12.75" customHeight="1">
      <c r="A117" s="18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</row>
    <row r="118" ht="12.75" customHeight="1">
      <c r="A118" s="18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</row>
    <row r="119" ht="12.75" customHeight="1">
      <c r="A119" s="18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</row>
    <row r="120" ht="12.75" customHeight="1">
      <c r="A120" s="18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</row>
    <row r="121" ht="12.75" customHeight="1">
      <c r="A121" s="187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</row>
    <row r="122" ht="12.75" customHeight="1">
      <c r="A122" s="18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</row>
    <row r="123" ht="12.75" customHeight="1">
      <c r="A123" s="187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</row>
    <row r="124" ht="12.75" customHeight="1">
      <c r="A124" s="187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</row>
    <row r="125" ht="12.75" customHeight="1">
      <c r="A125" s="18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</row>
    <row r="126" ht="12.75" customHeight="1">
      <c r="A126" s="18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</row>
    <row r="127" ht="12.75" customHeight="1">
      <c r="A127" s="187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</row>
    <row r="128" ht="12.75" customHeight="1">
      <c r="A128" s="187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</row>
    <row r="129" ht="12.75" customHeight="1">
      <c r="A129" s="18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</row>
    <row r="130" ht="12.75" customHeight="1">
      <c r="A130" s="18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</row>
    <row r="131" ht="12.75" customHeight="1">
      <c r="A131" s="18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</row>
    <row r="132" ht="12.75" customHeight="1">
      <c r="A132" s="187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</row>
    <row r="133" ht="12.75" customHeight="1">
      <c r="A133" s="18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</row>
    <row r="134" ht="12.75" customHeight="1">
      <c r="A134" s="18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</row>
    <row r="135" ht="12.75" customHeight="1">
      <c r="A135" s="18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</row>
    <row r="136" ht="12.75" customHeight="1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</row>
    <row r="137" ht="12.75" customHeight="1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</row>
    <row r="138" ht="12.75" customHeight="1">
      <c r="A138" s="187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</row>
    <row r="139" ht="12.75" customHeight="1">
      <c r="A139" s="18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</row>
    <row r="140" ht="12.75" customHeight="1">
      <c r="A140" s="18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</row>
    <row r="141" ht="12.75" customHeight="1">
      <c r="A141" s="18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</row>
    <row r="142" ht="12.75" customHeight="1">
      <c r="A142" s="187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</row>
    <row r="143" ht="12.75" customHeight="1">
      <c r="A143" s="187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</row>
    <row r="144" ht="12.75" customHeight="1">
      <c r="A144" s="187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</row>
    <row r="145" ht="12.75" customHeight="1">
      <c r="A145" s="187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</row>
    <row r="146" ht="12.75" customHeight="1">
      <c r="A146" s="187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</row>
    <row r="147" ht="12.75" customHeight="1">
      <c r="A147" s="187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</row>
    <row r="148" ht="12.75" customHeight="1">
      <c r="A148" s="187"/>
      <c r="B148" s="187"/>
      <c r="C148" s="187"/>
      <c r="D148" s="187"/>
      <c r="E148" s="187"/>
      <c r="F148" s="187" t="s">
        <v>227</v>
      </c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</row>
    <row r="149" ht="12.75" customHeight="1">
      <c r="A149" s="187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</row>
    <row r="150" ht="12.75" customHeight="1">
      <c r="A150" s="187"/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</row>
    <row r="151" ht="12.75" customHeight="1">
      <c r="A151" s="187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</row>
    <row r="152" ht="12.75" customHeight="1">
      <c r="A152" s="187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</row>
    <row r="153" ht="12.75" customHeight="1">
      <c r="A153" s="187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</row>
    <row r="154" ht="12.75" customHeight="1">
      <c r="A154" s="187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</row>
    <row r="155" ht="12.75" customHeight="1">
      <c r="A155" s="187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</row>
    <row r="156" ht="12.75" customHeight="1">
      <c r="A156" s="187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</row>
    <row r="157" ht="12.75" customHeight="1">
      <c r="A157" s="187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</row>
    <row r="158" ht="12.75" customHeight="1">
      <c r="A158" s="187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</row>
    <row r="159" ht="12.75" customHeight="1">
      <c r="A159" s="187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</row>
    <row r="160" ht="12.75" customHeight="1">
      <c r="A160" s="187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</row>
    <row r="161" ht="12.75" customHeight="1">
      <c r="A161" s="187"/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</row>
    <row r="162" ht="12.75" customHeight="1">
      <c r="A162" s="187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</row>
    <row r="163" ht="12.75" customHeight="1">
      <c r="A163" s="187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</row>
    <row r="164" ht="12.75" customHeight="1">
      <c r="A164" s="187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</row>
    <row r="165" ht="12.75" customHeight="1">
      <c r="A165" s="187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</row>
    <row r="166" ht="12.75" customHeight="1">
      <c r="A166" s="187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</row>
    <row r="167" ht="12.75" customHeight="1">
      <c r="A167" s="187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</row>
    <row r="168" ht="12.75" customHeight="1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</row>
    <row r="169" ht="12.75" customHeight="1">
      <c r="A169" s="187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</row>
    <row r="170" ht="12.75" customHeight="1">
      <c r="A170" s="187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</row>
    <row r="171" ht="12.75" customHeight="1">
      <c r="A171" s="187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</row>
    <row r="172" ht="12.75" customHeight="1">
      <c r="A172" s="187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</row>
    <row r="173" ht="12.75" customHeight="1">
      <c r="A173" s="18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</row>
    <row r="174" ht="12.75" customHeight="1">
      <c r="A174" s="187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</row>
    <row r="175" ht="12.75" customHeight="1">
      <c r="A175" s="187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</row>
    <row r="176" ht="12.75" customHeight="1">
      <c r="A176" s="187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</row>
    <row r="177" ht="12.75" customHeight="1">
      <c r="A177" s="187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</row>
    <row r="178" ht="12.75" customHeight="1">
      <c r="A178" s="187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</row>
    <row r="179" ht="12.75" customHeight="1">
      <c r="A179" s="187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</row>
    <row r="180" ht="12.75" customHeight="1">
      <c r="A180" s="187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</row>
    <row r="181" ht="12.75" customHeight="1">
      <c r="A181" s="187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</row>
    <row r="182" ht="12.75" customHeight="1">
      <c r="A182" s="187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</row>
    <row r="183" ht="12.75" customHeight="1">
      <c r="A183" s="187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</row>
    <row r="184" ht="12.75" customHeight="1">
      <c r="A184" s="187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</row>
    <row r="185" ht="12.75" customHeight="1">
      <c r="A185" s="187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</row>
    <row r="186" ht="12.75" customHeight="1">
      <c r="A186" s="187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</row>
    <row r="187" ht="12.75" customHeight="1">
      <c r="A187" s="187"/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</row>
    <row r="188" ht="12.75" customHeight="1">
      <c r="A188" s="187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</row>
    <row r="189" ht="12.75" customHeight="1">
      <c r="A189" s="187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</row>
    <row r="190" ht="12.75" customHeight="1">
      <c r="A190" s="187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</row>
    <row r="191" ht="12.75" customHeight="1">
      <c r="A191" s="187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</row>
    <row r="192" ht="12.75" customHeight="1">
      <c r="A192" s="187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</row>
    <row r="193" ht="12.75" customHeight="1">
      <c r="A193" s="187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</row>
    <row r="194" ht="12.75" customHeight="1">
      <c r="A194" s="187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</row>
    <row r="195" ht="12.75" customHeight="1">
      <c r="A195" s="187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</row>
    <row r="196" ht="12.75" customHeight="1">
      <c r="A196" s="187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</row>
    <row r="197" ht="12.75" customHeight="1">
      <c r="A197" s="187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</row>
    <row r="198" ht="12.75" customHeight="1">
      <c r="A198" s="187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</row>
    <row r="199" ht="12.75" customHeight="1">
      <c r="A199" s="187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</row>
    <row r="200" ht="12.75" customHeight="1">
      <c r="A200" s="187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</row>
    <row r="201" ht="12.75" customHeight="1">
      <c r="A201" s="187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</row>
    <row r="202" ht="12.75" customHeight="1">
      <c r="A202" s="187"/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</row>
    <row r="203" ht="12.75" customHeight="1">
      <c r="A203" s="187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</row>
    <row r="204" ht="12.75" customHeight="1">
      <c r="A204" s="187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</row>
    <row r="205" ht="12.75" customHeight="1">
      <c r="A205" s="187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</row>
    <row r="206" ht="12.75" customHeight="1">
      <c r="A206" s="187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</row>
    <row r="207" ht="12.75" customHeight="1">
      <c r="A207" s="187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</row>
    <row r="208" ht="12.75" customHeight="1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</row>
    <row r="209" ht="12.75" customHeight="1">
      <c r="A209" s="187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</row>
    <row r="210" ht="12.75" customHeight="1">
      <c r="A210" s="187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</row>
    <row r="211" ht="12.75" customHeight="1">
      <c r="A211" s="187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</row>
    <row r="212" ht="12.75" customHeight="1">
      <c r="A212" s="187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</row>
    <row r="213" ht="12.75" customHeight="1">
      <c r="A213" s="187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</row>
    <row r="214" ht="12.75" customHeight="1">
      <c r="A214" s="187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</row>
    <row r="215" ht="12.75" customHeight="1">
      <c r="A215" s="187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</row>
    <row r="216" ht="12.75" customHeight="1">
      <c r="A216" s="187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</row>
    <row r="217" ht="12.75" customHeight="1">
      <c r="A217" s="187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</row>
    <row r="218" ht="12.75" customHeight="1">
      <c r="A218" s="187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</row>
    <row r="219" ht="12.75" customHeight="1">
      <c r="A219" s="187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</row>
    <row r="220" ht="12.75" customHeight="1">
      <c r="A220" s="187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</row>
    <row r="221" ht="12.75" customHeight="1">
      <c r="A221" s="187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</row>
    <row r="222" ht="12.75" customHeight="1">
      <c r="A222" s="187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</row>
    <row r="223" ht="12.75" customHeight="1">
      <c r="A223" s="187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</row>
    <row r="224" ht="12.75" customHeight="1">
      <c r="A224" s="187"/>
      <c r="B224" s="187"/>
      <c r="C224" s="187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</row>
    <row r="225" ht="12.75" customHeight="1">
      <c r="A225" s="187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</row>
    <row r="226" ht="12.75" customHeight="1">
      <c r="A226" s="187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</row>
    <row r="227" ht="12.75" customHeight="1">
      <c r="A227" s="187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</row>
    <row r="228" ht="12.75" customHeight="1">
      <c r="A228" s="187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</row>
    <row r="229" ht="12.75" customHeight="1">
      <c r="A229" s="187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</row>
    <row r="230" ht="12.75" customHeight="1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</row>
    <row r="231" ht="12.75" customHeight="1">
      <c r="A231" s="187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</row>
    <row r="232" ht="12.75" customHeight="1">
      <c r="A232" s="187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</row>
    <row r="233" ht="12.75" customHeight="1">
      <c r="A233" s="187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</row>
    <row r="234" ht="12.75" customHeight="1">
      <c r="A234" s="187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</row>
    <row r="235" ht="12.75" customHeight="1">
      <c r="A235" s="187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</row>
    <row r="236" ht="12.75" customHeight="1">
      <c r="A236" s="187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</row>
    <row r="237" ht="12.75" customHeight="1">
      <c r="A237" s="187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</row>
    <row r="238" ht="12.75" customHeight="1">
      <c r="A238" s="187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</row>
    <row r="239" ht="12.75" customHeight="1">
      <c r="A239" s="187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</row>
    <row r="240" ht="12.75" customHeight="1">
      <c r="A240" s="187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</row>
    <row r="241" ht="12.75" customHeight="1">
      <c r="A241" s="187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</row>
    <row r="242" ht="12.75" customHeight="1">
      <c r="A242" s="187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</row>
    <row r="243" ht="12.75" customHeight="1">
      <c r="A243" s="187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</row>
    <row r="244" ht="12.75" customHeight="1">
      <c r="A244" s="187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</row>
    <row r="245" ht="12.75" customHeight="1">
      <c r="A245" s="187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</row>
    <row r="246" ht="12.75" customHeight="1">
      <c r="A246" s="187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</row>
    <row r="247" ht="12.75" customHeight="1">
      <c r="A247" s="187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</row>
    <row r="248" ht="12.75" customHeight="1">
      <c r="A248" s="187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</row>
    <row r="249" ht="12.75" customHeight="1">
      <c r="A249" s="187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</row>
    <row r="250" ht="12.75" customHeight="1">
      <c r="A250" s="187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</row>
    <row r="251" ht="12.75" customHeight="1">
      <c r="A251" s="187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</row>
    <row r="252" ht="12.75" customHeight="1">
      <c r="A252" s="187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</row>
    <row r="253" ht="12.75" customHeight="1">
      <c r="A253" s="187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</row>
    <row r="254" ht="12.75" customHeight="1">
      <c r="A254" s="187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</row>
    <row r="255" ht="12.75" customHeight="1">
      <c r="A255" s="187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</row>
    <row r="256" ht="12.75" customHeight="1">
      <c r="A256" s="187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</row>
    <row r="257" ht="12.75" customHeight="1">
      <c r="A257" s="187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</row>
    <row r="258" ht="12.75" customHeight="1">
      <c r="A258" s="187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</row>
    <row r="259" ht="12.75" customHeight="1">
      <c r="A259" s="187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</row>
    <row r="260" ht="12.75" customHeight="1">
      <c r="A260" s="187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</row>
    <row r="261" ht="12.75" customHeight="1">
      <c r="A261" s="187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</row>
    <row r="262" ht="12.75" customHeight="1">
      <c r="A262" s="187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</row>
    <row r="263" ht="12.75" customHeight="1">
      <c r="A263" s="187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</row>
    <row r="264" ht="12.75" customHeight="1">
      <c r="A264" s="187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</row>
    <row r="265" ht="12.75" customHeight="1">
      <c r="A265" s="187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</row>
    <row r="266" ht="12.75" customHeight="1">
      <c r="A266" s="187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</row>
    <row r="267" ht="12.75" customHeight="1">
      <c r="A267" s="187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</row>
    <row r="268" ht="12.75" customHeight="1">
      <c r="A268" s="187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</row>
    <row r="269" ht="12.75" customHeight="1">
      <c r="A269" s="187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</row>
    <row r="270" ht="12.75" customHeight="1">
      <c r="A270" s="187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</row>
    <row r="271" ht="12.75" customHeight="1">
      <c r="A271" s="187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</row>
    <row r="272" ht="12.75" customHeight="1">
      <c r="A272" s="187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</row>
    <row r="273" ht="12.75" customHeight="1">
      <c r="A273" s="187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</row>
    <row r="274" ht="12.75" customHeight="1">
      <c r="A274" s="187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</row>
    <row r="275" ht="12.75" customHeight="1">
      <c r="A275" s="187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</row>
    <row r="276" ht="12.75" customHeight="1">
      <c r="A276" s="187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</row>
    <row r="277" ht="12.75" customHeight="1">
      <c r="A277" s="187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</row>
    <row r="278" ht="12.75" customHeight="1">
      <c r="A278" s="187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</row>
    <row r="279" ht="12.75" customHeight="1">
      <c r="A279" s="187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</row>
    <row r="280" ht="12.75" customHeight="1">
      <c r="A280" s="187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</row>
    <row r="281" ht="12.75" customHeight="1">
      <c r="A281" s="187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</row>
    <row r="282" ht="12.75" customHeight="1">
      <c r="A282" s="187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</row>
    <row r="283" ht="12.75" customHeight="1">
      <c r="A283" s="187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</row>
    <row r="284" ht="12.75" customHeight="1">
      <c r="A284" s="187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</row>
    <row r="285" ht="12.75" customHeight="1">
      <c r="A285" s="187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</row>
    <row r="286" ht="12.75" customHeight="1">
      <c r="A286" s="187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</row>
    <row r="287" ht="12.75" customHeight="1">
      <c r="A287" s="187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</row>
    <row r="288" ht="12.75" customHeight="1">
      <c r="A288" s="187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</row>
    <row r="289" ht="12.75" customHeight="1">
      <c r="A289" s="187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</row>
    <row r="290" ht="12.75" customHeight="1">
      <c r="A290" s="187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</row>
    <row r="291" ht="12.75" customHeight="1">
      <c r="A291" s="187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</row>
    <row r="292" ht="12.75" customHeight="1">
      <c r="A292" s="187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</row>
    <row r="293" ht="12.75" customHeight="1">
      <c r="A293" s="187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</row>
    <row r="294" ht="12.75" customHeight="1">
      <c r="A294" s="187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</row>
    <row r="295" ht="12.75" customHeight="1">
      <c r="A295" s="187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</row>
    <row r="296" ht="12.75" customHeight="1">
      <c r="A296" s="187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</row>
    <row r="297" ht="12.75" customHeight="1">
      <c r="A297" s="187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</row>
    <row r="298" ht="12.75" customHeight="1">
      <c r="A298" s="187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</row>
    <row r="299" ht="12.75" customHeight="1">
      <c r="A299" s="187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</row>
    <row r="300" ht="12.75" customHeight="1">
      <c r="A300" s="187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</row>
    <row r="301" ht="12.75" customHeight="1">
      <c r="A301" s="187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</row>
    <row r="302" ht="12.75" customHeight="1">
      <c r="A302" s="187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</row>
    <row r="303" ht="12.75" customHeight="1">
      <c r="A303" s="187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</row>
    <row r="304" ht="12.75" customHeight="1">
      <c r="A304" s="187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</row>
    <row r="305" ht="12.75" customHeight="1">
      <c r="A305" s="187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</row>
    <row r="306" ht="12.75" customHeight="1">
      <c r="A306" s="187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</row>
    <row r="307" ht="12.75" customHeight="1">
      <c r="A307" s="187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</row>
    <row r="308" ht="12.75" customHeight="1">
      <c r="A308" s="187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</row>
    <row r="309" ht="12.75" customHeight="1">
      <c r="A309" s="187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</row>
    <row r="310" ht="12.75" customHeight="1">
      <c r="A310" s="187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</row>
    <row r="311" ht="12.75" customHeight="1">
      <c r="A311" s="187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</row>
    <row r="312" ht="12.75" customHeight="1">
      <c r="A312" s="187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</row>
    <row r="313" ht="12.75" customHeight="1">
      <c r="A313" s="187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</row>
    <row r="314" ht="12.75" customHeight="1">
      <c r="A314" s="187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</row>
    <row r="315" ht="12.75" customHeight="1">
      <c r="A315" s="187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</row>
    <row r="316" ht="12.75" customHeight="1">
      <c r="A316" s="187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</row>
    <row r="317" ht="12.75" customHeight="1">
      <c r="A317" s="187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</row>
    <row r="318" ht="12.75" customHeight="1">
      <c r="A318" s="187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</row>
    <row r="319" ht="12.75" customHeight="1">
      <c r="A319" s="187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</row>
    <row r="320" ht="12.75" customHeight="1">
      <c r="A320" s="187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</row>
    <row r="321" ht="12.75" customHeight="1">
      <c r="A321" s="187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</row>
    <row r="322" ht="12.75" customHeight="1">
      <c r="A322" s="187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</row>
    <row r="323" ht="12.75" customHeight="1">
      <c r="A323" s="187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</row>
    <row r="324" ht="12.75" customHeight="1">
      <c r="A324" s="187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</row>
    <row r="325" ht="12.75" customHeight="1">
      <c r="A325" s="187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</row>
    <row r="326" ht="12.75" customHeight="1">
      <c r="A326" s="187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</row>
    <row r="327" ht="12.75" customHeight="1">
      <c r="A327" s="187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</row>
    <row r="328" ht="12.75" customHeight="1">
      <c r="A328" s="187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</row>
    <row r="329" ht="12.75" customHeight="1">
      <c r="A329" s="187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</row>
    <row r="330" ht="12.75" customHeight="1">
      <c r="A330" s="187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</row>
    <row r="331" ht="12.75" customHeight="1">
      <c r="A331" s="187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</row>
    <row r="332" ht="12.75" customHeight="1">
      <c r="A332" s="187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</row>
    <row r="333" ht="12.75" customHeight="1">
      <c r="A333" s="187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</row>
    <row r="334" ht="12.75" customHeight="1">
      <c r="A334" s="187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</row>
    <row r="335" ht="12.75" customHeight="1">
      <c r="A335" s="187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</row>
    <row r="336" ht="12.75" customHeight="1">
      <c r="A336" s="187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</row>
    <row r="337" ht="12.75" customHeight="1">
      <c r="A337" s="187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</row>
    <row r="338" ht="12.75" customHeight="1">
      <c r="A338" s="187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</row>
    <row r="339" ht="12.75" customHeight="1">
      <c r="A339" s="187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</row>
    <row r="340" ht="12.75" customHeight="1">
      <c r="A340" s="187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</row>
    <row r="341" ht="12.75" customHeight="1">
      <c r="A341" s="187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</row>
    <row r="342" ht="12.75" customHeight="1">
      <c r="A342" s="187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</row>
    <row r="343" ht="12.75" customHeight="1">
      <c r="A343" s="187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</row>
    <row r="344" ht="12.75" customHeight="1">
      <c r="A344" s="187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</row>
    <row r="345" ht="12.75" customHeight="1">
      <c r="A345" s="187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</row>
    <row r="346" ht="12.75" customHeight="1">
      <c r="A346" s="187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</row>
    <row r="347" ht="12.75" customHeight="1">
      <c r="A347" s="187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</row>
    <row r="348" ht="12.75" customHeight="1">
      <c r="A348" s="187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</row>
    <row r="349" ht="12.75" customHeight="1">
      <c r="A349" s="187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</row>
    <row r="350" ht="12.75" customHeight="1">
      <c r="A350" s="187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</row>
    <row r="351" ht="12.75" customHeight="1">
      <c r="A351" s="187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</row>
    <row r="352" ht="12.75" customHeight="1">
      <c r="A352" s="187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</row>
    <row r="353" ht="12.75" customHeight="1">
      <c r="A353" s="187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</row>
    <row r="354" ht="12.75" customHeight="1">
      <c r="A354" s="187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</row>
    <row r="355" ht="12.75" customHeight="1">
      <c r="A355" s="187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</row>
    <row r="356" ht="12.75" customHeight="1">
      <c r="A356" s="187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</row>
    <row r="357" ht="12.75" customHeight="1">
      <c r="A357" s="187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</row>
    <row r="358" ht="12.75" customHeight="1">
      <c r="A358" s="187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</row>
    <row r="359" ht="12.75" customHeight="1">
      <c r="A359" s="187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</row>
    <row r="360" ht="12.75" customHeight="1">
      <c r="A360" s="187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</row>
    <row r="361" ht="12.75" customHeight="1">
      <c r="A361" s="187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</row>
    <row r="362" ht="12.75" customHeight="1">
      <c r="A362" s="187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</row>
    <row r="363" ht="12.75" customHeight="1">
      <c r="A363" s="187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</row>
    <row r="364" ht="12.75" customHeight="1">
      <c r="A364" s="187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</row>
    <row r="365" ht="12.75" customHeight="1">
      <c r="A365" s="187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</row>
    <row r="366" ht="12.75" customHeight="1">
      <c r="A366" s="187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</row>
    <row r="367" ht="12.75" customHeight="1">
      <c r="A367" s="187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</row>
    <row r="368" ht="12.75" customHeight="1">
      <c r="A368" s="187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</row>
    <row r="369" ht="12.75" customHeight="1">
      <c r="A369" s="187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</row>
    <row r="370" ht="12.75" customHeight="1">
      <c r="A370" s="187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</row>
    <row r="371" ht="12.75" customHeight="1">
      <c r="A371" s="187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</row>
    <row r="372" ht="12.75" customHeight="1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</row>
    <row r="373" ht="12.75" customHeight="1">
      <c r="A373" s="187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</row>
    <row r="374" ht="12.75" customHeight="1">
      <c r="A374" s="187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</row>
    <row r="375" ht="12.75" customHeight="1">
      <c r="A375" s="187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</row>
    <row r="376" ht="12.75" customHeight="1">
      <c r="A376" s="187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</row>
    <row r="377" ht="12.75" customHeight="1">
      <c r="A377" s="187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</row>
    <row r="378" ht="12.75" customHeight="1">
      <c r="A378" s="187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</row>
    <row r="379" ht="12.75" customHeight="1">
      <c r="A379" s="187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</row>
    <row r="380" ht="12.75" customHeight="1">
      <c r="A380" s="187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</row>
    <row r="381" ht="12.75" customHeight="1">
      <c r="A381" s="187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</row>
    <row r="382" ht="12.75" customHeight="1">
      <c r="A382" s="187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</row>
    <row r="383" ht="12.75" customHeight="1">
      <c r="A383" s="187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</row>
    <row r="384" ht="12.75" customHeight="1">
      <c r="A384" s="187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</row>
    <row r="385" ht="12.75" customHeight="1">
      <c r="A385" s="187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</row>
    <row r="386" ht="12.75" customHeight="1">
      <c r="A386" s="187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</row>
    <row r="387" ht="12.75" customHeight="1">
      <c r="A387" s="187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</row>
    <row r="388" ht="12.75" customHeight="1">
      <c r="A388" s="187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</row>
    <row r="389" ht="12.75" customHeight="1">
      <c r="A389" s="187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</row>
    <row r="390" ht="12.75" customHeight="1">
      <c r="A390" s="187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</row>
    <row r="391" ht="12.75" customHeight="1">
      <c r="A391" s="187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</row>
    <row r="392" ht="12.75" customHeight="1">
      <c r="A392" s="187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</row>
    <row r="393" ht="12.75" customHeight="1">
      <c r="A393" s="187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</row>
    <row r="394" ht="12.75" customHeight="1">
      <c r="A394" s="187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</row>
    <row r="395" ht="12.75" customHeight="1">
      <c r="A395" s="187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</row>
    <row r="396" ht="12.75" customHeight="1">
      <c r="A396" s="187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</row>
    <row r="397" ht="12.75" customHeight="1">
      <c r="A397" s="187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</row>
    <row r="398" ht="12.75" customHeight="1">
      <c r="A398" s="187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</row>
    <row r="399" ht="12.75" customHeight="1">
      <c r="A399" s="187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</row>
    <row r="400" ht="12.75" customHeight="1">
      <c r="A400" s="187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</row>
    <row r="401" ht="12.75" customHeight="1">
      <c r="A401" s="187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</row>
    <row r="402" ht="12.75" customHeight="1">
      <c r="A402" s="187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</row>
    <row r="403" ht="12.75" customHeight="1">
      <c r="A403" s="187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</row>
    <row r="404" ht="12.75" customHeight="1">
      <c r="A404" s="187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</row>
    <row r="405" ht="12.75" customHeight="1">
      <c r="A405" s="187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</row>
    <row r="406" ht="12.75" customHeight="1">
      <c r="A406" s="187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</row>
    <row r="407" ht="12.75" customHeight="1">
      <c r="A407" s="187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</row>
    <row r="408" ht="12.75" customHeight="1">
      <c r="A408" s="187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</row>
    <row r="409" ht="12.75" customHeight="1">
      <c r="A409" s="187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</row>
    <row r="410" ht="12.75" customHeight="1">
      <c r="A410" s="187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</row>
    <row r="411" ht="12.75" customHeight="1">
      <c r="A411" s="187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</row>
    <row r="412" ht="12.75" customHeight="1">
      <c r="A412" s="187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</row>
    <row r="413" ht="12.75" customHeight="1">
      <c r="A413" s="187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</row>
    <row r="414" ht="12.75" customHeight="1">
      <c r="A414" s="187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</row>
    <row r="415" ht="12.75" customHeight="1">
      <c r="A415" s="187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</row>
    <row r="416" ht="12.75" customHeight="1">
      <c r="A416" s="187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</row>
    <row r="417" ht="12.75" customHeight="1">
      <c r="A417" s="187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</row>
    <row r="418" ht="12.75" customHeight="1">
      <c r="A418" s="187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</row>
    <row r="419" ht="12.75" customHeight="1">
      <c r="A419" s="187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</row>
    <row r="420" ht="12.75" customHeight="1">
      <c r="A420" s="187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</row>
    <row r="421" ht="12.75" customHeight="1">
      <c r="A421" s="187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</row>
    <row r="422" ht="12.75" customHeight="1">
      <c r="A422" s="187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</row>
    <row r="423" ht="12.75" customHeight="1">
      <c r="A423" s="187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</row>
    <row r="424" ht="12.75" customHeight="1">
      <c r="A424" s="187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</row>
    <row r="425" ht="12.75" customHeight="1">
      <c r="A425" s="187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</row>
    <row r="426" ht="12.75" customHeight="1">
      <c r="A426" s="187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</row>
    <row r="427" ht="12.75" customHeight="1">
      <c r="A427" s="187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</row>
    <row r="428" ht="12.75" customHeight="1">
      <c r="A428" s="187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</row>
    <row r="429" ht="12.75" customHeight="1">
      <c r="A429" s="187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</row>
    <row r="430" ht="12.75" customHeight="1">
      <c r="A430" s="187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</row>
    <row r="431" ht="12.75" customHeight="1">
      <c r="A431" s="187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</row>
    <row r="432" ht="12.75" customHeight="1">
      <c r="A432" s="187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</row>
    <row r="433" ht="12.75" customHeight="1">
      <c r="A433" s="187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</row>
    <row r="434" ht="12.75" customHeight="1">
      <c r="A434" s="187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</row>
    <row r="435" ht="12.75" customHeight="1">
      <c r="A435" s="187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</row>
    <row r="436" ht="12.75" customHeight="1">
      <c r="A436" s="187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</row>
    <row r="437" ht="12.75" customHeight="1">
      <c r="A437" s="187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</row>
    <row r="438" ht="12.75" customHeight="1">
      <c r="A438" s="187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</row>
    <row r="439" ht="12.75" customHeight="1">
      <c r="A439" s="187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</row>
    <row r="440" ht="12.75" customHeight="1">
      <c r="A440" s="187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</row>
    <row r="441" ht="12.75" customHeight="1">
      <c r="A441" s="187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</row>
    <row r="442" ht="12.75" customHeight="1">
      <c r="A442" s="187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</row>
    <row r="443" ht="12.75" customHeight="1">
      <c r="A443" s="187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</row>
    <row r="444" ht="12.75" customHeight="1">
      <c r="A444" s="187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</row>
    <row r="445" ht="12.75" customHeight="1">
      <c r="A445" s="187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</row>
    <row r="446" ht="12.75" customHeight="1">
      <c r="A446" s="187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</row>
    <row r="447" ht="12.75" customHeight="1">
      <c r="A447" s="187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</row>
    <row r="448" ht="12.75" customHeight="1">
      <c r="A448" s="187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</row>
    <row r="449" ht="12.75" customHeight="1">
      <c r="A449" s="187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</row>
    <row r="450" ht="12.75" customHeight="1">
      <c r="A450" s="187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</row>
    <row r="451" ht="12.75" customHeight="1">
      <c r="A451" s="187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</row>
    <row r="452" ht="12.75" customHeight="1">
      <c r="A452" s="187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</row>
    <row r="453" ht="12.75" customHeight="1">
      <c r="A453" s="187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</row>
    <row r="454" ht="12.75" customHeight="1">
      <c r="A454" s="187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</row>
    <row r="455" ht="12.75" customHeight="1">
      <c r="A455" s="187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</row>
    <row r="456" ht="12.75" customHeight="1">
      <c r="A456" s="187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</row>
    <row r="457" ht="12.75" customHeight="1">
      <c r="A457" s="187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</row>
    <row r="458" ht="12.75" customHeight="1">
      <c r="A458" s="187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</row>
    <row r="459" ht="12.75" customHeight="1">
      <c r="A459" s="187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</row>
    <row r="460" ht="12.75" customHeight="1">
      <c r="A460" s="187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</row>
    <row r="461" ht="12.75" customHeight="1">
      <c r="A461" s="187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</row>
    <row r="462" ht="12.75" customHeight="1">
      <c r="A462" s="187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</row>
    <row r="463" ht="12.75" customHeight="1">
      <c r="A463" s="187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</row>
    <row r="464" ht="12.75" customHeight="1">
      <c r="A464" s="187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</row>
    <row r="465" ht="12.75" customHeight="1">
      <c r="A465" s="187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</row>
    <row r="466" ht="12.75" customHeight="1">
      <c r="A466" s="187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</row>
    <row r="467" ht="12.75" customHeight="1">
      <c r="A467" s="187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</row>
    <row r="468" ht="12.75" customHeight="1">
      <c r="A468" s="187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</row>
    <row r="469" ht="12.75" customHeight="1">
      <c r="A469" s="187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</row>
    <row r="470" ht="12.75" customHeight="1">
      <c r="A470" s="187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</row>
    <row r="471" ht="12.75" customHeight="1">
      <c r="A471" s="187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</row>
    <row r="472" ht="12.75" customHeight="1">
      <c r="A472" s="187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</row>
    <row r="473" ht="12.75" customHeight="1">
      <c r="A473" s="187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</row>
    <row r="474" ht="12.75" customHeight="1">
      <c r="A474" s="187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</row>
    <row r="475" ht="12.75" customHeight="1">
      <c r="A475" s="187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</row>
    <row r="476" ht="12.75" customHeight="1">
      <c r="A476" s="187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</row>
    <row r="477" ht="12.75" customHeight="1">
      <c r="A477" s="187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</row>
    <row r="478" ht="12.75" customHeight="1">
      <c r="A478" s="187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</row>
    <row r="479" ht="12.75" customHeight="1">
      <c r="A479" s="187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</row>
    <row r="480" ht="12.75" customHeight="1">
      <c r="A480" s="187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</row>
    <row r="481" ht="12.75" customHeight="1">
      <c r="A481" s="187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</row>
    <row r="482" ht="12.75" customHeight="1">
      <c r="A482" s="187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</row>
    <row r="483" ht="12.75" customHeight="1">
      <c r="A483" s="187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</row>
    <row r="484" ht="12.75" customHeight="1">
      <c r="A484" s="187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</row>
    <row r="485" ht="12.75" customHeight="1">
      <c r="A485" s="187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</row>
    <row r="486" ht="12.75" customHeight="1">
      <c r="A486" s="187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</row>
    <row r="487" ht="12.75" customHeight="1">
      <c r="A487" s="187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</row>
    <row r="488" ht="12.75" customHeight="1">
      <c r="A488" s="187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</row>
    <row r="489" ht="12.75" customHeight="1">
      <c r="A489" s="187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</row>
    <row r="490" ht="12.75" customHeight="1">
      <c r="A490" s="187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</row>
    <row r="491" ht="12.75" customHeight="1">
      <c r="A491" s="187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</row>
    <row r="492" ht="12.75" customHeight="1">
      <c r="A492" s="187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</row>
    <row r="493" ht="12.75" customHeight="1">
      <c r="A493" s="187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</row>
    <row r="494" ht="12.75" customHeight="1">
      <c r="A494" s="187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</row>
    <row r="495" ht="12.75" customHeight="1">
      <c r="A495" s="187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</row>
    <row r="496" ht="12.75" customHeight="1">
      <c r="A496" s="187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</row>
    <row r="497" ht="12.75" customHeight="1">
      <c r="A497" s="187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</row>
    <row r="498" ht="12.75" customHeight="1">
      <c r="A498" s="187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</row>
    <row r="499" ht="12.75" customHeight="1">
      <c r="A499" s="187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</row>
    <row r="500" ht="12.75" customHeight="1">
      <c r="A500" s="187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</row>
    <row r="501" ht="12.75" customHeight="1">
      <c r="A501" s="187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</row>
    <row r="502" ht="12.75" customHeight="1">
      <c r="A502" s="187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</row>
    <row r="503" ht="12.75" customHeight="1">
      <c r="A503" s="187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</row>
    <row r="504" ht="12.75" customHeight="1">
      <c r="A504" s="187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</row>
    <row r="505" ht="12.75" customHeight="1">
      <c r="A505" s="187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</row>
    <row r="506" ht="12.75" customHeight="1">
      <c r="A506" s="187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</row>
    <row r="507" ht="12.75" customHeight="1">
      <c r="A507" s="187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</row>
    <row r="508" ht="12.75" customHeight="1">
      <c r="A508" s="187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</row>
    <row r="509" ht="12.75" customHeight="1">
      <c r="A509" s="187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</row>
    <row r="510" ht="12.75" customHeight="1">
      <c r="A510" s="187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</row>
    <row r="511" ht="12.75" customHeight="1">
      <c r="A511" s="187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</row>
    <row r="512" ht="12.75" customHeight="1">
      <c r="A512" s="187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</row>
    <row r="513" ht="12.75" customHeight="1">
      <c r="A513" s="187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</row>
    <row r="514" ht="12.75" customHeight="1">
      <c r="A514" s="187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</row>
    <row r="515" ht="12.75" customHeight="1">
      <c r="A515" s="187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</row>
    <row r="516" ht="12.75" customHeight="1">
      <c r="A516" s="187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</row>
    <row r="517" ht="12.75" customHeight="1">
      <c r="A517" s="187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</row>
    <row r="518" ht="12.75" customHeight="1">
      <c r="A518" s="187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</row>
    <row r="519" ht="12.75" customHeight="1">
      <c r="A519" s="187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</row>
    <row r="520" ht="12.75" customHeight="1">
      <c r="A520" s="187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</row>
    <row r="521" ht="12.75" customHeight="1">
      <c r="A521" s="187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</row>
    <row r="522" ht="12.75" customHeight="1">
      <c r="A522" s="187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</row>
    <row r="523" ht="12.75" customHeight="1">
      <c r="A523" s="187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</row>
    <row r="524" ht="12.75" customHeight="1">
      <c r="A524" s="187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</row>
    <row r="525" ht="12.75" customHeight="1">
      <c r="A525" s="187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</row>
    <row r="526" ht="12.75" customHeight="1">
      <c r="A526" s="187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</row>
    <row r="527" ht="12.75" customHeight="1">
      <c r="A527" s="187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</row>
    <row r="528" ht="12.75" customHeight="1">
      <c r="A528" s="187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</row>
    <row r="529" ht="12.75" customHeight="1">
      <c r="A529" s="187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</row>
    <row r="530" ht="12.75" customHeight="1">
      <c r="A530" s="187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</row>
    <row r="531" ht="12.75" customHeight="1">
      <c r="A531" s="187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</row>
    <row r="532" ht="12.75" customHeight="1">
      <c r="A532" s="187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</row>
    <row r="533" ht="12.75" customHeight="1">
      <c r="A533" s="187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</row>
    <row r="534" ht="12.75" customHeight="1">
      <c r="A534" s="187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</row>
    <row r="535" ht="12.75" customHeight="1">
      <c r="A535" s="187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</row>
    <row r="536" ht="12.75" customHeight="1">
      <c r="A536" s="187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</row>
    <row r="537" ht="12.75" customHeight="1">
      <c r="A537" s="187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</row>
    <row r="538" ht="12.75" customHeight="1">
      <c r="A538" s="187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</row>
    <row r="539" ht="12.75" customHeight="1">
      <c r="A539" s="187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</row>
    <row r="540" ht="12.75" customHeight="1">
      <c r="A540" s="187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</row>
    <row r="541" ht="12.75" customHeight="1">
      <c r="A541" s="187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</row>
    <row r="542" ht="12.75" customHeight="1">
      <c r="A542" s="187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</row>
    <row r="543" ht="12.75" customHeight="1">
      <c r="A543" s="187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</row>
    <row r="544" ht="12.75" customHeight="1">
      <c r="A544" s="187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</row>
    <row r="545" ht="12.75" customHeight="1">
      <c r="A545" s="187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</row>
    <row r="546" ht="12.75" customHeight="1">
      <c r="A546" s="187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</row>
    <row r="547" ht="12.75" customHeight="1">
      <c r="A547" s="187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</row>
    <row r="548" ht="12.75" customHeight="1">
      <c r="A548" s="187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</row>
    <row r="549" ht="12.75" customHeight="1">
      <c r="A549" s="187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</row>
    <row r="550" ht="12.75" customHeight="1">
      <c r="A550" s="187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</row>
    <row r="551" ht="12.75" customHeight="1">
      <c r="A551" s="187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</row>
    <row r="552" ht="12.75" customHeight="1">
      <c r="A552" s="187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</row>
    <row r="553" ht="12.75" customHeight="1">
      <c r="A553" s="187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</row>
    <row r="554" ht="12.75" customHeight="1">
      <c r="A554" s="187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</row>
    <row r="555" ht="12.75" customHeight="1">
      <c r="A555" s="187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</row>
    <row r="556" ht="12.75" customHeight="1">
      <c r="A556" s="187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</row>
    <row r="557" ht="12.75" customHeight="1">
      <c r="A557" s="187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</row>
    <row r="558" ht="12.75" customHeight="1">
      <c r="A558" s="187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</row>
    <row r="559" ht="12.75" customHeight="1">
      <c r="A559" s="187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</row>
    <row r="560" ht="12.75" customHeight="1">
      <c r="A560" s="187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</row>
    <row r="561" ht="12.75" customHeight="1">
      <c r="A561" s="187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</row>
    <row r="562" ht="12.75" customHeight="1">
      <c r="A562" s="187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</row>
    <row r="563" ht="12.75" customHeight="1">
      <c r="A563" s="187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</row>
    <row r="564" ht="12.75" customHeight="1">
      <c r="A564" s="187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</row>
    <row r="565" ht="12.75" customHeight="1">
      <c r="A565" s="187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</row>
    <row r="566" ht="12.75" customHeight="1">
      <c r="A566" s="187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</row>
    <row r="567" ht="12.75" customHeight="1">
      <c r="A567" s="187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</row>
    <row r="568" ht="12.75" customHeight="1">
      <c r="A568" s="187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</row>
    <row r="569" ht="12.75" customHeight="1">
      <c r="A569" s="187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</row>
    <row r="570" ht="12.75" customHeight="1">
      <c r="A570" s="187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</row>
    <row r="571" ht="12.75" customHeight="1">
      <c r="A571" s="187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</row>
    <row r="572" ht="12.75" customHeight="1">
      <c r="A572" s="187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</row>
    <row r="573" ht="12.75" customHeight="1">
      <c r="A573" s="187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</row>
    <row r="574" ht="12.75" customHeight="1">
      <c r="A574" s="187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</row>
    <row r="575" ht="12.75" customHeight="1">
      <c r="A575" s="187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</row>
    <row r="576" ht="12.75" customHeight="1">
      <c r="A576" s="187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</row>
    <row r="577" ht="12.75" customHeight="1">
      <c r="A577" s="187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</row>
    <row r="578" ht="12.75" customHeight="1">
      <c r="A578" s="187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</row>
    <row r="579" ht="12.75" customHeight="1">
      <c r="A579" s="187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</row>
    <row r="580" ht="12.75" customHeight="1">
      <c r="A580" s="187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</row>
    <row r="581" ht="12.75" customHeight="1">
      <c r="A581" s="187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</row>
    <row r="582" ht="12.75" customHeight="1">
      <c r="A582" s="187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</row>
    <row r="583" ht="12.75" customHeight="1">
      <c r="A583" s="187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</row>
    <row r="584" ht="12.75" customHeight="1">
      <c r="A584" s="187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</row>
    <row r="585" ht="12.75" customHeight="1">
      <c r="A585" s="187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</row>
    <row r="586" ht="12.75" customHeight="1">
      <c r="A586" s="187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</row>
    <row r="587" ht="12.75" customHeight="1">
      <c r="A587" s="187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</row>
    <row r="588" ht="12.75" customHeight="1">
      <c r="A588" s="187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</row>
    <row r="589" ht="12.75" customHeight="1">
      <c r="A589" s="187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</row>
    <row r="590" ht="12.75" customHeight="1">
      <c r="A590" s="187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</row>
    <row r="591" ht="12.75" customHeight="1">
      <c r="A591" s="187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</row>
    <row r="592" ht="12.75" customHeight="1">
      <c r="A592" s="187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</row>
    <row r="593" ht="12.75" customHeight="1">
      <c r="A593" s="187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</row>
    <row r="594" ht="12.75" customHeight="1">
      <c r="A594" s="187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</row>
    <row r="595" ht="12.75" customHeight="1">
      <c r="A595" s="187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</row>
    <row r="596" ht="12.75" customHeight="1">
      <c r="A596" s="187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</row>
    <row r="597" ht="12.75" customHeight="1">
      <c r="A597" s="187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</row>
    <row r="598" ht="12.75" customHeight="1">
      <c r="A598" s="187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</row>
    <row r="599" ht="12.75" customHeight="1">
      <c r="A599" s="187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</row>
    <row r="600" ht="12.75" customHeight="1">
      <c r="A600" s="187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</row>
    <row r="601" ht="12.75" customHeight="1">
      <c r="A601" s="187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</row>
    <row r="602" ht="12.75" customHeight="1">
      <c r="A602" s="187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</row>
    <row r="603" ht="12.75" customHeight="1">
      <c r="A603" s="187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</row>
    <row r="604" ht="12.75" customHeight="1">
      <c r="A604" s="187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</row>
    <row r="605" ht="12.75" customHeight="1">
      <c r="A605" s="187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</row>
    <row r="606" ht="12.75" customHeight="1">
      <c r="A606" s="187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</row>
    <row r="607" ht="12.75" customHeight="1">
      <c r="A607" s="187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</row>
    <row r="608" ht="12.75" customHeight="1">
      <c r="A608" s="187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</row>
    <row r="609" ht="12.75" customHeight="1">
      <c r="A609" s="187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</row>
    <row r="610" ht="12.75" customHeight="1">
      <c r="A610" s="187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</row>
    <row r="611" ht="12.75" customHeight="1">
      <c r="A611" s="187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</row>
    <row r="612" ht="12.75" customHeight="1">
      <c r="A612" s="187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</row>
    <row r="613" ht="12.75" customHeight="1">
      <c r="A613" s="187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</row>
    <row r="614" ht="12.75" customHeight="1">
      <c r="A614" s="187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</row>
    <row r="615" ht="12.75" customHeight="1">
      <c r="A615" s="187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</row>
    <row r="616" ht="12.75" customHeight="1">
      <c r="A616" s="187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</row>
    <row r="617" ht="12.75" customHeight="1">
      <c r="A617" s="187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</row>
    <row r="618" ht="12.75" customHeight="1">
      <c r="A618" s="187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</row>
    <row r="619" ht="12.75" customHeight="1">
      <c r="A619" s="187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</row>
    <row r="620" ht="12.75" customHeight="1">
      <c r="A620" s="187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</row>
    <row r="621" ht="12.75" customHeight="1">
      <c r="A621" s="187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</row>
    <row r="622" ht="12.75" customHeight="1">
      <c r="A622" s="187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</row>
    <row r="623" ht="12.75" customHeight="1">
      <c r="A623" s="187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</row>
    <row r="624" ht="12.75" customHeight="1">
      <c r="A624" s="187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</row>
    <row r="625" ht="12.75" customHeight="1">
      <c r="A625" s="187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</row>
    <row r="626" ht="12.75" customHeight="1">
      <c r="A626" s="187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</row>
    <row r="627" ht="12.75" customHeight="1">
      <c r="A627" s="187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</row>
    <row r="628" ht="12.75" customHeight="1">
      <c r="A628" s="187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</row>
    <row r="629" ht="12.75" customHeight="1">
      <c r="A629" s="187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</row>
    <row r="630" ht="12.75" customHeight="1">
      <c r="A630" s="187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</row>
    <row r="631" ht="12.75" customHeight="1">
      <c r="A631" s="187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</row>
    <row r="632" ht="12.75" customHeight="1">
      <c r="A632" s="187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</row>
    <row r="633" ht="12.75" customHeight="1">
      <c r="A633" s="187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</row>
    <row r="634" ht="12.75" customHeight="1">
      <c r="A634" s="187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</row>
    <row r="635" ht="12.75" customHeight="1">
      <c r="A635" s="187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</row>
    <row r="636" ht="12.75" customHeight="1">
      <c r="A636" s="187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</row>
    <row r="637" ht="12.75" customHeight="1">
      <c r="A637" s="187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</row>
    <row r="638" ht="12.75" customHeight="1">
      <c r="A638" s="187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</row>
    <row r="639" ht="12.75" customHeight="1">
      <c r="A639" s="187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</row>
    <row r="640" ht="12.75" customHeight="1">
      <c r="A640" s="187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</row>
    <row r="641" ht="12.75" customHeight="1">
      <c r="A641" s="187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</row>
    <row r="642" ht="12.75" customHeight="1">
      <c r="A642" s="187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</row>
    <row r="643" ht="12.75" customHeight="1">
      <c r="A643" s="187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</row>
    <row r="644" ht="12.75" customHeight="1">
      <c r="A644" s="187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</row>
    <row r="645" ht="12.75" customHeight="1">
      <c r="A645" s="187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</row>
    <row r="646" ht="12.75" customHeight="1">
      <c r="A646" s="187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</row>
    <row r="647" ht="12.75" customHeight="1">
      <c r="A647" s="187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</row>
    <row r="648" ht="12.75" customHeight="1">
      <c r="A648" s="187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</row>
    <row r="649" ht="12.75" customHeight="1">
      <c r="A649" s="187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</row>
    <row r="650" ht="12.75" customHeight="1">
      <c r="A650" s="187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</row>
    <row r="651" ht="12.75" customHeight="1">
      <c r="A651" s="187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</row>
    <row r="652" ht="12.75" customHeight="1">
      <c r="A652" s="187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</row>
    <row r="653" ht="12.75" customHeight="1">
      <c r="A653" s="187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</row>
    <row r="654" ht="12.75" customHeight="1">
      <c r="A654" s="187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</row>
    <row r="655" ht="12.75" customHeight="1">
      <c r="A655" s="187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</row>
    <row r="656" ht="12.75" customHeight="1">
      <c r="A656" s="187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</row>
    <row r="657" ht="12.75" customHeight="1">
      <c r="A657" s="187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</row>
    <row r="658" ht="12.75" customHeight="1">
      <c r="A658" s="187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</row>
    <row r="659" ht="12.75" customHeight="1">
      <c r="A659" s="187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</row>
    <row r="660" ht="12.75" customHeight="1">
      <c r="A660" s="187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</row>
    <row r="661" ht="12.75" customHeight="1">
      <c r="A661" s="187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</row>
    <row r="662" ht="12.75" customHeight="1">
      <c r="A662" s="187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</row>
    <row r="663" ht="12.75" customHeight="1">
      <c r="A663" s="187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</row>
    <row r="664" ht="12.75" customHeight="1">
      <c r="A664" s="187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</row>
    <row r="665" ht="12.75" customHeight="1">
      <c r="A665" s="187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</row>
    <row r="666" ht="12.75" customHeight="1">
      <c r="A666" s="187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</row>
    <row r="667" ht="12.75" customHeight="1">
      <c r="A667" s="187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</row>
    <row r="668" ht="12.75" customHeight="1">
      <c r="A668" s="187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</row>
    <row r="669" ht="12.75" customHeight="1">
      <c r="A669" s="187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</row>
    <row r="670" ht="12.75" customHeight="1">
      <c r="A670" s="187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</row>
    <row r="671" ht="12.75" customHeight="1">
      <c r="A671" s="187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</row>
    <row r="672" ht="12.75" customHeight="1">
      <c r="A672" s="187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</row>
    <row r="673" ht="12.75" customHeight="1">
      <c r="A673" s="187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</row>
    <row r="674" ht="12.75" customHeight="1">
      <c r="A674" s="187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</row>
    <row r="675" ht="12.75" customHeight="1">
      <c r="A675" s="187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</row>
    <row r="676" ht="12.75" customHeight="1">
      <c r="A676" s="187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</row>
    <row r="677" ht="12.75" customHeight="1">
      <c r="A677" s="187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</row>
    <row r="678" ht="12.75" customHeight="1">
      <c r="A678" s="187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</row>
    <row r="679" ht="12.75" customHeight="1">
      <c r="A679" s="187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</row>
    <row r="680" ht="12.75" customHeight="1">
      <c r="A680" s="187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</row>
    <row r="681" ht="12.75" customHeight="1">
      <c r="A681" s="187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</row>
    <row r="682" ht="12.75" customHeight="1">
      <c r="A682" s="187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</row>
    <row r="683" ht="12.75" customHeight="1">
      <c r="A683" s="187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</row>
    <row r="684" ht="12.75" customHeight="1">
      <c r="A684" s="187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</row>
    <row r="685" ht="12.75" customHeight="1">
      <c r="A685" s="187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</row>
    <row r="686" ht="12.75" customHeight="1">
      <c r="A686" s="187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</row>
    <row r="687" ht="12.75" customHeight="1">
      <c r="A687" s="187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</row>
    <row r="688" ht="12.75" customHeight="1">
      <c r="A688" s="187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</row>
    <row r="689" ht="12.75" customHeight="1">
      <c r="A689" s="187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</row>
    <row r="690" ht="12.75" customHeight="1">
      <c r="A690" s="187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</row>
    <row r="691" ht="12.75" customHeight="1">
      <c r="A691" s="187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</row>
    <row r="692" ht="12.75" customHeight="1">
      <c r="A692" s="187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</row>
    <row r="693" ht="12.75" customHeight="1">
      <c r="A693" s="187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</row>
    <row r="694" ht="12.75" customHeight="1">
      <c r="A694" s="187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</row>
    <row r="695" ht="12.75" customHeight="1">
      <c r="A695" s="187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</row>
    <row r="696" ht="12.75" customHeight="1">
      <c r="A696" s="187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</row>
    <row r="697" ht="12.75" customHeight="1">
      <c r="A697" s="187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</row>
    <row r="698" ht="12.75" customHeight="1">
      <c r="A698" s="187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</row>
    <row r="699" ht="12.75" customHeight="1">
      <c r="A699" s="187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</row>
    <row r="700" ht="12.75" customHeight="1">
      <c r="A700" s="187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</row>
    <row r="701" ht="12.75" customHeight="1">
      <c r="A701" s="187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</row>
    <row r="702" ht="12.75" customHeight="1">
      <c r="A702" s="187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</row>
    <row r="703" ht="12.75" customHeight="1">
      <c r="A703" s="187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</row>
    <row r="704" ht="12.75" customHeight="1">
      <c r="A704" s="187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</row>
    <row r="705" ht="12.75" customHeight="1">
      <c r="A705" s="187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</row>
    <row r="706" ht="12.75" customHeight="1">
      <c r="A706" s="187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</row>
    <row r="707" ht="12.75" customHeight="1">
      <c r="A707" s="187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</row>
    <row r="708" ht="12.75" customHeight="1">
      <c r="A708" s="187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</row>
    <row r="709" ht="12.75" customHeight="1">
      <c r="A709" s="187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</row>
    <row r="710" ht="12.75" customHeight="1">
      <c r="A710" s="187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</row>
    <row r="711" ht="12.75" customHeight="1">
      <c r="A711" s="187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</row>
    <row r="712" ht="12.75" customHeight="1">
      <c r="A712" s="187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</row>
    <row r="713" ht="12.75" customHeight="1">
      <c r="A713" s="187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</row>
    <row r="714" ht="12.75" customHeight="1">
      <c r="A714" s="187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</row>
    <row r="715" ht="12.75" customHeight="1">
      <c r="A715" s="187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</row>
    <row r="716" ht="12.75" customHeight="1">
      <c r="A716" s="187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</row>
    <row r="717" ht="12.75" customHeight="1">
      <c r="A717" s="187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</row>
    <row r="718" ht="12.75" customHeight="1">
      <c r="A718" s="187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</row>
    <row r="719" ht="12.75" customHeight="1">
      <c r="A719" s="187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</row>
    <row r="720" ht="12.75" customHeight="1">
      <c r="A720" s="187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</row>
    <row r="721" ht="12.75" customHeight="1">
      <c r="A721" s="187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</row>
    <row r="722" ht="12.75" customHeight="1">
      <c r="A722" s="187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</row>
    <row r="723" ht="12.75" customHeight="1">
      <c r="A723" s="187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</row>
    <row r="724" ht="12.75" customHeight="1">
      <c r="A724" s="187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</row>
    <row r="725" ht="12.75" customHeight="1">
      <c r="A725" s="187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</row>
    <row r="726" ht="12.75" customHeight="1">
      <c r="A726" s="187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</row>
    <row r="727" ht="12.75" customHeight="1">
      <c r="A727" s="187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</row>
    <row r="728" ht="12.75" customHeight="1">
      <c r="A728" s="187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</row>
    <row r="729" ht="12.75" customHeight="1">
      <c r="A729" s="187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</row>
    <row r="730" ht="12.75" customHeight="1">
      <c r="A730" s="187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</row>
    <row r="731" ht="12.75" customHeight="1">
      <c r="A731" s="187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</row>
    <row r="732" ht="12.75" customHeight="1">
      <c r="A732" s="187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</row>
    <row r="733" ht="12.75" customHeight="1">
      <c r="A733" s="187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</row>
    <row r="734" ht="12.75" customHeight="1">
      <c r="A734" s="187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</row>
    <row r="735" ht="12.75" customHeight="1">
      <c r="A735" s="187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</row>
    <row r="736" ht="12.75" customHeight="1">
      <c r="A736" s="187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</row>
    <row r="737" ht="12.75" customHeight="1">
      <c r="A737" s="187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</row>
    <row r="738" ht="12.75" customHeight="1">
      <c r="A738" s="187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</row>
    <row r="739" ht="12.75" customHeight="1">
      <c r="A739" s="187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</row>
    <row r="740" ht="12.75" customHeight="1">
      <c r="A740" s="187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</row>
    <row r="741" ht="12.75" customHeight="1">
      <c r="A741" s="187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</row>
    <row r="742" ht="12.75" customHeight="1">
      <c r="A742" s="187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</row>
    <row r="743" ht="12.75" customHeight="1">
      <c r="A743" s="187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</row>
    <row r="744" ht="12.75" customHeight="1">
      <c r="A744" s="187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</row>
    <row r="745" ht="12.75" customHeight="1">
      <c r="A745" s="187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</row>
    <row r="746" ht="12.75" customHeight="1">
      <c r="A746" s="187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</row>
    <row r="747" ht="12.75" customHeight="1">
      <c r="A747" s="187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</row>
    <row r="748" ht="12.75" customHeight="1">
      <c r="A748" s="187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</row>
    <row r="749" ht="12.75" customHeight="1">
      <c r="A749" s="187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</row>
    <row r="750" ht="12.75" customHeight="1">
      <c r="A750" s="187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</row>
    <row r="751" ht="12.75" customHeight="1">
      <c r="A751" s="187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</row>
    <row r="752" ht="12.75" customHeight="1">
      <c r="A752" s="187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</row>
    <row r="753" ht="12.75" customHeight="1">
      <c r="A753" s="187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</row>
    <row r="754" ht="12.75" customHeight="1">
      <c r="A754" s="187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</row>
    <row r="755" ht="12.75" customHeight="1">
      <c r="A755" s="187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</row>
    <row r="756" ht="12.75" customHeight="1">
      <c r="A756" s="187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</row>
    <row r="757" ht="12.75" customHeight="1">
      <c r="A757" s="187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</row>
    <row r="758" ht="12.75" customHeight="1">
      <c r="A758" s="187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</row>
    <row r="759" ht="12.75" customHeight="1">
      <c r="A759" s="187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</row>
    <row r="760" ht="12.75" customHeight="1">
      <c r="A760" s="187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</row>
    <row r="761" ht="12.75" customHeight="1">
      <c r="A761" s="187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</row>
    <row r="762" ht="12.75" customHeight="1">
      <c r="A762" s="187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</row>
    <row r="763" ht="12.75" customHeight="1">
      <c r="A763" s="187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</row>
    <row r="764" ht="12.75" customHeight="1">
      <c r="A764" s="187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</row>
    <row r="765" ht="12.75" customHeight="1">
      <c r="A765" s="187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</row>
    <row r="766" ht="12.75" customHeight="1">
      <c r="A766" s="187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</row>
    <row r="767" ht="12.75" customHeight="1">
      <c r="A767" s="187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</row>
    <row r="768" ht="12.75" customHeight="1">
      <c r="A768" s="187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</row>
    <row r="769" ht="12.75" customHeight="1">
      <c r="A769" s="187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</row>
    <row r="770" ht="12.75" customHeight="1">
      <c r="A770" s="187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</row>
    <row r="771" ht="12.75" customHeight="1">
      <c r="A771" s="187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</row>
    <row r="772" ht="12.75" customHeight="1">
      <c r="A772" s="187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</row>
    <row r="773" ht="12.75" customHeight="1">
      <c r="A773" s="187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</row>
    <row r="774" ht="12.75" customHeight="1">
      <c r="A774" s="187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</row>
    <row r="775" ht="12.75" customHeight="1">
      <c r="A775" s="187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</row>
    <row r="776" ht="12.75" customHeight="1">
      <c r="A776" s="187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</row>
    <row r="777" ht="12.75" customHeight="1">
      <c r="A777" s="187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</row>
    <row r="778" ht="12.75" customHeight="1">
      <c r="A778" s="187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</row>
    <row r="779" ht="12.75" customHeight="1">
      <c r="A779" s="187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</row>
    <row r="780" ht="12.75" customHeight="1">
      <c r="A780" s="187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</row>
    <row r="781" ht="12.75" customHeight="1">
      <c r="A781" s="187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</row>
    <row r="782" ht="12.75" customHeight="1">
      <c r="A782" s="187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</row>
    <row r="783" ht="12.75" customHeight="1">
      <c r="A783" s="187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</row>
    <row r="784" ht="12.75" customHeight="1">
      <c r="A784" s="187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</row>
    <row r="785" ht="12.75" customHeight="1">
      <c r="A785" s="187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</row>
    <row r="786" ht="12.75" customHeight="1">
      <c r="A786" s="187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</row>
    <row r="787" ht="12.75" customHeight="1">
      <c r="A787" s="187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</row>
    <row r="788" ht="12.75" customHeight="1">
      <c r="A788" s="187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</row>
    <row r="789" ht="12.75" customHeight="1">
      <c r="A789" s="187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</row>
    <row r="790" ht="12.75" customHeight="1">
      <c r="A790" s="187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</row>
    <row r="791" ht="12.75" customHeight="1">
      <c r="A791" s="187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</row>
    <row r="792" ht="12.75" customHeight="1">
      <c r="A792" s="187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</row>
    <row r="793" ht="12.75" customHeight="1">
      <c r="A793" s="187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</row>
    <row r="794" ht="12.75" customHeight="1">
      <c r="A794" s="187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</row>
    <row r="795" ht="12.75" customHeight="1">
      <c r="A795" s="187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</row>
    <row r="796" ht="12.75" customHeight="1">
      <c r="A796" s="187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</row>
    <row r="797" ht="12.75" customHeight="1">
      <c r="A797" s="187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</row>
    <row r="798" ht="12.75" customHeight="1">
      <c r="A798" s="187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</row>
    <row r="799" ht="12.75" customHeight="1">
      <c r="A799" s="187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</row>
    <row r="800" ht="12.75" customHeight="1">
      <c r="A800" s="187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</row>
    <row r="801" ht="12.75" customHeight="1">
      <c r="A801" s="187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</row>
    <row r="802" ht="12.75" customHeight="1">
      <c r="A802" s="187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</row>
    <row r="803" ht="12.75" customHeight="1">
      <c r="A803" s="187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</row>
    <row r="804" ht="12.75" customHeight="1">
      <c r="A804" s="187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</row>
    <row r="805" ht="12.75" customHeight="1">
      <c r="A805" s="187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</row>
    <row r="806" ht="12.75" customHeight="1">
      <c r="A806" s="187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</row>
    <row r="807" ht="12.75" customHeight="1">
      <c r="A807" s="187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</row>
    <row r="808" ht="12.75" customHeight="1">
      <c r="A808" s="187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</row>
    <row r="809" ht="12.75" customHeight="1">
      <c r="A809" s="187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</row>
    <row r="810" ht="12.75" customHeight="1">
      <c r="A810" s="187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</row>
    <row r="811" ht="12.75" customHeight="1">
      <c r="A811" s="187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</row>
    <row r="812" ht="12.75" customHeight="1">
      <c r="A812" s="187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</row>
    <row r="813" ht="12.75" customHeight="1">
      <c r="A813" s="187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</row>
    <row r="814" ht="12.75" customHeight="1">
      <c r="A814" s="187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</row>
    <row r="815" ht="12.75" customHeight="1">
      <c r="A815" s="187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</row>
    <row r="816" ht="12.75" customHeight="1">
      <c r="A816" s="187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</row>
    <row r="817" ht="12.75" customHeight="1">
      <c r="A817" s="187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</row>
    <row r="818" ht="12.75" customHeight="1">
      <c r="A818" s="187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</row>
    <row r="819" ht="12.75" customHeight="1">
      <c r="A819" s="187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</row>
    <row r="820" ht="12.75" customHeight="1">
      <c r="A820" s="187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</row>
    <row r="821" ht="12.75" customHeight="1">
      <c r="A821" s="187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</row>
    <row r="822" ht="12.75" customHeight="1">
      <c r="A822" s="187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</row>
    <row r="823" ht="12.75" customHeight="1">
      <c r="A823" s="187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</row>
    <row r="824" ht="12.75" customHeight="1">
      <c r="A824" s="187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</row>
    <row r="825" ht="12.75" customHeight="1">
      <c r="A825" s="187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</row>
    <row r="826" ht="12.75" customHeight="1">
      <c r="A826" s="187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</row>
    <row r="827" ht="12.75" customHeight="1">
      <c r="A827" s="187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</row>
    <row r="828" ht="12.75" customHeight="1">
      <c r="A828" s="187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</row>
    <row r="829" ht="12.75" customHeight="1">
      <c r="A829" s="187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</row>
    <row r="830" ht="12.75" customHeight="1">
      <c r="A830" s="187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</row>
    <row r="831" ht="12.75" customHeight="1">
      <c r="A831" s="187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</row>
    <row r="832" ht="12.75" customHeight="1">
      <c r="A832" s="187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</row>
    <row r="833" ht="12.75" customHeight="1">
      <c r="A833" s="187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</row>
    <row r="834" ht="12.75" customHeight="1">
      <c r="A834" s="187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</row>
    <row r="835" ht="12.75" customHeight="1">
      <c r="A835" s="187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</row>
    <row r="836" ht="12.75" customHeight="1">
      <c r="A836" s="187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</row>
    <row r="837" ht="12.75" customHeight="1">
      <c r="A837" s="187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</row>
    <row r="838" ht="12.75" customHeight="1">
      <c r="A838" s="187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</row>
    <row r="839" ht="12.75" customHeight="1">
      <c r="A839" s="187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</row>
    <row r="840" ht="12.75" customHeight="1">
      <c r="A840" s="187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</row>
    <row r="841" ht="12.75" customHeight="1">
      <c r="A841" s="187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</row>
    <row r="842" ht="12.75" customHeight="1">
      <c r="A842" s="187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</row>
    <row r="843" ht="12.75" customHeight="1">
      <c r="A843" s="187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</row>
    <row r="844" ht="12.75" customHeight="1">
      <c r="A844" s="187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</row>
    <row r="845" ht="12.75" customHeight="1">
      <c r="A845" s="187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</row>
    <row r="846" ht="12.75" customHeight="1">
      <c r="A846" s="187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</row>
    <row r="847" ht="12.75" customHeight="1">
      <c r="A847" s="187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</row>
    <row r="848" ht="12.75" customHeight="1">
      <c r="A848" s="187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</row>
    <row r="849" ht="12.75" customHeight="1">
      <c r="A849" s="187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</row>
    <row r="850" ht="12.75" customHeight="1">
      <c r="A850" s="187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</row>
    <row r="851" ht="12.75" customHeight="1">
      <c r="A851" s="187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</row>
    <row r="852" ht="12.75" customHeight="1">
      <c r="A852" s="187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</row>
    <row r="853" ht="12.75" customHeight="1">
      <c r="A853" s="187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</row>
    <row r="854" ht="12.75" customHeight="1">
      <c r="A854" s="187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</row>
    <row r="855" ht="12.75" customHeight="1">
      <c r="A855" s="187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</row>
    <row r="856" ht="12.75" customHeight="1">
      <c r="A856" s="187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</row>
    <row r="857" ht="12.75" customHeight="1">
      <c r="A857" s="187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</row>
    <row r="858" ht="12.75" customHeight="1">
      <c r="A858" s="187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</row>
    <row r="859" ht="12.75" customHeight="1">
      <c r="A859" s="187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</row>
    <row r="860" ht="12.75" customHeight="1">
      <c r="A860" s="187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</row>
    <row r="861" ht="12.75" customHeight="1">
      <c r="A861" s="187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</row>
    <row r="862" ht="12.75" customHeight="1">
      <c r="A862" s="187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</row>
    <row r="863" ht="12.75" customHeight="1">
      <c r="A863" s="187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</row>
    <row r="864" ht="12.75" customHeight="1">
      <c r="A864" s="187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</row>
    <row r="865" ht="12.75" customHeight="1">
      <c r="A865" s="187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</row>
    <row r="866" ht="12.75" customHeight="1">
      <c r="A866" s="187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</row>
    <row r="867" ht="12.75" customHeight="1">
      <c r="A867" s="187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</row>
    <row r="868" ht="12.75" customHeight="1">
      <c r="A868" s="187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</row>
    <row r="869" ht="12.75" customHeight="1">
      <c r="A869" s="187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</row>
    <row r="870" ht="12.75" customHeight="1">
      <c r="A870" s="187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</row>
    <row r="871" ht="12.75" customHeight="1">
      <c r="A871" s="187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</row>
    <row r="872" ht="12.75" customHeight="1">
      <c r="A872" s="187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</row>
    <row r="873" ht="12.75" customHeight="1">
      <c r="A873" s="187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</row>
    <row r="874" ht="12.75" customHeight="1">
      <c r="A874" s="187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</row>
    <row r="875" ht="12.75" customHeight="1">
      <c r="A875" s="187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</row>
    <row r="876" ht="12.75" customHeight="1">
      <c r="A876" s="187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</row>
    <row r="877" ht="12.75" customHeight="1">
      <c r="A877" s="187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</row>
    <row r="878" ht="12.75" customHeight="1">
      <c r="A878" s="187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</row>
    <row r="879" ht="12.75" customHeight="1">
      <c r="A879" s="187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</row>
    <row r="880" ht="12.75" customHeight="1">
      <c r="A880" s="187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</row>
    <row r="881" ht="12.75" customHeight="1">
      <c r="A881" s="187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</row>
    <row r="882" ht="12.75" customHeight="1">
      <c r="A882" s="187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</row>
    <row r="883" ht="12.75" customHeight="1">
      <c r="A883" s="187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</row>
    <row r="884" ht="12.75" customHeight="1">
      <c r="A884" s="187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</row>
    <row r="885" ht="12.75" customHeight="1">
      <c r="A885" s="187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</row>
    <row r="886" ht="12.75" customHeight="1">
      <c r="A886" s="187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</row>
    <row r="887" ht="12.75" customHeight="1">
      <c r="A887" s="187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</row>
    <row r="888" ht="12.75" customHeight="1">
      <c r="A888" s="187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</row>
    <row r="889" ht="12.75" customHeight="1">
      <c r="A889" s="187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</row>
    <row r="890" ht="12.75" customHeight="1">
      <c r="A890" s="187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</row>
    <row r="891" ht="12.75" customHeight="1">
      <c r="A891" s="187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</row>
    <row r="892" ht="12.75" customHeight="1">
      <c r="A892" s="187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</row>
    <row r="893" ht="12.75" customHeight="1">
      <c r="A893" s="187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</row>
    <row r="894" ht="12.75" customHeight="1">
      <c r="A894" s="187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</row>
    <row r="895" ht="12.75" customHeight="1">
      <c r="A895" s="187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</row>
    <row r="896" ht="12.75" customHeight="1">
      <c r="A896" s="187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</row>
    <row r="897" ht="12.75" customHeight="1">
      <c r="A897" s="187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</row>
    <row r="898" ht="12.75" customHeight="1">
      <c r="A898" s="187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</row>
    <row r="899" ht="12.75" customHeight="1">
      <c r="A899" s="187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</row>
    <row r="900" ht="12.75" customHeight="1">
      <c r="A900" s="187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</row>
    <row r="901" ht="12.75" customHeight="1">
      <c r="A901" s="187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</row>
    <row r="902" ht="12.75" customHeight="1">
      <c r="A902" s="187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</row>
    <row r="903" ht="12.75" customHeight="1">
      <c r="A903" s="187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</row>
    <row r="904" ht="12.75" customHeight="1">
      <c r="A904" s="187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</row>
    <row r="905" ht="12.75" customHeight="1">
      <c r="A905" s="187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</row>
    <row r="906" ht="12.75" customHeight="1">
      <c r="A906" s="187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</row>
    <row r="907" ht="12.75" customHeight="1">
      <c r="A907" s="187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</row>
    <row r="908" ht="12.75" customHeight="1">
      <c r="A908" s="187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</row>
    <row r="909" ht="12.75" customHeight="1">
      <c r="A909" s="187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</row>
    <row r="910" ht="12.75" customHeight="1">
      <c r="A910" s="187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</row>
    <row r="911" ht="12.75" customHeight="1">
      <c r="A911" s="187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</row>
    <row r="912" ht="12.75" customHeight="1">
      <c r="A912" s="187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</row>
    <row r="913" ht="12.75" customHeight="1">
      <c r="A913" s="187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</row>
    <row r="914" ht="12.75" customHeight="1">
      <c r="A914" s="187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</row>
    <row r="915" ht="12.75" customHeight="1">
      <c r="A915" s="187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</row>
    <row r="916" ht="12.75" customHeight="1">
      <c r="A916" s="187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</row>
    <row r="917" ht="12.75" customHeight="1">
      <c r="A917" s="187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</row>
    <row r="918" ht="12.75" customHeight="1">
      <c r="A918" s="187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</row>
    <row r="919" ht="12.75" customHeight="1">
      <c r="A919" s="187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</row>
    <row r="920" ht="12.75" customHeight="1">
      <c r="A920" s="187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</row>
    <row r="921" ht="12.75" customHeight="1">
      <c r="A921" s="187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</row>
    <row r="922" ht="12.75" customHeight="1">
      <c r="A922" s="187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</row>
    <row r="923" ht="12.75" customHeight="1">
      <c r="A923" s="187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</row>
    <row r="924" ht="12.75" customHeight="1">
      <c r="A924" s="187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</row>
    <row r="925" ht="12.75" customHeight="1">
      <c r="A925" s="187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</row>
    <row r="926" ht="12.75" customHeight="1">
      <c r="A926" s="187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</row>
    <row r="927" ht="12.75" customHeight="1">
      <c r="A927" s="187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</row>
    <row r="928" ht="12.75" customHeight="1">
      <c r="A928" s="187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</row>
    <row r="929" ht="12.75" customHeight="1">
      <c r="A929" s="187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</row>
    <row r="930" ht="12.75" customHeight="1">
      <c r="A930" s="187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</row>
    <row r="931" ht="12.75" customHeight="1">
      <c r="A931" s="187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</row>
    <row r="932" ht="12.75" customHeight="1">
      <c r="A932" s="187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</row>
    <row r="933" ht="12.75" customHeight="1">
      <c r="A933" s="187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</row>
    <row r="934" ht="12.75" customHeight="1">
      <c r="A934" s="187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87"/>
      <c r="V934" s="187"/>
      <c r="W934" s="187"/>
      <c r="X934" s="187"/>
      <c r="Y934" s="187"/>
      <c r="Z934" s="187"/>
    </row>
    <row r="935" ht="12.75" customHeight="1">
      <c r="A935" s="187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87"/>
      <c r="V935" s="187"/>
      <c r="W935" s="187"/>
      <c r="X935" s="187"/>
      <c r="Y935" s="187"/>
      <c r="Z935" s="187"/>
    </row>
    <row r="936" ht="12.75" customHeight="1">
      <c r="A936" s="187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87"/>
      <c r="V936" s="187"/>
      <c r="W936" s="187"/>
      <c r="X936" s="187"/>
      <c r="Y936" s="187"/>
      <c r="Z936" s="187"/>
    </row>
    <row r="937" ht="12.75" customHeight="1">
      <c r="A937" s="187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87"/>
      <c r="V937" s="187"/>
      <c r="W937" s="187"/>
      <c r="X937" s="187"/>
      <c r="Y937" s="187"/>
      <c r="Z937" s="187"/>
    </row>
    <row r="938" ht="12.75" customHeight="1">
      <c r="A938" s="187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87"/>
      <c r="V938" s="187"/>
      <c r="W938" s="187"/>
      <c r="X938" s="187"/>
      <c r="Y938" s="187"/>
      <c r="Z938" s="187"/>
    </row>
    <row r="939" ht="12.75" customHeight="1">
      <c r="A939" s="187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87"/>
      <c r="V939" s="187"/>
      <c r="W939" s="187"/>
      <c r="X939" s="187"/>
      <c r="Y939" s="187"/>
      <c r="Z939" s="187"/>
    </row>
    <row r="940" ht="12.75" customHeight="1">
      <c r="A940" s="187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87"/>
      <c r="V940" s="187"/>
      <c r="W940" s="187"/>
      <c r="X940" s="187"/>
      <c r="Y940" s="187"/>
      <c r="Z940" s="187"/>
    </row>
    <row r="941" ht="12.75" customHeight="1">
      <c r="A941" s="187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87"/>
      <c r="V941" s="187"/>
      <c r="W941" s="187"/>
      <c r="X941" s="187"/>
      <c r="Y941" s="187"/>
      <c r="Z941" s="187"/>
    </row>
    <row r="942" ht="12.75" customHeight="1">
      <c r="A942" s="187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87"/>
      <c r="V942" s="187"/>
      <c r="W942" s="187"/>
      <c r="X942" s="187"/>
      <c r="Y942" s="187"/>
      <c r="Z942" s="187"/>
    </row>
    <row r="943" ht="12.75" customHeight="1">
      <c r="A943" s="187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87"/>
      <c r="V943" s="187"/>
      <c r="W943" s="187"/>
      <c r="X943" s="187"/>
      <c r="Y943" s="187"/>
      <c r="Z943" s="187"/>
    </row>
    <row r="944" ht="12.75" customHeight="1">
      <c r="A944" s="187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87"/>
      <c r="V944" s="187"/>
      <c r="W944" s="187"/>
      <c r="X944" s="187"/>
      <c r="Y944" s="187"/>
      <c r="Z944" s="187"/>
    </row>
    <row r="945" ht="12.75" customHeight="1">
      <c r="A945" s="187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87"/>
      <c r="V945" s="187"/>
      <c r="W945" s="187"/>
      <c r="X945" s="187"/>
      <c r="Y945" s="187"/>
      <c r="Z945" s="187"/>
    </row>
    <row r="946" ht="12.75" customHeight="1">
      <c r="A946" s="187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87"/>
      <c r="V946" s="187"/>
      <c r="W946" s="187"/>
      <c r="X946" s="187"/>
      <c r="Y946" s="187"/>
      <c r="Z946" s="187"/>
    </row>
    <row r="947" ht="12.75" customHeight="1">
      <c r="A947" s="187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87"/>
      <c r="V947" s="187"/>
      <c r="W947" s="187"/>
      <c r="X947" s="187"/>
      <c r="Y947" s="187"/>
      <c r="Z947" s="187"/>
    </row>
    <row r="948" ht="12.75" customHeight="1">
      <c r="A948" s="187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87"/>
      <c r="V948" s="187"/>
      <c r="W948" s="187"/>
      <c r="X948" s="187"/>
      <c r="Y948" s="187"/>
      <c r="Z948" s="187"/>
    </row>
    <row r="949" ht="12.75" customHeight="1">
      <c r="A949" s="187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87"/>
      <c r="V949" s="187"/>
      <c r="W949" s="187"/>
      <c r="X949" s="187"/>
      <c r="Y949" s="187"/>
      <c r="Z949" s="187"/>
    </row>
    <row r="950" ht="12.75" customHeight="1">
      <c r="A950" s="187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87"/>
      <c r="V950" s="187"/>
      <c r="W950" s="187"/>
      <c r="X950" s="187"/>
      <c r="Y950" s="187"/>
      <c r="Z950" s="187"/>
    </row>
    <row r="951" ht="12.75" customHeight="1">
      <c r="A951" s="187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87"/>
      <c r="V951" s="187"/>
      <c r="W951" s="187"/>
      <c r="X951" s="187"/>
      <c r="Y951" s="187"/>
      <c r="Z951" s="187"/>
    </row>
    <row r="952" ht="12.75" customHeight="1">
      <c r="A952" s="187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87"/>
      <c r="V952" s="187"/>
      <c r="W952" s="187"/>
      <c r="X952" s="187"/>
      <c r="Y952" s="187"/>
      <c r="Z952" s="187"/>
    </row>
    <row r="953" ht="12.75" customHeight="1">
      <c r="A953" s="187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87"/>
      <c r="V953" s="187"/>
      <c r="W953" s="187"/>
      <c r="X953" s="187"/>
      <c r="Y953" s="187"/>
      <c r="Z953" s="187"/>
    </row>
    <row r="954" ht="12.75" customHeight="1">
      <c r="A954" s="187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87"/>
      <c r="V954" s="187"/>
      <c r="W954" s="187"/>
      <c r="X954" s="187"/>
      <c r="Y954" s="187"/>
      <c r="Z954" s="187"/>
    </row>
    <row r="955" ht="12.75" customHeight="1">
      <c r="A955" s="187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87"/>
      <c r="V955" s="187"/>
      <c r="W955" s="187"/>
      <c r="X955" s="187"/>
      <c r="Y955" s="187"/>
      <c r="Z955" s="187"/>
    </row>
    <row r="956" ht="12.75" customHeight="1">
      <c r="A956" s="187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87"/>
      <c r="V956" s="187"/>
      <c r="W956" s="187"/>
      <c r="X956" s="187"/>
      <c r="Y956" s="187"/>
      <c r="Z956" s="187"/>
    </row>
    <row r="957" ht="12.75" customHeight="1">
      <c r="A957" s="187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87"/>
      <c r="V957" s="187"/>
      <c r="W957" s="187"/>
      <c r="X957" s="187"/>
      <c r="Y957" s="187"/>
      <c r="Z957" s="187"/>
    </row>
    <row r="958" ht="12.75" customHeight="1">
      <c r="A958" s="187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87"/>
      <c r="V958" s="187"/>
      <c r="W958" s="187"/>
      <c r="X958" s="187"/>
      <c r="Y958" s="187"/>
      <c r="Z958" s="187"/>
    </row>
    <row r="959" ht="12.75" customHeight="1">
      <c r="A959" s="187"/>
      <c r="B959" s="187"/>
      <c r="C959" s="187"/>
      <c r="D959" s="187"/>
      <c r="E959" s="187"/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87"/>
      <c r="V959" s="187"/>
      <c r="W959" s="187"/>
      <c r="X959" s="187"/>
      <c r="Y959" s="187"/>
      <c r="Z959" s="187"/>
    </row>
    <row r="960" ht="12.75" customHeight="1">
      <c r="A960" s="187"/>
      <c r="B960" s="187"/>
      <c r="C960" s="187"/>
      <c r="D960" s="187"/>
      <c r="E960" s="187"/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87"/>
      <c r="V960" s="187"/>
      <c r="W960" s="187"/>
      <c r="X960" s="187"/>
      <c r="Y960" s="187"/>
      <c r="Z960" s="187"/>
    </row>
    <row r="961" ht="12.75" customHeight="1">
      <c r="A961" s="187"/>
      <c r="B961" s="187"/>
      <c r="C961" s="187"/>
      <c r="D961" s="187"/>
      <c r="E961" s="187"/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87"/>
      <c r="V961" s="187"/>
      <c r="W961" s="187"/>
      <c r="X961" s="187"/>
      <c r="Y961" s="187"/>
      <c r="Z961" s="187"/>
    </row>
    <row r="962" ht="12.75" customHeight="1">
      <c r="A962" s="187"/>
      <c r="B962" s="187"/>
      <c r="C962" s="187"/>
      <c r="D962" s="187"/>
      <c r="E962" s="187"/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87"/>
      <c r="V962" s="187"/>
      <c r="W962" s="187"/>
      <c r="X962" s="187"/>
      <c r="Y962" s="187"/>
      <c r="Z962" s="187"/>
    </row>
    <row r="963" ht="12.75" customHeight="1">
      <c r="A963" s="187"/>
      <c r="B963" s="187"/>
      <c r="C963" s="187"/>
      <c r="D963" s="187"/>
      <c r="E963" s="187"/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87"/>
      <c r="V963" s="187"/>
      <c r="W963" s="187"/>
      <c r="X963" s="187"/>
      <c r="Y963" s="187"/>
      <c r="Z963" s="187"/>
    </row>
    <row r="964" ht="12.75" customHeight="1">
      <c r="A964" s="187"/>
      <c r="B964" s="187"/>
      <c r="C964" s="187"/>
      <c r="D964" s="187"/>
      <c r="E964" s="187"/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87"/>
      <c r="V964" s="187"/>
      <c r="W964" s="187"/>
      <c r="X964" s="187"/>
      <c r="Y964" s="187"/>
      <c r="Z964" s="187"/>
    </row>
    <row r="965" ht="12.75" customHeight="1">
      <c r="A965" s="187"/>
      <c r="B965" s="187"/>
      <c r="C965" s="187"/>
      <c r="D965" s="187"/>
      <c r="E965" s="187"/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87"/>
      <c r="V965" s="187"/>
      <c r="W965" s="187"/>
      <c r="X965" s="187"/>
      <c r="Y965" s="187"/>
      <c r="Z965" s="187"/>
    </row>
    <row r="966" ht="12.75" customHeight="1">
      <c r="A966" s="187"/>
      <c r="B966" s="187"/>
      <c r="C966" s="187"/>
      <c r="D966" s="187"/>
      <c r="E966" s="187"/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87"/>
      <c r="V966" s="187"/>
      <c r="W966" s="187"/>
      <c r="X966" s="187"/>
      <c r="Y966" s="187"/>
      <c r="Z966" s="187"/>
    </row>
    <row r="967" ht="12.75" customHeight="1">
      <c r="A967" s="187"/>
      <c r="B967" s="187"/>
      <c r="C967" s="187"/>
      <c r="D967" s="187"/>
      <c r="E967" s="187"/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87"/>
      <c r="V967" s="187"/>
      <c r="W967" s="187"/>
      <c r="X967" s="187"/>
      <c r="Y967" s="187"/>
      <c r="Z967" s="187"/>
    </row>
    <row r="968" ht="12.75" customHeight="1">
      <c r="A968" s="187"/>
      <c r="B968" s="187"/>
      <c r="C968" s="187"/>
      <c r="D968" s="187"/>
      <c r="E968" s="187"/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87"/>
      <c r="V968" s="187"/>
      <c r="W968" s="187"/>
      <c r="X968" s="187"/>
      <c r="Y968" s="187"/>
      <c r="Z968" s="187"/>
    </row>
    <row r="969" ht="12.75" customHeight="1">
      <c r="A969" s="187"/>
      <c r="B969" s="187"/>
      <c r="C969" s="187"/>
      <c r="D969" s="187"/>
      <c r="E969" s="187"/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87"/>
      <c r="V969" s="187"/>
      <c r="W969" s="187"/>
      <c r="X969" s="187"/>
      <c r="Y969" s="187"/>
      <c r="Z969" s="187"/>
    </row>
    <row r="970" ht="12.75" customHeight="1">
      <c r="A970" s="187"/>
      <c r="B970" s="187"/>
      <c r="C970" s="187"/>
      <c r="D970" s="187"/>
      <c r="E970" s="187"/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87"/>
      <c r="V970" s="187"/>
      <c r="W970" s="187"/>
      <c r="X970" s="187"/>
      <c r="Y970" s="187"/>
      <c r="Z970" s="187"/>
    </row>
    <row r="971" ht="12.75" customHeight="1">
      <c r="A971" s="187"/>
      <c r="B971" s="187"/>
      <c r="C971" s="187"/>
      <c r="D971" s="187"/>
      <c r="E971" s="187"/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87"/>
      <c r="V971" s="187"/>
      <c r="W971" s="187"/>
      <c r="X971" s="187"/>
      <c r="Y971" s="187"/>
      <c r="Z971" s="187"/>
    </row>
    <row r="972" ht="12.75" customHeight="1">
      <c r="A972" s="187"/>
      <c r="B972" s="187"/>
      <c r="C972" s="187"/>
      <c r="D972" s="187"/>
      <c r="E972" s="187"/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87"/>
      <c r="V972" s="187"/>
      <c r="W972" s="187"/>
      <c r="X972" s="187"/>
      <c r="Y972" s="187"/>
      <c r="Z972" s="187"/>
    </row>
    <row r="973" ht="12.75" customHeight="1">
      <c r="A973" s="187"/>
      <c r="B973" s="187"/>
      <c r="C973" s="187"/>
      <c r="D973" s="187"/>
      <c r="E973" s="187"/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87"/>
      <c r="V973" s="187"/>
      <c r="W973" s="187"/>
      <c r="X973" s="187"/>
      <c r="Y973" s="187"/>
      <c r="Z973" s="187"/>
    </row>
    <row r="974" ht="12.75" customHeight="1">
      <c r="A974" s="187"/>
      <c r="B974" s="187"/>
      <c r="C974" s="187"/>
      <c r="D974" s="187"/>
      <c r="E974" s="187"/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87"/>
      <c r="V974" s="187"/>
      <c r="W974" s="187"/>
      <c r="X974" s="187"/>
      <c r="Y974" s="187"/>
      <c r="Z974" s="187"/>
    </row>
    <row r="975" ht="12.75" customHeight="1">
      <c r="A975" s="187"/>
      <c r="B975" s="187"/>
      <c r="C975" s="187"/>
      <c r="D975" s="187"/>
      <c r="E975" s="187"/>
      <c r="F975" s="187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87"/>
      <c r="V975" s="187"/>
      <c r="W975" s="187"/>
      <c r="X975" s="187"/>
      <c r="Y975" s="187"/>
      <c r="Z975" s="187"/>
    </row>
    <row r="976" ht="12.75" customHeight="1">
      <c r="A976" s="187"/>
      <c r="B976" s="187"/>
      <c r="C976" s="187"/>
      <c r="D976" s="187"/>
      <c r="E976" s="187"/>
      <c r="F976" s="187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87"/>
      <c r="V976" s="187"/>
      <c r="W976" s="187"/>
      <c r="X976" s="187"/>
      <c r="Y976" s="187"/>
      <c r="Z976" s="187"/>
    </row>
    <row r="977" ht="12.75" customHeight="1">
      <c r="A977" s="187"/>
      <c r="B977" s="187"/>
      <c r="C977" s="187"/>
      <c r="D977" s="187"/>
      <c r="E977" s="187"/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87"/>
      <c r="V977" s="187"/>
      <c r="W977" s="187"/>
      <c r="X977" s="187"/>
      <c r="Y977" s="187"/>
      <c r="Z977" s="187"/>
    </row>
    <row r="978" ht="12.75" customHeight="1">
      <c r="A978" s="187"/>
      <c r="B978" s="187"/>
      <c r="C978" s="187"/>
      <c r="D978" s="187"/>
      <c r="E978" s="187"/>
      <c r="F978" s="187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87"/>
      <c r="V978" s="187"/>
      <c r="W978" s="187"/>
      <c r="X978" s="187"/>
      <c r="Y978" s="187"/>
      <c r="Z978" s="187"/>
    </row>
    <row r="979" ht="12.75" customHeight="1">
      <c r="A979" s="187"/>
      <c r="B979" s="187"/>
      <c r="C979" s="187"/>
      <c r="D979" s="187"/>
      <c r="E979" s="187"/>
      <c r="F979" s="187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87"/>
      <c r="V979" s="187"/>
      <c r="W979" s="187"/>
      <c r="X979" s="187"/>
      <c r="Y979" s="187"/>
      <c r="Z979" s="187"/>
    </row>
    <row r="980" ht="12.75" customHeight="1">
      <c r="A980" s="187"/>
      <c r="B980" s="187"/>
      <c r="C980" s="187"/>
      <c r="D980" s="187"/>
      <c r="E980" s="187"/>
      <c r="F980" s="187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87"/>
      <c r="V980" s="187"/>
      <c r="W980" s="187"/>
      <c r="X980" s="187"/>
      <c r="Y980" s="187"/>
      <c r="Z980" s="187"/>
    </row>
    <row r="981" ht="12.75" customHeight="1">
      <c r="A981" s="187"/>
      <c r="B981" s="187"/>
      <c r="C981" s="187"/>
      <c r="D981" s="187"/>
      <c r="E981" s="187"/>
      <c r="F981" s="187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87"/>
      <c r="V981" s="187"/>
      <c r="W981" s="187"/>
      <c r="X981" s="187"/>
      <c r="Y981" s="187"/>
      <c r="Z981" s="187"/>
    </row>
    <row r="982" ht="12.75" customHeight="1">
      <c r="A982" s="187"/>
      <c r="B982" s="187"/>
      <c r="C982" s="187"/>
      <c r="D982" s="187"/>
      <c r="E982" s="187"/>
      <c r="F982" s="187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87"/>
      <c r="V982" s="187"/>
      <c r="W982" s="187"/>
      <c r="X982" s="187"/>
      <c r="Y982" s="187"/>
      <c r="Z982" s="187"/>
    </row>
    <row r="983" ht="12.75" customHeight="1">
      <c r="A983" s="187"/>
      <c r="B983" s="187"/>
      <c r="C983" s="187"/>
      <c r="D983" s="187"/>
      <c r="E983" s="187"/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87"/>
      <c r="V983" s="187"/>
      <c r="W983" s="187"/>
      <c r="X983" s="187"/>
      <c r="Y983" s="187"/>
      <c r="Z983" s="187"/>
    </row>
    <row r="984" ht="12.75" customHeight="1">
      <c r="A984" s="187"/>
      <c r="B984" s="187"/>
      <c r="C984" s="187"/>
      <c r="D984" s="187"/>
      <c r="E984" s="187"/>
      <c r="F984" s="187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87"/>
      <c r="V984" s="187"/>
      <c r="W984" s="187"/>
      <c r="X984" s="187"/>
      <c r="Y984" s="187"/>
      <c r="Z984" s="187"/>
    </row>
    <row r="985" ht="12.75" customHeight="1">
      <c r="A985" s="187"/>
      <c r="B985" s="187"/>
      <c r="C985" s="187"/>
      <c r="D985" s="187"/>
      <c r="E985" s="187"/>
      <c r="F985" s="187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87"/>
      <c r="V985" s="187"/>
      <c r="W985" s="187"/>
      <c r="X985" s="187"/>
      <c r="Y985" s="187"/>
      <c r="Z985" s="187"/>
    </row>
    <row r="986" ht="12.75" customHeight="1">
      <c r="A986" s="187"/>
      <c r="B986" s="187"/>
      <c r="C986" s="187"/>
      <c r="D986" s="187"/>
      <c r="E986" s="187"/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87"/>
      <c r="V986" s="187"/>
      <c r="W986" s="187"/>
      <c r="X986" s="187"/>
      <c r="Y986" s="187"/>
      <c r="Z986" s="187"/>
    </row>
    <row r="987" ht="12.75" customHeight="1">
      <c r="A987" s="187"/>
      <c r="B987" s="187"/>
      <c r="C987" s="187"/>
      <c r="D987" s="187"/>
      <c r="E987" s="187"/>
      <c r="F987" s="187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87"/>
      <c r="V987" s="187"/>
      <c r="W987" s="187"/>
      <c r="X987" s="187"/>
      <c r="Y987" s="187"/>
      <c r="Z987" s="187"/>
    </row>
    <row r="988" ht="12.75" customHeight="1">
      <c r="A988" s="187"/>
      <c r="B988" s="187"/>
      <c r="C988" s="187"/>
      <c r="D988" s="187"/>
      <c r="E988" s="187"/>
      <c r="F988" s="187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87"/>
      <c r="V988" s="187"/>
      <c r="W988" s="187"/>
      <c r="X988" s="187"/>
      <c r="Y988" s="187"/>
      <c r="Z988" s="187"/>
    </row>
    <row r="989" ht="12.75" customHeight="1">
      <c r="A989" s="187"/>
      <c r="B989" s="187"/>
      <c r="C989" s="187"/>
      <c r="D989" s="187"/>
      <c r="E989" s="187"/>
      <c r="F989" s="187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87"/>
      <c r="V989" s="187"/>
      <c r="W989" s="187"/>
      <c r="X989" s="187"/>
      <c r="Y989" s="187"/>
      <c r="Z989" s="187"/>
    </row>
    <row r="990" ht="12.75" customHeight="1">
      <c r="A990" s="187"/>
      <c r="B990" s="187"/>
      <c r="C990" s="187"/>
      <c r="D990" s="187"/>
      <c r="E990" s="187"/>
      <c r="F990" s="187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87"/>
      <c r="V990" s="187"/>
      <c r="W990" s="187"/>
      <c r="X990" s="187"/>
      <c r="Y990" s="187"/>
      <c r="Z990" s="187"/>
    </row>
    <row r="991" ht="12.75" customHeight="1">
      <c r="A991" s="187"/>
      <c r="B991" s="187"/>
      <c r="C991" s="187"/>
      <c r="D991" s="187"/>
      <c r="E991" s="187"/>
      <c r="F991" s="187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87"/>
      <c r="V991" s="187"/>
      <c r="W991" s="187"/>
      <c r="X991" s="187"/>
      <c r="Y991" s="187"/>
      <c r="Z991" s="187"/>
    </row>
    <row r="992" ht="12.75" customHeight="1">
      <c r="A992" s="187"/>
      <c r="B992" s="187"/>
      <c r="C992" s="187"/>
      <c r="D992" s="187"/>
      <c r="E992" s="187"/>
      <c r="F992" s="187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87"/>
      <c r="V992" s="187"/>
      <c r="W992" s="187"/>
      <c r="X992" s="187"/>
      <c r="Y992" s="187"/>
      <c r="Z992" s="187"/>
    </row>
    <row r="993" ht="12.75" customHeight="1">
      <c r="A993" s="187"/>
      <c r="B993" s="187"/>
      <c r="C993" s="187"/>
      <c r="D993" s="187"/>
      <c r="E993" s="187"/>
      <c r="F993" s="187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87"/>
      <c r="V993" s="187"/>
      <c r="W993" s="187"/>
      <c r="X993" s="187"/>
      <c r="Y993" s="187"/>
      <c r="Z993" s="187"/>
    </row>
    <row r="994" ht="12.75" customHeight="1">
      <c r="A994" s="187"/>
      <c r="B994" s="187"/>
      <c r="C994" s="187"/>
      <c r="D994" s="187"/>
      <c r="E994" s="187"/>
      <c r="F994" s="187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87"/>
      <c r="V994" s="187"/>
      <c r="W994" s="187"/>
      <c r="X994" s="187"/>
      <c r="Y994" s="187"/>
      <c r="Z994" s="187"/>
    </row>
    <row r="995" ht="12.75" customHeight="1">
      <c r="A995" s="187"/>
      <c r="B995" s="187"/>
      <c r="C995" s="187"/>
      <c r="D995" s="187"/>
      <c r="E995" s="187"/>
      <c r="F995" s="187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87"/>
      <c r="V995" s="187"/>
      <c r="W995" s="187"/>
      <c r="X995" s="187"/>
      <c r="Y995" s="187"/>
      <c r="Z995" s="187"/>
    </row>
    <row r="996" ht="12.75" customHeight="1">
      <c r="A996" s="187"/>
      <c r="B996" s="187"/>
      <c r="C996" s="187"/>
      <c r="D996" s="187"/>
      <c r="E996" s="187"/>
      <c r="F996" s="187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87"/>
      <c r="V996" s="187"/>
      <c r="W996" s="187"/>
      <c r="X996" s="187"/>
      <c r="Y996" s="187"/>
      <c r="Z996" s="187"/>
    </row>
    <row r="997" ht="12.75" customHeight="1">
      <c r="A997" s="187"/>
      <c r="B997" s="187"/>
      <c r="C997" s="187"/>
      <c r="D997" s="187"/>
      <c r="E997" s="187"/>
      <c r="F997" s="187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87"/>
      <c r="V997" s="187"/>
      <c r="W997" s="187"/>
      <c r="X997" s="187"/>
      <c r="Y997" s="187"/>
      <c r="Z997" s="187"/>
    </row>
    <row r="998" ht="12.75" customHeight="1">
      <c r="A998" s="187"/>
      <c r="B998" s="187"/>
      <c r="C998" s="187"/>
      <c r="D998" s="187"/>
      <c r="E998" s="187"/>
      <c r="F998" s="187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87"/>
      <c r="V998" s="187"/>
      <c r="W998" s="187"/>
      <c r="X998" s="187"/>
      <c r="Y998" s="187"/>
      <c r="Z998" s="187"/>
    </row>
    <row r="999" ht="12.75" customHeight="1">
      <c r="A999" s="187"/>
      <c r="B999" s="187"/>
      <c r="C999" s="187"/>
      <c r="D999" s="187"/>
      <c r="E999" s="187"/>
      <c r="F999" s="187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87"/>
      <c r="V999" s="187"/>
      <c r="W999" s="187"/>
      <c r="X999" s="187"/>
      <c r="Y999" s="187"/>
      <c r="Z999" s="187"/>
    </row>
    <row r="1000" ht="12.75" customHeight="1">
      <c r="A1000" s="187"/>
      <c r="B1000" s="187"/>
      <c r="C1000" s="187"/>
      <c r="D1000" s="187"/>
      <c r="E1000" s="187"/>
      <c r="F1000" s="187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87"/>
      <c r="V1000" s="187"/>
      <c r="W1000" s="187"/>
      <c r="X1000" s="187"/>
      <c r="Y1000" s="187"/>
      <c r="Z1000" s="187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25" right="0.25" top="0.75"/>
  <pageSetup paperSize="9" scale="6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3" width="5.63"/>
    <col customWidth="1" min="14" max="17" width="9.13"/>
    <col customWidth="1" min="18" max="26" width="8.0"/>
  </cols>
  <sheetData>
    <row r="1" ht="12.75" customHeight="1">
      <c r="A1" s="187"/>
      <c r="B1" s="187"/>
      <c r="C1" s="188" t="s">
        <v>228</v>
      </c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</row>
    <row r="2" ht="12.75" customHeight="1">
      <c r="A2" s="187"/>
      <c r="B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</row>
    <row r="3" ht="12.75" customHeight="1">
      <c r="A3" s="187"/>
      <c r="B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</row>
    <row r="4" ht="12.75" customHeight="1">
      <c r="A4" s="187"/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</row>
    <row r="5" ht="13.5" customHeight="1">
      <c r="A5" s="187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</row>
    <row r="6" ht="20.25" customHeight="1">
      <c r="A6" s="187"/>
      <c r="B6" s="187"/>
      <c r="C6" s="189" t="s">
        <v>284</v>
      </c>
      <c r="D6" s="103"/>
      <c r="E6" s="103"/>
      <c r="F6" s="103"/>
      <c r="G6" s="103"/>
      <c r="H6" s="103"/>
      <c r="I6" s="103"/>
      <c r="J6" s="103"/>
      <c r="K6" s="103"/>
      <c r="L6" s="103"/>
      <c r="M6" s="104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</row>
    <row r="7" ht="4.5" customHeight="1">
      <c r="A7" s="187"/>
      <c r="B7" s="187"/>
      <c r="C7" s="190"/>
      <c r="D7" s="191"/>
      <c r="E7" s="191"/>
      <c r="F7" s="191"/>
      <c r="G7" s="191"/>
      <c r="H7" s="191"/>
      <c r="I7" s="191"/>
      <c r="J7" s="191"/>
      <c r="K7" s="191"/>
      <c r="L7" s="191"/>
      <c r="M7" s="192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</row>
    <row r="8" ht="4.5" customHeight="1">
      <c r="A8" s="187"/>
      <c r="B8" s="187"/>
      <c r="C8" s="193"/>
      <c r="D8" s="194"/>
      <c r="E8" s="194"/>
      <c r="F8" s="194"/>
      <c r="G8" s="194"/>
      <c r="H8" s="194"/>
      <c r="I8" s="194"/>
      <c r="J8" s="194"/>
      <c r="K8" s="194"/>
      <c r="L8" s="194"/>
      <c r="M8" s="195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</row>
    <row r="9" ht="12.75" customHeight="1">
      <c r="A9" s="187"/>
      <c r="B9" s="187"/>
      <c r="C9" s="196" t="s">
        <v>195</v>
      </c>
      <c r="D9" s="191"/>
      <c r="E9" s="191"/>
      <c r="F9" s="191"/>
      <c r="G9" s="191"/>
      <c r="H9" s="191"/>
      <c r="I9" s="191"/>
      <c r="J9" s="191"/>
      <c r="K9" s="191"/>
      <c r="L9" s="191"/>
      <c r="M9" s="192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</row>
    <row r="10" ht="12.75" customHeight="1">
      <c r="A10" s="187"/>
      <c r="B10" s="187"/>
      <c r="C10" s="193"/>
      <c r="D10" s="194"/>
      <c r="E10" s="194"/>
      <c r="F10" s="194"/>
      <c r="G10" s="194"/>
      <c r="H10" s="194"/>
      <c r="I10" s="194"/>
      <c r="J10" s="194"/>
      <c r="K10" s="194"/>
      <c r="L10" s="194"/>
      <c r="M10" s="195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</row>
    <row r="11" ht="19.5" customHeight="1">
      <c r="A11" s="187"/>
      <c r="B11" s="187"/>
      <c r="C11" s="197" t="s">
        <v>196</v>
      </c>
      <c r="D11" s="198" t="s">
        <v>197</v>
      </c>
      <c r="E11" s="199" t="s">
        <v>177</v>
      </c>
      <c r="F11" s="200"/>
      <c r="G11" s="198"/>
      <c r="H11" s="199" t="s">
        <v>220</v>
      </c>
      <c r="I11" s="200"/>
      <c r="J11" s="201" t="s">
        <v>199</v>
      </c>
      <c r="K11" s="200"/>
      <c r="L11" s="201" t="s">
        <v>200</v>
      </c>
      <c r="M11" s="202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</row>
    <row r="12" ht="12.75" customHeight="1">
      <c r="A12" s="187"/>
      <c r="B12" s="187"/>
      <c r="C12" s="203"/>
      <c r="M12" s="204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</row>
    <row r="13" ht="13.5" customHeight="1">
      <c r="A13" s="187"/>
      <c r="B13" s="187"/>
      <c r="C13" s="205" t="s">
        <v>201</v>
      </c>
      <c r="D13" s="206" t="s">
        <v>207</v>
      </c>
      <c r="E13" s="207" t="s">
        <v>17</v>
      </c>
      <c r="F13" s="207" t="s">
        <v>24</v>
      </c>
      <c r="G13" s="219" t="s">
        <v>198</v>
      </c>
      <c r="H13" s="207" t="s">
        <v>20</v>
      </c>
      <c r="I13" s="207" t="s">
        <v>33</v>
      </c>
      <c r="J13" s="209">
        <v>6.0</v>
      </c>
      <c r="K13" s="210">
        <v>3.0</v>
      </c>
      <c r="L13" s="211">
        <f>IF(AND(J13&gt;K13,J14&gt;K14),2,IF(J13&gt;K13,1,IF(J14&gt;K14,1,0)))</f>
        <v>2</v>
      </c>
      <c r="M13" s="211">
        <f>IF(AND(K13&gt;J13,K14&gt;J14),2,IF(K13&gt;J13,1,IF(K14&gt;J14,1,0)))</f>
        <v>0</v>
      </c>
      <c r="N13" s="245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</row>
    <row r="14" ht="12.75" customHeight="1">
      <c r="A14" s="187"/>
      <c r="B14" s="187"/>
      <c r="C14" s="212"/>
      <c r="D14" s="213"/>
      <c r="E14" s="213"/>
      <c r="F14" s="213"/>
      <c r="G14" s="213"/>
      <c r="H14" s="213"/>
      <c r="I14" s="213"/>
      <c r="J14" s="214">
        <v>6.0</v>
      </c>
      <c r="K14" s="215">
        <v>4.0</v>
      </c>
      <c r="L14" s="213"/>
      <c r="M14" s="213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</row>
    <row r="15" ht="4.5" customHeight="1">
      <c r="A15" s="187"/>
      <c r="B15" s="187"/>
      <c r="C15" s="258">
        <v>6.0</v>
      </c>
      <c r="D15" s="23"/>
      <c r="E15" s="23"/>
      <c r="F15" s="23"/>
      <c r="G15" s="23"/>
      <c r="H15" s="23"/>
      <c r="I15" s="23"/>
      <c r="J15" s="23"/>
      <c r="K15" s="23"/>
      <c r="L15" s="23"/>
      <c r="M15" s="202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</row>
    <row r="16" ht="12.75" customHeight="1">
      <c r="A16" s="187"/>
      <c r="B16" s="187"/>
      <c r="C16" s="205" t="s">
        <v>204</v>
      </c>
      <c r="D16" s="206" t="s">
        <v>214</v>
      </c>
      <c r="E16" s="207" t="s">
        <v>84</v>
      </c>
      <c r="F16" s="207" t="s">
        <v>91</v>
      </c>
      <c r="G16" s="208" t="s">
        <v>198</v>
      </c>
      <c r="H16" s="207" t="s">
        <v>80</v>
      </c>
      <c r="I16" s="207" t="s">
        <v>87</v>
      </c>
      <c r="J16" s="209">
        <v>6.0</v>
      </c>
      <c r="K16" s="210">
        <v>7.0</v>
      </c>
      <c r="L16" s="211">
        <f>IF(AND(J16&gt;K16,J17&gt;K17),2,IF(J16&gt;K16,1,IF(J17&gt;K17,1,0)))</f>
        <v>0</v>
      </c>
      <c r="M16" s="211">
        <f>IF(AND(K16&gt;J16,K17&gt;J17),2,IF(K16&gt;J16,1,IF(K17&gt;J17,1,0)))</f>
        <v>2</v>
      </c>
      <c r="N16" s="245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</row>
    <row r="17" ht="12.75" customHeight="1">
      <c r="A17" s="187"/>
      <c r="B17" s="187"/>
      <c r="C17" s="212"/>
      <c r="D17" s="213"/>
      <c r="E17" s="213"/>
      <c r="F17" s="213"/>
      <c r="G17" s="213"/>
      <c r="H17" s="213"/>
      <c r="I17" s="213"/>
      <c r="J17" s="214">
        <v>2.0</v>
      </c>
      <c r="K17" s="215">
        <v>6.0</v>
      </c>
      <c r="L17" s="213"/>
      <c r="M17" s="213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</row>
    <row r="18" ht="4.5" customHeight="1">
      <c r="A18" s="187"/>
      <c r="B18" s="187"/>
      <c r="C18" s="217"/>
      <c r="D18" s="23"/>
      <c r="E18" s="23"/>
      <c r="F18" s="23"/>
      <c r="G18" s="23"/>
      <c r="H18" s="23"/>
      <c r="I18" s="23"/>
      <c r="J18" s="23"/>
      <c r="K18" s="23"/>
      <c r="L18" s="23"/>
      <c r="M18" s="202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</row>
    <row r="19" ht="12.75" customHeight="1">
      <c r="A19" s="187"/>
      <c r="B19" s="187"/>
      <c r="C19" s="205" t="s">
        <v>206</v>
      </c>
      <c r="D19" s="206" t="s">
        <v>205</v>
      </c>
      <c r="E19" s="207" t="s">
        <v>115</v>
      </c>
      <c r="F19" s="207" t="s">
        <v>120</v>
      </c>
      <c r="G19" s="208" t="s">
        <v>198</v>
      </c>
      <c r="H19" s="207" t="s">
        <v>118</v>
      </c>
      <c r="I19" s="207" t="s">
        <v>129</v>
      </c>
      <c r="J19" s="209">
        <v>2.0</v>
      </c>
      <c r="K19" s="210">
        <v>6.0</v>
      </c>
      <c r="L19" s="211">
        <f>IF(AND(J19&gt;K19,J20&gt;K20),2,IF(J19&gt;K19,1,IF(J20&gt;K20,1,0)))</f>
        <v>0</v>
      </c>
      <c r="M19" s="211">
        <f>IF(AND(K19&gt;J19,K20&gt;J20),2,IF(K19&gt;J19,1,IF(K20&gt;J20,1,0)))</f>
        <v>2</v>
      </c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</row>
    <row r="20" ht="12.75" customHeight="1">
      <c r="A20" s="187"/>
      <c r="B20" s="187"/>
      <c r="C20" s="212"/>
      <c r="D20" s="213"/>
      <c r="E20" s="213"/>
      <c r="F20" s="213"/>
      <c r="G20" s="213"/>
      <c r="H20" s="213"/>
      <c r="I20" s="213"/>
      <c r="J20" s="214">
        <v>2.0</v>
      </c>
      <c r="K20" s="215">
        <v>6.0</v>
      </c>
      <c r="L20" s="213"/>
      <c r="M20" s="213"/>
      <c r="N20" s="245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</row>
    <row r="21" ht="4.5" customHeight="1">
      <c r="A21" s="187"/>
      <c r="B21" s="187"/>
      <c r="C21" s="217" t="s">
        <v>227</v>
      </c>
      <c r="D21" s="23"/>
      <c r="E21" s="23"/>
      <c r="F21" s="23"/>
      <c r="G21" s="23"/>
      <c r="H21" s="23"/>
      <c r="I21" s="23"/>
      <c r="J21" s="23"/>
      <c r="K21" s="23"/>
      <c r="L21" s="23"/>
      <c r="M21" s="202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</row>
    <row r="22" ht="12.75" customHeight="1">
      <c r="A22" s="187"/>
      <c r="B22" s="187"/>
      <c r="C22" s="205" t="s">
        <v>204</v>
      </c>
      <c r="D22" s="257" t="s">
        <v>209</v>
      </c>
      <c r="E22" s="207" t="s">
        <v>138</v>
      </c>
      <c r="F22" s="207" t="s">
        <v>285</v>
      </c>
      <c r="G22" s="219" t="s">
        <v>198</v>
      </c>
      <c r="H22" s="207" t="s">
        <v>135</v>
      </c>
      <c r="I22" s="207" t="s">
        <v>141</v>
      </c>
      <c r="J22" s="209">
        <v>2.0</v>
      </c>
      <c r="K22" s="210">
        <v>6.0</v>
      </c>
      <c r="L22" s="211">
        <f>IF(AND(J22&gt;K22,J23&gt;K23),2,IF(J22&gt;K22,1,IF(J23&gt;K23,1,0)))</f>
        <v>0</v>
      </c>
      <c r="M22" s="211">
        <f>IF(AND(K22&gt;J22,K23&gt;J23),2,IF(K22&gt;J22,1,IF(K23&gt;J23,1,0)))</f>
        <v>2</v>
      </c>
      <c r="N22" s="245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</row>
    <row r="23" ht="12.75" customHeight="1">
      <c r="A23" s="187"/>
      <c r="B23" s="187"/>
      <c r="C23" s="212"/>
      <c r="D23" s="213"/>
      <c r="E23" s="213"/>
      <c r="F23" s="213"/>
      <c r="G23" s="213"/>
      <c r="H23" s="213"/>
      <c r="I23" s="213"/>
      <c r="J23" s="214">
        <v>6.0</v>
      </c>
      <c r="K23" s="215">
        <v>7.0</v>
      </c>
      <c r="L23" s="213"/>
      <c r="M23" s="213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</row>
    <row r="24" ht="4.5" customHeight="1">
      <c r="A24" s="187"/>
      <c r="B24" s="187"/>
      <c r="C24" s="217"/>
      <c r="D24" s="23"/>
      <c r="E24" s="23"/>
      <c r="F24" s="23"/>
      <c r="G24" s="23"/>
      <c r="H24" s="23"/>
      <c r="I24" s="23"/>
      <c r="J24" s="23"/>
      <c r="K24" s="23"/>
      <c r="L24" s="23"/>
      <c r="M24" s="202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</row>
    <row r="25" ht="12.75" customHeight="1">
      <c r="A25" s="187"/>
      <c r="B25" s="187"/>
      <c r="C25" s="220" t="s">
        <v>286</v>
      </c>
      <c r="D25" s="23"/>
      <c r="E25" s="23"/>
      <c r="F25" s="23"/>
      <c r="G25" s="23"/>
      <c r="H25" s="23"/>
      <c r="I25" s="200"/>
      <c r="J25" s="221">
        <f t="shared" ref="J25:M25" si="1">SUM(J13:J23)</f>
        <v>32</v>
      </c>
      <c r="K25" s="222">
        <f t="shared" si="1"/>
        <v>45</v>
      </c>
      <c r="L25" s="221">
        <f t="shared" si="1"/>
        <v>2</v>
      </c>
      <c r="M25" s="223">
        <f t="shared" si="1"/>
        <v>6</v>
      </c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</row>
    <row r="26" ht="4.5" customHeight="1">
      <c r="A26" s="187"/>
      <c r="B26" s="187"/>
      <c r="C26" s="224"/>
      <c r="D26" s="23"/>
      <c r="E26" s="23"/>
      <c r="F26" s="23"/>
      <c r="G26" s="23"/>
      <c r="H26" s="23"/>
      <c r="I26" s="23"/>
      <c r="J26" s="23"/>
      <c r="K26" s="23"/>
      <c r="L26" s="23"/>
      <c r="M26" s="202"/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</row>
    <row r="27" ht="12.75" customHeight="1">
      <c r="A27" s="187"/>
      <c r="B27" s="187"/>
      <c r="C27" s="225"/>
      <c r="D27" s="23"/>
      <c r="E27" s="23"/>
      <c r="F27" s="23"/>
      <c r="G27" s="23"/>
      <c r="H27" s="23"/>
      <c r="I27" s="23"/>
      <c r="J27" s="23"/>
      <c r="K27" s="23"/>
      <c r="L27" s="23"/>
      <c r="M27" s="202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</row>
    <row r="28" ht="12.75" customHeight="1">
      <c r="A28" s="187"/>
      <c r="B28" s="187"/>
      <c r="C28" s="205" t="s">
        <v>223</v>
      </c>
      <c r="D28" s="206" t="s">
        <v>202</v>
      </c>
      <c r="E28" s="207" t="s">
        <v>98</v>
      </c>
      <c r="F28" s="207" t="s">
        <v>104</v>
      </c>
      <c r="G28" s="208" t="s">
        <v>198</v>
      </c>
      <c r="H28" s="207" t="s">
        <v>252</v>
      </c>
      <c r="I28" s="207" t="s">
        <v>12</v>
      </c>
      <c r="J28" s="209">
        <v>7.0</v>
      </c>
      <c r="K28" s="210">
        <v>6.0</v>
      </c>
      <c r="L28" s="211">
        <f>IF(AND(J28&gt;K28,J29&gt;K29),2,IF(J28&gt;K28,1,IF(J29&gt;K29,1,0)))</f>
        <v>2</v>
      </c>
      <c r="M28" s="211">
        <f>IF(AND(K28&gt;J28,K29&gt;J29),2,IF(K28&gt;J28,1,IF(K29&gt;J29,1,0)))</f>
        <v>0</v>
      </c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</row>
    <row r="29" ht="12.75" customHeight="1">
      <c r="A29" s="187"/>
      <c r="B29" s="187"/>
      <c r="C29" s="212"/>
      <c r="D29" s="213"/>
      <c r="E29" s="213"/>
      <c r="F29" s="213"/>
      <c r="G29" s="213"/>
      <c r="H29" s="213"/>
      <c r="I29" s="213"/>
      <c r="J29" s="214">
        <v>7.0</v>
      </c>
      <c r="K29" s="215">
        <v>6.0</v>
      </c>
      <c r="L29" s="213"/>
      <c r="M29" s="213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</row>
    <row r="30" ht="4.5" customHeight="1">
      <c r="A30" s="187"/>
      <c r="B30" s="187"/>
      <c r="C30" s="216"/>
      <c r="D30" s="23"/>
      <c r="E30" s="23"/>
      <c r="F30" s="23"/>
      <c r="G30" s="23"/>
      <c r="H30" s="23"/>
      <c r="I30" s="23"/>
      <c r="J30" s="23"/>
      <c r="K30" s="23"/>
      <c r="L30" s="23"/>
      <c r="M30" s="202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</row>
    <row r="31" ht="12.75" customHeight="1">
      <c r="A31" s="226"/>
      <c r="B31" s="187"/>
      <c r="C31" s="205" t="s">
        <v>238</v>
      </c>
      <c r="D31" s="256"/>
      <c r="E31" s="211"/>
      <c r="F31" s="211"/>
      <c r="G31" s="208" t="s">
        <v>198</v>
      </c>
      <c r="H31" s="211"/>
      <c r="I31" s="211"/>
      <c r="J31" s="249"/>
      <c r="K31" s="250"/>
      <c r="L31" s="211">
        <f>IF(AND(J31&gt;K31,J32&gt;K32),2,IF(J31&gt;K31,1,IF(J32&gt;K32,1,0)))</f>
        <v>0</v>
      </c>
      <c r="M31" s="211">
        <f>IF(AND(K31&gt;J31,K32&gt;J32),2,IF(K31&gt;J31,1,IF(K32&gt;J32,1,0)))</f>
        <v>0</v>
      </c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</row>
    <row r="32" ht="12.75" customHeight="1">
      <c r="A32" s="226"/>
      <c r="B32" s="187"/>
      <c r="C32" s="212"/>
      <c r="D32" s="213"/>
      <c r="E32" s="213"/>
      <c r="F32" s="213"/>
      <c r="G32" s="213"/>
      <c r="H32" s="213"/>
      <c r="I32" s="213"/>
      <c r="J32" s="251"/>
      <c r="K32" s="252"/>
      <c r="L32" s="213"/>
      <c r="M32" s="213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</row>
    <row r="33" ht="4.5" customHeight="1">
      <c r="A33" s="187"/>
      <c r="B33" s="187"/>
      <c r="C33" s="217"/>
      <c r="D33" s="23"/>
      <c r="E33" s="23"/>
      <c r="F33" s="23"/>
      <c r="G33" s="23"/>
      <c r="H33" s="23"/>
      <c r="I33" s="23"/>
      <c r="J33" s="23"/>
      <c r="K33" s="23"/>
      <c r="L33" s="23"/>
      <c r="M33" s="202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</row>
    <row r="34" ht="12.75" customHeight="1">
      <c r="A34" s="187"/>
      <c r="B34" s="187"/>
      <c r="C34" s="218" t="s">
        <v>213</v>
      </c>
      <c r="D34" s="206" t="s">
        <v>212</v>
      </c>
      <c r="E34" s="207" t="s">
        <v>37</v>
      </c>
      <c r="F34" s="207" t="s">
        <v>9</v>
      </c>
      <c r="G34" s="208" t="s">
        <v>198</v>
      </c>
      <c r="H34" s="207" t="s">
        <v>53</v>
      </c>
      <c r="I34" s="207" t="s">
        <v>46</v>
      </c>
      <c r="J34" s="209">
        <v>3.0</v>
      </c>
      <c r="K34" s="210">
        <v>6.0</v>
      </c>
      <c r="L34" s="211">
        <f>IF(AND(J34&gt;K34,J35&gt;K35),2,IF(J34&gt;K34,1,IF(J35&gt;K35,1,0)))</f>
        <v>0</v>
      </c>
      <c r="M34" s="211">
        <f>IF(AND(K34&gt;J34,K35&gt;J35),2,IF(K34&gt;J34,1,IF(K35&gt;J35,1,0)))</f>
        <v>2</v>
      </c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</row>
    <row r="35" ht="12.75" customHeight="1">
      <c r="A35" s="187"/>
      <c r="B35" s="187"/>
      <c r="C35" s="212"/>
      <c r="D35" s="213"/>
      <c r="E35" s="213"/>
      <c r="F35" s="213"/>
      <c r="G35" s="213"/>
      <c r="H35" s="213"/>
      <c r="I35" s="213"/>
      <c r="J35" s="214">
        <v>5.0</v>
      </c>
      <c r="K35" s="215">
        <v>7.0</v>
      </c>
      <c r="L35" s="213"/>
      <c r="M35" s="213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</row>
    <row r="36" ht="4.5" customHeight="1">
      <c r="A36" s="187"/>
      <c r="B36" s="187"/>
      <c r="C36" s="217"/>
      <c r="D36" s="23"/>
      <c r="E36" s="23"/>
      <c r="F36" s="23"/>
      <c r="G36" s="23"/>
      <c r="H36" s="23"/>
      <c r="I36" s="23"/>
      <c r="J36" s="23"/>
      <c r="K36" s="23"/>
      <c r="L36" s="23"/>
      <c r="M36" s="202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</row>
    <row r="37" ht="12.75" customHeight="1">
      <c r="A37" s="187"/>
      <c r="B37" s="187"/>
      <c r="C37" s="218" t="s">
        <v>208</v>
      </c>
      <c r="D37" s="235" t="s">
        <v>216</v>
      </c>
      <c r="E37" s="207" t="s">
        <v>57</v>
      </c>
      <c r="F37" s="207" t="s">
        <v>71</v>
      </c>
      <c r="G37" s="208" t="s">
        <v>198</v>
      </c>
      <c r="H37" s="207" t="s">
        <v>251</v>
      </c>
      <c r="I37" s="207" t="s">
        <v>74</v>
      </c>
      <c r="J37" s="209">
        <v>6.0</v>
      </c>
      <c r="K37" s="210">
        <v>2.0</v>
      </c>
      <c r="L37" s="211">
        <f>IF(AND(J37&gt;K37,J38&gt;K38),2,IF(J37&gt;K37,1,IF(J38&gt;K38,1,0)))</f>
        <v>2</v>
      </c>
      <c r="M37" s="211">
        <f>IF(AND(K37&gt;J37,K38&gt;J38),2,IF(K37&gt;J37,1,IF(K38&gt;J38,1,0)))</f>
        <v>0</v>
      </c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</row>
    <row r="38" ht="12.75" customHeight="1">
      <c r="A38" s="187"/>
      <c r="B38" s="187"/>
      <c r="C38" s="212"/>
      <c r="D38" s="213"/>
      <c r="E38" s="213"/>
      <c r="F38" s="213"/>
      <c r="G38" s="213"/>
      <c r="H38" s="213"/>
      <c r="I38" s="213"/>
      <c r="J38" s="214">
        <v>6.0</v>
      </c>
      <c r="K38" s="215">
        <v>1.0</v>
      </c>
      <c r="L38" s="213"/>
      <c r="M38" s="213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</row>
    <row r="39" ht="4.5" customHeight="1">
      <c r="A39" s="187"/>
      <c r="B39" s="187"/>
      <c r="C39" s="217"/>
      <c r="D39" s="23"/>
      <c r="E39" s="23"/>
      <c r="F39" s="23"/>
      <c r="G39" s="23"/>
      <c r="H39" s="23"/>
      <c r="I39" s="23"/>
      <c r="J39" s="23"/>
      <c r="K39" s="23"/>
      <c r="L39" s="23"/>
      <c r="M39" s="202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</row>
    <row r="40" ht="12.75" customHeight="1">
      <c r="A40" s="187"/>
      <c r="B40" s="187"/>
      <c r="C40" s="220" t="s">
        <v>287</v>
      </c>
      <c r="D40" s="23"/>
      <c r="E40" s="23"/>
      <c r="F40" s="23"/>
      <c r="G40" s="23"/>
      <c r="H40" s="23"/>
      <c r="I40" s="200"/>
      <c r="J40" s="221">
        <f t="shared" ref="J40:M40" si="2">SUM(J28:J38)</f>
        <v>34</v>
      </c>
      <c r="K40" s="222">
        <f t="shared" si="2"/>
        <v>28</v>
      </c>
      <c r="L40" s="221">
        <f t="shared" si="2"/>
        <v>4</v>
      </c>
      <c r="M40" s="223">
        <f t="shared" si="2"/>
        <v>2</v>
      </c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</row>
    <row r="41" ht="4.5" customHeight="1">
      <c r="A41" s="187"/>
      <c r="B41" s="187"/>
      <c r="C41" s="224"/>
      <c r="D41" s="23"/>
      <c r="E41" s="23"/>
      <c r="F41" s="23"/>
      <c r="G41" s="23"/>
      <c r="H41" s="23"/>
      <c r="I41" s="23"/>
      <c r="J41" s="23"/>
      <c r="K41" s="23"/>
      <c r="L41" s="23"/>
      <c r="M41" s="202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</row>
    <row r="42" ht="12.75" customHeight="1">
      <c r="A42" s="187"/>
      <c r="B42" s="187"/>
      <c r="C42" s="228" t="s">
        <v>288</v>
      </c>
      <c r="D42" s="23"/>
      <c r="E42" s="23"/>
      <c r="F42" s="23"/>
      <c r="G42" s="23"/>
      <c r="H42" s="23"/>
      <c r="I42" s="200"/>
      <c r="J42" s="229">
        <f t="shared" ref="J42:M42" si="3">J40+J25</f>
        <v>66</v>
      </c>
      <c r="K42" s="230">
        <f t="shared" si="3"/>
        <v>73</v>
      </c>
      <c r="L42" s="231">
        <f t="shared" si="3"/>
        <v>6</v>
      </c>
      <c r="M42" s="232">
        <f t="shared" si="3"/>
        <v>8</v>
      </c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</row>
    <row r="43" ht="6.75" customHeight="1">
      <c r="A43" s="187"/>
      <c r="B43" s="187"/>
      <c r="C43" s="233"/>
      <c r="D43" s="23"/>
      <c r="E43" s="23"/>
      <c r="F43" s="23"/>
      <c r="G43" s="23"/>
      <c r="H43" s="23"/>
      <c r="I43" s="23"/>
      <c r="J43" s="23"/>
      <c r="K43" s="23"/>
      <c r="L43" s="23"/>
      <c r="M43" s="202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</row>
    <row r="44" ht="7.5" customHeight="1">
      <c r="A44" s="187"/>
      <c r="B44" s="187"/>
      <c r="C44" s="196" t="s">
        <v>219</v>
      </c>
      <c r="D44" s="191"/>
      <c r="E44" s="191"/>
      <c r="F44" s="191"/>
      <c r="G44" s="191"/>
      <c r="H44" s="191"/>
      <c r="I44" s="191"/>
      <c r="J44" s="191"/>
      <c r="K44" s="191"/>
      <c r="L44" s="191"/>
      <c r="M44" s="192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</row>
    <row r="45" ht="12.75" customHeight="1">
      <c r="A45" s="187"/>
      <c r="B45" s="187"/>
      <c r="C45" s="193"/>
      <c r="D45" s="194"/>
      <c r="E45" s="194"/>
      <c r="F45" s="194"/>
      <c r="G45" s="194"/>
      <c r="H45" s="194"/>
      <c r="I45" s="194"/>
      <c r="J45" s="194"/>
      <c r="K45" s="194"/>
      <c r="L45" s="194"/>
      <c r="M45" s="195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</row>
    <row r="46" ht="26.25" customHeight="1">
      <c r="A46" s="187"/>
      <c r="B46" s="187"/>
      <c r="C46" s="197" t="s">
        <v>196</v>
      </c>
      <c r="D46" s="198" t="s">
        <v>197</v>
      </c>
      <c r="E46" s="199" t="s">
        <v>180</v>
      </c>
      <c r="F46" s="200"/>
      <c r="G46" s="198"/>
      <c r="H46" s="199" t="s">
        <v>181</v>
      </c>
      <c r="I46" s="200"/>
      <c r="J46" s="201" t="s">
        <v>199</v>
      </c>
      <c r="K46" s="200"/>
      <c r="L46" s="201" t="s">
        <v>200</v>
      </c>
      <c r="M46" s="202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</row>
    <row r="47" ht="12.75" customHeight="1">
      <c r="A47" s="187"/>
      <c r="B47" s="187"/>
      <c r="C47" s="234"/>
      <c r="D47" s="23"/>
      <c r="E47" s="23"/>
      <c r="F47" s="23"/>
      <c r="G47" s="23"/>
      <c r="H47" s="23"/>
      <c r="I47" s="23"/>
      <c r="J47" s="23"/>
      <c r="K47" s="23"/>
      <c r="L47" s="23"/>
      <c r="M47" s="202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</row>
    <row r="48" ht="12.75" customHeight="1">
      <c r="A48" s="187"/>
      <c r="B48" s="187"/>
      <c r="C48" s="205" t="s">
        <v>201</v>
      </c>
      <c r="D48" s="206" t="s">
        <v>207</v>
      </c>
      <c r="E48" s="207" t="s">
        <v>289</v>
      </c>
      <c r="F48" s="207" t="s">
        <v>290</v>
      </c>
      <c r="G48" s="208" t="s">
        <v>291</v>
      </c>
      <c r="H48" s="207" t="s">
        <v>19</v>
      </c>
      <c r="I48" s="207" t="s">
        <v>11</v>
      </c>
      <c r="J48" s="209">
        <v>4.0</v>
      </c>
      <c r="K48" s="210">
        <v>6.0</v>
      </c>
      <c r="L48" s="211">
        <f>IF(AND(J48&gt;K48,J49&gt;K49),2,IF(J48&gt;K48,1,IF(J49&gt;K49,1,0)))</f>
        <v>1</v>
      </c>
      <c r="M48" s="211">
        <f>IF(AND(K48&gt;J48,K49&gt;J49),2,IF(K48&gt;J48,1,IF(K49&gt;J49,1,0)))</f>
        <v>1</v>
      </c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</row>
    <row r="49" ht="12.75" customHeight="1">
      <c r="A49" s="187"/>
      <c r="B49" s="187"/>
      <c r="C49" s="212"/>
      <c r="D49" s="213"/>
      <c r="E49" s="213"/>
      <c r="F49" s="213"/>
      <c r="G49" s="213"/>
      <c r="H49" s="213"/>
      <c r="I49" s="213"/>
      <c r="J49" s="214">
        <v>6.0</v>
      </c>
      <c r="K49" s="215">
        <v>3.0</v>
      </c>
      <c r="L49" s="213"/>
      <c r="M49" s="213"/>
      <c r="N49" s="245"/>
      <c r="O49" s="187"/>
      <c r="P49" s="245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 ht="4.5" customHeight="1">
      <c r="A50" s="187"/>
      <c r="B50" s="187"/>
      <c r="C50" s="216"/>
      <c r="D50" s="23"/>
      <c r="E50" s="23"/>
      <c r="F50" s="23"/>
      <c r="G50" s="23"/>
      <c r="H50" s="23"/>
      <c r="I50" s="23"/>
      <c r="J50" s="23"/>
      <c r="K50" s="23"/>
      <c r="L50" s="23"/>
      <c r="M50" s="202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 ht="12.75" customHeight="1">
      <c r="A51" s="187"/>
      <c r="B51" s="187"/>
      <c r="C51" s="205" t="s">
        <v>204</v>
      </c>
      <c r="D51" s="206" t="s">
        <v>214</v>
      </c>
      <c r="E51" s="207" t="s">
        <v>78</v>
      </c>
      <c r="F51" s="207" t="s">
        <v>85</v>
      </c>
      <c r="G51" s="208" t="s">
        <v>291</v>
      </c>
      <c r="H51" s="207" t="s">
        <v>79</v>
      </c>
      <c r="I51" s="207" t="s">
        <v>86</v>
      </c>
      <c r="J51" s="209">
        <v>0.0</v>
      </c>
      <c r="K51" s="210">
        <v>6.0</v>
      </c>
      <c r="L51" s="211">
        <f>IF(AND(J51&gt;K51,J52&gt;K52),2,IF(J51&gt;K51,1,IF(J52&gt;K52,1,0)))</f>
        <v>0</v>
      </c>
      <c r="M51" s="211">
        <f>IF(AND(K51&gt;J51,K52&gt;J52),2,IF(K51&gt;J51,1,IF(K52&gt;J52,1,0)))</f>
        <v>2</v>
      </c>
      <c r="N51" s="245" t="s">
        <v>292</v>
      </c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 ht="12.75" customHeight="1">
      <c r="A52" s="187"/>
      <c r="B52" s="187"/>
      <c r="C52" s="212"/>
      <c r="D52" s="213"/>
      <c r="E52" s="213"/>
      <c r="F52" s="213"/>
      <c r="G52" s="213"/>
      <c r="H52" s="213"/>
      <c r="I52" s="213"/>
      <c r="J52" s="214">
        <v>0.0</v>
      </c>
      <c r="K52" s="215">
        <v>6.0</v>
      </c>
      <c r="L52" s="213"/>
      <c r="M52" s="213"/>
      <c r="N52" s="245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 ht="4.5" customHeight="1">
      <c r="A53" s="187"/>
      <c r="B53" s="187"/>
      <c r="C53" s="217"/>
      <c r="D53" s="23"/>
      <c r="E53" s="23"/>
      <c r="F53" s="23"/>
      <c r="G53" s="23"/>
      <c r="H53" s="23"/>
      <c r="I53" s="23"/>
      <c r="J53" s="23"/>
      <c r="K53" s="23"/>
      <c r="L53" s="23"/>
      <c r="M53" s="202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  <row r="54" ht="12.75" customHeight="1">
      <c r="A54" s="187"/>
      <c r="B54" s="187"/>
      <c r="C54" s="205" t="s">
        <v>206</v>
      </c>
      <c r="D54" s="206" t="s">
        <v>205</v>
      </c>
      <c r="E54" s="207" t="s">
        <v>116</v>
      </c>
      <c r="F54" s="207" t="s">
        <v>127</v>
      </c>
      <c r="G54" s="208" t="s">
        <v>198</v>
      </c>
      <c r="H54" s="207" t="s">
        <v>117</v>
      </c>
      <c r="I54" s="207" t="s">
        <v>122</v>
      </c>
      <c r="J54" s="209">
        <v>2.0</v>
      </c>
      <c r="K54" s="210">
        <v>6.0</v>
      </c>
      <c r="L54" s="211">
        <f>IF(AND(J54&gt;K54,J55&gt;K55),2,IF(J54&gt;K54,1,IF(J55&gt;K55,1,0)))</f>
        <v>0</v>
      </c>
      <c r="M54" s="211">
        <f>IF(AND(K54&gt;J54,K55&gt;J55),2,IF(K54&gt;J54,1,IF(K55&gt;J55,1,0)))</f>
        <v>2</v>
      </c>
      <c r="N54" s="245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</row>
    <row r="55" ht="12.75" customHeight="1">
      <c r="A55" s="187"/>
      <c r="B55" s="187"/>
      <c r="C55" s="212"/>
      <c r="D55" s="213"/>
      <c r="E55" s="213"/>
      <c r="F55" s="213"/>
      <c r="G55" s="213"/>
      <c r="H55" s="213"/>
      <c r="I55" s="213"/>
      <c r="J55" s="214">
        <v>1.0</v>
      </c>
      <c r="K55" s="215">
        <v>6.0</v>
      </c>
      <c r="L55" s="213"/>
      <c r="M55" s="213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</row>
    <row r="56" ht="4.5" customHeight="1">
      <c r="A56" s="187"/>
      <c r="B56" s="187"/>
      <c r="C56" s="217"/>
      <c r="D56" s="23"/>
      <c r="E56" s="23"/>
      <c r="F56" s="23"/>
      <c r="G56" s="23"/>
      <c r="H56" s="23"/>
      <c r="I56" s="23"/>
      <c r="J56" s="23"/>
      <c r="K56" s="23"/>
      <c r="L56" s="23"/>
      <c r="M56" s="202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</row>
    <row r="57" ht="12.75" customHeight="1">
      <c r="A57" s="187"/>
      <c r="B57" s="187"/>
      <c r="C57" s="205"/>
      <c r="D57" s="235" t="s">
        <v>209</v>
      </c>
      <c r="E57" s="207" t="s">
        <v>133</v>
      </c>
      <c r="F57" s="207" t="s">
        <v>139</v>
      </c>
      <c r="G57" s="219" t="s">
        <v>198</v>
      </c>
      <c r="H57" s="207" t="s">
        <v>134</v>
      </c>
      <c r="I57" s="207" t="s">
        <v>140</v>
      </c>
      <c r="J57" s="209">
        <v>2.0</v>
      </c>
      <c r="K57" s="210">
        <v>6.0</v>
      </c>
      <c r="L57" s="211">
        <f>IF(AND(J57&gt;K57,J58&gt;K58),2,IF(J57&gt;K57,1,IF(J58&gt;K58,1,0)))</f>
        <v>0</v>
      </c>
      <c r="M57" s="211">
        <f>IF(AND(K57&gt;J57,K58&gt;J58),2,IF(K57&gt;J57,1,IF(K58&gt;J58,1,0)))</f>
        <v>2</v>
      </c>
      <c r="N57" s="245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</row>
    <row r="58" ht="12.75" customHeight="1">
      <c r="A58" s="187"/>
      <c r="B58" s="187"/>
      <c r="C58" s="212"/>
      <c r="D58" s="213"/>
      <c r="E58" s="213"/>
      <c r="F58" s="213"/>
      <c r="G58" s="213"/>
      <c r="H58" s="213"/>
      <c r="I58" s="213"/>
      <c r="J58" s="214">
        <v>3.0</v>
      </c>
      <c r="K58" s="215">
        <v>6.0</v>
      </c>
      <c r="L58" s="213"/>
      <c r="M58" s="213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</row>
    <row r="59" ht="4.5" customHeight="1">
      <c r="A59" s="187"/>
      <c r="B59" s="187"/>
      <c r="C59" s="253"/>
      <c r="D59" s="254"/>
      <c r="E59" s="254"/>
      <c r="F59" s="254"/>
      <c r="G59" s="254"/>
      <c r="H59" s="254"/>
      <c r="I59" s="254"/>
      <c r="J59" s="254"/>
      <c r="K59" s="254"/>
      <c r="L59" s="254"/>
      <c r="M59" s="255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</row>
    <row r="60" ht="12.75" customHeight="1">
      <c r="A60" s="187"/>
      <c r="B60" s="187"/>
      <c r="C60" s="220" t="s">
        <v>286</v>
      </c>
      <c r="D60" s="23"/>
      <c r="E60" s="23"/>
      <c r="F60" s="23"/>
      <c r="G60" s="23"/>
      <c r="H60" s="23"/>
      <c r="I60" s="200"/>
      <c r="J60" s="221">
        <f t="shared" ref="J60:M60" si="4">SUM(J48:J58)</f>
        <v>18</v>
      </c>
      <c r="K60" s="222">
        <f t="shared" si="4"/>
        <v>45</v>
      </c>
      <c r="L60" s="221">
        <f t="shared" si="4"/>
        <v>1</v>
      </c>
      <c r="M60" s="223">
        <f t="shared" si="4"/>
        <v>7</v>
      </c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</row>
    <row r="61" ht="4.5" customHeight="1">
      <c r="A61" s="187"/>
      <c r="B61" s="187"/>
      <c r="C61" s="224"/>
      <c r="D61" s="23"/>
      <c r="E61" s="23"/>
      <c r="F61" s="23"/>
      <c r="G61" s="23"/>
      <c r="H61" s="23"/>
      <c r="I61" s="23"/>
      <c r="J61" s="23"/>
      <c r="K61" s="23"/>
      <c r="L61" s="23"/>
      <c r="M61" s="202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</row>
    <row r="62" ht="12.75" customHeight="1">
      <c r="A62" s="187"/>
      <c r="B62" s="187"/>
      <c r="C62" s="225"/>
      <c r="D62" s="23"/>
      <c r="E62" s="23"/>
      <c r="F62" s="23"/>
      <c r="G62" s="23"/>
      <c r="H62" s="23"/>
      <c r="I62" s="23"/>
      <c r="J62" s="23"/>
      <c r="K62" s="23"/>
      <c r="L62" s="23"/>
      <c r="M62" s="202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</row>
    <row r="63" ht="12.75" customHeight="1">
      <c r="A63" s="187"/>
      <c r="B63" s="187"/>
      <c r="C63" s="205" t="s">
        <v>223</v>
      </c>
      <c r="D63" s="206" t="s">
        <v>202</v>
      </c>
      <c r="E63" s="207" t="s">
        <v>99</v>
      </c>
      <c r="F63" s="207" t="s">
        <v>111</v>
      </c>
      <c r="G63" s="208" t="s">
        <v>291</v>
      </c>
      <c r="H63" s="207" t="s">
        <v>106</v>
      </c>
      <c r="I63" s="207" t="s">
        <v>112</v>
      </c>
      <c r="J63" s="209">
        <v>6.0</v>
      </c>
      <c r="K63" s="210">
        <v>7.0</v>
      </c>
      <c r="L63" s="211">
        <f>IF(AND(J63&gt;K63,J64&gt;K64),2,IF(J63&gt;K63,1,IF(J64&gt;K64,1,0)))</f>
        <v>1</v>
      </c>
      <c r="M63" s="211">
        <f>IF(AND(K63&gt;J63,K64&gt;J64),2,IF(K63&gt;J63,1,IF(K64&gt;J64,1,0)))</f>
        <v>1</v>
      </c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</row>
    <row r="64" ht="12.75" customHeight="1">
      <c r="A64" s="187"/>
      <c r="B64" s="187"/>
      <c r="C64" s="212"/>
      <c r="D64" s="213"/>
      <c r="E64" s="213"/>
      <c r="F64" s="213"/>
      <c r="G64" s="213"/>
      <c r="H64" s="213"/>
      <c r="I64" s="213"/>
      <c r="J64" s="214">
        <v>6.0</v>
      </c>
      <c r="K64" s="215">
        <v>2.0</v>
      </c>
      <c r="L64" s="213"/>
      <c r="M64" s="213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</row>
    <row r="65" ht="4.5" customHeight="1">
      <c r="A65" s="187"/>
      <c r="B65" s="187"/>
      <c r="C65" s="216"/>
      <c r="D65" s="23"/>
      <c r="E65" s="23"/>
      <c r="F65" s="23"/>
      <c r="G65" s="23"/>
      <c r="H65" s="23"/>
      <c r="I65" s="23"/>
      <c r="J65" s="23"/>
      <c r="K65" s="23"/>
      <c r="L65" s="23"/>
      <c r="M65" s="202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</row>
    <row r="66" ht="12.75" customHeight="1">
      <c r="A66" s="187"/>
      <c r="B66" s="187"/>
      <c r="C66" s="218" t="s">
        <v>213</v>
      </c>
      <c r="D66" s="206" t="s">
        <v>216</v>
      </c>
      <c r="E66" s="207" t="s">
        <v>65</v>
      </c>
      <c r="F66" s="207" t="s">
        <v>72</v>
      </c>
      <c r="G66" s="208" t="s">
        <v>198</v>
      </c>
      <c r="H66" s="207" t="s">
        <v>66</v>
      </c>
      <c r="I66" s="207" t="s">
        <v>59</v>
      </c>
      <c r="J66" s="209">
        <v>1.0</v>
      </c>
      <c r="K66" s="210">
        <v>6.0</v>
      </c>
      <c r="L66" s="211">
        <f>IF(AND(J66&gt;K66,J67&gt;K67),2,IF(J66&gt;K66,1,IF(J67&gt;K67,1,0)))</f>
        <v>0</v>
      </c>
      <c r="M66" s="211">
        <f>IF(AND(K66&gt;J66,K67&gt;J67),2,IF(K66&gt;J66,1,IF(K67&gt;J67,1,0)))</f>
        <v>2</v>
      </c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</row>
    <row r="67" ht="12.75" customHeight="1">
      <c r="A67" s="187"/>
      <c r="B67" s="187"/>
      <c r="C67" s="212"/>
      <c r="D67" s="213"/>
      <c r="E67" s="213"/>
      <c r="F67" s="213"/>
      <c r="G67" s="213"/>
      <c r="H67" s="213"/>
      <c r="I67" s="213"/>
      <c r="J67" s="214">
        <v>4.0</v>
      </c>
      <c r="K67" s="215">
        <v>6.0</v>
      </c>
      <c r="L67" s="213"/>
      <c r="M67" s="213"/>
      <c r="N67" s="187"/>
      <c r="O67" s="187"/>
      <c r="P67" s="187"/>
      <c r="Q67" s="187" t="s">
        <v>227</v>
      </c>
      <c r="R67" s="187"/>
      <c r="S67" s="187"/>
      <c r="T67" s="187"/>
      <c r="U67" s="187"/>
      <c r="V67" s="187"/>
      <c r="W67" s="187"/>
      <c r="X67" s="187"/>
      <c r="Y67" s="187"/>
      <c r="Z67" s="187"/>
    </row>
    <row r="68" ht="4.5" customHeight="1">
      <c r="A68" s="187"/>
      <c r="B68" s="187"/>
      <c r="C68" s="217"/>
      <c r="D68" s="23"/>
      <c r="E68" s="23"/>
      <c r="F68" s="23"/>
      <c r="G68" s="23"/>
      <c r="H68" s="23"/>
      <c r="I68" s="23"/>
      <c r="J68" s="23"/>
      <c r="K68" s="23"/>
      <c r="L68" s="23"/>
      <c r="M68" s="202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</row>
    <row r="69" ht="12.75" customHeight="1">
      <c r="A69" s="187"/>
      <c r="B69" s="187"/>
      <c r="C69" s="218" t="s">
        <v>208</v>
      </c>
      <c r="D69" s="206" t="s">
        <v>212</v>
      </c>
      <c r="E69" s="207" t="s">
        <v>38</v>
      </c>
      <c r="F69" s="207" t="s">
        <v>44</v>
      </c>
      <c r="G69" s="208" t="s">
        <v>198</v>
      </c>
      <c r="H69" s="207" t="s">
        <v>45</v>
      </c>
      <c r="I69" s="207" t="s">
        <v>52</v>
      </c>
      <c r="J69" s="209">
        <v>6.0</v>
      </c>
      <c r="K69" s="210">
        <v>4.0</v>
      </c>
      <c r="L69" s="211">
        <f>IF(AND(J69&gt;K69,J70&gt;K70),2,IF(J69&gt;K69,1,IF(J70&gt;K70,1,0)))</f>
        <v>1</v>
      </c>
      <c r="M69" s="211">
        <f>IF(AND(K69&gt;J69,K70&gt;J70),2,IF(K69&gt;J69,1,IF(K70&gt;J70,1,0)))</f>
        <v>1</v>
      </c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</row>
    <row r="70" ht="12.75" customHeight="1">
      <c r="A70" s="187"/>
      <c r="B70" s="187"/>
      <c r="C70" s="212"/>
      <c r="D70" s="213"/>
      <c r="E70" s="213"/>
      <c r="F70" s="213"/>
      <c r="G70" s="213"/>
      <c r="H70" s="213"/>
      <c r="I70" s="213"/>
      <c r="J70" s="214">
        <v>3.0</v>
      </c>
      <c r="K70" s="215">
        <v>6.0</v>
      </c>
      <c r="L70" s="213"/>
      <c r="M70" s="213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</row>
    <row r="71" ht="4.5" customHeight="1">
      <c r="A71" s="187"/>
      <c r="B71" s="187"/>
      <c r="C71" s="217"/>
      <c r="D71" s="23"/>
      <c r="E71" s="23"/>
      <c r="F71" s="23"/>
      <c r="G71" s="23"/>
      <c r="H71" s="23"/>
      <c r="I71" s="23"/>
      <c r="J71" s="23"/>
      <c r="K71" s="23"/>
      <c r="L71" s="23"/>
      <c r="M71" s="202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</row>
    <row r="72" ht="12.75" customHeight="1">
      <c r="A72" s="187"/>
      <c r="B72" s="187"/>
      <c r="C72" s="205"/>
      <c r="D72" s="248"/>
      <c r="E72" s="211"/>
      <c r="F72" s="211"/>
      <c r="G72" s="208"/>
      <c r="H72" s="211"/>
      <c r="I72" s="211"/>
      <c r="J72" s="249"/>
      <c r="K72" s="250"/>
      <c r="L72" s="211">
        <f>IF(AND(J72&gt;K72,J73&gt;K73),2,IF(J72&gt;K72,1,IF(J73&gt;K73,1,0)))</f>
        <v>0</v>
      </c>
      <c r="M72" s="211">
        <f>IF(AND(K72&gt;J72,K73&gt;J73),2,IF(K72&gt;J72,1,IF(K73&gt;J73,1,0)))</f>
        <v>0</v>
      </c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</row>
    <row r="73" ht="12.75" customHeight="1">
      <c r="A73" s="187"/>
      <c r="B73" s="187"/>
      <c r="C73" s="212"/>
      <c r="D73" s="213"/>
      <c r="E73" s="213"/>
      <c r="F73" s="213"/>
      <c r="G73" s="213"/>
      <c r="H73" s="213"/>
      <c r="I73" s="213"/>
      <c r="J73" s="251"/>
      <c r="K73" s="252"/>
      <c r="L73" s="213"/>
      <c r="M73" s="213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</row>
    <row r="74" ht="4.5" customHeight="1">
      <c r="A74" s="187"/>
      <c r="B74" s="187"/>
      <c r="C74" s="217"/>
      <c r="D74" s="23"/>
      <c r="E74" s="23"/>
      <c r="F74" s="23"/>
      <c r="G74" s="23"/>
      <c r="H74" s="23"/>
      <c r="I74" s="23"/>
      <c r="J74" s="23"/>
      <c r="K74" s="23"/>
      <c r="L74" s="23"/>
      <c r="M74" s="202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</row>
    <row r="75" ht="12.75" customHeight="1">
      <c r="A75" s="187"/>
      <c r="B75" s="187"/>
      <c r="C75" s="220" t="s">
        <v>287</v>
      </c>
      <c r="D75" s="23"/>
      <c r="E75" s="23"/>
      <c r="F75" s="23"/>
      <c r="G75" s="23"/>
      <c r="H75" s="23"/>
      <c r="I75" s="200"/>
      <c r="J75" s="221">
        <f t="shared" ref="J75:M75" si="5">SUM(J63:J73)</f>
        <v>26</v>
      </c>
      <c r="K75" s="222">
        <f t="shared" si="5"/>
        <v>31</v>
      </c>
      <c r="L75" s="221">
        <f t="shared" si="5"/>
        <v>2</v>
      </c>
      <c r="M75" s="223">
        <f t="shared" si="5"/>
        <v>4</v>
      </c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</row>
    <row r="76" ht="4.5" customHeight="1">
      <c r="A76" s="187"/>
      <c r="B76" s="187"/>
      <c r="C76" s="224"/>
      <c r="D76" s="23"/>
      <c r="E76" s="23"/>
      <c r="F76" s="23"/>
      <c r="G76" s="23"/>
      <c r="H76" s="23"/>
      <c r="I76" s="23"/>
      <c r="J76" s="23"/>
      <c r="K76" s="23"/>
      <c r="L76" s="23"/>
      <c r="M76" s="202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</row>
    <row r="77" ht="12.75" customHeight="1">
      <c r="A77" s="187"/>
      <c r="B77" s="187"/>
      <c r="C77" s="228" t="s">
        <v>288</v>
      </c>
      <c r="D77" s="23"/>
      <c r="E77" s="23"/>
      <c r="F77" s="23"/>
      <c r="G77" s="23"/>
      <c r="H77" s="23"/>
      <c r="I77" s="200"/>
      <c r="J77" s="229">
        <f t="shared" ref="J77:M77" si="6">J75+J60</f>
        <v>44</v>
      </c>
      <c r="K77" s="230">
        <f t="shared" si="6"/>
        <v>76</v>
      </c>
      <c r="L77" s="231">
        <f t="shared" si="6"/>
        <v>3</v>
      </c>
      <c r="M77" s="232">
        <f t="shared" si="6"/>
        <v>11</v>
      </c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</row>
    <row r="78" ht="6.75" customHeight="1">
      <c r="A78" s="187"/>
      <c r="B78" s="187"/>
      <c r="C78" s="233"/>
      <c r="D78" s="23"/>
      <c r="E78" s="23"/>
      <c r="F78" s="23"/>
      <c r="G78" s="23"/>
      <c r="H78" s="23"/>
      <c r="I78" s="23"/>
      <c r="J78" s="23"/>
      <c r="K78" s="23"/>
      <c r="L78" s="23"/>
      <c r="M78" s="202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</row>
    <row r="79" ht="12.75" customHeight="1">
      <c r="A79" s="187"/>
      <c r="B79" s="187"/>
      <c r="C79" s="196" t="s">
        <v>225</v>
      </c>
      <c r="D79" s="191"/>
      <c r="E79" s="191"/>
      <c r="F79" s="191"/>
      <c r="G79" s="191"/>
      <c r="H79" s="191"/>
      <c r="I79" s="191"/>
      <c r="J79" s="191"/>
      <c r="K79" s="191"/>
      <c r="L79" s="191"/>
      <c r="M79" s="192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</row>
    <row r="80" ht="12.75" customHeight="1">
      <c r="A80" s="187"/>
      <c r="B80" s="187"/>
      <c r="C80" s="193"/>
      <c r="D80" s="194"/>
      <c r="E80" s="194"/>
      <c r="F80" s="194"/>
      <c r="G80" s="194"/>
      <c r="H80" s="194"/>
      <c r="I80" s="194"/>
      <c r="J80" s="194"/>
      <c r="K80" s="194"/>
      <c r="L80" s="194"/>
      <c r="M80" s="195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</row>
    <row r="81" ht="26.25" customHeight="1">
      <c r="A81" s="187"/>
      <c r="B81" s="187"/>
      <c r="C81" s="236" t="s">
        <v>196</v>
      </c>
      <c r="D81" s="201" t="s">
        <v>197</v>
      </c>
      <c r="E81" s="199" t="s">
        <v>183</v>
      </c>
      <c r="F81" s="200"/>
      <c r="G81" s="198"/>
      <c r="H81" s="199" t="s">
        <v>184</v>
      </c>
      <c r="I81" s="200"/>
      <c r="J81" s="237"/>
      <c r="K81" s="200"/>
      <c r="L81" s="201"/>
      <c r="M81" s="202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</row>
    <row r="82" ht="12.75" customHeight="1">
      <c r="A82" s="187"/>
      <c r="B82" s="187"/>
      <c r="C82" s="203"/>
      <c r="M82" s="204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</row>
    <row r="83" ht="12.75" customHeight="1">
      <c r="A83" s="187"/>
      <c r="B83" s="187"/>
      <c r="C83" s="205" t="s">
        <v>204</v>
      </c>
      <c r="D83" s="206" t="s">
        <v>205</v>
      </c>
      <c r="E83" s="207" t="s">
        <v>119</v>
      </c>
      <c r="F83" s="207" t="s">
        <v>234</v>
      </c>
      <c r="G83" s="219" t="s">
        <v>198</v>
      </c>
      <c r="H83" s="207" t="s">
        <v>14</v>
      </c>
      <c r="I83" s="207" t="s">
        <v>125</v>
      </c>
      <c r="J83" s="209">
        <v>3.0</v>
      </c>
      <c r="K83" s="210">
        <v>6.0</v>
      </c>
      <c r="L83" s="211">
        <f>IF(AND(J83&gt;K83,J84&gt;K84),2,IF(J83&gt;K83,1,IF(J84&gt;K84,1,0)))</f>
        <v>1</v>
      </c>
      <c r="M83" s="211">
        <f>IF(AND(K83&gt;J83,K84&gt;J84),2,IF(K83&gt;J83,1,IF(K84&gt;J84,1,0)))</f>
        <v>1</v>
      </c>
      <c r="N83" s="245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</row>
    <row r="84" ht="12.75" customHeight="1">
      <c r="A84" s="187"/>
      <c r="B84" s="187"/>
      <c r="C84" s="212"/>
      <c r="D84" s="213"/>
      <c r="E84" s="213"/>
      <c r="F84" s="213"/>
      <c r="G84" s="213"/>
      <c r="H84" s="213"/>
      <c r="I84" s="213"/>
      <c r="J84" s="214">
        <v>6.0</v>
      </c>
      <c r="K84" s="215">
        <v>3.0</v>
      </c>
      <c r="L84" s="213"/>
      <c r="M84" s="213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</row>
    <row r="85" ht="4.5" customHeight="1">
      <c r="A85" s="187"/>
      <c r="B85" s="187"/>
      <c r="C85" s="216" t="s">
        <v>227</v>
      </c>
      <c r="D85" s="23"/>
      <c r="E85" s="23"/>
      <c r="F85" s="23"/>
      <c r="G85" s="23"/>
      <c r="H85" s="23"/>
      <c r="I85" s="23"/>
      <c r="J85" s="23"/>
      <c r="K85" s="23"/>
      <c r="L85" s="23"/>
      <c r="M85" s="202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</row>
    <row r="86" ht="12.75" customHeight="1">
      <c r="A86" s="187"/>
      <c r="B86" s="187"/>
      <c r="C86" s="205" t="s">
        <v>204</v>
      </c>
      <c r="D86" s="206" t="s">
        <v>209</v>
      </c>
      <c r="E86" s="207" t="s">
        <v>136</v>
      </c>
      <c r="F86" s="207" t="s">
        <v>142</v>
      </c>
      <c r="G86" s="208" t="s">
        <v>198</v>
      </c>
      <c r="H86" s="207" t="s">
        <v>137</v>
      </c>
      <c r="I86" s="207" t="s">
        <v>149</v>
      </c>
      <c r="J86" s="209">
        <v>1.0</v>
      </c>
      <c r="K86" s="210">
        <v>6.0</v>
      </c>
      <c r="L86" s="211">
        <f>IF(AND(J86&gt;K86,J87&gt;K87),2,IF(J86&gt;K86,1,IF(J87&gt;K87,1,0)))</f>
        <v>1</v>
      </c>
      <c r="M86" s="211">
        <f>IF(AND(K86&gt;J86,K87&gt;J87),2,IF(K86&gt;J86,1,IF(K87&gt;J87,1,0)))</f>
        <v>1</v>
      </c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</row>
    <row r="87" ht="12.75" customHeight="1">
      <c r="A87" s="187"/>
      <c r="B87" s="187"/>
      <c r="C87" s="212"/>
      <c r="D87" s="213"/>
      <c r="E87" s="213"/>
      <c r="F87" s="213"/>
      <c r="G87" s="213"/>
      <c r="H87" s="213"/>
      <c r="I87" s="213"/>
      <c r="J87" s="214">
        <v>6.0</v>
      </c>
      <c r="K87" s="215">
        <v>2.0</v>
      </c>
      <c r="L87" s="213"/>
      <c r="M87" s="213"/>
      <c r="N87" s="245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</row>
    <row r="88" ht="4.5" customHeight="1">
      <c r="A88" s="187"/>
      <c r="B88" s="187"/>
      <c r="C88" s="217"/>
      <c r="D88" s="23"/>
      <c r="E88" s="23"/>
      <c r="F88" s="23"/>
      <c r="G88" s="23"/>
      <c r="H88" s="23"/>
      <c r="I88" s="23"/>
      <c r="J88" s="23"/>
      <c r="K88" s="23"/>
      <c r="L88" s="23"/>
      <c r="M88" s="202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</row>
    <row r="89" ht="12.75" customHeight="1">
      <c r="A89" s="187"/>
      <c r="B89" s="187"/>
      <c r="C89" s="218" t="s">
        <v>213</v>
      </c>
      <c r="D89" s="206" t="s">
        <v>202</v>
      </c>
      <c r="E89" s="207" t="s">
        <v>102</v>
      </c>
      <c r="F89" s="207" t="s">
        <v>108</v>
      </c>
      <c r="G89" s="208" t="s">
        <v>198</v>
      </c>
      <c r="H89" s="207" t="s">
        <v>103</v>
      </c>
      <c r="I89" s="207" t="s">
        <v>114</v>
      </c>
      <c r="J89" s="209">
        <v>1.0</v>
      </c>
      <c r="K89" s="210">
        <v>6.0</v>
      </c>
      <c r="L89" s="211">
        <f>IF(AND(J89&gt;K89,J90&gt;K90),2,IF(J89&gt;K89,1,IF(J90&gt;K90,1,0)))</f>
        <v>0</v>
      </c>
      <c r="M89" s="211">
        <f>IF(AND(K89&gt;J89,K90&gt;J90),2,IF(K89&gt;J89,1,IF(K90&gt;J90,1,0)))</f>
        <v>2</v>
      </c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</row>
    <row r="90" ht="12.75" customHeight="1">
      <c r="A90" s="187"/>
      <c r="B90" s="187"/>
      <c r="C90" s="212"/>
      <c r="D90" s="213"/>
      <c r="E90" s="213"/>
      <c r="F90" s="213"/>
      <c r="G90" s="213"/>
      <c r="H90" s="213"/>
      <c r="I90" s="213"/>
      <c r="J90" s="214">
        <v>5.0</v>
      </c>
      <c r="K90" s="215">
        <v>7.0</v>
      </c>
      <c r="L90" s="213"/>
      <c r="M90" s="213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</row>
    <row r="91" ht="4.5" customHeight="1">
      <c r="A91" s="187"/>
      <c r="B91" s="187"/>
      <c r="C91" s="217"/>
      <c r="D91" s="23"/>
      <c r="E91" s="23"/>
      <c r="F91" s="23"/>
      <c r="G91" s="23"/>
      <c r="H91" s="23"/>
      <c r="I91" s="23"/>
      <c r="J91" s="23"/>
      <c r="K91" s="23"/>
      <c r="L91" s="23"/>
      <c r="M91" s="202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</row>
    <row r="92" ht="12.75" customHeight="1">
      <c r="A92" s="187"/>
      <c r="B92" s="187"/>
      <c r="C92" s="205"/>
      <c r="D92" s="248"/>
      <c r="E92" s="211"/>
      <c r="F92" s="211"/>
      <c r="G92" s="208"/>
      <c r="H92" s="211"/>
      <c r="I92" s="211"/>
      <c r="J92" s="249"/>
      <c r="K92" s="250"/>
      <c r="L92" s="211">
        <f>IF(AND(J92&gt;K92,J93&gt;K93),2,IF(J92&gt;K92,1,IF(J93&gt;K93,1,0)))</f>
        <v>0</v>
      </c>
      <c r="M92" s="211">
        <f>IF(AND(K92&gt;J92,K93&gt;J93),2,IF(K92&gt;J92,1,IF(K93&gt;J93,1,0)))</f>
        <v>0</v>
      </c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</row>
    <row r="93" ht="12.75" customHeight="1">
      <c r="A93" s="187"/>
      <c r="B93" s="187"/>
      <c r="C93" s="212"/>
      <c r="D93" s="213"/>
      <c r="E93" s="213"/>
      <c r="F93" s="213"/>
      <c r="G93" s="213"/>
      <c r="H93" s="213"/>
      <c r="I93" s="213"/>
      <c r="J93" s="251"/>
      <c r="K93" s="252"/>
      <c r="L93" s="213"/>
      <c r="M93" s="213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</row>
    <row r="94" ht="4.5" customHeight="1">
      <c r="A94" s="187"/>
      <c r="B94" s="187"/>
      <c r="C94" s="253"/>
      <c r="D94" s="254"/>
      <c r="E94" s="254"/>
      <c r="F94" s="254"/>
      <c r="G94" s="254"/>
      <c r="H94" s="254"/>
      <c r="I94" s="254"/>
      <c r="J94" s="254"/>
      <c r="K94" s="254"/>
      <c r="L94" s="254"/>
      <c r="M94" s="255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</row>
    <row r="95" ht="12.75" customHeight="1">
      <c r="A95" s="187"/>
      <c r="B95" s="187"/>
      <c r="C95" s="220" t="s">
        <v>286</v>
      </c>
      <c r="D95" s="23"/>
      <c r="E95" s="23"/>
      <c r="F95" s="23"/>
      <c r="G95" s="23"/>
      <c r="H95" s="23"/>
      <c r="I95" s="200"/>
      <c r="J95" s="221">
        <f t="shared" ref="J95:M95" si="7">SUM(J83:J93)</f>
        <v>22</v>
      </c>
      <c r="K95" s="222">
        <f t="shared" si="7"/>
        <v>30</v>
      </c>
      <c r="L95" s="221">
        <f t="shared" si="7"/>
        <v>2</v>
      </c>
      <c r="M95" s="223">
        <f t="shared" si="7"/>
        <v>4</v>
      </c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</row>
    <row r="96" ht="4.5" customHeight="1">
      <c r="A96" s="187"/>
      <c r="B96" s="187"/>
      <c r="C96" s="224"/>
      <c r="D96" s="23"/>
      <c r="E96" s="23"/>
      <c r="F96" s="23"/>
      <c r="G96" s="23"/>
      <c r="H96" s="23"/>
      <c r="I96" s="23"/>
      <c r="J96" s="23"/>
      <c r="K96" s="23"/>
      <c r="L96" s="23"/>
      <c r="M96" s="202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</row>
    <row r="97" ht="12.75" customHeight="1">
      <c r="A97" s="187"/>
      <c r="B97" s="187"/>
      <c r="C97" s="225"/>
      <c r="D97" s="23"/>
      <c r="E97" s="23"/>
      <c r="F97" s="23"/>
      <c r="G97" s="23"/>
      <c r="H97" s="23"/>
      <c r="I97" s="23"/>
      <c r="J97" s="23"/>
      <c r="K97" s="23"/>
      <c r="L97" s="23"/>
      <c r="M97" s="202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</row>
    <row r="98" ht="12.75" customHeight="1">
      <c r="A98" s="187"/>
      <c r="B98" s="187"/>
      <c r="C98" s="205" t="s">
        <v>223</v>
      </c>
      <c r="D98" s="206" t="s">
        <v>207</v>
      </c>
      <c r="E98" s="207" t="s">
        <v>21</v>
      </c>
      <c r="F98" s="207" t="s">
        <v>34</v>
      </c>
      <c r="G98" s="208" t="s">
        <v>291</v>
      </c>
      <c r="H98" s="207" t="s">
        <v>22</v>
      </c>
      <c r="I98" s="207" t="s">
        <v>35</v>
      </c>
      <c r="J98" s="209">
        <v>2.0</v>
      </c>
      <c r="K98" s="210">
        <v>6.0</v>
      </c>
      <c r="L98" s="211">
        <f>IF(AND(J98&gt;K98,J99&gt;K99),2,IF(J98&gt;K98,1,IF(J99&gt;K99,1,0)))</f>
        <v>1</v>
      </c>
      <c r="M98" s="211">
        <f>IF(AND(K98&gt;J98,K99&gt;J99),2,IF(K98&gt;J98,1,IF(K99&gt;J99,1,0)))</f>
        <v>1</v>
      </c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</row>
    <row r="99" ht="12.75" customHeight="1">
      <c r="A99" s="187"/>
      <c r="B99" s="187"/>
      <c r="C99" s="212"/>
      <c r="D99" s="213"/>
      <c r="E99" s="213"/>
      <c r="F99" s="213"/>
      <c r="G99" s="213"/>
      <c r="H99" s="213"/>
      <c r="I99" s="213"/>
      <c r="J99" s="214">
        <v>6.0</v>
      </c>
      <c r="K99" s="215">
        <v>2.0</v>
      </c>
      <c r="L99" s="213"/>
      <c r="M99" s="213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</row>
    <row r="100" ht="4.5" customHeight="1">
      <c r="A100" s="187"/>
      <c r="B100" s="187"/>
      <c r="C100" s="216"/>
      <c r="D100" s="23"/>
      <c r="E100" s="23"/>
      <c r="F100" s="23"/>
      <c r="G100" s="23"/>
      <c r="H100" s="23"/>
      <c r="I100" s="23"/>
      <c r="J100" s="23"/>
      <c r="K100" s="23"/>
      <c r="L100" s="23"/>
      <c r="M100" s="202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</row>
    <row r="101" ht="12.75" customHeight="1">
      <c r="A101" s="187"/>
      <c r="B101" s="187"/>
      <c r="C101" s="218" t="s">
        <v>213</v>
      </c>
      <c r="D101" s="206" t="s">
        <v>214</v>
      </c>
      <c r="E101" s="207" t="s">
        <v>81</v>
      </c>
      <c r="F101" s="207" t="s">
        <v>95</v>
      </c>
      <c r="G101" s="208" t="s">
        <v>198</v>
      </c>
      <c r="H101" s="207" t="s">
        <v>82</v>
      </c>
      <c r="I101" s="207" t="s">
        <v>96</v>
      </c>
      <c r="J101" s="209">
        <v>2.0</v>
      </c>
      <c r="K101" s="210">
        <v>6.0</v>
      </c>
      <c r="L101" s="211">
        <f>IF(AND(J101&gt;K101,J102&gt;K102),2,IF(J101&gt;K101,1,IF(J102&gt;K102,1,0)))</f>
        <v>0</v>
      </c>
      <c r="M101" s="211">
        <f>IF(AND(K101&gt;J101,K102&gt;J102),2,IF(K101&gt;J101,1,IF(K102&gt;J102,1,0)))</f>
        <v>2</v>
      </c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</row>
    <row r="102" ht="12.75" customHeight="1">
      <c r="A102" s="187"/>
      <c r="B102" s="187"/>
      <c r="C102" s="212"/>
      <c r="D102" s="213"/>
      <c r="E102" s="213"/>
      <c r="F102" s="213"/>
      <c r="G102" s="213"/>
      <c r="H102" s="213"/>
      <c r="I102" s="213"/>
      <c r="J102" s="214">
        <v>6.0</v>
      </c>
      <c r="K102" s="215">
        <v>7.0</v>
      </c>
      <c r="L102" s="213"/>
      <c r="M102" s="213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</row>
    <row r="103" ht="4.5" customHeight="1">
      <c r="A103" s="187"/>
      <c r="B103" s="187"/>
      <c r="C103" s="217"/>
      <c r="D103" s="23"/>
      <c r="E103" s="23"/>
      <c r="F103" s="23"/>
      <c r="G103" s="23"/>
      <c r="H103" s="23"/>
      <c r="I103" s="23"/>
      <c r="J103" s="23"/>
      <c r="K103" s="23"/>
      <c r="L103" s="23"/>
      <c r="M103" s="202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</row>
    <row r="104" ht="12.75" customHeight="1">
      <c r="A104" s="187"/>
      <c r="B104" s="187"/>
      <c r="C104" s="218" t="s">
        <v>208</v>
      </c>
      <c r="D104" s="206" t="s">
        <v>212</v>
      </c>
      <c r="E104" s="207" t="s">
        <v>293</v>
      </c>
      <c r="F104" s="207" t="s">
        <v>47</v>
      </c>
      <c r="G104" s="208" t="s">
        <v>198</v>
      </c>
      <c r="H104" s="207" t="s">
        <v>42</v>
      </c>
      <c r="I104" s="207" t="s">
        <v>48</v>
      </c>
      <c r="J104" s="209">
        <v>3.0</v>
      </c>
      <c r="K104" s="210">
        <v>6.0</v>
      </c>
      <c r="L104" s="211">
        <f>IF(AND(J104&gt;K104,J105&gt;K105),2,IF(J104&gt;K104,1,IF(J105&gt;K105,1,0)))</f>
        <v>0</v>
      </c>
      <c r="M104" s="211">
        <f>IF(AND(K104&gt;J104,K105&gt;J105),2,IF(K104&gt;J104,1,IF(K105&gt;J105,1,0)))</f>
        <v>2</v>
      </c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</row>
    <row r="105" ht="12.75" customHeight="1">
      <c r="A105" s="187"/>
      <c r="B105" s="187"/>
      <c r="C105" s="212"/>
      <c r="D105" s="213"/>
      <c r="E105" s="213"/>
      <c r="F105" s="213"/>
      <c r="G105" s="213"/>
      <c r="H105" s="213"/>
      <c r="I105" s="213"/>
      <c r="J105" s="214">
        <v>2.0</v>
      </c>
      <c r="K105" s="215">
        <v>6.0</v>
      </c>
      <c r="L105" s="213"/>
      <c r="M105" s="213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</row>
    <row r="106" ht="4.5" customHeight="1">
      <c r="A106" s="187"/>
      <c r="B106" s="187"/>
      <c r="C106" s="217"/>
      <c r="D106" s="23"/>
      <c r="E106" s="23"/>
      <c r="F106" s="23"/>
      <c r="G106" s="23"/>
      <c r="H106" s="23"/>
      <c r="I106" s="23"/>
      <c r="J106" s="23"/>
      <c r="K106" s="23"/>
      <c r="L106" s="23"/>
      <c r="M106" s="202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</row>
    <row r="107" ht="12.75" customHeight="1">
      <c r="A107" s="187"/>
      <c r="B107" s="187"/>
      <c r="C107" s="205" t="s">
        <v>223</v>
      </c>
      <c r="D107" s="235" t="s">
        <v>216</v>
      </c>
      <c r="E107" s="207" t="s">
        <v>68</v>
      </c>
      <c r="F107" s="207" t="s">
        <v>13</v>
      </c>
      <c r="G107" s="219" t="s">
        <v>198</v>
      </c>
      <c r="H107" s="207" t="s">
        <v>62</v>
      </c>
      <c r="I107" s="207" t="s">
        <v>69</v>
      </c>
      <c r="J107" s="209">
        <v>2.0</v>
      </c>
      <c r="K107" s="210">
        <v>6.0</v>
      </c>
      <c r="L107" s="211">
        <f>IF(AND(J107&gt;K107,J108&gt;K108),2,IF(J107&gt;K107,1,IF(J108&gt;K108,1,0)))</f>
        <v>0</v>
      </c>
      <c r="M107" s="211">
        <f>IF(AND(K107&gt;J107,K108&gt;J108),2,IF(K107&gt;J107,1,IF(K108&gt;J108,1,0)))</f>
        <v>2</v>
      </c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</row>
    <row r="108" ht="12.75" customHeight="1">
      <c r="A108" s="187"/>
      <c r="B108" s="187"/>
      <c r="C108" s="212"/>
      <c r="D108" s="213"/>
      <c r="E108" s="213"/>
      <c r="F108" s="213"/>
      <c r="G108" s="213"/>
      <c r="H108" s="213"/>
      <c r="I108" s="213"/>
      <c r="J108" s="214">
        <v>3.0</v>
      </c>
      <c r="K108" s="215">
        <v>6.0</v>
      </c>
      <c r="L108" s="213"/>
      <c r="M108" s="213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</row>
    <row r="109" ht="4.5" customHeight="1">
      <c r="A109" s="187"/>
      <c r="B109" s="187"/>
      <c r="C109" s="217"/>
      <c r="D109" s="23"/>
      <c r="E109" s="23"/>
      <c r="F109" s="23"/>
      <c r="G109" s="23"/>
      <c r="H109" s="23"/>
      <c r="I109" s="23"/>
      <c r="J109" s="23"/>
      <c r="K109" s="23"/>
      <c r="L109" s="23"/>
      <c r="M109" s="202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</row>
    <row r="110" ht="12.75" customHeight="1">
      <c r="A110" s="187"/>
      <c r="B110" s="187"/>
      <c r="C110" s="220" t="s">
        <v>287</v>
      </c>
      <c r="D110" s="23"/>
      <c r="E110" s="23"/>
      <c r="F110" s="23"/>
      <c r="G110" s="23"/>
      <c r="H110" s="23"/>
      <c r="I110" s="200"/>
      <c r="J110" s="221">
        <f t="shared" ref="J110:M110" si="8">SUM(J98:J108)</f>
        <v>26</v>
      </c>
      <c r="K110" s="222">
        <f t="shared" si="8"/>
        <v>45</v>
      </c>
      <c r="L110" s="221">
        <f t="shared" si="8"/>
        <v>1</v>
      </c>
      <c r="M110" s="223">
        <f t="shared" si="8"/>
        <v>7</v>
      </c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</row>
    <row r="111" ht="4.5" customHeight="1">
      <c r="A111" s="187"/>
      <c r="B111" s="187"/>
      <c r="C111" s="224"/>
      <c r="D111" s="23"/>
      <c r="E111" s="23"/>
      <c r="F111" s="23"/>
      <c r="G111" s="23"/>
      <c r="H111" s="23"/>
      <c r="I111" s="23"/>
      <c r="J111" s="23"/>
      <c r="K111" s="23"/>
      <c r="L111" s="23"/>
      <c r="M111" s="202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</row>
    <row r="112" ht="12.75" customHeight="1">
      <c r="A112" s="187"/>
      <c r="B112" s="187"/>
      <c r="C112" s="228" t="s">
        <v>288</v>
      </c>
      <c r="D112" s="23"/>
      <c r="E112" s="23"/>
      <c r="F112" s="23"/>
      <c r="G112" s="23"/>
      <c r="H112" s="23"/>
      <c r="I112" s="200"/>
      <c r="J112" s="229">
        <f t="shared" ref="J112:M112" si="9">J110+J95</f>
        <v>48</v>
      </c>
      <c r="K112" s="230">
        <f t="shared" si="9"/>
        <v>75</v>
      </c>
      <c r="L112" s="231">
        <f t="shared" si="9"/>
        <v>3</v>
      </c>
      <c r="M112" s="232">
        <f t="shared" si="9"/>
        <v>11</v>
      </c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</row>
    <row r="113" ht="6.75" customHeight="1">
      <c r="A113" s="187"/>
      <c r="B113" s="187"/>
      <c r="C113" s="239"/>
      <c r="D113" s="240"/>
      <c r="E113" s="240"/>
      <c r="F113" s="240"/>
      <c r="G113" s="240"/>
      <c r="H113" s="240"/>
      <c r="I113" s="240"/>
      <c r="J113" s="240"/>
      <c r="K113" s="240"/>
      <c r="L113" s="240"/>
      <c r="M113" s="241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</row>
    <row r="114" ht="12.75" customHeight="1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</row>
    <row r="115" ht="12.75" customHeight="1">
      <c r="A115" s="18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</row>
    <row r="116" ht="12.75" customHeight="1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</row>
    <row r="117" ht="12.75" customHeight="1">
      <c r="A117" s="18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</row>
    <row r="118" ht="12.75" customHeight="1">
      <c r="A118" s="18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</row>
    <row r="119" ht="12.75" customHeight="1">
      <c r="A119" s="18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</row>
    <row r="120" ht="12.75" customHeight="1">
      <c r="A120" s="18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</row>
    <row r="121" ht="12.75" customHeight="1">
      <c r="A121" s="187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</row>
    <row r="122" ht="12.75" customHeight="1">
      <c r="A122" s="18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</row>
    <row r="123" ht="12.75" customHeight="1">
      <c r="A123" s="187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</row>
    <row r="124" ht="12.75" customHeight="1">
      <c r="A124" s="187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</row>
    <row r="125" ht="12.75" customHeight="1">
      <c r="A125" s="18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</row>
    <row r="126" ht="12.75" customHeight="1">
      <c r="A126" s="18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</row>
    <row r="127" ht="12.75" customHeight="1">
      <c r="A127" s="187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</row>
    <row r="128" ht="12.75" customHeight="1">
      <c r="A128" s="187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</row>
    <row r="129" ht="12.75" customHeight="1">
      <c r="A129" s="18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</row>
    <row r="130" ht="12.75" customHeight="1">
      <c r="A130" s="18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</row>
    <row r="131" ht="12.75" customHeight="1">
      <c r="A131" s="18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</row>
    <row r="132" ht="12.75" customHeight="1">
      <c r="A132" s="187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</row>
    <row r="133" ht="12.75" customHeight="1">
      <c r="A133" s="18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</row>
    <row r="134" ht="12.75" customHeight="1">
      <c r="A134" s="18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</row>
    <row r="135" ht="12.75" customHeight="1">
      <c r="A135" s="18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</row>
    <row r="136" ht="12.75" customHeight="1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</row>
    <row r="137" ht="12.75" customHeight="1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</row>
    <row r="138" ht="12.75" customHeight="1">
      <c r="A138" s="187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</row>
    <row r="139" ht="12.75" customHeight="1">
      <c r="A139" s="18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</row>
    <row r="140" ht="12.75" customHeight="1">
      <c r="A140" s="18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</row>
    <row r="141" ht="12.75" customHeight="1">
      <c r="A141" s="18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</row>
    <row r="142" ht="12.75" customHeight="1">
      <c r="A142" s="187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</row>
    <row r="143" ht="12.75" customHeight="1">
      <c r="A143" s="187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</row>
    <row r="144" ht="12.75" customHeight="1">
      <c r="A144" s="187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</row>
    <row r="145" ht="12.75" customHeight="1">
      <c r="A145" s="187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</row>
    <row r="146" ht="12.75" customHeight="1">
      <c r="A146" s="187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</row>
    <row r="147" ht="12.75" customHeight="1">
      <c r="A147" s="187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</row>
    <row r="148" ht="12.75" customHeight="1">
      <c r="A148" s="187"/>
      <c r="B148" s="187"/>
      <c r="C148" s="187"/>
      <c r="D148" s="187"/>
      <c r="E148" s="187"/>
      <c r="F148" s="187" t="s">
        <v>227</v>
      </c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</row>
    <row r="149" ht="12.75" customHeight="1">
      <c r="A149" s="187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</row>
    <row r="150" ht="12.75" customHeight="1">
      <c r="A150" s="187"/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</row>
    <row r="151" ht="12.75" customHeight="1">
      <c r="A151" s="187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</row>
    <row r="152" ht="12.75" customHeight="1">
      <c r="A152" s="187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</row>
    <row r="153" ht="12.75" customHeight="1">
      <c r="A153" s="187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</row>
    <row r="154" ht="12.75" customHeight="1">
      <c r="A154" s="187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</row>
    <row r="155" ht="12.75" customHeight="1">
      <c r="A155" s="187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</row>
    <row r="156" ht="12.75" customHeight="1">
      <c r="A156" s="187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</row>
    <row r="157" ht="12.75" customHeight="1">
      <c r="A157" s="187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</row>
    <row r="158" ht="12.75" customHeight="1">
      <c r="A158" s="187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</row>
    <row r="159" ht="12.75" customHeight="1">
      <c r="A159" s="187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</row>
    <row r="160" ht="12.75" customHeight="1">
      <c r="A160" s="187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</row>
    <row r="161" ht="12.75" customHeight="1">
      <c r="A161" s="187"/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</row>
    <row r="162" ht="12.75" customHeight="1">
      <c r="A162" s="187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</row>
    <row r="163" ht="12.75" customHeight="1">
      <c r="A163" s="187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</row>
    <row r="164" ht="12.75" customHeight="1">
      <c r="A164" s="187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</row>
    <row r="165" ht="12.75" customHeight="1">
      <c r="A165" s="187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</row>
    <row r="166" ht="12.75" customHeight="1">
      <c r="A166" s="187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</row>
    <row r="167" ht="12.75" customHeight="1">
      <c r="A167" s="187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</row>
    <row r="168" ht="12.75" customHeight="1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</row>
    <row r="169" ht="12.75" customHeight="1">
      <c r="A169" s="187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</row>
    <row r="170" ht="12.75" customHeight="1">
      <c r="A170" s="187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</row>
    <row r="171" ht="12.75" customHeight="1">
      <c r="A171" s="187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</row>
    <row r="172" ht="12.75" customHeight="1">
      <c r="A172" s="187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</row>
    <row r="173" ht="12.75" customHeight="1">
      <c r="A173" s="18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</row>
    <row r="174" ht="12.75" customHeight="1">
      <c r="A174" s="187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</row>
    <row r="175" ht="12.75" customHeight="1">
      <c r="A175" s="187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</row>
    <row r="176" ht="12.75" customHeight="1">
      <c r="A176" s="187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</row>
    <row r="177" ht="12.75" customHeight="1">
      <c r="A177" s="187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</row>
    <row r="178" ht="12.75" customHeight="1">
      <c r="A178" s="187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</row>
    <row r="179" ht="12.75" customHeight="1">
      <c r="A179" s="187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</row>
    <row r="180" ht="12.75" customHeight="1">
      <c r="A180" s="187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</row>
    <row r="181" ht="12.75" customHeight="1">
      <c r="A181" s="187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</row>
    <row r="182" ht="12.75" customHeight="1">
      <c r="A182" s="187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</row>
    <row r="183" ht="12.75" customHeight="1">
      <c r="A183" s="187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</row>
    <row r="184" ht="12.75" customHeight="1">
      <c r="A184" s="187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</row>
    <row r="185" ht="12.75" customHeight="1">
      <c r="A185" s="187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</row>
    <row r="186" ht="12.75" customHeight="1">
      <c r="A186" s="187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</row>
    <row r="187" ht="12.75" customHeight="1">
      <c r="A187" s="187"/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</row>
    <row r="188" ht="12.75" customHeight="1">
      <c r="A188" s="187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</row>
    <row r="189" ht="12.75" customHeight="1">
      <c r="A189" s="187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</row>
    <row r="190" ht="12.75" customHeight="1">
      <c r="A190" s="187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</row>
    <row r="191" ht="12.75" customHeight="1">
      <c r="A191" s="187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</row>
    <row r="192" ht="12.75" customHeight="1">
      <c r="A192" s="187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</row>
    <row r="193" ht="12.75" customHeight="1">
      <c r="A193" s="187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</row>
    <row r="194" ht="12.75" customHeight="1">
      <c r="A194" s="187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</row>
    <row r="195" ht="12.75" customHeight="1">
      <c r="A195" s="187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</row>
    <row r="196" ht="12.75" customHeight="1">
      <c r="A196" s="187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</row>
    <row r="197" ht="12.75" customHeight="1">
      <c r="A197" s="187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</row>
    <row r="198" ht="12.75" customHeight="1">
      <c r="A198" s="187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</row>
    <row r="199" ht="12.75" customHeight="1">
      <c r="A199" s="187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</row>
    <row r="200" ht="12.75" customHeight="1">
      <c r="A200" s="187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</row>
    <row r="201" ht="12.75" customHeight="1">
      <c r="A201" s="187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</row>
    <row r="202" ht="12.75" customHeight="1">
      <c r="A202" s="187"/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</row>
    <row r="203" ht="12.75" customHeight="1">
      <c r="A203" s="187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</row>
    <row r="204" ht="12.75" customHeight="1">
      <c r="A204" s="187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</row>
    <row r="205" ht="12.75" customHeight="1">
      <c r="A205" s="187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</row>
    <row r="206" ht="12.75" customHeight="1">
      <c r="A206" s="187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</row>
    <row r="207" ht="12.75" customHeight="1">
      <c r="A207" s="187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</row>
    <row r="208" ht="12.75" customHeight="1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</row>
    <row r="209" ht="12.75" customHeight="1">
      <c r="A209" s="187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</row>
    <row r="210" ht="12.75" customHeight="1">
      <c r="A210" s="187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</row>
    <row r="211" ht="12.75" customHeight="1">
      <c r="A211" s="187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</row>
    <row r="212" ht="12.75" customHeight="1">
      <c r="A212" s="187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</row>
    <row r="213" ht="12.75" customHeight="1">
      <c r="A213" s="187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</row>
    <row r="214" ht="12.75" customHeight="1">
      <c r="A214" s="187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</row>
    <row r="215" ht="12.75" customHeight="1">
      <c r="A215" s="187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</row>
    <row r="216" ht="12.75" customHeight="1">
      <c r="A216" s="187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</row>
    <row r="217" ht="12.75" customHeight="1">
      <c r="A217" s="187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</row>
    <row r="218" ht="12.75" customHeight="1">
      <c r="A218" s="187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</row>
    <row r="219" ht="12.75" customHeight="1">
      <c r="A219" s="187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</row>
    <row r="220" ht="12.75" customHeight="1">
      <c r="A220" s="187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</row>
    <row r="221" ht="12.75" customHeight="1">
      <c r="A221" s="187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</row>
    <row r="222" ht="12.75" customHeight="1">
      <c r="A222" s="187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</row>
    <row r="223" ht="12.75" customHeight="1">
      <c r="A223" s="187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</row>
    <row r="224" ht="12.75" customHeight="1">
      <c r="A224" s="187"/>
      <c r="B224" s="187"/>
      <c r="C224" s="187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</row>
    <row r="225" ht="12.75" customHeight="1">
      <c r="A225" s="187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</row>
    <row r="226" ht="12.75" customHeight="1">
      <c r="A226" s="187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</row>
    <row r="227" ht="12.75" customHeight="1">
      <c r="A227" s="187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</row>
    <row r="228" ht="12.75" customHeight="1">
      <c r="A228" s="187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</row>
    <row r="229" ht="12.75" customHeight="1">
      <c r="A229" s="187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</row>
    <row r="230" ht="12.75" customHeight="1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</row>
    <row r="231" ht="12.75" customHeight="1">
      <c r="A231" s="187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</row>
    <row r="232" ht="12.75" customHeight="1">
      <c r="A232" s="187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</row>
    <row r="233" ht="12.75" customHeight="1">
      <c r="A233" s="187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</row>
    <row r="234" ht="12.75" customHeight="1">
      <c r="A234" s="187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</row>
    <row r="235" ht="12.75" customHeight="1">
      <c r="A235" s="187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</row>
    <row r="236" ht="12.75" customHeight="1">
      <c r="A236" s="187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</row>
    <row r="237" ht="12.75" customHeight="1">
      <c r="A237" s="187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</row>
    <row r="238" ht="12.75" customHeight="1">
      <c r="A238" s="187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</row>
    <row r="239" ht="12.75" customHeight="1">
      <c r="A239" s="187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</row>
    <row r="240" ht="12.75" customHeight="1">
      <c r="A240" s="187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</row>
    <row r="241" ht="12.75" customHeight="1">
      <c r="A241" s="187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</row>
    <row r="242" ht="12.75" customHeight="1">
      <c r="A242" s="187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</row>
    <row r="243" ht="12.75" customHeight="1">
      <c r="A243" s="187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</row>
    <row r="244" ht="12.75" customHeight="1">
      <c r="A244" s="187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</row>
    <row r="245" ht="12.75" customHeight="1">
      <c r="A245" s="187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</row>
    <row r="246" ht="12.75" customHeight="1">
      <c r="A246" s="187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</row>
    <row r="247" ht="12.75" customHeight="1">
      <c r="A247" s="187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</row>
    <row r="248" ht="12.75" customHeight="1">
      <c r="A248" s="187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</row>
    <row r="249" ht="12.75" customHeight="1">
      <c r="A249" s="187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</row>
    <row r="250" ht="12.75" customHeight="1">
      <c r="A250" s="187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</row>
    <row r="251" ht="12.75" customHeight="1">
      <c r="A251" s="187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</row>
    <row r="252" ht="12.75" customHeight="1">
      <c r="A252" s="187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</row>
    <row r="253" ht="12.75" customHeight="1">
      <c r="A253" s="187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</row>
    <row r="254" ht="12.75" customHeight="1">
      <c r="A254" s="187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</row>
    <row r="255" ht="12.75" customHeight="1">
      <c r="A255" s="187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</row>
    <row r="256" ht="12.75" customHeight="1">
      <c r="A256" s="187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</row>
    <row r="257" ht="12.75" customHeight="1">
      <c r="A257" s="187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</row>
    <row r="258" ht="12.75" customHeight="1">
      <c r="A258" s="187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</row>
    <row r="259" ht="12.75" customHeight="1">
      <c r="A259" s="187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</row>
    <row r="260" ht="12.75" customHeight="1">
      <c r="A260" s="187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</row>
    <row r="261" ht="12.75" customHeight="1">
      <c r="A261" s="187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</row>
    <row r="262" ht="12.75" customHeight="1">
      <c r="A262" s="187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</row>
    <row r="263" ht="12.75" customHeight="1">
      <c r="A263" s="187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</row>
    <row r="264" ht="12.75" customHeight="1">
      <c r="A264" s="187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</row>
    <row r="265" ht="12.75" customHeight="1">
      <c r="A265" s="187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</row>
    <row r="266" ht="12.75" customHeight="1">
      <c r="A266" s="187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</row>
    <row r="267" ht="12.75" customHeight="1">
      <c r="A267" s="187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</row>
    <row r="268" ht="12.75" customHeight="1">
      <c r="A268" s="187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</row>
    <row r="269" ht="12.75" customHeight="1">
      <c r="A269" s="187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</row>
    <row r="270" ht="12.75" customHeight="1">
      <c r="A270" s="187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</row>
    <row r="271" ht="12.75" customHeight="1">
      <c r="A271" s="187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</row>
    <row r="272" ht="12.75" customHeight="1">
      <c r="A272" s="187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</row>
    <row r="273" ht="12.75" customHeight="1">
      <c r="A273" s="187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</row>
    <row r="274" ht="12.75" customHeight="1">
      <c r="A274" s="187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</row>
    <row r="275" ht="12.75" customHeight="1">
      <c r="A275" s="187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</row>
    <row r="276" ht="12.75" customHeight="1">
      <c r="A276" s="187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</row>
    <row r="277" ht="12.75" customHeight="1">
      <c r="A277" s="187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</row>
    <row r="278" ht="12.75" customHeight="1">
      <c r="A278" s="187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</row>
    <row r="279" ht="12.75" customHeight="1">
      <c r="A279" s="187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</row>
    <row r="280" ht="12.75" customHeight="1">
      <c r="A280" s="187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</row>
    <row r="281" ht="12.75" customHeight="1">
      <c r="A281" s="187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</row>
    <row r="282" ht="12.75" customHeight="1">
      <c r="A282" s="187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</row>
    <row r="283" ht="12.75" customHeight="1">
      <c r="A283" s="187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</row>
    <row r="284" ht="12.75" customHeight="1">
      <c r="A284" s="187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</row>
    <row r="285" ht="12.75" customHeight="1">
      <c r="A285" s="187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</row>
    <row r="286" ht="12.75" customHeight="1">
      <c r="A286" s="187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</row>
    <row r="287" ht="12.75" customHeight="1">
      <c r="A287" s="187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</row>
    <row r="288" ht="12.75" customHeight="1">
      <c r="A288" s="187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</row>
    <row r="289" ht="12.75" customHeight="1">
      <c r="A289" s="187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</row>
    <row r="290" ht="12.75" customHeight="1">
      <c r="A290" s="187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</row>
    <row r="291" ht="12.75" customHeight="1">
      <c r="A291" s="187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</row>
    <row r="292" ht="12.75" customHeight="1">
      <c r="A292" s="187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</row>
    <row r="293" ht="12.75" customHeight="1">
      <c r="A293" s="187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</row>
    <row r="294" ht="12.75" customHeight="1">
      <c r="A294" s="187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</row>
    <row r="295" ht="12.75" customHeight="1">
      <c r="A295" s="187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</row>
    <row r="296" ht="12.75" customHeight="1">
      <c r="A296" s="187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</row>
    <row r="297" ht="12.75" customHeight="1">
      <c r="A297" s="187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</row>
    <row r="298" ht="12.75" customHeight="1">
      <c r="A298" s="187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</row>
    <row r="299" ht="12.75" customHeight="1">
      <c r="A299" s="187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</row>
    <row r="300" ht="12.75" customHeight="1">
      <c r="A300" s="187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</row>
    <row r="301" ht="12.75" customHeight="1">
      <c r="A301" s="187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</row>
    <row r="302" ht="12.75" customHeight="1">
      <c r="A302" s="187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</row>
    <row r="303" ht="12.75" customHeight="1">
      <c r="A303" s="187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</row>
    <row r="304" ht="12.75" customHeight="1">
      <c r="A304" s="187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</row>
    <row r="305" ht="12.75" customHeight="1">
      <c r="A305" s="187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</row>
    <row r="306" ht="12.75" customHeight="1">
      <c r="A306" s="187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</row>
    <row r="307" ht="12.75" customHeight="1">
      <c r="A307" s="187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</row>
    <row r="308" ht="12.75" customHeight="1">
      <c r="A308" s="187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</row>
    <row r="309" ht="12.75" customHeight="1">
      <c r="A309" s="187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</row>
    <row r="310" ht="12.75" customHeight="1">
      <c r="A310" s="187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</row>
    <row r="311" ht="12.75" customHeight="1">
      <c r="A311" s="187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</row>
    <row r="312" ht="12.75" customHeight="1">
      <c r="A312" s="187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</row>
    <row r="313" ht="12.75" customHeight="1">
      <c r="A313" s="187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</row>
    <row r="314" ht="12.75" customHeight="1">
      <c r="A314" s="187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</row>
    <row r="315" ht="12.75" customHeight="1">
      <c r="A315" s="187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</row>
    <row r="316" ht="12.75" customHeight="1">
      <c r="A316" s="187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</row>
    <row r="317" ht="12.75" customHeight="1">
      <c r="A317" s="187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</row>
    <row r="318" ht="12.75" customHeight="1">
      <c r="A318" s="187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</row>
    <row r="319" ht="12.75" customHeight="1">
      <c r="A319" s="187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</row>
    <row r="320" ht="12.75" customHeight="1">
      <c r="A320" s="187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</row>
    <row r="321" ht="12.75" customHeight="1">
      <c r="A321" s="187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</row>
    <row r="322" ht="12.75" customHeight="1">
      <c r="A322" s="187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</row>
    <row r="323" ht="12.75" customHeight="1">
      <c r="A323" s="187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</row>
    <row r="324" ht="12.75" customHeight="1">
      <c r="A324" s="187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</row>
    <row r="325" ht="12.75" customHeight="1">
      <c r="A325" s="187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</row>
    <row r="326" ht="12.75" customHeight="1">
      <c r="A326" s="187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</row>
    <row r="327" ht="12.75" customHeight="1">
      <c r="A327" s="187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</row>
    <row r="328" ht="12.75" customHeight="1">
      <c r="A328" s="187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</row>
    <row r="329" ht="12.75" customHeight="1">
      <c r="A329" s="187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</row>
    <row r="330" ht="12.75" customHeight="1">
      <c r="A330" s="187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</row>
    <row r="331" ht="12.75" customHeight="1">
      <c r="A331" s="187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</row>
    <row r="332" ht="12.75" customHeight="1">
      <c r="A332" s="187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</row>
    <row r="333" ht="12.75" customHeight="1">
      <c r="A333" s="187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</row>
    <row r="334" ht="12.75" customHeight="1">
      <c r="A334" s="187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</row>
    <row r="335" ht="12.75" customHeight="1">
      <c r="A335" s="187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</row>
    <row r="336" ht="12.75" customHeight="1">
      <c r="A336" s="187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</row>
    <row r="337" ht="12.75" customHeight="1">
      <c r="A337" s="187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</row>
    <row r="338" ht="12.75" customHeight="1">
      <c r="A338" s="187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</row>
    <row r="339" ht="12.75" customHeight="1">
      <c r="A339" s="187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</row>
    <row r="340" ht="12.75" customHeight="1">
      <c r="A340" s="187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</row>
    <row r="341" ht="12.75" customHeight="1">
      <c r="A341" s="187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</row>
    <row r="342" ht="12.75" customHeight="1">
      <c r="A342" s="187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</row>
    <row r="343" ht="12.75" customHeight="1">
      <c r="A343" s="187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</row>
    <row r="344" ht="12.75" customHeight="1">
      <c r="A344" s="187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</row>
    <row r="345" ht="12.75" customHeight="1">
      <c r="A345" s="187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</row>
    <row r="346" ht="12.75" customHeight="1">
      <c r="A346" s="187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</row>
    <row r="347" ht="12.75" customHeight="1">
      <c r="A347" s="187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</row>
    <row r="348" ht="12.75" customHeight="1">
      <c r="A348" s="187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</row>
    <row r="349" ht="12.75" customHeight="1">
      <c r="A349" s="187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</row>
    <row r="350" ht="12.75" customHeight="1">
      <c r="A350" s="187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</row>
    <row r="351" ht="12.75" customHeight="1">
      <c r="A351" s="187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</row>
    <row r="352" ht="12.75" customHeight="1">
      <c r="A352" s="187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</row>
    <row r="353" ht="12.75" customHeight="1">
      <c r="A353" s="187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</row>
    <row r="354" ht="12.75" customHeight="1">
      <c r="A354" s="187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</row>
    <row r="355" ht="12.75" customHeight="1">
      <c r="A355" s="187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</row>
    <row r="356" ht="12.75" customHeight="1">
      <c r="A356" s="187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</row>
    <row r="357" ht="12.75" customHeight="1">
      <c r="A357" s="187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</row>
    <row r="358" ht="12.75" customHeight="1">
      <c r="A358" s="187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</row>
    <row r="359" ht="12.75" customHeight="1">
      <c r="A359" s="187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</row>
    <row r="360" ht="12.75" customHeight="1">
      <c r="A360" s="187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</row>
    <row r="361" ht="12.75" customHeight="1">
      <c r="A361" s="187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</row>
    <row r="362" ht="12.75" customHeight="1">
      <c r="A362" s="187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</row>
    <row r="363" ht="12.75" customHeight="1">
      <c r="A363" s="187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</row>
    <row r="364" ht="12.75" customHeight="1">
      <c r="A364" s="187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</row>
    <row r="365" ht="12.75" customHeight="1">
      <c r="A365" s="187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</row>
    <row r="366" ht="12.75" customHeight="1">
      <c r="A366" s="187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</row>
    <row r="367" ht="12.75" customHeight="1">
      <c r="A367" s="187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</row>
    <row r="368" ht="12.75" customHeight="1">
      <c r="A368" s="187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</row>
    <row r="369" ht="12.75" customHeight="1">
      <c r="A369" s="187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</row>
    <row r="370" ht="12.75" customHeight="1">
      <c r="A370" s="187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</row>
    <row r="371" ht="12.75" customHeight="1">
      <c r="A371" s="187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</row>
    <row r="372" ht="12.75" customHeight="1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</row>
    <row r="373" ht="12.75" customHeight="1">
      <c r="A373" s="187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</row>
    <row r="374" ht="12.75" customHeight="1">
      <c r="A374" s="187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</row>
    <row r="375" ht="12.75" customHeight="1">
      <c r="A375" s="187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</row>
    <row r="376" ht="12.75" customHeight="1">
      <c r="A376" s="187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</row>
    <row r="377" ht="12.75" customHeight="1">
      <c r="A377" s="187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</row>
    <row r="378" ht="12.75" customHeight="1">
      <c r="A378" s="187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</row>
    <row r="379" ht="12.75" customHeight="1">
      <c r="A379" s="187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</row>
    <row r="380" ht="12.75" customHeight="1">
      <c r="A380" s="187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</row>
    <row r="381" ht="12.75" customHeight="1">
      <c r="A381" s="187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</row>
    <row r="382" ht="12.75" customHeight="1">
      <c r="A382" s="187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</row>
    <row r="383" ht="12.75" customHeight="1">
      <c r="A383" s="187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</row>
    <row r="384" ht="12.75" customHeight="1">
      <c r="A384" s="187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</row>
    <row r="385" ht="12.75" customHeight="1">
      <c r="A385" s="187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</row>
    <row r="386" ht="12.75" customHeight="1">
      <c r="A386" s="187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</row>
    <row r="387" ht="12.75" customHeight="1">
      <c r="A387" s="187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</row>
    <row r="388" ht="12.75" customHeight="1">
      <c r="A388" s="187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</row>
    <row r="389" ht="12.75" customHeight="1">
      <c r="A389" s="187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</row>
    <row r="390" ht="12.75" customHeight="1">
      <c r="A390" s="187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</row>
    <row r="391" ht="12.75" customHeight="1">
      <c r="A391" s="187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</row>
    <row r="392" ht="12.75" customHeight="1">
      <c r="A392" s="187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</row>
    <row r="393" ht="12.75" customHeight="1">
      <c r="A393" s="187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</row>
    <row r="394" ht="12.75" customHeight="1">
      <c r="A394" s="187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</row>
    <row r="395" ht="12.75" customHeight="1">
      <c r="A395" s="187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</row>
    <row r="396" ht="12.75" customHeight="1">
      <c r="A396" s="187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</row>
    <row r="397" ht="12.75" customHeight="1">
      <c r="A397" s="187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</row>
    <row r="398" ht="12.75" customHeight="1">
      <c r="A398" s="187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</row>
    <row r="399" ht="12.75" customHeight="1">
      <c r="A399" s="187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</row>
    <row r="400" ht="12.75" customHeight="1">
      <c r="A400" s="187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</row>
    <row r="401" ht="12.75" customHeight="1">
      <c r="A401" s="187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</row>
    <row r="402" ht="12.75" customHeight="1">
      <c r="A402" s="187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</row>
    <row r="403" ht="12.75" customHeight="1">
      <c r="A403" s="187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</row>
    <row r="404" ht="12.75" customHeight="1">
      <c r="A404" s="187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</row>
    <row r="405" ht="12.75" customHeight="1">
      <c r="A405" s="187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</row>
    <row r="406" ht="12.75" customHeight="1">
      <c r="A406" s="187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</row>
    <row r="407" ht="12.75" customHeight="1">
      <c r="A407" s="187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</row>
    <row r="408" ht="12.75" customHeight="1">
      <c r="A408" s="187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</row>
    <row r="409" ht="12.75" customHeight="1">
      <c r="A409" s="187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</row>
    <row r="410" ht="12.75" customHeight="1">
      <c r="A410" s="187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</row>
    <row r="411" ht="12.75" customHeight="1">
      <c r="A411" s="187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</row>
    <row r="412" ht="12.75" customHeight="1">
      <c r="A412" s="187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</row>
    <row r="413" ht="12.75" customHeight="1">
      <c r="A413" s="187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</row>
    <row r="414" ht="12.75" customHeight="1">
      <c r="A414" s="187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</row>
    <row r="415" ht="12.75" customHeight="1">
      <c r="A415" s="187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</row>
    <row r="416" ht="12.75" customHeight="1">
      <c r="A416" s="187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</row>
    <row r="417" ht="12.75" customHeight="1">
      <c r="A417" s="187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</row>
    <row r="418" ht="12.75" customHeight="1">
      <c r="A418" s="187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</row>
    <row r="419" ht="12.75" customHeight="1">
      <c r="A419" s="187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</row>
    <row r="420" ht="12.75" customHeight="1">
      <c r="A420" s="187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</row>
    <row r="421" ht="12.75" customHeight="1">
      <c r="A421" s="187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</row>
    <row r="422" ht="12.75" customHeight="1">
      <c r="A422" s="187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</row>
    <row r="423" ht="12.75" customHeight="1">
      <c r="A423" s="187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</row>
    <row r="424" ht="12.75" customHeight="1">
      <c r="A424" s="187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</row>
    <row r="425" ht="12.75" customHeight="1">
      <c r="A425" s="187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</row>
    <row r="426" ht="12.75" customHeight="1">
      <c r="A426" s="187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</row>
    <row r="427" ht="12.75" customHeight="1">
      <c r="A427" s="187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</row>
    <row r="428" ht="12.75" customHeight="1">
      <c r="A428" s="187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</row>
    <row r="429" ht="12.75" customHeight="1">
      <c r="A429" s="187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</row>
    <row r="430" ht="12.75" customHeight="1">
      <c r="A430" s="187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</row>
    <row r="431" ht="12.75" customHeight="1">
      <c r="A431" s="187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</row>
    <row r="432" ht="12.75" customHeight="1">
      <c r="A432" s="187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</row>
    <row r="433" ht="12.75" customHeight="1">
      <c r="A433" s="187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</row>
    <row r="434" ht="12.75" customHeight="1">
      <c r="A434" s="187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</row>
    <row r="435" ht="12.75" customHeight="1">
      <c r="A435" s="187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</row>
    <row r="436" ht="12.75" customHeight="1">
      <c r="A436" s="187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</row>
    <row r="437" ht="12.75" customHeight="1">
      <c r="A437" s="187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</row>
    <row r="438" ht="12.75" customHeight="1">
      <c r="A438" s="187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</row>
    <row r="439" ht="12.75" customHeight="1">
      <c r="A439" s="187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</row>
    <row r="440" ht="12.75" customHeight="1">
      <c r="A440" s="187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</row>
    <row r="441" ht="12.75" customHeight="1">
      <c r="A441" s="187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</row>
    <row r="442" ht="12.75" customHeight="1">
      <c r="A442" s="187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</row>
    <row r="443" ht="12.75" customHeight="1">
      <c r="A443" s="187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</row>
    <row r="444" ht="12.75" customHeight="1">
      <c r="A444" s="187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</row>
    <row r="445" ht="12.75" customHeight="1">
      <c r="A445" s="187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</row>
    <row r="446" ht="12.75" customHeight="1">
      <c r="A446" s="187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</row>
    <row r="447" ht="12.75" customHeight="1">
      <c r="A447" s="187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</row>
    <row r="448" ht="12.75" customHeight="1">
      <c r="A448" s="187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</row>
    <row r="449" ht="12.75" customHeight="1">
      <c r="A449" s="187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</row>
    <row r="450" ht="12.75" customHeight="1">
      <c r="A450" s="187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</row>
    <row r="451" ht="12.75" customHeight="1">
      <c r="A451" s="187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</row>
    <row r="452" ht="12.75" customHeight="1">
      <c r="A452" s="187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</row>
    <row r="453" ht="12.75" customHeight="1">
      <c r="A453" s="187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</row>
    <row r="454" ht="12.75" customHeight="1">
      <c r="A454" s="187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</row>
    <row r="455" ht="12.75" customHeight="1">
      <c r="A455" s="187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</row>
    <row r="456" ht="12.75" customHeight="1">
      <c r="A456" s="187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</row>
    <row r="457" ht="12.75" customHeight="1">
      <c r="A457" s="187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</row>
    <row r="458" ht="12.75" customHeight="1">
      <c r="A458" s="187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</row>
    <row r="459" ht="12.75" customHeight="1">
      <c r="A459" s="187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</row>
    <row r="460" ht="12.75" customHeight="1">
      <c r="A460" s="187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</row>
    <row r="461" ht="12.75" customHeight="1">
      <c r="A461" s="187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</row>
    <row r="462" ht="12.75" customHeight="1">
      <c r="A462" s="187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</row>
    <row r="463" ht="12.75" customHeight="1">
      <c r="A463" s="187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</row>
    <row r="464" ht="12.75" customHeight="1">
      <c r="A464" s="187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</row>
    <row r="465" ht="12.75" customHeight="1">
      <c r="A465" s="187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</row>
    <row r="466" ht="12.75" customHeight="1">
      <c r="A466" s="187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</row>
    <row r="467" ht="12.75" customHeight="1">
      <c r="A467" s="187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</row>
    <row r="468" ht="12.75" customHeight="1">
      <c r="A468" s="187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</row>
    <row r="469" ht="12.75" customHeight="1">
      <c r="A469" s="187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</row>
    <row r="470" ht="12.75" customHeight="1">
      <c r="A470" s="187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</row>
    <row r="471" ht="12.75" customHeight="1">
      <c r="A471" s="187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</row>
    <row r="472" ht="12.75" customHeight="1">
      <c r="A472" s="187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</row>
    <row r="473" ht="12.75" customHeight="1">
      <c r="A473" s="187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</row>
    <row r="474" ht="12.75" customHeight="1">
      <c r="A474" s="187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</row>
    <row r="475" ht="12.75" customHeight="1">
      <c r="A475" s="187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</row>
    <row r="476" ht="12.75" customHeight="1">
      <c r="A476" s="187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</row>
    <row r="477" ht="12.75" customHeight="1">
      <c r="A477" s="187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</row>
    <row r="478" ht="12.75" customHeight="1">
      <c r="A478" s="187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</row>
    <row r="479" ht="12.75" customHeight="1">
      <c r="A479" s="187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</row>
    <row r="480" ht="12.75" customHeight="1">
      <c r="A480" s="187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</row>
    <row r="481" ht="12.75" customHeight="1">
      <c r="A481" s="187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</row>
    <row r="482" ht="12.75" customHeight="1">
      <c r="A482" s="187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</row>
    <row r="483" ht="12.75" customHeight="1">
      <c r="A483" s="187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</row>
    <row r="484" ht="12.75" customHeight="1">
      <c r="A484" s="187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</row>
    <row r="485" ht="12.75" customHeight="1">
      <c r="A485" s="187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</row>
    <row r="486" ht="12.75" customHeight="1">
      <c r="A486" s="187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</row>
    <row r="487" ht="12.75" customHeight="1">
      <c r="A487" s="187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</row>
    <row r="488" ht="12.75" customHeight="1">
      <c r="A488" s="187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</row>
    <row r="489" ht="12.75" customHeight="1">
      <c r="A489" s="187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</row>
    <row r="490" ht="12.75" customHeight="1">
      <c r="A490" s="187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</row>
    <row r="491" ht="12.75" customHeight="1">
      <c r="A491" s="187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</row>
    <row r="492" ht="12.75" customHeight="1">
      <c r="A492" s="187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</row>
    <row r="493" ht="12.75" customHeight="1">
      <c r="A493" s="187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</row>
    <row r="494" ht="12.75" customHeight="1">
      <c r="A494" s="187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</row>
    <row r="495" ht="12.75" customHeight="1">
      <c r="A495" s="187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</row>
    <row r="496" ht="12.75" customHeight="1">
      <c r="A496" s="187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</row>
    <row r="497" ht="12.75" customHeight="1">
      <c r="A497" s="187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</row>
    <row r="498" ht="12.75" customHeight="1">
      <c r="A498" s="187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</row>
    <row r="499" ht="12.75" customHeight="1">
      <c r="A499" s="187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</row>
    <row r="500" ht="12.75" customHeight="1">
      <c r="A500" s="187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</row>
    <row r="501" ht="12.75" customHeight="1">
      <c r="A501" s="187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</row>
    <row r="502" ht="12.75" customHeight="1">
      <c r="A502" s="187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</row>
    <row r="503" ht="12.75" customHeight="1">
      <c r="A503" s="187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</row>
    <row r="504" ht="12.75" customHeight="1">
      <c r="A504" s="187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</row>
    <row r="505" ht="12.75" customHeight="1">
      <c r="A505" s="187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</row>
    <row r="506" ht="12.75" customHeight="1">
      <c r="A506" s="187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</row>
    <row r="507" ht="12.75" customHeight="1">
      <c r="A507" s="187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</row>
    <row r="508" ht="12.75" customHeight="1">
      <c r="A508" s="187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</row>
    <row r="509" ht="12.75" customHeight="1">
      <c r="A509" s="187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</row>
    <row r="510" ht="12.75" customHeight="1">
      <c r="A510" s="187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</row>
    <row r="511" ht="12.75" customHeight="1">
      <c r="A511" s="187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</row>
    <row r="512" ht="12.75" customHeight="1">
      <c r="A512" s="187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</row>
    <row r="513" ht="12.75" customHeight="1">
      <c r="A513" s="187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</row>
    <row r="514" ht="12.75" customHeight="1">
      <c r="A514" s="187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</row>
    <row r="515" ht="12.75" customHeight="1">
      <c r="A515" s="187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</row>
    <row r="516" ht="12.75" customHeight="1">
      <c r="A516" s="187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</row>
    <row r="517" ht="12.75" customHeight="1">
      <c r="A517" s="187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</row>
    <row r="518" ht="12.75" customHeight="1">
      <c r="A518" s="187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</row>
    <row r="519" ht="12.75" customHeight="1">
      <c r="A519" s="187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</row>
    <row r="520" ht="12.75" customHeight="1">
      <c r="A520" s="187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</row>
    <row r="521" ht="12.75" customHeight="1">
      <c r="A521" s="187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</row>
    <row r="522" ht="12.75" customHeight="1">
      <c r="A522" s="187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</row>
    <row r="523" ht="12.75" customHeight="1">
      <c r="A523" s="187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</row>
    <row r="524" ht="12.75" customHeight="1">
      <c r="A524" s="187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</row>
    <row r="525" ht="12.75" customHeight="1">
      <c r="A525" s="187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</row>
    <row r="526" ht="12.75" customHeight="1">
      <c r="A526" s="187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</row>
    <row r="527" ht="12.75" customHeight="1">
      <c r="A527" s="187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</row>
    <row r="528" ht="12.75" customHeight="1">
      <c r="A528" s="187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</row>
    <row r="529" ht="12.75" customHeight="1">
      <c r="A529" s="187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</row>
    <row r="530" ht="12.75" customHeight="1">
      <c r="A530" s="187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</row>
    <row r="531" ht="12.75" customHeight="1">
      <c r="A531" s="187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</row>
    <row r="532" ht="12.75" customHeight="1">
      <c r="A532" s="187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</row>
    <row r="533" ht="12.75" customHeight="1">
      <c r="A533" s="187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</row>
    <row r="534" ht="12.75" customHeight="1">
      <c r="A534" s="187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</row>
    <row r="535" ht="12.75" customHeight="1">
      <c r="A535" s="187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</row>
    <row r="536" ht="12.75" customHeight="1">
      <c r="A536" s="187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</row>
    <row r="537" ht="12.75" customHeight="1">
      <c r="A537" s="187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</row>
    <row r="538" ht="12.75" customHeight="1">
      <c r="A538" s="187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</row>
    <row r="539" ht="12.75" customHeight="1">
      <c r="A539" s="187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</row>
    <row r="540" ht="12.75" customHeight="1">
      <c r="A540" s="187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</row>
    <row r="541" ht="12.75" customHeight="1">
      <c r="A541" s="187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</row>
    <row r="542" ht="12.75" customHeight="1">
      <c r="A542" s="187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</row>
    <row r="543" ht="12.75" customHeight="1">
      <c r="A543" s="187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</row>
    <row r="544" ht="12.75" customHeight="1">
      <c r="A544" s="187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</row>
    <row r="545" ht="12.75" customHeight="1">
      <c r="A545" s="187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</row>
    <row r="546" ht="12.75" customHeight="1">
      <c r="A546" s="187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</row>
    <row r="547" ht="12.75" customHeight="1">
      <c r="A547" s="187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</row>
    <row r="548" ht="12.75" customHeight="1">
      <c r="A548" s="187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</row>
    <row r="549" ht="12.75" customHeight="1">
      <c r="A549" s="187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</row>
    <row r="550" ht="12.75" customHeight="1">
      <c r="A550" s="187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</row>
    <row r="551" ht="12.75" customHeight="1">
      <c r="A551" s="187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</row>
    <row r="552" ht="12.75" customHeight="1">
      <c r="A552" s="187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</row>
    <row r="553" ht="12.75" customHeight="1">
      <c r="A553" s="187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</row>
    <row r="554" ht="12.75" customHeight="1">
      <c r="A554" s="187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</row>
    <row r="555" ht="12.75" customHeight="1">
      <c r="A555" s="187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</row>
    <row r="556" ht="12.75" customHeight="1">
      <c r="A556" s="187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</row>
    <row r="557" ht="12.75" customHeight="1">
      <c r="A557" s="187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</row>
    <row r="558" ht="12.75" customHeight="1">
      <c r="A558" s="187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</row>
    <row r="559" ht="12.75" customHeight="1">
      <c r="A559" s="187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</row>
    <row r="560" ht="12.75" customHeight="1">
      <c r="A560" s="187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</row>
    <row r="561" ht="12.75" customHeight="1">
      <c r="A561" s="187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</row>
    <row r="562" ht="12.75" customHeight="1">
      <c r="A562" s="187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</row>
    <row r="563" ht="12.75" customHeight="1">
      <c r="A563" s="187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</row>
    <row r="564" ht="12.75" customHeight="1">
      <c r="A564" s="187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</row>
    <row r="565" ht="12.75" customHeight="1">
      <c r="A565" s="187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</row>
    <row r="566" ht="12.75" customHeight="1">
      <c r="A566" s="187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</row>
    <row r="567" ht="12.75" customHeight="1">
      <c r="A567" s="187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</row>
    <row r="568" ht="12.75" customHeight="1">
      <c r="A568" s="187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</row>
    <row r="569" ht="12.75" customHeight="1">
      <c r="A569" s="187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</row>
    <row r="570" ht="12.75" customHeight="1">
      <c r="A570" s="187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</row>
    <row r="571" ht="12.75" customHeight="1">
      <c r="A571" s="187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</row>
    <row r="572" ht="12.75" customHeight="1">
      <c r="A572" s="187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</row>
    <row r="573" ht="12.75" customHeight="1">
      <c r="A573" s="187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</row>
    <row r="574" ht="12.75" customHeight="1">
      <c r="A574" s="187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</row>
    <row r="575" ht="12.75" customHeight="1">
      <c r="A575" s="187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</row>
    <row r="576" ht="12.75" customHeight="1">
      <c r="A576" s="187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</row>
    <row r="577" ht="12.75" customHeight="1">
      <c r="A577" s="187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</row>
    <row r="578" ht="12.75" customHeight="1">
      <c r="A578" s="187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</row>
    <row r="579" ht="12.75" customHeight="1">
      <c r="A579" s="187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</row>
    <row r="580" ht="12.75" customHeight="1">
      <c r="A580" s="187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</row>
    <row r="581" ht="12.75" customHeight="1">
      <c r="A581" s="187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</row>
    <row r="582" ht="12.75" customHeight="1">
      <c r="A582" s="187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</row>
    <row r="583" ht="12.75" customHeight="1">
      <c r="A583" s="187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</row>
    <row r="584" ht="12.75" customHeight="1">
      <c r="A584" s="187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</row>
    <row r="585" ht="12.75" customHeight="1">
      <c r="A585" s="187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</row>
    <row r="586" ht="12.75" customHeight="1">
      <c r="A586" s="187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</row>
    <row r="587" ht="12.75" customHeight="1">
      <c r="A587" s="187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</row>
    <row r="588" ht="12.75" customHeight="1">
      <c r="A588" s="187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</row>
    <row r="589" ht="12.75" customHeight="1">
      <c r="A589" s="187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</row>
    <row r="590" ht="12.75" customHeight="1">
      <c r="A590" s="187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</row>
    <row r="591" ht="12.75" customHeight="1">
      <c r="A591" s="187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</row>
    <row r="592" ht="12.75" customHeight="1">
      <c r="A592" s="187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</row>
    <row r="593" ht="12.75" customHeight="1">
      <c r="A593" s="187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</row>
    <row r="594" ht="12.75" customHeight="1">
      <c r="A594" s="187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</row>
    <row r="595" ht="12.75" customHeight="1">
      <c r="A595" s="187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</row>
    <row r="596" ht="12.75" customHeight="1">
      <c r="A596" s="187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</row>
    <row r="597" ht="12.75" customHeight="1">
      <c r="A597" s="187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</row>
    <row r="598" ht="12.75" customHeight="1">
      <c r="A598" s="187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</row>
    <row r="599" ht="12.75" customHeight="1">
      <c r="A599" s="187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</row>
    <row r="600" ht="12.75" customHeight="1">
      <c r="A600" s="187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</row>
    <row r="601" ht="12.75" customHeight="1">
      <c r="A601" s="187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</row>
    <row r="602" ht="12.75" customHeight="1">
      <c r="A602" s="187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</row>
    <row r="603" ht="12.75" customHeight="1">
      <c r="A603" s="187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</row>
    <row r="604" ht="12.75" customHeight="1">
      <c r="A604" s="187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</row>
    <row r="605" ht="12.75" customHeight="1">
      <c r="A605" s="187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</row>
    <row r="606" ht="12.75" customHeight="1">
      <c r="A606" s="187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</row>
    <row r="607" ht="12.75" customHeight="1">
      <c r="A607" s="187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</row>
    <row r="608" ht="12.75" customHeight="1">
      <c r="A608" s="187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</row>
    <row r="609" ht="12.75" customHeight="1">
      <c r="A609" s="187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</row>
    <row r="610" ht="12.75" customHeight="1">
      <c r="A610" s="187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</row>
    <row r="611" ht="12.75" customHeight="1">
      <c r="A611" s="187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</row>
    <row r="612" ht="12.75" customHeight="1">
      <c r="A612" s="187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</row>
    <row r="613" ht="12.75" customHeight="1">
      <c r="A613" s="187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</row>
    <row r="614" ht="12.75" customHeight="1">
      <c r="A614" s="187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</row>
    <row r="615" ht="12.75" customHeight="1">
      <c r="A615" s="187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</row>
    <row r="616" ht="12.75" customHeight="1">
      <c r="A616" s="187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</row>
    <row r="617" ht="12.75" customHeight="1">
      <c r="A617" s="187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</row>
    <row r="618" ht="12.75" customHeight="1">
      <c r="A618" s="187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</row>
    <row r="619" ht="12.75" customHeight="1">
      <c r="A619" s="187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</row>
    <row r="620" ht="12.75" customHeight="1">
      <c r="A620" s="187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</row>
    <row r="621" ht="12.75" customHeight="1">
      <c r="A621" s="187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</row>
    <row r="622" ht="12.75" customHeight="1">
      <c r="A622" s="187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</row>
    <row r="623" ht="12.75" customHeight="1">
      <c r="A623" s="187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</row>
    <row r="624" ht="12.75" customHeight="1">
      <c r="A624" s="187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</row>
    <row r="625" ht="12.75" customHeight="1">
      <c r="A625" s="187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</row>
    <row r="626" ht="12.75" customHeight="1">
      <c r="A626" s="187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</row>
    <row r="627" ht="12.75" customHeight="1">
      <c r="A627" s="187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</row>
    <row r="628" ht="12.75" customHeight="1">
      <c r="A628" s="187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</row>
    <row r="629" ht="12.75" customHeight="1">
      <c r="A629" s="187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</row>
    <row r="630" ht="12.75" customHeight="1">
      <c r="A630" s="187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</row>
    <row r="631" ht="12.75" customHeight="1">
      <c r="A631" s="187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</row>
    <row r="632" ht="12.75" customHeight="1">
      <c r="A632" s="187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</row>
    <row r="633" ht="12.75" customHeight="1">
      <c r="A633" s="187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</row>
    <row r="634" ht="12.75" customHeight="1">
      <c r="A634" s="187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</row>
    <row r="635" ht="12.75" customHeight="1">
      <c r="A635" s="187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</row>
    <row r="636" ht="12.75" customHeight="1">
      <c r="A636" s="187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</row>
    <row r="637" ht="12.75" customHeight="1">
      <c r="A637" s="187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</row>
    <row r="638" ht="12.75" customHeight="1">
      <c r="A638" s="187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</row>
    <row r="639" ht="12.75" customHeight="1">
      <c r="A639" s="187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</row>
    <row r="640" ht="12.75" customHeight="1">
      <c r="A640" s="187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</row>
    <row r="641" ht="12.75" customHeight="1">
      <c r="A641" s="187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</row>
    <row r="642" ht="12.75" customHeight="1">
      <c r="A642" s="187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</row>
    <row r="643" ht="12.75" customHeight="1">
      <c r="A643" s="187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</row>
    <row r="644" ht="12.75" customHeight="1">
      <c r="A644" s="187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</row>
    <row r="645" ht="12.75" customHeight="1">
      <c r="A645" s="187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</row>
    <row r="646" ht="12.75" customHeight="1">
      <c r="A646" s="187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</row>
    <row r="647" ht="12.75" customHeight="1">
      <c r="A647" s="187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</row>
    <row r="648" ht="12.75" customHeight="1">
      <c r="A648" s="187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</row>
    <row r="649" ht="12.75" customHeight="1">
      <c r="A649" s="187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</row>
    <row r="650" ht="12.75" customHeight="1">
      <c r="A650" s="187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</row>
    <row r="651" ht="12.75" customHeight="1">
      <c r="A651" s="187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</row>
    <row r="652" ht="12.75" customHeight="1">
      <c r="A652" s="187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</row>
    <row r="653" ht="12.75" customHeight="1">
      <c r="A653" s="187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</row>
    <row r="654" ht="12.75" customHeight="1">
      <c r="A654" s="187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</row>
    <row r="655" ht="12.75" customHeight="1">
      <c r="A655" s="187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</row>
    <row r="656" ht="12.75" customHeight="1">
      <c r="A656" s="187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</row>
    <row r="657" ht="12.75" customHeight="1">
      <c r="A657" s="187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</row>
    <row r="658" ht="12.75" customHeight="1">
      <c r="A658" s="187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</row>
    <row r="659" ht="12.75" customHeight="1">
      <c r="A659" s="187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</row>
    <row r="660" ht="12.75" customHeight="1">
      <c r="A660" s="187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</row>
    <row r="661" ht="12.75" customHeight="1">
      <c r="A661" s="187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</row>
    <row r="662" ht="12.75" customHeight="1">
      <c r="A662" s="187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</row>
    <row r="663" ht="12.75" customHeight="1">
      <c r="A663" s="187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</row>
    <row r="664" ht="12.75" customHeight="1">
      <c r="A664" s="187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</row>
    <row r="665" ht="12.75" customHeight="1">
      <c r="A665" s="187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</row>
    <row r="666" ht="12.75" customHeight="1">
      <c r="A666" s="187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</row>
    <row r="667" ht="12.75" customHeight="1">
      <c r="A667" s="187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</row>
    <row r="668" ht="12.75" customHeight="1">
      <c r="A668" s="187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</row>
    <row r="669" ht="12.75" customHeight="1">
      <c r="A669" s="187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</row>
    <row r="670" ht="12.75" customHeight="1">
      <c r="A670" s="187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</row>
    <row r="671" ht="12.75" customHeight="1">
      <c r="A671" s="187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</row>
    <row r="672" ht="12.75" customHeight="1">
      <c r="A672" s="187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</row>
    <row r="673" ht="12.75" customHeight="1">
      <c r="A673" s="187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</row>
    <row r="674" ht="12.75" customHeight="1">
      <c r="A674" s="187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</row>
    <row r="675" ht="12.75" customHeight="1">
      <c r="A675" s="187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</row>
    <row r="676" ht="12.75" customHeight="1">
      <c r="A676" s="187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</row>
    <row r="677" ht="12.75" customHeight="1">
      <c r="A677" s="187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</row>
    <row r="678" ht="12.75" customHeight="1">
      <c r="A678" s="187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</row>
    <row r="679" ht="12.75" customHeight="1">
      <c r="A679" s="187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</row>
    <row r="680" ht="12.75" customHeight="1">
      <c r="A680" s="187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</row>
    <row r="681" ht="12.75" customHeight="1">
      <c r="A681" s="187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</row>
    <row r="682" ht="12.75" customHeight="1">
      <c r="A682" s="187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</row>
    <row r="683" ht="12.75" customHeight="1">
      <c r="A683" s="187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</row>
    <row r="684" ht="12.75" customHeight="1">
      <c r="A684" s="187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</row>
    <row r="685" ht="12.75" customHeight="1">
      <c r="A685" s="187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</row>
    <row r="686" ht="12.75" customHeight="1">
      <c r="A686" s="187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</row>
    <row r="687" ht="12.75" customHeight="1">
      <c r="A687" s="187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</row>
    <row r="688" ht="12.75" customHeight="1">
      <c r="A688" s="187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</row>
    <row r="689" ht="12.75" customHeight="1">
      <c r="A689" s="187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</row>
    <row r="690" ht="12.75" customHeight="1">
      <c r="A690" s="187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</row>
    <row r="691" ht="12.75" customHeight="1">
      <c r="A691" s="187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</row>
    <row r="692" ht="12.75" customHeight="1">
      <c r="A692" s="187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</row>
    <row r="693" ht="12.75" customHeight="1">
      <c r="A693" s="187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</row>
    <row r="694" ht="12.75" customHeight="1">
      <c r="A694" s="187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</row>
    <row r="695" ht="12.75" customHeight="1">
      <c r="A695" s="187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</row>
    <row r="696" ht="12.75" customHeight="1">
      <c r="A696" s="187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</row>
    <row r="697" ht="12.75" customHeight="1">
      <c r="A697" s="187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</row>
    <row r="698" ht="12.75" customHeight="1">
      <c r="A698" s="187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</row>
    <row r="699" ht="12.75" customHeight="1">
      <c r="A699" s="187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</row>
    <row r="700" ht="12.75" customHeight="1">
      <c r="A700" s="187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</row>
    <row r="701" ht="12.75" customHeight="1">
      <c r="A701" s="187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</row>
    <row r="702" ht="12.75" customHeight="1">
      <c r="A702" s="187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</row>
    <row r="703" ht="12.75" customHeight="1">
      <c r="A703" s="187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</row>
    <row r="704" ht="12.75" customHeight="1">
      <c r="A704" s="187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</row>
    <row r="705" ht="12.75" customHeight="1">
      <c r="A705" s="187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</row>
    <row r="706" ht="12.75" customHeight="1">
      <c r="A706" s="187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</row>
    <row r="707" ht="12.75" customHeight="1">
      <c r="A707" s="187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</row>
    <row r="708" ht="12.75" customHeight="1">
      <c r="A708" s="187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</row>
    <row r="709" ht="12.75" customHeight="1">
      <c r="A709" s="187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</row>
    <row r="710" ht="12.75" customHeight="1">
      <c r="A710" s="187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</row>
    <row r="711" ht="12.75" customHeight="1">
      <c r="A711" s="187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</row>
    <row r="712" ht="12.75" customHeight="1">
      <c r="A712" s="187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</row>
    <row r="713" ht="12.75" customHeight="1">
      <c r="A713" s="187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</row>
    <row r="714" ht="12.75" customHeight="1">
      <c r="A714" s="187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</row>
    <row r="715" ht="12.75" customHeight="1">
      <c r="A715" s="187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</row>
    <row r="716" ht="12.75" customHeight="1">
      <c r="A716" s="187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</row>
    <row r="717" ht="12.75" customHeight="1">
      <c r="A717" s="187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</row>
    <row r="718" ht="12.75" customHeight="1">
      <c r="A718" s="187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</row>
    <row r="719" ht="12.75" customHeight="1">
      <c r="A719" s="187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</row>
    <row r="720" ht="12.75" customHeight="1">
      <c r="A720" s="187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</row>
    <row r="721" ht="12.75" customHeight="1">
      <c r="A721" s="187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</row>
    <row r="722" ht="12.75" customHeight="1">
      <c r="A722" s="187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</row>
    <row r="723" ht="12.75" customHeight="1">
      <c r="A723" s="187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</row>
    <row r="724" ht="12.75" customHeight="1">
      <c r="A724" s="187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</row>
    <row r="725" ht="12.75" customHeight="1">
      <c r="A725" s="187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</row>
    <row r="726" ht="12.75" customHeight="1">
      <c r="A726" s="187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</row>
    <row r="727" ht="12.75" customHeight="1">
      <c r="A727" s="187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</row>
    <row r="728" ht="12.75" customHeight="1">
      <c r="A728" s="187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</row>
    <row r="729" ht="12.75" customHeight="1">
      <c r="A729" s="187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</row>
    <row r="730" ht="12.75" customHeight="1">
      <c r="A730" s="187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</row>
    <row r="731" ht="12.75" customHeight="1">
      <c r="A731" s="187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</row>
    <row r="732" ht="12.75" customHeight="1">
      <c r="A732" s="187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</row>
    <row r="733" ht="12.75" customHeight="1">
      <c r="A733" s="187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</row>
    <row r="734" ht="12.75" customHeight="1">
      <c r="A734" s="187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</row>
    <row r="735" ht="12.75" customHeight="1">
      <c r="A735" s="187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</row>
    <row r="736" ht="12.75" customHeight="1">
      <c r="A736" s="187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</row>
    <row r="737" ht="12.75" customHeight="1">
      <c r="A737" s="187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</row>
    <row r="738" ht="12.75" customHeight="1">
      <c r="A738" s="187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</row>
    <row r="739" ht="12.75" customHeight="1">
      <c r="A739" s="187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</row>
    <row r="740" ht="12.75" customHeight="1">
      <c r="A740" s="187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</row>
    <row r="741" ht="12.75" customHeight="1">
      <c r="A741" s="187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</row>
    <row r="742" ht="12.75" customHeight="1">
      <c r="A742" s="187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</row>
    <row r="743" ht="12.75" customHeight="1">
      <c r="A743" s="187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</row>
    <row r="744" ht="12.75" customHeight="1">
      <c r="A744" s="187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</row>
    <row r="745" ht="12.75" customHeight="1">
      <c r="A745" s="187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</row>
    <row r="746" ht="12.75" customHeight="1">
      <c r="A746" s="187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</row>
    <row r="747" ht="12.75" customHeight="1">
      <c r="A747" s="187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</row>
    <row r="748" ht="12.75" customHeight="1">
      <c r="A748" s="187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</row>
    <row r="749" ht="12.75" customHeight="1">
      <c r="A749" s="187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</row>
    <row r="750" ht="12.75" customHeight="1">
      <c r="A750" s="187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</row>
    <row r="751" ht="12.75" customHeight="1">
      <c r="A751" s="187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</row>
    <row r="752" ht="12.75" customHeight="1">
      <c r="A752" s="187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</row>
    <row r="753" ht="12.75" customHeight="1">
      <c r="A753" s="187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</row>
    <row r="754" ht="12.75" customHeight="1">
      <c r="A754" s="187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</row>
    <row r="755" ht="12.75" customHeight="1">
      <c r="A755" s="187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</row>
    <row r="756" ht="12.75" customHeight="1">
      <c r="A756" s="187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</row>
    <row r="757" ht="12.75" customHeight="1">
      <c r="A757" s="187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</row>
    <row r="758" ht="12.75" customHeight="1">
      <c r="A758" s="187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</row>
    <row r="759" ht="12.75" customHeight="1">
      <c r="A759" s="187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</row>
    <row r="760" ht="12.75" customHeight="1">
      <c r="A760" s="187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</row>
    <row r="761" ht="12.75" customHeight="1">
      <c r="A761" s="187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</row>
    <row r="762" ht="12.75" customHeight="1">
      <c r="A762" s="187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</row>
    <row r="763" ht="12.75" customHeight="1">
      <c r="A763" s="187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</row>
    <row r="764" ht="12.75" customHeight="1">
      <c r="A764" s="187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</row>
    <row r="765" ht="12.75" customHeight="1">
      <c r="A765" s="187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</row>
    <row r="766" ht="12.75" customHeight="1">
      <c r="A766" s="187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</row>
    <row r="767" ht="12.75" customHeight="1">
      <c r="A767" s="187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</row>
    <row r="768" ht="12.75" customHeight="1">
      <c r="A768" s="187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</row>
    <row r="769" ht="12.75" customHeight="1">
      <c r="A769" s="187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</row>
    <row r="770" ht="12.75" customHeight="1">
      <c r="A770" s="187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</row>
    <row r="771" ht="12.75" customHeight="1">
      <c r="A771" s="187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</row>
    <row r="772" ht="12.75" customHeight="1">
      <c r="A772" s="187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</row>
    <row r="773" ht="12.75" customHeight="1">
      <c r="A773" s="187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</row>
    <row r="774" ht="12.75" customHeight="1">
      <c r="A774" s="187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</row>
    <row r="775" ht="12.75" customHeight="1">
      <c r="A775" s="187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</row>
    <row r="776" ht="12.75" customHeight="1">
      <c r="A776" s="187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</row>
    <row r="777" ht="12.75" customHeight="1">
      <c r="A777" s="187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</row>
    <row r="778" ht="12.75" customHeight="1">
      <c r="A778" s="187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</row>
    <row r="779" ht="12.75" customHeight="1">
      <c r="A779" s="187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</row>
    <row r="780" ht="12.75" customHeight="1">
      <c r="A780" s="187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</row>
    <row r="781" ht="12.75" customHeight="1">
      <c r="A781" s="187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</row>
    <row r="782" ht="12.75" customHeight="1">
      <c r="A782" s="187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</row>
    <row r="783" ht="12.75" customHeight="1">
      <c r="A783" s="187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</row>
    <row r="784" ht="12.75" customHeight="1">
      <c r="A784" s="187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</row>
    <row r="785" ht="12.75" customHeight="1">
      <c r="A785" s="187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</row>
    <row r="786" ht="12.75" customHeight="1">
      <c r="A786" s="187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</row>
    <row r="787" ht="12.75" customHeight="1">
      <c r="A787" s="187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</row>
    <row r="788" ht="12.75" customHeight="1">
      <c r="A788" s="187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</row>
    <row r="789" ht="12.75" customHeight="1">
      <c r="A789" s="187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</row>
    <row r="790" ht="12.75" customHeight="1">
      <c r="A790" s="187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</row>
    <row r="791" ht="12.75" customHeight="1">
      <c r="A791" s="187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</row>
    <row r="792" ht="12.75" customHeight="1">
      <c r="A792" s="187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</row>
    <row r="793" ht="12.75" customHeight="1">
      <c r="A793" s="187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</row>
    <row r="794" ht="12.75" customHeight="1">
      <c r="A794" s="187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</row>
    <row r="795" ht="12.75" customHeight="1">
      <c r="A795" s="187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</row>
    <row r="796" ht="12.75" customHeight="1">
      <c r="A796" s="187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</row>
    <row r="797" ht="12.75" customHeight="1">
      <c r="A797" s="187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</row>
    <row r="798" ht="12.75" customHeight="1">
      <c r="A798" s="187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</row>
    <row r="799" ht="12.75" customHeight="1">
      <c r="A799" s="187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</row>
    <row r="800" ht="12.75" customHeight="1">
      <c r="A800" s="187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</row>
    <row r="801" ht="12.75" customHeight="1">
      <c r="A801" s="187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</row>
    <row r="802" ht="12.75" customHeight="1">
      <c r="A802" s="187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</row>
    <row r="803" ht="12.75" customHeight="1">
      <c r="A803" s="187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</row>
    <row r="804" ht="12.75" customHeight="1">
      <c r="A804" s="187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</row>
    <row r="805" ht="12.75" customHeight="1">
      <c r="A805" s="187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</row>
    <row r="806" ht="12.75" customHeight="1">
      <c r="A806" s="187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</row>
    <row r="807" ht="12.75" customHeight="1">
      <c r="A807" s="187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</row>
    <row r="808" ht="12.75" customHeight="1">
      <c r="A808" s="187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</row>
    <row r="809" ht="12.75" customHeight="1">
      <c r="A809" s="187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</row>
    <row r="810" ht="12.75" customHeight="1">
      <c r="A810" s="187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</row>
    <row r="811" ht="12.75" customHeight="1">
      <c r="A811" s="187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</row>
    <row r="812" ht="12.75" customHeight="1">
      <c r="A812" s="187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</row>
    <row r="813" ht="12.75" customHeight="1">
      <c r="A813" s="187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</row>
    <row r="814" ht="12.75" customHeight="1">
      <c r="A814" s="187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</row>
    <row r="815" ht="12.75" customHeight="1">
      <c r="A815" s="187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</row>
    <row r="816" ht="12.75" customHeight="1">
      <c r="A816" s="187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</row>
    <row r="817" ht="12.75" customHeight="1">
      <c r="A817" s="187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</row>
    <row r="818" ht="12.75" customHeight="1">
      <c r="A818" s="187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</row>
    <row r="819" ht="12.75" customHeight="1">
      <c r="A819" s="187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</row>
    <row r="820" ht="12.75" customHeight="1">
      <c r="A820" s="187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</row>
    <row r="821" ht="12.75" customHeight="1">
      <c r="A821" s="187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</row>
    <row r="822" ht="12.75" customHeight="1">
      <c r="A822" s="187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</row>
    <row r="823" ht="12.75" customHeight="1">
      <c r="A823" s="187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</row>
    <row r="824" ht="12.75" customHeight="1">
      <c r="A824" s="187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</row>
    <row r="825" ht="12.75" customHeight="1">
      <c r="A825" s="187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</row>
    <row r="826" ht="12.75" customHeight="1">
      <c r="A826" s="187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</row>
    <row r="827" ht="12.75" customHeight="1">
      <c r="A827" s="187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</row>
    <row r="828" ht="12.75" customHeight="1">
      <c r="A828" s="187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</row>
    <row r="829" ht="12.75" customHeight="1">
      <c r="A829" s="187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</row>
    <row r="830" ht="12.75" customHeight="1">
      <c r="A830" s="187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</row>
    <row r="831" ht="12.75" customHeight="1">
      <c r="A831" s="187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</row>
    <row r="832" ht="12.75" customHeight="1">
      <c r="A832" s="187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</row>
    <row r="833" ht="12.75" customHeight="1">
      <c r="A833" s="187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</row>
    <row r="834" ht="12.75" customHeight="1">
      <c r="A834" s="187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</row>
    <row r="835" ht="12.75" customHeight="1">
      <c r="A835" s="187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</row>
    <row r="836" ht="12.75" customHeight="1">
      <c r="A836" s="187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</row>
    <row r="837" ht="12.75" customHeight="1">
      <c r="A837" s="187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</row>
    <row r="838" ht="12.75" customHeight="1">
      <c r="A838" s="187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</row>
    <row r="839" ht="12.75" customHeight="1">
      <c r="A839" s="187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</row>
    <row r="840" ht="12.75" customHeight="1">
      <c r="A840" s="187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</row>
    <row r="841" ht="12.75" customHeight="1">
      <c r="A841" s="187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</row>
    <row r="842" ht="12.75" customHeight="1">
      <c r="A842" s="187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</row>
    <row r="843" ht="12.75" customHeight="1">
      <c r="A843" s="187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</row>
    <row r="844" ht="12.75" customHeight="1">
      <c r="A844" s="187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</row>
    <row r="845" ht="12.75" customHeight="1">
      <c r="A845" s="187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</row>
    <row r="846" ht="12.75" customHeight="1">
      <c r="A846" s="187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</row>
    <row r="847" ht="12.75" customHeight="1">
      <c r="A847" s="187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</row>
    <row r="848" ht="12.75" customHeight="1">
      <c r="A848" s="187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</row>
    <row r="849" ht="12.75" customHeight="1">
      <c r="A849" s="187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</row>
    <row r="850" ht="12.75" customHeight="1">
      <c r="A850" s="187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</row>
    <row r="851" ht="12.75" customHeight="1">
      <c r="A851" s="187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</row>
    <row r="852" ht="12.75" customHeight="1">
      <c r="A852" s="187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</row>
    <row r="853" ht="12.75" customHeight="1">
      <c r="A853" s="187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</row>
    <row r="854" ht="12.75" customHeight="1">
      <c r="A854" s="187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</row>
    <row r="855" ht="12.75" customHeight="1">
      <c r="A855" s="187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</row>
    <row r="856" ht="12.75" customHeight="1">
      <c r="A856" s="187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</row>
    <row r="857" ht="12.75" customHeight="1">
      <c r="A857" s="187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</row>
    <row r="858" ht="12.75" customHeight="1">
      <c r="A858" s="187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</row>
    <row r="859" ht="12.75" customHeight="1">
      <c r="A859" s="187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</row>
    <row r="860" ht="12.75" customHeight="1">
      <c r="A860" s="187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</row>
    <row r="861" ht="12.75" customHeight="1">
      <c r="A861" s="187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</row>
    <row r="862" ht="12.75" customHeight="1">
      <c r="A862" s="187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</row>
    <row r="863" ht="12.75" customHeight="1">
      <c r="A863" s="187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</row>
    <row r="864" ht="12.75" customHeight="1">
      <c r="A864" s="187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</row>
    <row r="865" ht="12.75" customHeight="1">
      <c r="A865" s="187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</row>
    <row r="866" ht="12.75" customHeight="1">
      <c r="A866" s="187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</row>
    <row r="867" ht="12.75" customHeight="1">
      <c r="A867" s="187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</row>
    <row r="868" ht="12.75" customHeight="1">
      <c r="A868" s="187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</row>
    <row r="869" ht="12.75" customHeight="1">
      <c r="A869" s="187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</row>
    <row r="870" ht="12.75" customHeight="1">
      <c r="A870" s="187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</row>
    <row r="871" ht="12.75" customHeight="1">
      <c r="A871" s="187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</row>
    <row r="872" ht="12.75" customHeight="1">
      <c r="A872" s="187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</row>
    <row r="873" ht="12.75" customHeight="1">
      <c r="A873" s="187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</row>
    <row r="874" ht="12.75" customHeight="1">
      <c r="A874" s="187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</row>
    <row r="875" ht="12.75" customHeight="1">
      <c r="A875" s="187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</row>
    <row r="876" ht="12.75" customHeight="1">
      <c r="A876" s="187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</row>
    <row r="877" ht="12.75" customHeight="1">
      <c r="A877" s="187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</row>
    <row r="878" ht="12.75" customHeight="1">
      <c r="A878" s="187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</row>
    <row r="879" ht="12.75" customHeight="1">
      <c r="A879" s="187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</row>
    <row r="880" ht="12.75" customHeight="1">
      <c r="A880" s="187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</row>
    <row r="881" ht="12.75" customHeight="1">
      <c r="A881" s="187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</row>
    <row r="882" ht="12.75" customHeight="1">
      <c r="A882" s="187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</row>
    <row r="883" ht="12.75" customHeight="1">
      <c r="A883" s="187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</row>
    <row r="884" ht="12.75" customHeight="1">
      <c r="A884" s="187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</row>
    <row r="885" ht="12.75" customHeight="1">
      <c r="A885" s="187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</row>
    <row r="886" ht="12.75" customHeight="1">
      <c r="A886" s="187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</row>
    <row r="887" ht="12.75" customHeight="1">
      <c r="A887" s="187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</row>
    <row r="888" ht="12.75" customHeight="1">
      <c r="A888" s="187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</row>
    <row r="889" ht="12.75" customHeight="1">
      <c r="A889" s="187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</row>
    <row r="890" ht="12.75" customHeight="1">
      <c r="A890" s="187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</row>
    <row r="891" ht="12.75" customHeight="1">
      <c r="A891" s="187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</row>
    <row r="892" ht="12.75" customHeight="1">
      <c r="A892" s="187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</row>
    <row r="893" ht="12.75" customHeight="1">
      <c r="A893" s="187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</row>
    <row r="894" ht="12.75" customHeight="1">
      <c r="A894" s="187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</row>
    <row r="895" ht="12.75" customHeight="1">
      <c r="A895" s="187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</row>
    <row r="896" ht="12.75" customHeight="1">
      <c r="A896" s="187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</row>
    <row r="897" ht="12.75" customHeight="1">
      <c r="A897" s="187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</row>
    <row r="898" ht="12.75" customHeight="1">
      <c r="A898" s="187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</row>
    <row r="899" ht="12.75" customHeight="1">
      <c r="A899" s="187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</row>
    <row r="900" ht="12.75" customHeight="1">
      <c r="A900" s="187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</row>
    <row r="901" ht="12.75" customHeight="1">
      <c r="A901" s="187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</row>
    <row r="902" ht="12.75" customHeight="1">
      <c r="A902" s="187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</row>
    <row r="903" ht="12.75" customHeight="1">
      <c r="A903" s="187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</row>
    <row r="904" ht="12.75" customHeight="1">
      <c r="A904" s="187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</row>
    <row r="905" ht="12.75" customHeight="1">
      <c r="A905" s="187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</row>
    <row r="906" ht="12.75" customHeight="1">
      <c r="A906" s="187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</row>
    <row r="907" ht="12.75" customHeight="1">
      <c r="A907" s="187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</row>
    <row r="908" ht="12.75" customHeight="1">
      <c r="A908" s="187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</row>
    <row r="909" ht="12.75" customHeight="1">
      <c r="A909" s="187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</row>
    <row r="910" ht="12.75" customHeight="1">
      <c r="A910" s="187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</row>
    <row r="911" ht="12.75" customHeight="1">
      <c r="A911" s="187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</row>
    <row r="912" ht="12.75" customHeight="1">
      <c r="A912" s="187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</row>
    <row r="913" ht="12.75" customHeight="1">
      <c r="A913" s="187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</row>
    <row r="914" ht="12.75" customHeight="1">
      <c r="A914" s="187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</row>
    <row r="915" ht="12.75" customHeight="1">
      <c r="A915" s="187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</row>
    <row r="916" ht="12.75" customHeight="1">
      <c r="A916" s="187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</row>
    <row r="917" ht="12.75" customHeight="1">
      <c r="A917" s="187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</row>
    <row r="918" ht="12.75" customHeight="1">
      <c r="A918" s="187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</row>
    <row r="919" ht="12.75" customHeight="1">
      <c r="A919" s="187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</row>
    <row r="920" ht="12.75" customHeight="1">
      <c r="A920" s="187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</row>
    <row r="921" ht="12.75" customHeight="1">
      <c r="A921" s="187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</row>
    <row r="922" ht="12.75" customHeight="1">
      <c r="A922" s="187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</row>
    <row r="923" ht="12.75" customHeight="1">
      <c r="A923" s="187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</row>
    <row r="924" ht="12.75" customHeight="1">
      <c r="A924" s="187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</row>
    <row r="925" ht="12.75" customHeight="1">
      <c r="A925" s="187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</row>
    <row r="926" ht="12.75" customHeight="1">
      <c r="A926" s="187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</row>
    <row r="927" ht="12.75" customHeight="1">
      <c r="A927" s="187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</row>
    <row r="928" ht="12.75" customHeight="1">
      <c r="A928" s="187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</row>
    <row r="929" ht="12.75" customHeight="1">
      <c r="A929" s="187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</row>
    <row r="930" ht="12.75" customHeight="1">
      <c r="A930" s="187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</row>
    <row r="931" ht="12.75" customHeight="1">
      <c r="A931" s="187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</row>
    <row r="932" ht="12.75" customHeight="1">
      <c r="A932" s="187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</row>
    <row r="933" ht="12.75" customHeight="1">
      <c r="A933" s="187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</row>
    <row r="934" ht="12.75" customHeight="1">
      <c r="A934" s="187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87"/>
      <c r="V934" s="187"/>
      <c r="W934" s="187"/>
      <c r="X934" s="187"/>
      <c r="Y934" s="187"/>
      <c r="Z934" s="187"/>
    </row>
    <row r="935" ht="12.75" customHeight="1">
      <c r="A935" s="187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87"/>
      <c r="V935" s="187"/>
      <c r="W935" s="187"/>
      <c r="X935" s="187"/>
      <c r="Y935" s="187"/>
      <c r="Z935" s="187"/>
    </row>
    <row r="936" ht="12.75" customHeight="1">
      <c r="A936" s="187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87"/>
      <c r="V936" s="187"/>
      <c r="W936" s="187"/>
      <c r="X936" s="187"/>
      <c r="Y936" s="187"/>
      <c r="Z936" s="187"/>
    </row>
    <row r="937" ht="12.75" customHeight="1">
      <c r="A937" s="187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87"/>
      <c r="V937" s="187"/>
      <c r="W937" s="187"/>
      <c r="X937" s="187"/>
      <c r="Y937" s="187"/>
      <c r="Z937" s="187"/>
    </row>
    <row r="938" ht="12.75" customHeight="1">
      <c r="A938" s="187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87"/>
      <c r="V938" s="187"/>
      <c r="W938" s="187"/>
      <c r="X938" s="187"/>
      <c r="Y938" s="187"/>
      <c r="Z938" s="187"/>
    </row>
    <row r="939" ht="12.75" customHeight="1">
      <c r="A939" s="187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87"/>
      <c r="V939" s="187"/>
      <c r="W939" s="187"/>
      <c r="X939" s="187"/>
      <c r="Y939" s="187"/>
      <c r="Z939" s="187"/>
    </row>
    <row r="940" ht="12.75" customHeight="1">
      <c r="A940" s="187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87"/>
      <c r="V940" s="187"/>
      <c r="W940" s="187"/>
      <c r="X940" s="187"/>
      <c r="Y940" s="187"/>
      <c r="Z940" s="187"/>
    </row>
    <row r="941" ht="12.75" customHeight="1">
      <c r="A941" s="187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87"/>
      <c r="V941" s="187"/>
      <c r="W941" s="187"/>
      <c r="X941" s="187"/>
      <c r="Y941" s="187"/>
      <c r="Z941" s="187"/>
    </row>
    <row r="942" ht="12.75" customHeight="1">
      <c r="A942" s="187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87"/>
      <c r="V942" s="187"/>
      <c r="W942" s="187"/>
      <c r="X942" s="187"/>
      <c r="Y942" s="187"/>
      <c r="Z942" s="187"/>
    </row>
    <row r="943" ht="12.75" customHeight="1">
      <c r="A943" s="187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87"/>
      <c r="V943" s="187"/>
      <c r="W943" s="187"/>
      <c r="X943" s="187"/>
      <c r="Y943" s="187"/>
      <c r="Z943" s="187"/>
    </row>
    <row r="944" ht="12.75" customHeight="1">
      <c r="A944" s="187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87"/>
      <c r="V944" s="187"/>
      <c r="W944" s="187"/>
      <c r="X944" s="187"/>
      <c r="Y944" s="187"/>
      <c r="Z944" s="187"/>
    </row>
    <row r="945" ht="12.75" customHeight="1">
      <c r="A945" s="187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87"/>
      <c r="V945" s="187"/>
      <c r="W945" s="187"/>
      <c r="X945" s="187"/>
      <c r="Y945" s="187"/>
      <c r="Z945" s="187"/>
    </row>
    <row r="946" ht="12.75" customHeight="1">
      <c r="A946" s="187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87"/>
      <c r="V946" s="187"/>
      <c r="W946" s="187"/>
      <c r="X946" s="187"/>
      <c r="Y946" s="187"/>
      <c r="Z946" s="187"/>
    </row>
    <row r="947" ht="12.75" customHeight="1">
      <c r="A947" s="187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87"/>
      <c r="V947" s="187"/>
      <c r="W947" s="187"/>
      <c r="X947" s="187"/>
      <c r="Y947" s="187"/>
      <c r="Z947" s="187"/>
    </row>
    <row r="948" ht="12.75" customHeight="1">
      <c r="A948" s="187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87"/>
      <c r="V948" s="187"/>
      <c r="W948" s="187"/>
      <c r="X948" s="187"/>
      <c r="Y948" s="187"/>
      <c r="Z948" s="187"/>
    </row>
    <row r="949" ht="12.75" customHeight="1">
      <c r="A949" s="187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87"/>
      <c r="V949" s="187"/>
      <c r="W949" s="187"/>
      <c r="X949" s="187"/>
      <c r="Y949" s="187"/>
      <c r="Z949" s="187"/>
    </row>
    <row r="950" ht="12.75" customHeight="1">
      <c r="A950" s="187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87"/>
      <c r="V950" s="187"/>
      <c r="W950" s="187"/>
      <c r="X950" s="187"/>
      <c r="Y950" s="187"/>
      <c r="Z950" s="187"/>
    </row>
    <row r="951" ht="12.75" customHeight="1">
      <c r="A951" s="187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87"/>
      <c r="V951" s="187"/>
      <c r="W951" s="187"/>
      <c r="X951" s="187"/>
      <c r="Y951" s="187"/>
      <c r="Z951" s="187"/>
    </row>
    <row r="952" ht="12.75" customHeight="1">
      <c r="A952" s="187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87"/>
      <c r="V952" s="187"/>
      <c r="W952" s="187"/>
      <c r="X952" s="187"/>
      <c r="Y952" s="187"/>
      <c r="Z952" s="187"/>
    </row>
    <row r="953" ht="12.75" customHeight="1">
      <c r="A953" s="187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87"/>
      <c r="V953" s="187"/>
      <c r="W953" s="187"/>
      <c r="X953" s="187"/>
      <c r="Y953" s="187"/>
      <c r="Z953" s="187"/>
    </row>
    <row r="954" ht="12.75" customHeight="1">
      <c r="A954" s="187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87"/>
      <c r="V954" s="187"/>
      <c r="W954" s="187"/>
      <c r="X954" s="187"/>
      <c r="Y954" s="187"/>
      <c r="Z954" s="187"/>
    </row>
    <row r="955" ht="12.75" customHeight="1">
      <c r="A955" s="187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87"/>
      <c r="V955" s="187"/>
      <c r="W955" s="187"/>
      <c r="X955" s="187"/>
      <c r="Y955" s="187"/>
      <c r="Z955" s="187"/>
    </row>
    <row r="956" ht="12.75" customHeight="1">
      <c r="A956" s="187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87"/>
      <c r="V956" s="187"/>
      <c r="W956" s="187"/>
      <c r="X956" s="187"/>
      <c r="Y956" s="187"/>
      <c r="Z956" s="187"/>
    </row>
    <row r="957" ht="12.75" customHeight="1">
      <c r="A957" s="187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87"/>
      <c r="V957" s="187"/>
      <c r="W957" s="187"/>
      <c r="X957" s="187"/>
      <c r="Y957" s="187"/>
      <c r="Z957" s="187"/>
    </row>
    <row r="958" ht="12.75" customHeight="1">
      <c r="A958" s="187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87"/>
      <c r="V958" s="187"/>
      <c r="W958" s="187"/>
      <c r="X958" s="187"/>
      <c r="Y958" s="187"/>
      <c r="Z958" s="187"/>
    </row>
    <row r="959" ht="12.75" customHeight="1">
      <c r="A959" s="187"/>
      <c r="B959" s="187"/>
      <c r="C959" s="187"/>
      <c r="D959" s="187"/>
      <c r="E959" s="187"/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87"/>
      <c r="V959" s="187"/>
      <c r="W959" s="187"/>
      <c r="X959" s="187"/>
      <c r="Y959" s="187"/>
      <c r="Z959" s="187"/>
    </row>
    <row r="960" ht="12.75" customHeight="1">
      <c r="A960" s="187"/>
      <c r="B960" s="187"/>
      <c r="C960" s="187"/>
      <c r="D960" s="187"/>
      <c r="E960" s="187"/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87"/>
      <c r="V960" s="187"/>
      <c r="W960" s="187"/>
      <c r="X960" s="187"/>
      <c r="Y960" s="187"/>
      <c r="Z960" s="187"/>
    </row>
    <row r="961" ht="12.75" customHeight="1">
      <c r="A961" s="187"/>
      <c r="B961" s="187"/>
      <c r="C961" s="187"/>
      <c r="D961" s="187"/>
      <c r="E961" s="187"/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87"/>
      <c r="V961" s="187"/>
      <c r="W961" s="187"/>
      <c r="X961" s="187"/>
      <c r="Y961" s="187"/>
      <c r="Z961" s="187"/>
    </row>
    <row r="962" ht="12.75" customHeight="1">
      <c r="A962" s="187"/>
      <c r="B962" s="187"/>
      <c r="C962" s="187"/>
      <c r="D962" s="187"/>
      <c r="E962" s="187"/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87"/>
      <c r="V962" s="187"/>
      <c r="W962" s="187"/>
      <c r="X962" s="187"/>
      <c r="Y962" s="187"/>
      <c r="Z962" s="187"/>
    </row>
    <row r="963" ht="12.75" customHeight="1">
      <c r="A963" s="187"/>
      <c r="B963" s="187"/>
      <c r="C963" s="187"/>
      <c r="D963" s="187"/>
      <c r="E963" s="187"/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87"/>
      <c r="V963" s="187"/>
      <c r="W963" s="187"/>
      <c r="X963" s="187"/>
      <c r="Y963" s="187"/>
      <c r="Z963" s="187"/>
    </row>
    <row r="964" ht="12.75" customHeight="1">
      <c r="A964" s="187"/>
      <c r="B964" s="187"/>
      <c r="C964" s="187"/>
      <c r="D964" s="187"/>
      <c r="E964" s="187"/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87"/>
      <c r="V964" s="187"/>
      <c r="W964" s="187"/>
      <c r="X964" s="187"/>
      <c r="Y964" s="187"/>
      <c r="Z964" s="187"/>
    </row>
    <row r="965" ht="12.75" customHeight="1">
      <c r="A965" s="187"/>
      <c r="B965" s="187"/>
      <c r="C965" s="187"/>
      <c r="D965" s="187"/>
      <c r="E965" s="187"/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87"/>
      <c r="V965" s="187"/>
      <c r="W965" s="187"/>
      <c r="X965" s="187"/>
      <c r="Y965" s="187"/>
      <c r="Z965" s="187"/>
    </row>
    <row r="966" ht="12.75" customHeight="1">
      <c r="A966" s="187"/>
      <c r="B966" s="187"/>
      <c r="C966" s="187"/>
      <c r="D966" s="187"/>
      <c r="E966" s="187"/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87"/>
      <c r="V966" s="187"/>
      <c r="W966" s="187"/>
      <c r="X966" s="187"/>
      <c r="Y966" s="187"/>
      <c r="Z966" s="187"/>
    </row>
    <row r="967" ht="12.75" customHeight="1">
      <c r="A967" s="187"/>
      <c r="B967" s="187"/>
      <c r="C967" s="187"/>
      <c r="D967" s="187"/>
      <c r="E967" s="187"/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87"/>
      <c r="V967" s="187"/>
      <c r="W967" s="187"/>
      <c r="X967" s="187"/>
      <c r="Y967" s="187"/>
      <c r="Z967" s="187"/>
    </row>
    <row r="968" ht="12.75" customHeight="1">
      <c r="A968" s="187"/>
      <c r="B968" s="187"/>
      <c r="C968" s="187"/>
      <c r="D968" s="187"/>
      <c r="E968" s="187"/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87"/>
      <c r="V968" s="187"/>
      <c r="W968" s="187"/>
      <c r="X968" s="187"/>
      <c r="Y968" s="187"/>
      <c r="Z968" s="187"/>
    </row>
    <row r="969" ht="12.75" customHeight="1">
      <c r="A969" s="187"/>
      <c r="B969" s="187"/>
      <c r="C969" s="187"/>
      <c r="D969" s="187"/>
      <c r="E969" s="187"/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87"/>
      <c r="V969" s="187"/>
      <c r="W969" s="187"/>
      <c r="X969" s="187"/>
      <c r="Y969" s="187"/>
      <c r="Z969" s="187"/>
    </row>
    <row r="970" ht="12.75" customHeight="1">
      <c r="A970" s="187"/>
      <c r="B970" s="187"/>
      <c r="C970" s="187"/>
      <c r="D970" s="187"/>
      <c r="E970" s="187"/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87"/>
      <c r="V970" s="187"/>
      <c r="W970" s="187"/>
      <c r="X970" s="187"/>
      <c r="Y970" s="187"/>
      <c r="Z970" s="187"/>
    </row>
    <row r="971" ht="12.75" customHeight="1">
      <c r="A971" s="187"/>
      <c r="B971" s="187"/>
      <c r="C971" s="187"/>
      <c r="D971" s="187"/>
      <c r="E971" s="187"/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87"/>
      <c r="V971" s="187"/>
      <c r="W971" s="187"/>
      <c r="X971" s="187"/>
      <c r="Y971" s="187"/>
      <c r="Z971" s="187"/>
    </row>
    <row r="972" ht="12.75" customHeight="1">
      <c r="A972" s="187"/>
      <c r="B972" s="187"/>
      <c r="C972" s="187"/>
      <c r="D972" s="187"/>
      <c r="E972" s="187"/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87"/>
      <c r="V972" s="187"/>
      <c r="W972" s="187"/>
      <c r="X972" s="187"/>
      <c r="Y972" s="187"/>
      <c r="Z972" s="187"/>
    </row>
    <row r="973" ht="12.75" customHeight="1">
      <c r="A973" s="187"/>
      <c r="B973" s="187"/>
      <c r="C973" s="187"/>
      <c r="D973" s="187"/>
      <c r="E973" s="187"/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87"/>
      <c r="V973" s="187"/>
      <c r="W973" s="187"/>
      <c r="X973" s="187"/>
      <c r="Y973" s="187"/>
      <c r="Z973" s="187"/>
    </row>
    <row r="974" ht="12.75" customHeight="1">
      <c r="A974" s="187"/>
      <c r="B974" s="187"/>
      <c r="C974" s="187"/>
      <c r="D974" s="187"/>
      <c r="E974" s="187"/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87"/>
      <c r="V974" s="187"/>
      <c r="W974" s="187"/>
      <c r="X974" s="187"/>
      <c r="Y974" s="187"/>
      <c r="Z974" s="187"/>
    </row>
    <row r="975" ht="12.75" customHeight="1">
      <c r="A975" s="187"/>
      <c r="B975" s="187"/>
      <c r="C975" s="187"/>
      <c r="D975" s="187"/>
      <c r="E975" s="187"/>
      <c r="F975" s="187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87"/>
      <c r="V975" s="187"/>
      <c r="W975" s="187"/>
      <c r="X975" s="187"/>
      <c r="Y975" s="187"/>
      <c r="Z975" s="187"/>
    </row>
    <row r="976" ht="12.75" customHeight="1">
      <c r="A976" s="187"/>
      <c r="B976" s="187"/>
      <c r="C976" s="187"/>
      <c r="D976" s="187"/>
      <c r="E976" s="187"/>
      <c r="F976" s="187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87"/>
      <c r="V976" s="187"/>
      <c r="W976" s="187"/>
      <c r="X976" s="187"/>
      <c r="Y976" s="187"/>
      <c r="Z976" s="187"/>
    </row>
    <row r="977" ht="12.75" customHeight="1">
      <c r="A977" s="187"/>
      <c r="B977" s="187"/>
      <c r="C977" s="187"/>
      <c r="D977" s="187"/>
      <c r="E977" s="187"/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87"/>
      <c r="V977" s="187"/>
      <c r="W977" s="187"/>
      <c r="X977" s="187"/>
      <c r="Y977" s="187"/>
      <c r="Z977" s="187"/>
    </row>
    <row r="978" ht="12.75" customHeight="1">
      <c r="A978" s="187"/>
      <c r="B978" s="187"/>
      <c r="C978" s="187"/>
      <c r="D978" s="187"/>
      <c r="E978" s="187"/>
      <c r="F978" s="187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87"/>
      <c r="V978" s="187"/>
      <c r="W978" s="187"/>
      <c r="X978" s="187"/>
      <c r="Y978" s="187"/>
      <c r="Z978" s="187"/>
    </row>
    <row r="979" ht="12.75" customHeight="1">
      <c r="A979" s="187"/>
      <c r="B979" s="187"/>
      <c r="C979" s="187"/>
      <c r="D979" s="187"/>
      <c r="E979" s="187"/>
      <c r="F979" s="187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87"/>
      <c r="V979" s="187"/>
      <c r="W979" s="187"/>
      <c r="X979" s="187"/>
      <c r="Y979" s="187"/>
      <c r="Z979" s="187"/>
    </row>
    <row r="980" ht="12.75" customHeight="1">
      <c r="A980" s="187"/>
      <c r="B980" s="187"/>
      <c r="C980" s="187"/>
      <c r="D980" s="187"/>
      <c r="E980" s="187"/>
      <c r="F980" s="187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87"/>
      <c r="V980" s="187"/>
      <c r="W980" s="187"/>
      <c r="X980" s="187"/>
      <c r="Y980" s="187"/>
      <c r="Z980" s="187"/>
    </row>
    <row r="981" ht="12.75" customHeight="1">
      <c r="A981" s="187"/>
      <c r="B981" s="187"/>
      <c r="C981" s="187"/>
      <c r="D981" s="187"/>
      <c r="E981" s="187"/>
      <c r="F981" s="187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87"/>
      <c r="V981" s="187"/>
      <c r="W981" s="187"/>
      <c r="X981" s="187"/>
      <c r="Y981" s="187"/>
      <c r="Z981" s="187"/>
    </row>
    <row r="982" ht="12.75" customHeight="1">
      <c r="A982" s="187"/>
      <c r="B982" s="187"/>
      <c r="C982" s="187"/>
      <c r="D982" s="187"/>
      <c r="E982" s="187"/>
      <c r="F982" s="187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87"/>
      <c r="V982" s="187"/>
      <c r="W982" s="187"/>
      <c r="X982" s="187"/>
      <c r="Y982" s="187"/>
      <c r="Z982" s="187"/>
    </row>
    <row r="983" ht="12.75" customHeight="1">
      <c r="A983" s="187"/>
      <c r="B983" s="187"/>
      <c r="C983" s="187"/>
      <c r="D983" s="187"/>
      <c r="E983" s="187"/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87"/>
      <c r="V983" s="187"/>
      <c r="W983" s="187"/>
      <c r="X983" s="187"/>
      <c r="Y983" s="187"/>
      <c r="Z983" s="187"/>
    </row>
    <row r="984" ht="12.75" customHeight="1">
      <c r="A984" s="187"/>
      <c r="B984" s="187"/>
      <c r="C984" s="187"/>
      <c r="D984" s="187"/>
      <c r="E984" s="187"/>
      <c r="F984" s="187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87"/>
      <c r="V984" s="187"/>
      <c r="W984" s="187"/>
      <c r="X984" s="187"/>
      <c r="Y984" s="187"/>
      <c r="Z984" s="187"/>
    </row>
    <row r="985" ht="12.75" customHeight="1">
      <c r="A985" s="187"/>
      <c r="B985" s="187"/>
      <c r="C985" s="187"/>
      <c r="D985" s="187"/>
      <c r="E985" s="187"/>
      <c r="F985" s="187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87"/>
      <c r="V985" s="187"/>
      <c r="W985" s="187"/>
      <c r="X985" s="187"/>
      <c r="Y985" s="187"/>
      <c r="Z985" s="187"/>
    </row>
    <row r="986" ht="12.75" customHeight="1">
      <c r="A986" s="187"/>
      <c r="B986" s="187"/>
      <c r="C986" s="187"/>
      <c r="D986" s="187"/>
      <c r="E986" s="187"/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87"/>
      <c r="V986" s="187"/>
      <c r="W986" s="187"/>
      <c r="X986" s="187"/>
      <c r="Y986" s="187"/>
      <c r="Z986" s="187"/>
    </row>
    <row r="987" ht="12.75" customHeight="1">
      <c r="A987" s="187"/>
      <c r="B987" s="187"/>
      <c r="C987" s="187"/>
      <c r="D987" s="187"/>
      <c r="E987" s="187"/>
      <c r="F987" s="187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87"/>
      <c r="V987" s="187"/>
      <c r="W987" s="187"/>
      <c r="X987" s="187"/>
      <c r="Y987" s="187"/>
      <c r="Z987" s="187"/>
    </row>
    <row r="988" ht="12.75" customHeight="1">
      <c r="A988" s="187"/>
      <c r="B988" s="187"/>
      <c r="C988" s="187"/>
      <c r="D988" s="187"/>
      <c r="E988" s="187"/>
      <c r="F988" s="187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87"/>
      <c r="V988" s="187"/>
      <c r="W988" s="187"/>
      <c r="X988" s="187"/>
      <c r="Y988" s="187"/>
      <c r="Z988" s="187"/>
    </row>
    <row r="989" ht="12.75" customHeight="1">
      <c r="A989" s="187"/>
      <c r="B989" s="187"/>
      <c r="C989" s="187"/>
      <c r="D989" s="187"/>
      <c r="E989" s="187"/>
      <c r="F989" s="187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87"/>
      <c r="V989" s="187"/>
      <c r="W989" s="187"/>
      <c r="X989" s="187"/>
      <c r="Y989" s="187"/>
      <c r="Z989" s="187"/>
    </row>
    <row r="990" ht="12.75" customHeight="1">
      <c r="A990" s="187"/>
      <c r="B990" s="187"/>
      <c r="C990" s="187"/>
      <c r="D990" s="187"/>
      <c r="E990" s="187"/>
      <c r="F990" s="187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87"/>
      <c r="V990" s="187"/>
      <c r="W990" s="187"/>
      <c r="X990" s="187"/>
      <c r="Y990" s="187"/>
      <c r="Z990" s="187"/>
    </row>
    <row r="991" ht="12.75" customHeight="1">
      <c r="A991" s="187"/>
      <c r="B991" s="187"/>
      <c r="C991" s="187"/>
      <c r="D991" s="187"/>
      <c r="E991" s="187"/>
      <c r="F991" s="187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87"/>
      <c r="V991" s="187"/>
      <c r="W991" s="187"/>
      <c r="X991" s="187"/>
      <c r="Y991" s="187"/>
      <c r="Z991" s="187"/>
    </row>
    <row r="992" ht="12.75" customHeight="1">
      <c r="A992" s="187"/>
      <c r="B992" s="187"/>
      <c r="C992" s="187"/>
      <c r="D992" s="187"/>
      <c r="E992" s="187"/>
      <c r="F992" s="187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87"/>
      <c r="V992" s="187"/>
      <c r="W992" s="187"/>
      <c r="X992" s="187"/>
      <c r="Y992" s="187"/>
      <c r="Z992" s="187"/>
    </row>
    <row r="993" ht="12.75" customHeight="1">
      <c r="A993" s="187"/>
      <c r="B993" s="187"/>
      <c r="C993" s="187"/>
      <c r="D993" s="187"/>
      <c r="E993" s="187"/>
      <c r="F993" s="187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87"/>
      <c r="V993" s="187"/>
      <c r="W993" s="187"/>
      <c r="X993" s="187"/>
      <c r="Y993" s="187"/>
      <c r="Z993" s="187"/>
    </row>
    <row r="994" ht="12.75" customHeight="1">
      <c r="A994" s="187"/>
      <c r="B994" s="187"/>
      <c r="C994" s="187"/>
      <c r="D994" s="187"/>
      <c r="E994" s="187"/>
      <c r="F994" s="187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87"/>
      <c r="V994" s="187"/>
      <c r="W994" s="187"/>
      <c r="X994" s="187"/>
      <c r="Y994" s="187"/>
      <c r="Z994" s="187"/>
    </row>
    <row r="995" ht="12.75" customHeight="1">
      <c r="A995" s="187"/>
      <c r="B995" s="187"/>
      <c r="C995" s="187"/>
      <c r="D995" s="187"/>
      <c r="E995" s="187"/>
      <c r="F995" s="187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87"/>
      <c r="V995" s="187"/>
      <c r="W995" s="187"/>
      <c r="X995" s="187"/>
      <c r="Y995" s="187"/>
      <c r="Z995" s="187"/>
    </row>
    <row r="996" ht="12.75" customHeight="1">
      <c r="A996" s="187"/>
      <c r="B996" s="187"/>
      <c r="C996" s="187"/>
      <c r="D996" s="187"/>
      <c r="E996" s="187"/>
      <c r="F996" s="187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87"/>
      <c r="V996" s="187"/>
      <c r="W996" s="187"/>
      <c r="X996" s="187"/>
      <c r="Y996" s="187"/>
      <c r="Z996" s="187"/>
    </row>
    <row r="997" ht="12.75" customHeight="1">
      <c r="A997" s="187"/>
      <c r="B997" s="187"/>
      <c r="C997" s="187"/>
      <c r="D997" s="187"/>
      <c r="E997" s="187"/>
      <c r="F997" s="187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87"/>
      <c r="V997" s="187"/>
      <c r="W997" s="187"/>
      <c r="X997" s="187"/>
      <c r="Y997" s="187"/>
      <c r="Z997" s="187"/>
    </row>
    <row r="998" ht="12.75" customHeight="1">
      <c r="A998" s="187"/>
      <c r="B998" s="187"/>
      <c r="C998" s="187"/>
      <c r="D998" s="187"/>
      <c r="E998" s="187"/>
      <c r="F998" s="187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87"/>
      <c r="V998" s="187"/>
      <c r="W998" s="187"/>
      <c r="X998" s="187"/>
      <c r="Y998" s="187"/>
      <c r="Z998" s="187"/>
    </row>
    <row r="999" ht="12.75" customHeight="1">
      <c r="A999" s="187"/>
      <c r="B999" s="187"/>
      <c r="C999" s="187"/>
      <c r="D999" s="187"/>
      <c r="E999" s="187"/>
      <c r="F999" s="187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87"/>
      <c r="V999" s="187"/>
      <c r="W999" s="187"/>
      <c r="X999" s="187"/>
      <c r="Y999" s="187"/>
      <c r="Z999" s="187"/>
    </row>
    <row r="1000" ht="12.75" customHeight="1">
      <c r="A1000" s="187"/>
      <c r="B1000" s="187"/>
      <c r="C1000" s="187"/>
      <c r="D1000" s="187"/>
      <c r="E1000" s="187"/>
      <c r="F1000" s="187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87"/>
      <c r="V1000" s="187"/>
      <c r="W1000" s="187"/>
      <c r="X1000" s="187"/>
      <c r="Y1000" s="187"/>
      <c r="Z1000" s="187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paperSize="9" scale="6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3" width="5.63"/>
    <col customWidth="1" min="14" max="15" width="9.13"/>
    <col customWidth="1" min="16" max="26" width="8.0"/>
  </cols>
  <sheetData>
    <row r="1" ht="12.75" customHeight="1">
      <c r="A1" s="187"/>
      <c r="B1" s="187"/>
      <c r="C1" s="188" t="s">
        <v>228</v>
      </c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</row>
    <row r="2" ht="12.75" customHeight="1">
      <c r="A2" s="187"/>
      <c r="B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</row>
    <row r="3" ht="12.75" customHeight="1">
      <c r="A3" s="187"/>
      <c r="B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</row>
    <row r="4" ht="12.75" customHeight="1">
      <c r="A4" s="187"/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</row>
    <row r="5" ht="13.5" customHeight="1">
      <c r="A5" s="187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</row>
    <row r="6" ht="20.25" customHeight="1">
      <c r="A6" s="187"/>
      <c r="B6" s="187"/>
      <c r="C6" s="189" t="s">
        <v>294</v>
      </c>
      <c r="D6" s="103"/>
      <c r="E6" s="103"/>
      <c r="F6" s="103"/>
      <c r="G6" s="103"/>
      <c r="H6" s="103"/>
      <c r="I6" s="103"/>
      <c r="J6" s="103"/>
      <c r="K6" s="103"/>
      <c r="L6" s="103"/>
      <c r="M6" s="104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</row>
    <row r="7" ht="4.5" customHeight="1">
      <c r="A7" s="187"/>
      <c r="B7" s="187"/>
      <c r="C7" s="190"/>
      <c r="D7" s="191"/>
      <c r="E7" s="191"/>
      <c r="F7" s="191"/>
      <c r="G7" s="191"/>
      <c r="H7" s="191"/>
      <c r="I7" s="191"/>
      <c r="J7" s="191"/>
      <c r="K7" s="191"/>
      <c r="L7" s="191"/>
      <c r="M7" s="192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</row>
    <row r="8" ht="4.5" customHeight="1">
      <c r="A8" s="187"/>
      <c r="B8" s="187"/>
      <c r="C8" s="193"/>
      <c r="D8" s="194"/>
      <c r="E8" s="194"/>
      <c r="F8" s="194"/>
      <c r="G8" s="194"/>
      <c r="H8" s="194"/>
      <c r="I8" s="194"/>
      <c r="J8" s="194"/>
      <c r="K8" s="194"/>
      <c r="L8" s="194"/>
      <c r="M8" s="195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</row>
    <row r="9" ht="12.75" customHeight="1">
      <c r="A9" s="187"/>
      <c r="B9" s="187"/>
      <c r="C9" s="196" t="s">
        <v>195</v>
      </c>
      <c r="D9" s="191"/>
      <c r="E9" s="191"/>
      <c r="F9" s="191"/>
      <c r="G9" s="191"/>
      <c r="H9" s="191"/>
      <c r="I9" s="191"/>
      <c r="J9" s="191"/>
      <c r="K9" s="191"/>
      <c r="L9" s="191"/>
      <c r="M9" s="192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</row>
    <row r="10" ht="12.75" customHeight="1">
      <c r="A10" s="187"/>
      <c r="B10" s="187"/>
      <c r="C10" s="193"/>
      <c r="D10" s="194"/>
      <c r="E10" s="194"/>
      <c r="F10" s="194"/>
      <c r="G10" s="194"/>
      <c r="H10" s="194"/>
      <c r="I10" s="194"/>
      <c r="J10" s="194"/>
      <c r="K10" s="194"/>
      <c r="L10" s="194"/>
      <c r="M10" s="195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</row>
    <row r="11" ht="19.5" customHeight="1">
      <c r="A11" s="187"/>
      <c r="B11" s="187"/>
      <c r="C11" s="197" t="s">
        <v>196</v>
      </c>
      <c r="D11" s="198" t="s">
        <v>197</v>
      </c>
      <c r="E11" s="199" t="s">
        <v>177</v>
      </c>
      <c r="F11" s="200"/>
      <c r="G11" s="198"/>
      <c r="H11" s="199" t="s">
        <v>181</v>
      </c>
      <c r="I11" s="200"/>
      <c r="J11" s="201" t="s">
        <v>199</v>
      </c>
      <c r="K11" s="200"/>
      <c r="L11" s="201" t="s">
        <v>200</v>
      </c>
      <c r="M11" s="202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</row>
    <row r="12" ht="12.75" customHeight="1">
      <c r="A12" s="187"/>
      <c r="B12" s="187"/>
      <c r="C12" s="203"/>
      <c r="M12" s="204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</row>
    <row r="13" ht="13.5" customHeight="1">
      <c r="A13" s="187"/>
      <c r="B13" s="187"/>
      <c r="C13" s="205" t="s">
        <v>201</v>
      </c>
      <c r="D13" s="206" t="s">
        <v>212</v>
      </c>
      <c r="E13" s="207" t="s">
        <v>37</v>
      </c>
      <c r="F13" s="207" t="s">
        <v>50</v>
      </c>
      <c r="G13" s="208" t="s">
        <v>198</v>
      </c>
      <c r="H13" s="207" t="s">
        <v>39</v>
      </c>
      <c r="I13" s="207" t="s">
        <v>52</v>
      </c>
      <c r="J13" s="209">
        <v>6.0</v>
      </c>
      <c r="K13" s="210">
        <v>3.0</v>
      </c>
      <c r="L13" s="211">
        <f>IF(AND(J13&gt;K13,J14&gt;K14),2,IF(J13&gt;K13,1,IF(J14&gt;K14,1,0)))</f>
        <v>2</v>
      </c>
      <c r="M13" s="211">
        <f>IF(AND(K13&gt;J13,K14&gt;J14),2,IF(K13&gt;J13,1,IF(K14&gt;J14,1,0)))</f>
        <v>0</v>
      </c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</row>
    <row r="14" ht="12.75" customHeight="1">
      <c r="A14" s="187"/>
      <c r="B14" s="187"/>
      <c r="C14" s="212"/>
      <c r="D14" s="213"/>
      <c r="E14" s="213"/>
      <c r="F14" s="213"/>
      <c r="G14" s="213"/>
      <c r="H14" s="213"/>
      <c r="I14" s="213"/>
      <c r="J14" s="214">
        <v>6.0</v>
      </c>
      <c r="K14" s="215">
        <v>3.0</v>
      </c>
      <c r="L14" s="213"/>
      <c r="M14" s="213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</row>
    <row r="15" ht="4.5" customHeight="1">
      <c r="A15" s="187"/>
      <c r="B15" s="187"/>
      <c r="C15" s="216"/>
      <c r="D15" s="23"/>
      <c r="E15" s="23"/>
      <c r="F15" s="23"/>
      <c r="G15" s="23"/>
      <c r="H15" s="23"/>
      <c r="I15" s="23"/>
      <c r="J15" s="23"/>
      <c r="K15" s="23"/>
      <c r="L15" s="23"/>
      <c r="M15" s="202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</row>
    <row r="16" ht="12.75" customHeight="1">
      <c r="A16" s="187"/>
      <c r="B16" s="187"/>
      <c r="C16" s="205" t="s">
        <v>204</v>
      </c>
      <c r="D16" s="206" t="s">
        <v>205</v>
      </c>
      <c r="E16" s="207" t="s">
        <v>115</v>
      </c>
      <c r="F16" s="207" t="s">
        <v>126</v>
      </c>
      <c r="G16" s="208" t="s">
        <v>198</v>
      </c>
      <c r="H16" s="207" t="s">
        <v>117</v>
      </c>
      <c r="I16" s="207" t="s">
        <v>128</v>
      </c>
      <c r="J16" s="209">
        <v>4.0</v>
      </c>
      <c r="K16" s="210">
        <v>6.0</v>
      </c>
      <c r="L16" s="211">
        <f>IF(AND(J16&gt;K16,J17&gt;K17),2,IF(J16&gt;K16,1,IF(J17&gt;K17,1,0)))</f>
        <v>0</v>
      </c>
      <c r="M16" s="211">
        <f>IF(AND(K16&gt;J16,K17&gt;J17),2,IF(K16&gt;J16,1,IF(K17&gt;J17,1,0)))</f>
        <v>2</v>
      </c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</row>
    <row r="17" ht="12.75" customHeight="1">
      <c r="A17" s="187"/>
      <c r="B17" s="187"/>
      <c r="C17" s="212"/>
      <c r="D17" s="213"/>
      <c r="E17" s="213"/>
      <c r="F17" s="213"/>
      <c r="G17" s="213"/>
      <c r="H17" s="213"/>
      <c r="I17" s="213"/>
      <c r="J17" s="214">
        <v>1.0</v>
      </c>
      <c r="K17" s="215">
        <v>6.0</v>
      </c>
      <c r="L17" s="213"/>
      <c r="M17" s="213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</row>
    <row r="18" ht="4.5" customHeight="1">
      <c r="A18" s="187"/>
      <c r="B18" s="187"/>
      <c r="C18" s="217"/>
      <c r="D18" s="23"/>
      <c r="E18" s="23"/>
      <c r="F18" s="23"/>
      <c r="G18" s="23"/>
      <c r="H18" s="23"/>
      <c r="I18" s="23"/>
      <c r="J18" s="23"/>
      <c r="K18" s="23"/>
      <c r="L18" s="23"/>
      <c r="M18" s="202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</row>
    <row r="19" ht="12.75" customHeight="1">
      <c r="A19" s="187"/>
      <c r="B19" s="187"/>
      <c r="C19" s="205" t="s">
        <v>206</v>
      </c>
      <c r="D19" s="206" t="s">
        <v>216</v>
      </c>
      <c r="E19" s="207" t="s">
        <v>57</v>
      </c>
      <c r="F19" s="207" t="s">
        <v>71</v>
      </c>
      <c r="G19" s="208" t="s">
        <v>198</v>
      </c>
      <c r="H19" s="207" t="s">
        <v>59</v>
      </c>
      <c r="I19" s="207" t="s">
        <v>73</v>
      </c>
      <c r="J19" s="209">
        <v>3.0</v>
      </c>
      <c r="K19" s="210">
        <v>6.0</v>
      </c>
      <c r="L19" s="211">
        <f>IF(AND(J19&gt;K19,J20&gt;K20),2,IF(J19&gt;K19,1,IF(J20&gt;K20,1,0)))</f>
        <v>1</v>
      </c>
      <c r="M19" s="211">
        <f>IF(AND(K19&gt;J19,K20&gt;J20),2,IF(K19&gt;J19,1,IF(K20&gt;J20,1,0)))</f>
        <v>1</v>
      </c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</row>
    <row r="20" ht="12.75" customHeight="1">
      <c r="A20" s="187"/>
      <c r="B20" s="187"/>
      <c r="C20" s="212"/>
      <c r="D20" s="213"/>
      <c r="E20" s="213"/>
      <c r="F20" s="213"/>
      <c r="G20" s="213"/>
      <c r="H20" s="213"/>
      <c r="I20" s="213"/>
      <c r="J20" s="214">
        <v>6.0</v>
      </c>
      <c r="K20" s="215">
        <v>2.0</v>
      </c>
      <c r="L20" s="213"/>
      <c r="M20" s="213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</row>
    <row r="21" ht="4.5" customHeight="1">
      <c r="A21" s="187"/>
      <c r="B21" s="187"/>
      <c r="C21" s="217"/>
      <c r="D21" s="23"/>
      <c r="E21" s="23"/>
      <c r="F21" s="23"/>
      <c r="G21" s="23"/>
      <c r="H21" s="23"/>
      <c r="I21" s="23"/>
      <c r="J21" s="23"/>
      <c r="K21" s="23"/>
      <c r="L21" s="23"/>
      <c r="M21" s="202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</row>
    <row r="22" ht="12.75" customHeight="1">
      <c r="A22" s="187"/>
      <c r="B22" s="187"/>
      <c r="C22" s="205" t="s">
        <v>201</v>
      </c>
      <c r="D22" s="235" t="s">
        <v>209</v>
      </c>
      <c r="E22" s="207" t="s">
        <v>132</v>
      </c>
      <c r="F22" s="207" t="s">
        <v>138</v>
      </c>
      <c r="G22" s="208" t="s">
        <v>198</v>
      </c>
      <c r="H22" s="207" t="s">
        <v>134</v>
      </c>
      <c r="I22" s="207" t="s">
        <v>146</v>
      </c>
      <c r="J22" s="209">
        <v>4.0</v>
      </c>
      <c r="K22" s="210">
        <v>6.0</v>
      </c>
      <c r="L22" s="211">
        <f>IF(AND(J22&gt;K22,J23&gt;K23),2,IF(J22&gt;K22,1,IF(J23&gt;K23,1,0)))</f>
        <v>1</v>
      </c>
      <c r="M22" s="211">
        <f>IF(AND(K22&gt;J22,K23&gt;J23),2,IF(K22&gt;J22,1,IF(K23&gt;J23,1,0)))</f>
        <v>1</v>
      </c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</row>
    <row r="23" ht="12.75" customHeight="1">
      <c r="A23" s="187"/>
      <c r="B23" s="187"/>
      <c r="C23" s="212"/>
      <c r="D23" s="213"/>
      <c r="E23" s="213"/>
      <c r="F23" s="213"/>
      <c r="G23" s="213"/>
      <c r="H23" s="213"/>
      <c r="I23" s="213"/>
      <c r="J23" s="214">
        <v>6.0</v>
      </c>
      <c r="K23" s="215">
        <v>2.0</v>
      </c>
      <c r="L23" s="213"/>
      <c r="M23" s="213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</row>
    <row r="24" ht="4.5" customHeight="1">
      <c r="A24" s="187"/>
      <c r="B24" s="187"/>
      <c r="C24" s="217"/>
      <c r="D24" s="23"/>
      <c r="E24" s="23"/>
      <c r="F24" s="23"/>
      <c r="G24" s="23"/>
      <c r="H24" s="23"/>
      <c r="I24" s="23"/>
      <c r="J24" s="23"/>
      <c r="K24" s="23"/>
      <c r="L24" s="23"/>
      <c r="M24" s="202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</row>
    <row r="25" ht="12.75" customHeight="1">
      <c r="A25" s="187"/>
      <c r="B25" s="187"/>
      <c r="C25" s="220" t="s">
        <v>295</v>
      </c>
      <c r="D25" s="23"/>
      <c r="E25" s="23"/>
      <c r="F25" s="23"/>
      <c r="G25" s="23"/>
      <c r="H25" s="23"/>
      <c r="I25" s="200"/>
      <c r="J25" s="221">
        <f t="shared" ref="J25:M25" si="1">SUM(J13:J23)</f>
        <v>36</v>
      </c>
      <c r="K25" s="222">
        <f t="shared" si="1"/>
        <v>34</v>
      </c>
      <c r="L25" s="221">
        <f t="shared" si="1"/>
        <v>4</v>
      </c>
      <c r="M25" s="223">
        <f t="shared" si="1"/>
        <v>4</v>
      </c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</row>
    <row r="26" ht="4.5" customHeight="1">
      <c r="A26" s="187"/>
      <c r="B26" s="187"/>
      <c r="C26" s="224"/>
      <c r="D26" s="23"/>
      <c r="E26" s="23"/>
      <c r="F26" s="23"/>
      <c r="G26" s="23"/>
      <c r="H26" s="23"/>
      <c r="I26" s="23"/>
      <c r="J26" s="23"/>
      <c r="K26" s="23"/>
      <c r="L26" s="23"/>
      <c r="M26" s="202"/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</row>
    <row r="27" ht="12.75" customHeight="1">
      <c r="A27" s="187"/>
      <c r="B27" s="187"/>
      <c r="C27" s="225"/>
      <c r="D27" s="23"/>
      <c r="E27" s="23"/>
      <c r="F27" s="23"/>
      <c r="G27" s="23"/>
      <c r="H27" s="23"/>
      <c r="I27" s="23"/>
      <c r="J27" s="23"/>
      <c r="K27" s="23"/>
      <c r="L27" s="23"/>
      <c r="M27" s="202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</row>
    <row r="28" ht="12.75" customHeight="1">
      <c r="A28" s="187"/>
      <c r="B28" s="187"/>
      <c r="C28" s="205" t="s">
        <v>237</v>
      </c>
      <c r="D28" s="206" t="s">
        <v>214</v>
      </c>
      <c r="E28" s="207" t="s">
        <v>77</v>
      </c>
      <c r="F28" s="207" t="s">
        <v>296</v>
      </c>
      <c r="G28" s="208" t="s">
        <v>198</v>
      </c>
      <c r="H28" s="207" t="s">
        <v>79</v>
      </c>
      <c r="I28" s="207" t="s">
        <v>297</v>
      </c>
      <c r="J28" s="209">
        <v>3.0</v>
      </c>
      <c r="K28" s="210">
        <v>6.0</v>
      </c>
      <c r="L28" s="211">
        <f>IF(AND(J28&gt;K28,J29&gt;K29),2,IF(J28&gt;K28,1,IF(J29&gt;K29,1,0)))</f>
        <v>0</v>
      </c>
      <c r="M28" s="211">
        <f>IF(AND(K28&gt;J28,K29&gt;J29),2,IF(K28&gt;J28,1,IF(K29&gt;J29,1,0)))</f>
        <v>2</v>
      </c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</row>
    <row r="29" ht="12.75" customHeight="1">
      <c r="A29" s="187"/>
      <c r="B29" s="187"/>
      <c r="C29" s="212"/>
      <c r="D29" s="213"/>
      <c r="E29" s="213"/>
      <c r="F29" s="213"/>
      <c r="G29" s="213"/>
      <c r="H29" s="213"/>
      <c r="I29" s="213"/>
      <c r="J29" s="214">
        <v>6.0</v>
      </c>
      <c r="K29" s="215">
        <v>7.0</v>
      </c>
      <c r="L29" s="213"/>
      <c r="M29" s="213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</row>
    <row r="30" ht="4.5" customHeight="1">
      <c r="A30" s="187"/>
      <c r="B30" s="187"/>
      <c r="C30" s="216"/>
      <c r="D30" s="23"/>
      <c r="E30" s="23"/>
      <c r="F30" s="23"/>
      <c r="G30" s="23"/>
      <c r="H30" s="23"/>
      <c r="I30" s="23"/>
      <c r="J30" s="23"/>
      <c r="K30" s="23"/>
      <c r="L30" s="23"/>
      <c r="M30" s="202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</row>
    <row r="31" ht="12.75" customHeight="1">
      <c r="A31" s="226"/>
      <c r="B31" s="187"/>
      <c r="C31" s="205" t="s">
        <v>238</v>
      </c>
      <c r="D31" s="206" t="s">
        <v>207</v>
      </c>
      <c r="E31" s="207" t="s">
        <v>17</v>
      </c>
      <c r="F31" s="207" t="s">
        <v>31</v>
      </c>
      <c r="G31" s="208" t="s">
        <v>198</v>
      </c>
      <c r="H31" s="207" t="s">
        <v>26</v>
      </c>
      <c r="I31" s="207" t="s">
        <v>11</v>
      </c>
      <c r="J31" s="209">
        <v>6.0</v>
      </c>
      <c r="K31" s="210">
        <v>3.0</v>
      </c>
      <c r="L31" s="211">
        <f>IF(AND(J31&gt;K31,J32&gt;K32),2,IF(J31&gt;K31,1,IF(J32&gt;K32,1,0)))</f>
        <v>2</v>
      </c>
      <c r="M31" s="211">
        <f>IF(AND(K31&gt;J31,K32&gt;J32),2,IF(K31&gt;J31,1,IF(K32&gt;J32,1,0)))</f>
        <v>0</v>
      </c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</row>
    <row r="32" ht="12.75" customHeight="1">
      <c r="A32" s="226"/>
      <c r="B32" s="187"/>
      <c r="C32" s="212"/>
      <c r="D32" s="213"/>
      <c r="E32" s="213"/>
      <c r="F32" s="213"/>
      <c r="G32" s="213"/>
      <c r="H32" s="213"/>
      <c r="I32" s="213"/>
      <c r="J32" s="214">
        <v>6.0</v>
      </c>
      <c r="K32" s="215">
        <v>2.0</v>
      </c>
      <c r="L32" s="213"/>
      <c r="M32" s="213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</row>
    <row r="33" ht="4.5" customHeight="1">
      <c r="A33" s="187"/>
      <c r="B33" s="187"/>
      <c r="C33" s="217"/>
      <c r="D33" s="23"/>
      <c r="E33" s="23"/>
      <c r="F33" s="23"/>
      <c r="G33" s="23"/>
      <c r="H33" s="23"/>
      <c r="I33" s="23"/>
      <c r="J33" s="23"/>
      <c r="K33" s="23"/>
      <c r="L33" s="23"/>
      <c r="M33" s="202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</row>
    <row r="34" ht="12.75" customHeight="1">
      <c r="A34" s="187"/>
      <c r="B34" s="187"/>
      <c r="C34" s="205" t="s">
        <v>246</v>
      </c>
      <c r="D34" s="206" t="s">
        <v>202</v>
      </c>
      <c r="E34" s="207" t="s">
        <v>98</v>
      </c>
      <c r="F34" s="207" t="s">
        <v>110</v>
      </c>
      <c r="G34" s="208" t="s">
        <v>198</v>
      </c>
      <c r="H34" s="207" t="s">
        <v>106</v>
      </c>
      <c r="I34" s="207" t="s">
        <v>112</v>
      </c>
      <c r="J34" s="209">
        <v>4.0</v>
      </c>
      <c r="K34" s="210">
        <v>6.0</v>
      </c>
      <c r="L34" s="211">
        <f>IF(AND(J34&gt;K34,J35&gt;K35),2,IF(J34&gt;K34,1,IF(J35&gt;K35,1,0)))</f>
        <v>1</v>
      </c>
      <c r="M34" s="211">
        <f>IF(AND(K34&gt;J34,K35&gt;J35),2,IF(K34&gt;J34,1,IF(K35&gt;J35,1,0)))</f>
        <v>1</v>
      </c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</row>
    <row r="35" ht="12.75" customHeight="1">
      <c r="A35" s="187"/>
      <c r="B35" s="187"/>
      <c r="C35" s="212"/>
      <c r="D35" s="213"/>
      <c r="E35" s="213"/>
      <c r="F35" s="213"/>
      <c r="G35" s="213"/>
      <c r="H35" s="213"/>
      <c r="I35" s="213"/>
      <c r="J35" s="214">
        <v>6.0</v>
      </c>
      <c r="K35" s="215">
        <v>3.0</v>
      </c>
      <c r="L35" s="213"/>
      <c r="M35" s="213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</row>
    <row r="36" ht="4.5" customHeight="1">
      <c r="A36" s="187"/>
      <c r="B36" s="187"/>
      <c r="C36" s="217"/>
      <c r="D36" s="23"/>
      <c r="E36" s="23"/>
      <c r="F36" s="23"/>
      <c r="G36" s="23"/>
      <c r="H36" s="23"/>
      <c r="I36" s="23"/>
      <c r="J36" s="23"/>
      <c r="K36" s="23"/>
      <c r="L36" s="23"/>
      <c r="M36" s="202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</row>
    <row r="37" ht="12.75" customHeight="1">
      <c r="A37" s="187"/>
      <c r="B37" s="187"/>
      <c r="C37" s="205" t="s">
        <v>237</v>
      </c>
      <c r="D37" s="248"/>
      <c r="E37" s="211"/>
      <c r="F37" s="211"/>
      <c r="G37" s="208"/>
      <c r="H37" s="211"/>
      <c r="I37" s="211"/>
      <c r="J37" s="249"/>
      <c r="K37" s="250"/>
      <c r="L37" s="211">
        <f>IF(AND(J37&gt;K37,J38&gt;K38),2,IF(J37&gt;K37,1,IF(J38&gt;K38,1,0)))</f>
        <v>0</v>
      </c>
      <c r="M37" s="211">
        <f>IF(AND(K37&gt;J37,K38&gt;J38),2,IF(K37&gt;J37,1,IF(K38&gt;J38,1,0)))</f>
        <v>0</v>
      </c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</row>
    <row r="38" ht="12.75" customHeight="1">
      <c r="A38" s="187"/>
      <c r="B38" s="187"/>
      <c r="C38" s="212"/>
      <c r="D38" s="213"/>
      <c r="E38" s="213"/>
      <c r="F38" s="213"/>
      <c r="G38" s="213"/>
      <c r="H38" s="213"/>
      <c r="I38" s="213"/>
      <c r="J38" s="251"/>
      <c r="K38" s="252"/>
      <c r="L38" s="213"/>
      <c r="M38" s="213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</row>
    <row r="39" ht="4.5" customHeight="1">
      <c r="A39" s="187"/>
      <c r="B39" s="187"/>
      <c r="C39" s="217"/>
      <c r="D39" s="23"/>
      <c r="E39" s="23"/>
      <c r="F39" s="23"/>
      <c r="G39" s="23"/>
      <c r="H39" s="23"/>
      <c r="I39" s="23"/>
      <c r="J39" s="23"/>
      <c r="K39" s="23"/>
      <c r="L39" s="23"/>
      <c r="M39" s="202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</row>
    <row r="40" ht="12.75" customHeight="1">
      <c r="A40" s="187"/>
      <c r="B40" s="187"/>
      <c r="C40" s="220" t="s">
        <v>298</v>
      </c>
      <c r="D40" s="23"/>
      <c r="E40" s="23"/>
      <c r="F40" s="23"/>
      <c r="G40" s="23"/>
      <c r="H40" s="23"/>
      <c r="I40" s="200"/>
      <c r="J40" s="221">
        <f t="shared" ref="J40:M40" si="2">SUM(J28:J38)</f>
        <v>31</v>
      </c>
      <c r="K40" s="222">
        <f t="shared" si="2"/>
        <v>27</v>
      </c>
      <c r="L40" s="221">
        <f t="shared" si="2"/>
        <v>3</v>
      </c>
      <c r="M40" s="223">
        <f t="shared" si="2"/>
        <v>3</v>
      </c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</row>
    <row r="41" ht="4.5" customHeight="1">
      <c r="A41" s="187"/>
      <c r="B41" s="187"/>
      <c r="C41" s="224"/>
      <c r="D41" s="23"/>
      <c r="E41" s="23"/>
      <c r="F41" s="23"/>
      <c r="G41" s="23"/>
      <c r="H41" s="23"/>
      <c r="I41" s="23"/>
      <c r="J41" s="23"/>
      <c r="K41" s="23"/>
      <c r="L41" s="23"/>
      <c r="M41" s="202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</row>
    <row r="42" ht="12.75" customHeight="1">
      <c r="A42" s="187"/>
      <c r="B42" s="187"/>
      <c r="C42" s="228" t="s">
        <v>299</v>
      </c>
      <c r="D42" s="23"/>
      <c r="E42" s="23"/>
      <c r="F42" s="23"/>
      <c r="G42" s="23"/>
      <c r="H42" s="23"/>
      <c r="I42" s="200"/>
      <c r="J42" s="229">
        <f t="shared" ref="J42:M42" si="3">J40+J25</f>
        <v>67</v>
      </c>
      <c r="K42" s="230">
        <f t="shared" si="3"/>
        <v>61</v>
      </c>
      <c r="L42" s="231">
        <f t="shared" si="3"/>
        <v>7</v>
      </c>
      <c r="M42" s="232">
        <f t="shared" si="3"/>
        <v>7</v>
      </c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</row>
    <row r="43" ht="6.75" customHeight="1">
      <c r="A43" s="187"/>
      <c r="B43" s="187"/>
      <c r="C43" s="233"/>
      <c r="D43" s="23"/>
      <c r="E43" s="23"/>
      <c r="F43" s="23"/>
      <c r="G43" s="23"/>
      <c r="H43" s="23"/>
      <c r="I43" s="23"/>
      <c r="J43" s="23"/>
      <c r="K43" s="23"/>
      <c r="L43" s="23"/>
      <c r="M43" s="202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</row>
    <row r="44" ht="7.5" customHeight="1">
      <c r="A44" s="187"/>
      <c r="B44" s="187"/>
      <c r="C44" s="196" t="s">
        <v>219</v>
      </c>
      <c r="D44" s="191"/>
      <c r="E44" s="191"/>
      <c r="F44" s="191"/>
      <c r="G44" s="191"/>
      <c r="H44" s="191"/>
      <c r="I44" s="191"/>
      <c r="J44" s="191"/>
      <c r="K44" s="191"/>
      <c r="L44" s="191"/>
      <c r="M44" s="192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</row>
    <row r="45" ht="12.75" customHeight="1">
      <c r="A45" s="187"/>
      <c r="B45" s="187"/>
      <c r="C45" s="193"/>
      <c r="D45" s="194"/>
      <c r="E45" s="194"/>
      <c r="F45" s="194"/>
      <c r="G45" s="194"/>
      <c r="H45" s="194"/>
      <c r="I45" s="194"/>
      <c r="J45" s="194"/>
      <c r="K45" s="194"/>
      <c r="L45" s="194"/>
      <c r="M45" s="195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</row>
    <row r="46" ht="26.25" customHeight="1">
      <c r="A46" s="187"/>
      <c r="B46" s="187"/>
      <c r="C46" s="197" t="s">
        <v>196</v>
      </c>
      <c r="D46" s="198" t="s">
        <v>197</v>
      </c>
      <c r="E46" s="199" t="s">
        <v>220</v>
      </c>
      <c r="F46" s="200"/>
      <c r="G46" s="198"/>
      <c r="H46" s="199" t="s">
        <v>300</v>
      </c>
      <c r="I46" s="200"/>
      <c r="J46" s="201" t="s">
        <v>199</v>
      </c>
      <c r="K46" s="200"/>
      <c r="L46" s="201" t="s">
        <v>200</v>
      </c>
      <c r="M46" s="202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</row>
    <row r="47" ht="12.75" customHeight="1">
      <c r="A47" s="187"/>
      <c r="B47" s="187"/>
      <c r="C47" s="234"/>
      <c r="D47" s="23"/>
      <c r="E47" s="23"/>
      <c r="F47" s="23"/>
      <c r="G47" s="23"/>
      <c r="H47" s="23"/>
      <c r="I47" s="23"/>
      <c r="J47" s="23"/>
      <c r="K47" s="23"/>
      <c r="L47" s="23"/>
      <c r="M47" s="202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</row>
    <row r="48" ht="12.75" customHeight="1">
      <c r="A48" s="187"/>
      <c r="B48" s="187"/>
      <c r="C48" s="205" t="s">
        <v>201</v>
      </c>
      <c r="D48" s="206" t="s">
        <v>205</v>
      </c>
      <c r="E48" s="207" t="s">
        <v>118</v>
      </c>
      <c r="F48" s="207" t="s">
        <v>129</v>
      </c>
      <c r="G48" s="208" t="s">
        <v>198</v>
      </c>
      <c r="H48" s="207" t="s">
        <v>119</v>
      </c>
      <c r="I48" s="207" t="s">
        <v>124</v>
      </c>
      <c r="J48" s="209">
        <v>3.0</v>
      </c>
      <c r="K48" s="210">
        <v>6.0</v>
      </c>
      <c r="L48" s="211">
        <f>IF(AND(J48&gt;K48,J49&gt;K49),2,IF(J48&gt;K48,1,IF(J49&gt;K49,1,0)))</f>
        <v>1</v>
      </c>
      <c r="M48" s="211">
        <f>IF(AND(K48&gt;J48,K49&gt;J49),2,IF(K48&gt;J48,1,IF(K49&gt;J49,1,0)))</f>
        <v>1</v>
      </c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</row>
    <row r="49" ht="12.75" customHeight="1">
      <c r="A49" s="187"/>
      <c r="B49" s="187"/>
      <c r="C49" s="212"/>
      <c r="D49" s="213"/>
      <c r="E49" s="213"/>
      <c r="F49" s="213"/>
      <c r="G49" s="213"/>
      <c r="H49" s="213"/>
      <c r="I49" s="213"/>
      <c r="J49" s="214">
        <v>7.0</v>
      </c>
      <c r="K49" s="215">
        <v>5.0</v>
      </c>
      <c r="L49" s="213"/>
      <c r="M49" s="213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 ht="4.5" customHeight="1">
      <c r="A50" s="187"/>
      <c r="B50" s="187"/>
      <c r="C50" s="216"/>
      <c r="D50" s="23"/>
      <c r="E50" s="23"/>
      <c r="F50" s="23"/>
      <c r="G50" s="23"/>
      <c r="H50" s="23"/>
      <c r="I50" s="23"/>
      <c r="J50" s="23"/>
      <c r="K50" s="23"/>
      <c r="L50" s="23"/>
      <c r="M50" s="202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 ht="12.75" customHeight="1">
      <c r="A51" s="187"/>
      <c r="B51" s="187"/>
      <c r="C51" s="205" t="s">
        <v>204</v>
      </c>
      <c r="D51" s="206" t="s">
        <v>202</v>
      </c>
      <c r="E51" s="207" t="s">
        <v>301</v>
      </c>
      <c r="F51" s="207" t="s">
        <v>12</v>
      </c>
      <c r="G51" s="208" t="s">
        <v>198</v>
      </c>
      <c r="H51" s="207" t="s">
        <v>102</v>
      </c>
      <c r="I51" s="207" t="s">
        <v>113</v>
      </c>
      <c r="J51" s="209">
        <v>3.0</v>
      </c>
      <c r="K51" s="210">
        <v>6.0</v>
      </c>
      <c r="L51" s="211">
        <f>IF(AND(J51&gt;K51,J52&gt;K52),2,IF(J51&gt;K51,1,IF(J52&gt;K52,1,0)))</f>
        <v>1</v>
      </c>
      <c r="M51" s="211">
        <f>IF(AND(K51&gt;J51,K52&gt;J52),2,IF(K51&gt;J51,1,IF(K52&gt;J52,1,0)))</f>
        <v>1</v>
      </c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 ht="12.75" customHeight="1">
      <c r="A52" s="187"/>
      <c r="B52" s="187"/>
      <c r="C52" s="212"/>
      <c r="D52" s="213"/>
      <c r="E52" s="213"/>
      <c r="F52" s="213"/>
      <c r="G52" s="213"/>
      <c r="H52" s="213"/>
      <c r="I52" s="213"/>
      <c r="J52" s="214">
        <v>7.0</v>
      </c>
      <c r="K52" s="215">
        <v>6.0</v>
      </c>
      <c r="L52" s="213"/>
      <c r="M52" s="213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 ht="4.5" customHeight="1">
      <c r="A53" s="187"/>
      <c r="B53" s="187"/>
      <c r="C53" s="217"/>
      <c r="D53" s="23"/>
      <c r="E53" s="23"/>
      <c r="F53" s="23"/>
      <c r="G53" s="23"/>
      <c r="H53" s="23"/>
      <c r="I53" s="23"/>
      <c r="J53" s="23"/>
      <c r="K53" s="23"/>
      <c r="L53" s="23"/>
      <c r="M53" s="202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  <row r="54" ht="12.75" customHeight="1">
      <c r="A54" s="187"/>
      <c r="B54" s="187"/>
      <c r="C54" s="205" t="s">
        <v>206</v>
      </c>
      <c r="D54" s="206" t="s">
        <v>207</v>
      </c>
      <c r="E54" s="207" t="s">
        <v>20</v>
      </c>
      <c r="F54" s="207" t="s">
        <v>27</v>
      </c>
      <c r="G54" s="208" t="s">
        <v>198</v>
      </c>
      <c r="H54" s="207" t="s">
        <v>28</v>
      </c>
      <c r="I54" s="207" t="s">
        <v>302</v>
      </c>
      <c r="J54" s="209">
        <v>6.0</v>
      </c>
      <c r="K54" s="210">
        <v>2.0</v>
      </c>
      <c r="L54" s="211">
        <f>IF(AND(J54&gt;K54,J55&gt;K55),2,IF(J54&gt;K54,1,IF(J55&gt;K55,1,0)))</f>
        <v>2</v>
      </c>
      <c r="M54" s="211">
        <f>IF(AND(K54&gt;J54,K55&gt;J55),2,IF(K54&gt;J54,1,IF(K55&gt;J55,1,0)))</f>
        <v>0</v>
      </c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</row>
    <row r="55" ht="12.75" customHeight="1">
      <c r="A55" s="187"/>
      <c r="B55" s="187"/>
      <c r="C55" s="212"/>
      <c r="D55" s="213"/>
      <c r="E55" s="213"/>
      <c r="F55" s="213"/>
      <c r="G55" s="213"/>
      <c r="H55" s="213"/>
      <c r="I55" s="213"/>
      <c r="J55" s="214">
        <v>6.0</v>
      </c>
      <c r="K55" s="215">
        <v>2.0</v>
      </c>
      <c r="L55" s="213"/>
      <c r="M55" s="213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</row>
    <row r="56" ht="4.5" customHeight="1">
      <c r="A56" s="187"/>
      <c r="B56" s="187"/>
      <c r="C56" s="217"/>
      <c r="D56" s="23"/>
      <c r="E56" s="23"/>
      <c r="F56" s="23"/>
      <c r="G56" s="23"/>
      <c r="H56" s="23"/>
      <c r="I56" s="23"/>
      <c r="J56" s="23"/>
      <c r="K56" s="23"/>
      <c r="L56" s="23"/>
      <c r="M56" s="202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</row>
    <row r="57" ht="12.75" customHeight="1">
      <c r="A57" s="187"/>
      <c r="B57" s="187"/>
      <c r="C57" s="205"/>
      <c r="D57" s="248"/>
      <c r="E57" s="211"/>
      <c r="F57" s="211"/>
      <c r="G57" s="208"/>
      <c r="H57" s="211"/>
      <c r="I57" s="211"/>
      <c r="J57" s="249"/>
      <c r="K57" s="250"/>
      <c r="L57" s="211">
        <f>IF(AND(J57&gt;K57,J58&gt;K58),2,IF(J57&gt;K57,1,IF(J58&gt;K58,1,0)))</f>
        <v>0</v>
      </c>
      <c r="M57" s="211">
        <f>IF(AND(K57&gt;J57,K58&gt;J58),2,IF(K57&gt;J57,1,IF(K58&gt;J58,1,0)))</f>
        <v>0</v>
      </c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</row>
    <row r="58" ht="12.75" customHeight="1">
      <c r="A58" s="187"/>
      <c r="B58" s="187"/>
      <c r="C58" s="212"/>
      <c r="D58" s="213"/>
      <c r="E58" s="213"/>
      <c r="F58" s="213"/>
      <c r="G58" s="213"/>
      <c r="H58" s="213"/>
      <c r="I58" s="213"/>
      <c r="J58" s="251"/>
      <c r="K58" s="252"/>
      <c r="L58" s="213"/>
      <c r="M58" s="213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</row>
    <row r="59" ht="4.5" customHeight="1">
      <c r="A59" s="187"/>
      <c r="B59" s="187"/>
      <c r="C59" s="253"/>
      <c r="D59" s="254"/>
      <c r="E59" s="254"/>
      <c r="F59" s="254"/>
      <c r="G59" s="254"/>
      <c r="H59" s="254"/>
      <c r="I59" s="254"/>
      <c r="J59" s="254"/>
      <c r="K59" s="254"/>
      <c r="L59" s="254"/>
      <c r="M59" s="255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</row>
    <row r="60" ht="12.75" customHeight="1">
      <c r="A60" s="187"/>
      <c r="B60" s="187"/>
      <c r="C60" s="220" t="s">
        <v>295</v>
      </c>
      <c r="D60" s="23"/>
      <c r="E60" s="23"/>
      <c r="F60" s="23"/>
      <c r="G60" s="23"/>
      <c r="H60" s="23"/>
      <c r="I60" s="200"/>
      <c r="J60" s="221">
        <f t="shared" ref="J60:M60" si="4">SUM(J48:J58)</f>
        <v>32</v>
      </c>
      <c r="K60" s="222">
        <f t="shared" si="4"/>
        <v>27</v>
      </c>
      <c r="L60" s="221">
        <f t="shared" si="4"/>
        <v>4</v>
      </c>
      <c r="M60" s="223">
        <f t="shared" si="4"/>
        <v>2</v>
      </c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</row>
    <row r="61" ht="4.5" customHeight="1">
      <c r="A61" s="187"/>
      <c r="B61" s="187"/>
      <c r="C61" s="224"/>
      <c r="D61" s="23"/>
      <c r="E61" s="23"/>
      <c r="F61" s="23"/>
      <c r="G61" s="23"/>
      <c r="H61" s="23"/>
      <c r="I61" s="23"/>
      <c r="J61" s="23"/>
      <c r="K61" s="23"/>
      <c r="L61" s="23"/>
      <c r="M61" s="202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</row>
    <row r="62" ht="12.75" customHeight="1">
      <c r="A62" s="187"/>
      <c r="B62" s="187"/>
      <c r="C62" s="225"/>
      <c r="D62" s="23"/>
      <c r="E62" s="23"/>
      <c r="F62" s="23"/>
      <c r="G62" s="23"/>
      <c r="H62" s="23"/>
      <c r="I62" s="23"/>
      <c r="J62" s="23"/>
      <c r="K62" s="23"/>
      <c r="L62" s="23"/>
      <c r="M62" s="202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</row>
    <row r="63" ht="12.75" customHeight="1">
      <c r="A63" s="187"/>
      <c r="B63" s="187"/>
      <c r="C63" s="205" t="s">
        <v>237</v>
      </c>
      <c r="D63" s="206" t="s">
        <v>216</v>
      </c>
      <c r="E63" s="207" t="s">
        <v>303</v>
      </c>
      <c r="F63" s="207" t="s">
        <v>74</v>
      </c>
      <c r="G63" s="208" t="s">
        <v>198</v>
      </c>
      <c r="H63" s="207" t="s">
        <v>61</v>
      </c>
      <c r="I63" s="207" t="s">
        <v>13</v>
      </c>
      <c r="J63" s="209">
        <v>4.0</v>
      </c>
      <c r="K63" s="210">
        <v>6.0</v>
      </c>
      <c r="L63" s="211">
        <f>IF(AND(J63&gt;K63,J64&gt;K64),2,IF(J63&gt;K63,1,IF(J64&gt;K64,1,0)))</f>
        <v>0</v>
      </c>
      <c r="M63" s="211">
        <f>IF(AND(K63&gt;J63,K64&gt;J64),2,IF(K63&gt;J63,1,IF(K64&gt;J64,1,0)))</f>
        <v>2</v>
      </c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</row>
    <row r="64" ht="12.75" customHeight="1">
      <c r="A64" s="187"/>
      <c r="B64" s="187"/>
      <c r="C64" s="212"/>
      <c r="D64" s="213"/>
      <c r="E64" s="213"/>
      <c r="F64" s="213"/>
      <c r="G64" s="213"/>
      <c r="H64" s="213"/>
      <c r="I64" s="213"/>
      <c r="J64" s="214">
        <v>4.0</v>
      </c>
      <c r="K64" s="215">
        <v>6.0</v>
      </c>
      <c r="L64" s="213"/>
      <c r="M64" s="213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</row>
    <row r="65" ht="4.5" customHeight="1">
      <c r="A65" s="187"/>
      <c r="B65" s="187"/>
      <c r="C65" s="216"/>
      <c r="D65" s="23"/>
      <c r="E65" s="23"/>
      <c r="F65" s="23"/>
      <c r="G65" s="23"/>
      <c r="H65" s="23"/>
      <c r="I65" s="23"/>
      <c r="J65" s="23"/>
      <c r="K65" s="23"/>
      <c r="L65" s="23"/>
      <c r="M65" s="202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</row>
    <row r="66" ht="12.75" customHeight="1">
      <c r="A66" s="187"/>
      <c r="B66" s="187"/>
      <c r="C66" s="218" t="s">
        <v>213</v>
      </c>
      <c r="D66" s="206" t="s">
        <v>212</v>
      </c>
      <c r="E66" s="207" t="s">
        <v>40</v>
      </c>
      <c r="F66" s="207" t="s">
        <v>46</v>
      </c>
      <c r="G66" s="208" t="s">
        <v>198</v>
      </c>
      <c r="H66" s="207" t="s">
        <v>41</v>
      </c>
      <c r="I66" s="207" t="s">
        <v>54</v>
      </c>
      <c r="J66" s="209">
        <v>6.0</v>
      </c>
      <c r="K66" s="210">
        <v>2.0</v>
      </c>
      <c r="L66" s="211">
        <f>IF(AND(J66&gt;K66,J67&gt;K67),2,IF(J66&gt;K66,1,IF(J67&gt;K67,1,0)))</f>
        <v>2</v>
      </c>
      <c r="M66" s="211">
        <f>IF(AND(K66&gt;J66,K67&gt;J67),2,IF(K66&gt;J66,1,IF(K67&gt;J67,1,0)))</f>
        <v>0</v>
      </c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</row>
    <row r="67" ht="12.75" customHeight="1">
      <c r="A67" s="187"/>
      <c r="B67" s="187"/>
      <c r="C67" s="212"/>
      <c r="D67" s="213"/>
      <c r="E67" s="213"/>
      <c r="F67" s="213"/>
      <c r="G67" s="213"/>
      <c r="H67" s="213"/>
      <c r="I67" s="213"/>
      <c r="J67" s="214">
        <v>6.0</v>
      </c>
      <c r="K67" s="215">
        <v>0.0</v>
      </c>
      <c r="L67" s="213"/>
      <c r="M67" s="213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</row>
    <row r="68" ht="4.5" customHeight="1">
      <c r="A68" s="187"/>
      <c r="B68" s="187"/>
      <c r="C68" s="217"/>
      <c r="D68" s="23"/>
      <c r="E68" s="23"/>
      <c r="F68" s="23"/>
      <c r="G68" s="23"/>
      <c r="H68" s="23"/>
      <c r="I68" s="23"/>
      <c r="J68" s="23"/>
      <c r="K68" s="23"/>
      <c r="L68" s="23"/>
      <c r="M68" s="202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</row>
    <row r="69" ht="12.75" customHeight="1">
      <c r="A69" s="187"/>
      <c r="B69" s="187"/>
      <c r="C69" s="218" t="s">
        <v>213</v>
      </c>
      <c r="D69" s="206" t="s">
        <v>209</v>
      </c>
      <c r="E69" s="207" t="s">
        <v>135</v>
      </c>
      <c r="F69" s="207" t="s">
        <v>270</v>
      </c>
      <c r="G69" s="208" t="s">
        <v>198</v>
      </c>
      <c r="H69" s="207" t="s">
        <v>142</v>
      </c>
      <c r="I69" s="207" t="s">
        <v>222</v>
      </c>
      <c r="J69" s="209">
        <v>2.0</v>
      </c>
      <c r="K69" s="210">
        <v>6.0</v>
      </c>
      <c r="L69" s="211">
        <f>IF(AND(J69&gt;K69,J70&gt;K70),2,IF(J69&gt;K69,1,IF(J70&gt;K70,1,0)))</f>
        <v>1</v>
      </c>
      <c r="M69" s="211">
        <f>IF(AND(K69&gt;J69,K70&gt;J70),2,IF(K69&gt;J69,1,IF(K70&gt;J70,1,0)))</f>
        <v>1</v>
      </c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</row>
    <row r="70" ht="12.75" customHeight="1">
      <c r="A70" s="187"/>
      <c r="B70" s="187"/>
      <c r="C70" s="212"/>
      <c r="D70" s="213"/>
      <c r="E70" s="213"/>
      <c r="F70" s="213"/>
      <c r="G70" s="213"/>
      <c r="H70" s="213"/>
      <c r="I70" s="213"/>
      <c r="J70" s="214">
        <v>6.0</v>
      </c>
      <c r="K70" s="215">
        <v>4.0</v>
      </c>
      <c r="L70" s="213"/>
      <c r="M70" s="213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</row>
    <row r="71" ht="4.5" customHeight="1">
      <c r="A71" s="187"/>
      <c r="B71" s="187"/>
      <c r="C71" s="217"/>
      <c r="D71" s="23"/>
      <c r="E71" s="23"/>
      <c r="F71" s="23"/>
      <c r="G71" s="23"/>
      <c r="H71" s="23"/>
      <c r="I71" s="23"/>
      <c r="J71" s="23"/>
      <c r="K71" s="23"/>
      <c r="L71" s="23"/>
      <c r="M71" s="202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</row>
    <row r="72" ht="12.75" customHeight="1">
      <c r="A72" s="187"/>
      <c r="B72" s="187"/>
      <c r="C72" s="218" t="s">
        <v>208</v>
      </c>
      <c r="D72" s="235" t="s">
        <v>214</v>
      </c>
      <c r="E72" s="207" t="s">
        <v>80</v>
      </c>
      <c r="F72" s="207" t="s">
        <v>271</v>
      </c>
      <c r="G72" s="208" t="s">
        <v>198</v>
      </c>
      <c r="H72" s="207" t="s">
        <v>81</v>
      </c>
      <c r="I72" s="207" t="s">
        <v>88</v>
      </c>
      <c r="J72" s="209">
        <v>6.0</v>
      </c>
      <c r="K72" s="210">
        <v>4.0</v>
      </c>
      <c r="L72" s="211">
        <f>IF(AND(J72&gt;K72,J73&gt;K73),2,IF(J72&gt;K72,1,IF(J73&gt;K73,1,0)))</f>
        <v>2</v>
      </c>
      <c r="M72" s="211">
        <f>IF(AND(K72&gt;J72,K73&gt;J73),2,IF(K72&gt;J72,1,IF(K73&gt;J73,1,0)))</f>
        <v>0</v>
      </c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</row>
    <row r="73" ht="12.75" customHeight="1">
      <c r="A73" s="187"/>
      <c r="B73" s="187"/>
      <c r="C73" s="212"/>
      <c r="D73" s="213"/>
      <c r="E73" s="213"/>
      <c r="F73" s="213"/>
      <c r="G73" s="213"/>
      <c r="H73" s="213"/>
      <c r="I73" s="213"/>
      <c r="J73" s="214">
        <v>6.0</v>
      </c>
      <c r="K73" s="215">
        <v>4.0</v>
      </c>
      <c r="L73" s="213"/>
      <c r="M73" s="213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</row>
    <row r="74" ht="4.5" customHeight="1">
      <c r="A74" s="187"/>
      <c r="B74" s="187"/>
      <c r="C74" s="217"/>
      <c r="D74" s="23"/>
      <c r="E74" s="23"/>
      <c r="F74" s="23"/>
      <c r="G74" s="23"/>
      <c r="H74" s="23"/>
      <c r="I74" s="23"/>
      <c r="J74" s="23"/>
      <c r="K74" s="23"/>
      <c r="L74" s="23"/>
      <c r="M74" s="202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</row>
    <row r="75" ht="12.75" customHeight="1">
      <c r="A75" s="187"/>
      <c r="B75" s="187"/>
      <c r="C75" s="220" t="s">
        <v>298</v>
      </c>
      <c r="D75" s="23"/>
      <c r="E75" s="23"/>
      <c r="F75" s="23"/>
      <c r="G75" s="23"/>
      <c r="H75" s="23"/>
      <c r="I75" s="200"/>
      <c r="J75" s="221">
        <f t="shared" ref="J75:M75" si="5">SUM(J63:J73)</f>
        <v>40</v>
      </c>
      <c r="K75" s="222">
        <f t="shared" si="5"/>
        <v>32</v>
      </c>
      <c r="L75" s="221">
        <f t="shared" si="5"/>
        <v>5</v>
      </c>
      <c r="M75" s="223">
        <f t="shared" si="5"/>
        <v>3</v>
      </c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</row>
    <row r="76" ht="4.5" customHeight="1">
      <c r="A76" s="187"/>
      <c r="B76" s="187"/>
      <c r="C76" s="224"/>
      <c r="D76" s="23"/>
      <c r="E76" s="23"/>
      <c r="F76" s="23"/>
      <c r="G76" s="23"/>
      <c r="H76" s="23"/>
      <c r="I76" s="23"/>
      <c r="J76" s="23"/>
      <c r="K76" s="23"/>
      <c r="L76" s="23"/>
      <c r="M76" s="202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</row>
    <row r="77" ht="12.75" customHeight="1">
      <c r="A77" s="187"/>
      <c r="B77" s="187"/>
      <c r="C77" s="228" t="s">
        <v>299</v>
      </c>
      <c r="D77" s="23"/>
      <c r="E77" s="23"/>
      <c r="F77" s="23"/>
      <c r="G77" s="23"/>
      <c r="H77" s="23"/>
      <c r="I77" s="200"/>
      <c r="J77" s="229">
        <f t="shared" ref="J77:M77" si="6">J75+J60</f>
        <v>72</v>
      </c>
      <c r="K77" s="230">
        <f t="shared" si="6"/>
        <v>59</v>
      </c>
      <c r="L77" s="231">
        <f t="shared" si="6"/>
        <v>9</v>
      </c>
      <c r="M77" s="232">
        <f t="shared" si="6"/>
        <v>5</v>
      </c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</row>
    <row r="78" ht="6.75" customHeight="1">
      <c r="A78" s="187"/>
      <c r="B78" s="187"/>
      <c r="C78" s="233"/>
      <c r="D78" s="23"/>
      <c r="E78" s="23"/>
      <c r="F78" s="23"/>
      <c r="G78" s="23"/>
      <c r="H78" s="23"/>
      <c r="I78" s="23"/>
      <c r="J78" s="23"/>
      <c r="K78" s="23"/>
      <c r="L78" s="23"/>
      <c r="M78" s="202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</row>
    <row r="79" ht="12.75" customHeight="1">
      <c r="A79" s="187"/>
      <c r="B79" s="187"/>
      <c r="C79" s="196" t="s">
        <v>225</v>
      </c>
      <c r="D79" s="191"/>
      <c r="E79" s="191"/>
      <c r="F79" s="191"/>
      <c r="G79" s="191"/>
      <c r="H79" s="191"/>
      <c r="I79" s="191"/>
      <c r="J79" s="191"/>
      <c r="K79" s="191"/>
      <c r="L79" s="191"/>
      <c r="M79" s="192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</row>
    <row r="80" ht="12.75" customHeight="1">
      <c r="A80" s="187"/>
      <c r="B80" s="187"/>
      <c r="C80" s="193"/>
      <c r="D80" s="194"/>
      <c r="E80" s="194"/>
      <c r="F80" s="194"/>
      <c r="G80" s="194"/>
      <c r="H80" s="194"/>
      <c r="I80" s="194"/>
      <c r="J80" s="194"/>
      <c r="K80" s="194"/>
      <c r="L80" s="194"/>
      <c r="M80" s="195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</row>
    <row r="81" ht="26.25" customHeight="1">
      <c r="A81" s="187"/>
      <c r="B81" s="187"/>
      <c r="C81" s="236" t="s">
        <v>196</v>
      </c>
      <c r="D81" s="201" t="s">
        <v>197</v>
      </c>
      <c r="E81" s="199" t="s">
        <v>180</v>
      </c>
      <c r="F81" s="200"/>
      <c r="G81" s="198"/>
      <c r="H81" s="199" t="s">
        <v>184</v>
      </c>
      <c r="I81" s="200"/>
      <c r="J81" s="237"/>
      <c r="K81" s="200"/>
      <c r="L81" s="201"/>
      <c r="M81" s="202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</row>
    <row r="82" ht="12.75" customHeight="1">
      <c r="A82" s="187"/>
      <c r="B82" s="187"/>
      <c r="C82" s="203"/>
      <c r="M82" s="204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</row>
    <row r="83" ht="12.75" customHeight="1">
      <c r="A83" s="187"/>
      <c r="B83" s="187"/>
      <c r="C83" s="205" t="s">
        <v>201</v>
      </c>
      <c r="D83" s="206" t="s">
        <v>216</v>
      </c>
      <c r="E83" s="207" t="s">
        <v>58</v>
      </c>
      <c r="F83" s="259" t="s">
        <v>304</v>
      </c>
      <c r="G83" s="208" t="s">
        <v>198</v>
      </c>
      <c r="H83" s="207" t="s">
        <v>62</v>
      </c>
      <c r="I83" s="207" t="s">
        <v>75</v>
      </c>
      <c r="J83" s="209">
        <v>6.0</v>
      </c>
      <c r="K83" s="210">
        <v>4.0</v>
      </c>
      <c r="L83" s="211">
        <f>IF(AND(J83&gt;K83,J84&gt;K84),2,IF(J83&gt;K83,1,IF(J84&gt;K84,1,0)))</f>
        <v>1</v>
      </c>
      <c r="M83" s="211">
        <f>IF(AND(K83&gt;J83,K84&gt;J84),2,IF(K83&gt;J83,1,IF(K84&gt;J84,1,0)))</f>
        <v>1</v>
      </c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</row>
    <row r="84" ht="12.75" customHeight="1">
      <c r="A84" s="187"/>
      <c r="B84" s="187"/>
      <c r="C84" s="212"/>
      <c r="D84" s="213"/>
      <c r="E84" s="213"/>
      <c r="F84" s="213"/>
      <c r="G84" s="213"/>
      <c r="H84" s="213"/>
      <c r="I84" s="213"/>
      <c r="J84" s="214">
        <v>3.0</v>
      </c>
      <c r="K84" s="215">
        <v>6.0</v>
      </c>
      <c r="L84" s="213"/>
      <c r="M84" s="213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</row>
    <row r="85" ht="4.5" customHeight="1">
      <c r="A85" s="187"/>
      <c r="B85" s="187"/>
      <c r="C85" s="216"/>
      <c r="D85" s="23"/>
      <c r="E85" s="23"/>
      <c r="F85" s="23"/>
      <c r="G85" s="23"/>
      <c r="H85" s="23"/>
      <c r="I85" s="23"/>
      <c r="J85" s="23"/>
      <c r="K85" s="23"/>
      <c r="L85" s="23"/>
      <c r="M85" s="202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</row>
    <row r="86" ht="12.75" customHeight="1">
      <c r="A86" s="187"/>
      <c r="B86" s="187"/>
      <c r="C86" s="205" t="s">
        <v>204</v>
      </c>
      <c r="D86" s="206" t="s">
        <v>205</v>
      </c>
      <c r="E86" s="207" t="s">
        <v>116</v>
      </c>
      <c r="F86" s="207" t="s">
        <v>127</v>
      </c>
      <c r="G86" s="208" t="s">
        <v>198</v>
      </c>
      <c r="H86" s="207" t="s">
        <v>14</v>
      </c>
      <c r="I86" s="207" t="s">
        <v>125</v>
      </c>
      <c r="J86" s="209">
        <v>6.0</v>
      </c>
      <c r="K86" s="210">
        <v>1.0</v>
      </c>
      <c r="L86" s="211">
        <f>IF(AND(J86&gt;K86,J87&gt;K87),2,IF(J86&gt;K86,1,IF(J87&gt;K87,1,0)))</f>
        <v>1</v>
      </c>
      <c r="M86" s="211">
        <f>IF(AND(K86&gt;J86,K87&gt;J87),2,IF(K86&gt;J86,1,IF(K87&gt;J87,1,0)))</f>
        <v>1</v>
      </c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</row>
    <row r="87" ht="12.75" customHeight="1">
      <c r="A87" s="187"/>
      <c r="B87" s="187"/>
      <c r="C87" s="212"/>
      <c r="D87" s="213"/>
      <c r="E87" s="213"/>
      <c r="F87" s="213"/>
      <c r="G87" s="213"/>
      <c r="H87" s="213"/>
      <c r="I87" s="213"/>
      <c r="J87" s="214">
        <v>4.0</v>
      </c>
      <c r="K87" s="215">
        <v>6.0</v>
      </c>
      <c r="L87" s="213"/>
      <c r="M87" s="213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</row>
    <row r="88" ht="4.5" customHeight="1">
      <c r="A88" s="187"/>
      <c r="B88" s="187"/>
      <c r="C88" s="217"/>
      <c r="D88" s="23"/>
      <c r="E88" s="23"/>
      <c r="F88" s="23"/>
      <c r="G88" s="23"/>
      <c r="H88" s="23"/>
      <c r="I88" s="23"/>
      <c r="J88" s="23"/>
      <c r="K88" s="23"/>
      <c r="L88" s="23"/>
      <c r="M88" s="202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</row>
    <row r="89" ht="12.75" customHeight="1">
      <c r="A89" s="187"/>
      <c r="B89" s="187"/>
      <c r="C89" s="205" t="s">
        <v>206</v>
      </c>
      <c r="D89" s="206" t="s">
        <v>212</v>
      </c>
      <c r="E89" s="207" t="s">
        <v>38</v>
      </c>
      <c r="F89" s="207" t="s">
        <v>51</v>
      </c>
      <c r="G89" s="208" t="s">
        <v>198</v>
      </c>
      <c r="H89" s="207" t="s">
        <v>48</v>
      </c>
      <c r="I89" s="207" t="s">
        <v>55</v>
      </c>
      <c r="J89" s="209">
        <v>3.0</v>
      </c>
      <c r="K89" s="210">
        <v>6.0</v>
      </c>
      <c r="L89" s="211">
        <f>IF(AND(J89&gt;K89,J90&gt;K90),2,IF(J89&gt;K89,1,IF(J90&gt;K90,1,0)))</f>
        <v>0</v>
      </c>
      <c r="M89" s="211">
        <f>IF(AND(K89&gt;J89,K90&gt;J90),2,IF(K89&gt;J89,1,IF(K90&gt;J90,1,0)))</f>
        <v>2</v>
      </c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</row>
    <row r="90" ht="12.75" customHeight="1">
      <c r="A90" s="187"/>
      <c r="B90" s="187"/>
      <c r="C90" s="212"/>
      <c r="D90" s="213"/>
      <c r="E90" s="213"/>
      <c r="F90" s="213"/>
      <c r="G90" s="213"/>
      <c r="H90" s="213"/>
      <c r="I90" s="213"/>
      <c r="J90" s="214">
        <v>3.0</v>
      </c>
      <c r="K90" s="215">
        <v>6.0</v>
      </c>
      <c r="L90" s="213"/>
      <c r="M90" s="213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</row>
    <row r="91" ht="4.5" customHeight="1">
      <c r="A91" s="187"/>
      <c r="B91" s="187"/>
      <c r="C91" s="217"/>
      <c r="D91" s="23"/>
      <c r="E91" s="23"/>
      <c r="F91" s="23"/>
      <c r="G91" s="23"/>
      <c r="H91" s="23"/>
      <c r="I91" s="23"/>
      <c r="J91" s="23"/>
      <c r="K91" s="23"/>
      <c r="L91" s="23"/>
      <c r="M91" s="202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</row>
    <row r="92" ht="12.75" customHeight="1">
      <c r="A92" s="187"/>
      <c r="B92" s="187"/>
      <c r="C92" s="205"/>
      <c r="D92" s="248"/>
      <c r="E92" s="211"/>
      <c r="F92" s="211"/>
      <c r="G92" s="208" t="s">
        <v>198</v>
      </c>
      <c r="H92" s="211"/>
      <c r="I92" s="211"/>
      <c r="J92" s="249"/>
      <c r="K92" s="250"/>
      <c r="L92" s="211">
        <f>IF(AND(J92&gt;K92,J93&gt;K93),2,IF(J92&gt;K92,1,IF(J93&gt;K93,1,0)))</f>
        <v>0</v>
      </c>
      <c r="M92" s="211">
        <f>IF(AND(K92&gt;J92,K93&gt;J93),2,IF(K92&gt;J92,1,IF(K93&gt;J93,1,0)))</f>
        <v>0</v>
      </c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</row>
    <row r="93" ht="12.75" customHeight="1">
      <c r="A93" s="187"/>
      <c r="B93" s="187"/>
      <c r="C93" s="212"/>
      <c r="D93" s="213"/>
      <c r="E93" s="213"/>
      <c r="F93" s="213"/>
      <c r="G93" s="213"/>
      <c r="H93" s="213"/>
      <c r="I93" s="213"/>
      <c r="J93" s="251"/>
      <c r="K93" s="252"/>
      <c r="L93" s="213"/>
      <c r="M93" s="213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</row>
    <row r="94" ht="4.5" customHeight="1">
      <c r="A94" s="187"/>
      <c r="B94" s="187"/>
      <c r="C94" s="253"/>
      <c r="D94" s="254"/>
      <c r="E94" s="254"/>
      <c r="F94" s="254"/>
      <c r="G94" s="254"/>
      <c r="H94" s="254"/>
      <c r="I94" s="254"/>
      <c r="J94" s="254"/>
      <c r="K94" s="254"/>
      <c r="L94" s="254"/>
      <c r="M94" s="255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</row>
    <row r="95" ht="12.75" customHeight="1">
      <c r="A95" s="187"/>
      <c r="B95" s="187"/>
      <c r="C95" s="220" t="s">
        <v>295</v>
      </c>
      <c r="D95" s="23"/>
      <c r="E95" s="23"/>
      <c r="F95" s="23"/>
      <c r="G95" s="23"/>
      <c r="H95" s="23"/>
      <c r="I95" s="200"/>
      <c r="J95" s="221">
        <f t="shared" ref="J95:M95" si="7">SUM(J83:J93)</f>
        <v>25</v>
      </c>
      <c r="K95" s="222">
        <f t="shared" si="7"/>
        <v>29</v>
      </c>
      <c r="L95" s="221">
        <f t="shared" si="7"/>
        <v>2</v>
      </c>
      <c r="M95" s="223">
        <f t="shared" si="7"/>
        <v>4</v>
      </c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</row>
    <row r="96" ht="4.5" customHeight="1">
      <c r="A96" s="187"/>
      <c r="B96" s="187"/>
      <c r="C96" s="224"/>
      <c r="D96" s="23"/>
      <c r="E96" s="23"/>
      <c r="F96" s="23"/>
      <c r="G96" s="23"/>
      <c r="H96" s="23"/>
      <c r="I96" s="23"/>
      <c r="J96" s="23"/>
      <c r="K96" s="23"/>
      <c r="L96" s="23"/>
      <c r="M96" s="202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</row>
    <row r="97" ht="12.75" customHeight="1">
      <c r="A97" s="187"/>
      <c r="B97" s="187"/>
      <c r="C97" s="225"/>
      <c r="D97" s="23"/>
      <c r="E97" s="23"/>
      <c r="F97" s="23"/>
      <c r="G97" s="23"/>
      <c r="H97" s="23"/>
      <c r="I97" s="23"/>
      <c r="J97" s="23"/>
      <c r="K97" s="23"/>
      <c r="L97" s="23"/>
      <c r="M97" s="202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</row>
    <row r="98" ht="12.75" customHeight="1">
      <c r="A98" s="187"/>
      <c r="B98" s="187"/>
      <c r="C98" s="205" t="s">
        <v>223</v>
      </c>
      <c r="D98" s="206" t="s">
        <v>207</v>
      </c>
      <c r="E98" s="207" t="s">
        <v>18</v>
      </c>
      <c r="F98" s="207" t="s">
        <v>25</v>
      </c>
      <c r="G98" s="208" t="s">
        <v>198</v>
      </c>
      <c r="H98" s="207" t="s">
        <v>22</v>
      </c>
      <c r="I98" s="207" t="s">
        <v>29</v>
      </c>
      <c r="J98" s="209">
        <v>7.0</v>
      </c>
      <c r="K98" s="210">
        <v>6.0</v>
      </c>
      <c r="L98" s="211">
        <f>IF(AND(J98&gt;K98,J99&gt;K99),2,IF(J98&gt;K98,1,IF(J99&gt;K99,1,0)))</f>
        <v>2</v>
      </c>
      <c r="M98" s="211">
        <f>IF(AND(K98&gt;J98,K99&gt;J99),2,IF(K98&gt;J98,1,IF(K99&gt;J99,1,0)))</f>
        <v>0</v>
      </c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</row>
    <row r="99" ht="12.75" customHeight="1">
      <c r="A99" s="187"/>
      <c r="B99" s="187"/>
      <c r="C99" s="212"/>
      <c r="D99" s="213"/>
      <c r="E99" s="213"/>
      <c r="F99" s="213"/>
      <c r="G99" s="213"/>
      <c r="H99" s="213"/>
      <c r="I99" s="213"/>
      <c r="J99" s="214">
        <v>6.0</v>
      </c>
      <c r="K99" s="215">
        <v>3.0</v>
      </c>
      <c r="L99" s="213"/>
      <c r="M99" s="213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</row>
    <row r="100" ht="4.5" customHeight="1">
      <c r="A100" s="187"/>
      <c r="B100" s="187"/>
      <c r="C100" s="216"/>
      <c r="D100" s="23"/>
      <c r="E100" s="23"/>
      <c r="F100" s="23"/>
      <c r="G100" s="23"/>
      <c r="H100" s="23"/>
      <c r="I100" s="23"/>
      <c r="J100" s="23"/>
      <c r="K100" s="23"/>
      <c r="L100" s="23"/>
      <c r="M100" s="202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</row>
    <row r="101" ht="12.75" customHeight="1">
      <c r="A101" s="187"/>
      <c r="B101" s="187"/>
      <c r="C101" s="218" t="s">
        <v>213</v>
      </c>
      <c r="D101" s="206" t="s">
        <v>202</v>
      </c>
      <c r="E101" s="207" t="s">
        <v>105</v>
      </c>
      <c r="F101" s="207" t="s">
        <v>111</v>
      </c>
      <c r="G101" s="208" t="s">
        <v>198</v>
      </c>
      <c r="H101" s="207" t="s">
        <v>109</v>
      </c>
      <c r="I101" s="207" t="s">
        <v>114</v>
      </c>
      <c r="J101" s="209">
        <v>6.0</v>
      </c>
      <c r="K101" s="210">
        <v>4.0</v>
      </c>
      <c r="L101" s="211">
        <f>IF(AND(J101&gt;K101,J102&gt;K102),2,IF(J101&gt;K101,1,IF(J102&gt;K102,1,0)))</f>
        <v>2</v>
      </c>
      <c r="M101" s="211">
        <f>IF(AND(K101&gt;J101,K102&gt;J102),2,IF(K101&gt;J101,1,IF(K102&gt;J102,1,0)))</f>
        <v>0</v>
      </c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</row>
    <row r="102" ht="12.75" customHeight="1">
      <c r="A102" s="187"/>
      <c r="B102" s="187"/>
      <c r="C102" s="212"/>
      <c r="D102" s="213"/>
      <c r="E102" s="213"/>
      <c r="F102" s="213"/>
      <c r="G102" s="213"/>
      <c r="H102" s="213"/>
      <c r="I102" s="213"/>
      <c r="J102" s="214">
        <v>6.0</v>
      </c>
      <c r="K102" s="215">
        <v>2.0</v>
      </c>
      <c r="L102" s="213"/>
      <c r="M102" s="213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</row>
    <row r="103" ht="4.5" customHeight="1">
      <c r="A103" s="187"/>
      <c r="B103" s="187"/>
      <c r="C103" s="217"/>
      <c r="D103" s="23"/>
      <c r="E103" s="23"/>
      <c r="F103" s="23"/>
      <c r="G103" s="23"/>
      <c r="H103" s="23"/>
      <c r="I103" s="23"/>
      <c r="J103" s="23"/>
      <c r="K103" s="23"/>
      <c r="L103" s="23"/>
      <c r="M103" s="202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</row>
    <row r="104" ht="12.75" customHeight="1">
      <c r="A104" s="187"/>
      <c r="B104" s="187"/>
      <c r="C104" s="218" t="s">
        <v>267</v>
      </c>
      <c r="D104" s="206" t="s">
        <v>214</v>
      </c>
      <c r="E104" s="207" t="s">
        <v>78</v>
      </c>
      <c r="F104" s="207" t="s">
        <v>92</v>
      </c>
      <c r="G104" s="208" t="s">
        <v>198</v>
      </c>
      <c r="H104" s="207" t="s">
        <v>305</v>
      </c>
      <c r="I104" s="207" t="s">
        <v>96</v>
      </c>
      <c r="J104" s="209">
        <v>2.0</v>
      </c>
      <c r="K104" s="210">
        <v>6.0</v>
      </c>
      <c r="L104" s="211">
        <f>IF(AND(J104&gt;K104,J105&gt;K105),2,IF(J104&gt;K104,1,IF(J105&gt;K105,1,0)))</f>
        <v>1</v>
      </c>
      <c r="M104" s="211">
        <f>IF(AND(K104&gt;J104,K105&gt;J105),2,IF(K104&gt;J104,1,IF(K105&gt;J105,1,0)))</f>
        <v>1</v>
      </c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</row>
    <row r="105" ht="12.75" customHeight="1">
      <c r="A105" s="187"/>
      <c r="B105" s="187"/>
      <c r="C105" s="212"/>
      <c r="D105" s="213"/>
      <c r="E105" s="213"/>
      <c r="F105" s="213"/>
      <c r="G105" s="213"/>
      <c r="H105" s="213"/>
      <c r="I105" s="213"/>
      <c r="J105" s="214">
        <v>7.0</v>
      </c>
      <c r="K105" s="215">
        <v>5.0</v>
      </c>
      <c r="L105" s="213"/>
      <c r="M105" s="213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</row>
    <row r="106" ht="4.5" customHeight="1">
      <c r="A106" s="187"/>
      <c r="B106" s="187"/>
      <c r="C106" s="217"/>
      <c r="D106" s="23"/>
      <c r="E106" s="23"/>
      <c r="F106" s="23"/>
      <c r="G106" s="23"/>
      <c r="H106" s="23"/>
      <c r="I106" s="23"/>
      <c r="J106" s="23"/>
      <c r="K106" s="23"/>
      <c r="L106" s="23"/>
      <c r="M106" s="202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</row>
    <row r="107" ht="12.75" customHeight="1">
      <c r="A107" s="187"/>
      <c r="B107" s="187"/>
      <c r="C107" s="205" t="s">
        <v>201</v>
      </c>
      <c r="D107" s="235" t="s">
        <v>209</v>
      </c>
      <c r="E107" s="207" t="s">
        <v>133</v>
      </c>
      <c r="F107" s="207" t="s">
        <v>145</v>
      </c>
      <c r="G107" s="219" t="s">
        <v>198</v>
      </c>
      <c r="H107" s="207" t="s">
        <v>137</v>
      </c>
      <c r="I107" s="207" t="s">
        <v>143</v>
      </c>
      <c r="J107" s="209">
        <v>4.0</v>
      </c>
      <c r="K107" s="210">
        <v>6.0</v>
      </c>
      <c r="L107" s="211">
        <f>IF(AND(J107&gt;K107,J108&gt;K108),2,IF(J107&gt;K107,1,IF(J108&gt;K108,1,0)))</f>
        <v>0</v>
      </c>
      <c r="M107" s="211">
        <f>IF(AND(K107&gt;J107,K108&gt;J108),2,IF(K107&gt;J107,1,IF(K108&gt;J108,1,0)))</f>
        <v>2</v>
      </c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</row>
    <row r="108" ht="12.75" customHeight="1">
      <c r="A108" s="187"/>
      <c r="B108" s="187"/>
      <c r="C108" s="212"/>
      <c r="D108" s="213"/>
      <c r="E108" s="213"/>
      <c r="F108" s="213"/>
      <c r="G108" s="213"/>
      <c r="H108" s="213"/>
      <c r="I108" s="213"/>
      <c r="J108" s="214">
        <v>3.0</v>
      </c>
      <c r="K108" s="215">
        <v>6.0</v>
      </c>
      <c r="L108" s="213"/>
      <c r="M108" s="213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</row>
    <row r="109" ht="4.5" customHeight="1">
      <c r="A109" s="187"/>
      <c r="B109" s="187"/>
      <c r="C109" s="217"/>
      <c r="D109" s="23"/>
      <c r="E109" s="23"/>
      <c r="F109" s="23"/>
      <c r="G109" s="23"/>
      <c r="H109" s="23"/>
      <c r="I109" s="23"/>
      <c r="J109" s="23"/>
      <c r="K109" s="23"/>
      <c r="L109" s="23"/>
      <c r="M109" s="202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</row>
    <row r="110" ht="12.75" customHeight="1">
      <c r="A110" s="187"/>
      <c r="B110" s="187"/>
      <c r="C110" s="220" t="s">
        <v>298</v>
      </c>
      <c r="D110" s="23"/>
      <c r="E110" s="23"/>
      <c r="F110" s="23"/>
      <c r="G110" s="23"/>
      <c r="H110" s="23"/>
      <c r="I110" s="200"/>
      <c r="J110" s="221">
        <f t="shared" ref="J110:M110" si="8">SUM(J98:J108)</f>
        <v>41</v>
      </c>
      <c r="K110" s="222">
        <f t="shared" si="8"/>
        <v>38</v>
      </c>
      <c r="L110" s="221">
        <f t="shared" si="8"/>
        <v>5</v>
      </c>
      <c r="M110" s="223">
        <f t="shared" si="8"/>
        <v>3</v>
      </c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</row>
    <row r="111" ht="4.5" customHeight="1">
      <c r="A111" s="187"/>
      <c r="B111" s="187"/>
      <c r="C111" s="224"/>
      <c r="D111" s="23"/>
      <c r="E111" s="23"/>
      <c r="F111" s="23"/>
      <c r="G111" s="23"/>
      <c r="H111" s="23"/>
      <c r="I111" s="23"/>
      <c r="J111" s="23"/>
      <c r="K111" s="23"/>
      <c r="L111" s="23"/>
      <c r="M111" s="202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</row>
    <row r="112" ht="12.75" customHeight="1">
      <c r="A112" s="187"/>
      <c r="B112" s="187"/>
      <c r="C112" s="228" t="s">
        <v>299</v>
      </c>
      <c r="D112" s="23"/>
      <c r="E112" s="23"/>
      <c r="F112" s="23"/>
      <c r="G112" s="23"/>
      <c r="H112" s="23"/>
      <c r="I112" s="200"/>
      <c r="J112" s="229">
        <f t="shared" ref="J112:M112" si="9">J110+J95</f>
        <v>66</v>
      </c>
      <c r="K112" s="230">
        <f t="shared" si="9"/>
        <v>67</v>
      </c>
      <c r="L112" s="231">
        <f t="shared" si="9"/>
        <v>7</v>
      </c>
      <c r="M112" s="232">
        <f t="shared" si="9"/>
        <v>7</v>
      </c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</row>
    <row r="113" ht="6.75" customHeight="1">
      <c r="A113" s="187"/>
      <c r="B113" s="187"/>
      <c r="C113" s="239"/>
      <c r="D113" s="240"/>
      <c r="E113" s="240"/>
      <c r="F113" s="240"/>
      <c r="G113" s="240"/>
      <c r="H113" s="240"/>
      <c r="I113" s="240"/>
      <c r="J113" s="240"/>
      <c r="K113" s="240"/>
      <c r="L113" s="240"/>
      <c r="M113" s="241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</row>
    <row r="114" ht="12.75" customHeight="1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</row>
    <row r="115" ht="12.75" customHeight="1">
      <c r="A115" s="18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</row>
    <row r="116" ht="12.75" customHeight="1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</row>
    <row r="117" ht="12.75" customHeight="1">
      <c r="A117" s="18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</row>
    <row r="118" ht="12.75" customHeight="1">
      <c r="A118" s="18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</row>
    <row r="119" ht="12.75" customHeight="1">
      <c r="A119" s="18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</row>
    <row r="120" ht="12.75" customHeight="1">
      <c r="A120" s="18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</row>
    <row r="121" ht="12.75" customHeight="1">
      <c r="A121" s="187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</row>
    <row r="122" ht="12.75" customHeight="1">
      <c r="A122" s="18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</row>
    <row r="123" ht="12.75" customHeight="1">
      <c r="A123" s="187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</row>
    <row r="124" ht="12.75" customHeight="1">
      <c r="A124" s="187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</row>
    <row r="125" ht="12.75" customHeight="1">
      <c r="A125" s="18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</row>
    <row r="126" ht="12.75" customHeight="1">
      <c r="A126" s="18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</row>
    <row r="127" ht="12.75" customHeight="1">
      <c r="A127" s="187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</row>
    <row r="128" ht="12.75" customHeight="1">
      <c r="A128" s="187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</row>
    <row r="129" ht="12.75" customHeight="1">
      <c r="A129" s="18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</row>
    <row r="130" ht="12.75" customHeight="1">
      <c r="A130" s="18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</row>
    <row r="131" ht="12.75" customHeight="1">
      <c r="A131" s="18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</row>
    <row r="132" ht="12.75" customHeight="1">
      <c r="A132" s="187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</row>
    <row r="133" ht="12.75" customHeight="1">
      <c r="A133" s="18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</row>
    <row r="134" ht="12.75" customHeight="1">
      <c r="A134" s="18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</row>
    <row r="135" ht="12.75" customHeight="1">
      <c r="A135" s="18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</row>
    <row r="136" ht="12.75" customHeight="1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</row>
    <row r="137" ht="12.75" customHeight="1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</row>
    <row r="138" ht="12.75" customHeight="1">
      <c r="A138" s="187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</row>
    <row r="139" ht="12.75" customHeight="1">
      <c r="A139" s="18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</row>
    <row r="140" ht="12.75" customHeight="1">
      <c r="A140" s="18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</row>
    <row r="141" ht="12.75" customHeight="1">
      <c r="A141" s="18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</row>
    <row r="142" ht="12.75" customHeight="1">
      <c r="A142" s="187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</row>
    <row r="143" ht="12.75" customHeight="1">
      <c r="A143" s="187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</row>
    <row r="144" ht="12.75" customHeight="1">
      <c r="A144" s="187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</row>
    <row r="145" ht="12.75" customHeight="1">
      <c r="A145" s="187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</row>
    <row r="146" ht="12.75" customHeight="1">
      <c r="A146" s="187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</row>
    <row r="147" ht="12.75" customHeight="1">
      <c r="A147" s="187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</row>
    <row r="148" ht="12.75" customHeight="1">
      <c r="A148" s="187"/>
      <c r="B148" s="187"/>
      <c r="C148" s="187"/>
      <c r="D148" s="187"/>
      <c r="E148" s="187"/>
      <c r="F148" s="187" t="s">
        <v>227</v>
      </c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</row>
    <row r="149" ht="12.75" customHeight="1">
      <c r="A149" s="187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</row>
    <row r="150" ht="12.75" customHeight="1">
      <c r="A150" s="187"/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</row>
    <row r="151" ht="12.75" customHeight="1">
      <c r="A151" s="187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</row>
    <row r="152" ht="12.75" customHeight="1">
      <c r="A152" s="187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</row>
    <row r="153" ht="12.75" customHeight="1">
      <c r="A153" s="187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</row>
    <row r="154" ht="12.75" customHeight="1">
      <c r="A154" s="187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</row>
    <row r="155" ht="12.75" customHeight="1">
      <c r="A155" s="187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</row>
    <row r="156" ht="12.75" customHeight="1">
      <c r="A156" s="187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</row>
    <row r="157" ht="12.75" customHeight="1">
      <c r="A157" s="187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</row>
    <row r="158" ht="12.75" customHeight="1">
      <c r="A158" s="187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</row>
    <row r="159" ht="12.75" customHeight="1">
      <c r="A159" s="187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</row>
    <row r="160" ht="12.75" customHeight="1">
      <c r="A160" s="187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</row>
    <row r="161" ht="12.75" customHeight="1">
      <c r="A161" s="187"/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</row>
    <row r="162" ht="12.75" customHeight="1">
      <c r="A162" s="187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</row>
    <row r="163" ht="12.75" customHeight="1">
      <c r="A163" s="187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</row>
    <row r="164" ht="12.75" customHeight="1">
      <c r="A164" s="187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</row>
    <row r="165" ht="12.75" customHeight="1">
      <c r="A165" s="187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</row>
    <row r="166" ht="12.75" customHeight="1">
      <c r="A166" s="187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</row>
    <row r="167" ht="12.75" customHeight="1">
      <c r="A167" s="187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</row>
    <row r="168" ht="12.75" customHeight="1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</row>
    <row r="169" ht="12.75" customHeight="1">
      <c r="A169" s="187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</row>
    <row r="170" ht="12.75" customHeight="1">
      <c r="A170" s="187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</row>
    <row r="171" ht="12.75" customHeight="1">
      <c r="A171" s="187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</row>
    <row r="172" ht="12.75" customHeight="1">
      <c r="A172" s="187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</row>
    <row r="173" ht="12.75" customHeight="1">
      <c r="A173" s="18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</row>
    <row r="174" ht="12.75" customHeight="1">
      <c r="A174" s="187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</row>
    <row r="175" ht="12.75" customHeight="1">
      <c r="A175" s="187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</row>
    <row r="176" ht="12.75" customHeight="1">
      <c r="A176" s="187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</row>
    <row r="177" ht="12.75" customHeight="1">
      <c r="A177" s="187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</row>
    <row r="178" ht="12.75" customHeight="1">
      <c r="A178" s="187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</row>
    <row r="179" ht="12.75" customHeight="1">
      <c r="A179" s="187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</row>
    <row r="180" ht="12.75" customHeight="1">
      <c r="A180" s="187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</row>
    <row r="181" ht="12.75" customHeight="1">
      <c r="A181" s="187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</row>
    <row r="182" ht="12.75" customHeight="1">
      <c r="A182" s="187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</row>
    <row r="183" ht="12.75" customHeight="1">
      <c r="A183" s="187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</row>
    <row r="184" ht="12.75" customHeight="1">
      <c r="A184" s="187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</row>
    <row r="185" ht="12.75" customHeight="1">
      <c r="A185" s="187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</row>
    <row r="186" ht="12.75" customHeight="1">
      <c r="A186" s="187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</row>
    <row r="187" ht="12.75" customHeight="1">
      <c r="A187" s="187"/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</row>
    <row r="188" ht="12.75" customHeight="1">
      <c r="A188" s="187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</row>
    <row r="189" ht="12.75" customHeight="1">
      <c r="A189" s="187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</row>
    <row r="190" ht="12.75" customHeight="1">
      <c r="A190" s="187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</row>
    <row r="191" ht="12.75" customHeight="1">
      <c r="A191" s="187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</row>
    <row r="192" ht="12.75" customHeight="1">
      <c r="A192" s="187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</row>
    <row r="193" ht="12.75" customHeight="1">
      <c r="A193" s="187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</row>
    <row r="194" ht="12.75" customHeight="1">
      <c r="A194" s="187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</row>
    <row r="195" ht="12.75" customHeight="1">
      <c r="A195" s="187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</row>
    <row r="196" ht="12.75" customHeight="1">
      <c r="A196" s="187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</row>
    <row r="197" ht="12.75" customHeight="1">
      <c r="A197" s="187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</row>
    <row r="198" ht="12.75" customHeight="1">
      <c r="A198" s="187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</row>
    <row r="199" ht="12.75" customHeight="1">
      <c r="A199" s="187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</row>
    <row r="200" ht="12.75" customHeight="1">
      <c r="A200" s="187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</row>
    <row r="201" ht="12.75" customHeight="1">
      <c r="A201" s="187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</row>
    <row r="202" ht="12.75" customHeight="1">
      <c r="A202" s="187"/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</row>
    <row r="203" ht="12.75" customHeight="1">
      <c r="A203" s="187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</row>
    <row r="204" ht="12.75" customHeight="1">
      <c r="A204" s="187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</row>
    <row r="205" ht="12.75" customHeight="1">
      <c r="A205" s="187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</row>
    <row r="206" ht="12.75" customHeight="1">
      <c r="A206" s="187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</row>
    <row r="207" ht="12.75" customHeight="1">
      <c r="A207" s="187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</row>
    <row r="208" ht="12.75" customHeight="1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</row>
    <row r="209" ht="12.75" customHeight="1">
      <c r="A209" s="187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</row>
    <row r="210" ht="12.75" customHeight="1">
      <c r="A210" s="187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</row>
    <row r="211" ht="12.75" customHeight="1">
      <c r="A211" s="187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</row>
    <row r="212" ht="12.75" customHeight="1">
      <c r="A212" s="187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</row>
    <row r="213" ht="12.75" customHeight="1">
      <c r="A213" s="187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</row>
    <row r="214" ht="12.75" customHeight="1">
      <c r="A214" s="187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</row>
    <row r="215" ht="12.75" customHeight="1">
      <c r="A215" s="187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</row>
    <row r="216" ht="12.75" customHeight="1">
      <c r="A216" s="187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</row>
    <row r="217" ht="12.75" customHeight="1">
      <c r="A217" s="187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</row>
    <row r="218" ht="12.75" customHeight="1">
      <c r="A218" s="187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</row>
    <row r="219" ht="12.75" customHeight="1">
      <c r="A219" s="187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</row>
    <row r="220" ht="12.75" customHeight="1">
      <c r="A220" s="187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</row>
    <row r="221" ht="12.75" customHeight="1">
      <c r="A221" s="187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</row>
    <row r="222" ht="12.75" customHeight="1">
      <c r="A222" s="187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</row>
    <row r="223" ht="12.75" customHeight="1">
      <c r="A223" s="187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</row>
    <row r="224" ht="12.75" customHeight="1">
      <c r="A224" s="187"/>
      <c r="B224" s="187"/>
      <c r="C224" s="187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</row>
    <row r="225" ht="12.75" customHeight="1">
      <c r="A225" s="187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</row>
    <row r="226" ht="12.75" customHeight="1">
      <c r="A226" s="187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</row>
    <row r="227" ht="12.75" customHeight="1">
      <c r="A227" s="187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</row>
    <row r="228" ht="12.75" customHeight="1">
      <c r="A228" s="187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</row>
    <row r="229" ht="12.75" customHeight="1">
      <c r="A229" s="187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</row>
    <row r="230" ht="12.75" customHeight="1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</row>
    <row r="231" ht="12.75" customHeight="1">
      <c r="A231" s="187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</row>
    <row r="232" ht="12.75" customHeight="1">
      <c r="A232" s="187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</row>
    <row r="233" ht="12.75" customHeight="1">
      <c r="A233" s="187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</row>
    <row r="234" ht="12.75" customHeight="1">
      <c r="A234" s="187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</row>
    <row r="235" ht="12.75" customHeight="1">
      <c r="A235" s="187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</row>
    <row r="236" ht="12.75" customHeight="1">
      <c r="A236" s="187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</row>
    <row r="237" ht="12.75" customHeight="1">
      <c r="A237" s="187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</row>
    <row r="238" ht="12.75" customHeight="1">
      <c r="A238" s="187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</row>
    <row r="239" ht="12.75" customHeight="1">
      <c r="A239" s="187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</row>
    <row r="240" ht="12.75" customHeight="1">
      <c r="A240" s="187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</row>
    <row r="241" ht="12.75" customHeight="1">
      <c r="A241" s="187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</row>
    <row r="242" ht="12.75" customHeight="1">
      <c r="A242" s="187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</row>
    <row r="243" ht="12.75" customHeight="1">
      <c r="A243" s="187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</row>
    <row r="244" ht="12.75" customHeight="1">
      <c r="A244" s="187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</row>
    <row r="245" ht="12.75" customHeight="1">
      <c r="A245" s="187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</row>
    <row r="246" ht="12.75" customHeight="1">
      <c r="A246" s="187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</row>
    <row r="247" ht="12.75" customHeight="1">
      <c r="A247" s="187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</row>
    <row r="248" ht="12.75" customHeight="1">
      <c r="A248" s="187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</row>
    <row r="249" ht="12.75" customHeight="1">
      <c r="A249" s="187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</row>
    <row r="250" ht="12.75" customHeight="1">
      <c r="A250" s="187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</row>
    <row r="251" ht="12.75" customHeight="1">
      <c r="A251" s="187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</row>
    <row r="252" ht="12.75" customHeight="1">
      <c r="A252" s="187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</row>
    <row r="253" ht="12.75" customHeight="1">
      <c r="A253" s="187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</row>
    <row r="254" ht="12.75" customHeight="1">
      <c r="A254" s="187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</row>
    <row r="255" ht="12.75" customHeight="1">
      <c r="A255" s="187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</row>
    <row r="256" ht="12.75" customHeight="1">
      <c r="A256" s="187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</row>
    <row r="257" ht="12.75" customHeight="1">
      <c r="A257" s="187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</row>
    <row r="258" ht="12.75" customHeight="1">
      <c r="A258" s="187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</row>
    <row r="259" ht="12.75" customHeight="1">
      <c r="A259" s="187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</row>
    <row r="260" ht="12.75" customHeight="1">
      <c r="A260" s="187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</row>
    <row r="261" ht="12.75" customHeight="1">
      <c r="A261" s="187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</row>
    <row r="262" ht="12.75" customHeight="1">
      <c r="A262" s="187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</row>
    <row r="263" ht="12.75" customHeight="1">
      <c r="A263" s="187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</row>
    <row r="264" ht="12.75" customHeight="1">
      <c r="A264" s="187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</row>
    <row r="265" ht="12.75" customHeight="1">
      <c r="A265" s="187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</row>
    <row r="266" ht="12.75" customHeight="1">
      <c r="A266" s="187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</row>
    <row r="267" ht="12.75" customHeight="1">
      <c r="A267" s="187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</row>
    <row r="268" ht="12.75" customHeight="1">
      <c r="A268" s="187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</row>
    <row r="269" ht="12.75" customHeight="1">
      <c r="A269" s="187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</row>
    <row r="270" ht="12.75" customHeight="1">
      <c r="A270" s="187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</row>
    <row r="271" ht="12.75" customHeight="1">
      <c r="A271" s="187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</row>
    <row r="272" ht="12.75" customHeight="1">
      <c r="A272" s="187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</row>
    <row r="273" ht="12.75" customHeight="1">
      <c r="A273" s="187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</row>
    <row r="274" ht="12.75" customHeight="1">
      <c r="A274" s="187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</row>
    <row r="275" ht="12.75" customHeight="1">
      <c r="A275" s="187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</row>
    <row r="276" ht="12.75" customHeight="1">
      <c r="A276" s="187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</row>
    <row r="277" ht="12.75" customHeight="1">
      <c r="A277" s="187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</row>
    <row r="278" ht="12.75" customHeight="1">
      <c r="A278" s="187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</row>
    <row r="279" ht="12.75" customHeight="1">
      <c r="A279" s="187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</row>
    <row r="280" ht="12.75" customHeight="1">
      <c r="A280" s="187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</row>
    <row r="281" ht="12.75" customHeight="1">
      <c r="A281" s="187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</row>
    <row r="282" ht="12.75" customHeight="1">
      <c r="A282" s="187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</row>
    <row r="283" ht="12.75" customHeight="1">
      <c r="A283" s="187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</row>
    <row r="284" ht="12.75" customHeight="1">
      <c r="A284" s="187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</row>
    <row r="285" ht="12.75" customHeight="1">
      <c r="A285" s="187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</row>
    <row r="286" ht="12.75" customHeight="1">
      <c r="A286" s="187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</row>
    <row r="287" ht="12.75" customHeight="1">
      <c r="A287" s="187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</row>
    <row r="288" ht="12.75" customHeight="1">
      <c r="A288" s="187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</row>
    <row r="289" ht="12.75" customHeight="1">
      <c r="A289" s="187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</row>
    <row r="290" ht="12.75" customHeight="1">
      <c r="A290" s="187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</row>
    <row r="291" ht="12.75" customHeight="1">
      <c r="A291" s="187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</row>
    <row r="292" ht="12.75" customHeight="1">
      <c r="A292" s="187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</row>
    <row r="293" ht="12.75" customHeight="1">
      <c r="A293" s="187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</row>
    <row r="294" ht="12.75" customHeight="1">
      <c r="A294" s="187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</row>
    <row r="295" ht="12.75" customHeight="1">
      <c r="A295" s="187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</row>
    <row r="296" ht="12.75" customHeight="1">
      <c r="A296" s="187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</row>
    <row r="297" ht="12.75" customHeight="1">
      <c r="A297" s="187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</row>
    <row r="298" ht="12.75" customHeight="1">
      <c r="A298" s="187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</row>
    <row r="299" ht="12.75" customHeight="1">
      <c r="A299" s="187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</row>
    <row r="300" ht="12.75" customHeight="1">
      <c r="A300" s="187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</row>
    <row r="301" ht="12.75" customHeight="1">
      <c r="A301" s="187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</row>
    <row r="302" ht="12.75" customHeight="1">
      <c r="A302" s="187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</row>
    <row r="303" ht="12.75" customHeight="1">
      <c r="A303" s="187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</row>
    <row r="304" ht="12.75" customHeight="1">
      <c r="A304" s="187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</row>
    <row r="305" ht="12.75" customHeight="1">
      <c r="A305" s="187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</row>
    <row r="306" ht="12.75" customHeight="1">
      <c r="A306" s="187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</row>
    <row r="307" ht="12.75" customHeight="1">
      <c r="A307" s="187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</row>
    <row r="308" ht="12.75" customHeight="1">
      <c r="A308" s="187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</row>
    <row r="309" ht="12.75" customHeight="1">
      <c r="A309" s="187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</row>
    <row r="310" ht="12.75" customHeight="1">
      <c r="A310" s="187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</row>
    <row r="311" ht="12.75" customHeight="1">
      <c r="A311" s="187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</row>
    <row r="312" ht="12.75" customHeight="1">
      <c r="A312" s="187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</row>
    <row r="313" ht="12.75" customHeight="1">
      <c r="A313" s="187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</row>
    <row r="314" ht="12.75" customHeight="1">
      <c r="A314" s="187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</row>
    <row r="315" ht="12.75" customHeight="1">
      <c r="A315" s="187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</row>
    <row r="316" ht="12.75" customHeight="1">
      <c r="A316" s="187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</row>
    <row r="317" ht="12.75" customHeight="1">
      <c r="A317" s="187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</row>
    <row r="318" ht="12.75" customHeight="1">
      <c r="A318" s="187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</row>
    <row r="319" ht="12.75" customHeight="1">
      <c r="A319" s="187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</row>
    <row r="320" ht="12.75" customHeight="1">
      <c r="A320" s="187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</row>
    <row r="321" ht="12.75" customHeight="1">
      <c r="A321" s="187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</row>
    <row r="322" ht="12.75" customHeight="1">
      <c r="A322" s="187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</row>
    <row r="323" ht="12.75" customHeight="1">
      <c r="A323" s="187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</row>
    <row r="324" ht="12.75" customHeight="1">
      <c r="A324" s="187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</row>
    <row r="325" ht="12.75" customHeight="1">
      <c r="A325" s="187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</row>
    <row r="326" ht="12.75" customHeight="1">
      <c r="A326" s="187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</row>
    <row r="327" ht="12.75" customHeight="1">
      <c r="A327" s="187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</row>
    <row r="328" ht="12.75" customHeight="1">
      <c r="A328" s="187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</row>
    <row r="329" ht="12.75" customHeight="1">
      <c r="A329" s="187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</row>
    <row r="330" ht="12.75" customHeight="1">
      <c r="A330" s="187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</row>
    <row r="331" ht="12.75" customHeight="1">
      <c r="A331" s="187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</row>
    <row r="332" ht="12.75" customHeight="1">
      <c r="A332" s="187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</row>
    <row r="333" ht="12.75" customHeight="1">
      <c r="A333" s="187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</row>
    <row r="334" ht="12.75" customHeight="1">
      <c r="A334" s="187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</row>
    <row r="335" ht="12.75" customHeight="1">
      <c r="A335" s="187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</row>
    <row r="336" ht="12.75" customHeight="1">
      <c r="A336" s="187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</row>
    <row r="337" ht="12.75" customHeight="1">
      <c r="A337" s="187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</row>
    <row r="338" ht="12.75" customHeight="1">
      <c r="A338" s="187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</row>
    <row r="339" ht="12.75" customHeight="1">
      <c r="A339" s="187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</row>
    <row r="340" ht="12.75" customHeight="1">
      <c r="A340" s="187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</row>
    <row r="341" ht="12.75" customHeight="1">
      <c r="A341" s="187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</row>
    <row r="342" ht="12.75" customHeight="1">
      <c r="A342" s="187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</row>
    <row r="343" ht="12.75" customHeight="1">
      <c r="A343" s="187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</row>
    <row r="344" ht="12.75" customHeight="1">
      <c r="A344" s="187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</row>
    <row r="345" ht="12.75" customHeight="1">
      <c r="A345" s="187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</row>
    <row r="346" ht="12.75" customHeight="1">
      <c r="A346" s="187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</row>
    <row r="347" ht="12.75" customHeight="1">
      <c r="A347" s="187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</row>
    <row r="348" ht="12.75" customHeight="1">
      <c r="A348" s="187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</row>
    <row r="349" ht="12.75" customHeight="1">
      <c r="A349" s="187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</row>
    <row r="350" ht="12.75" customHeight="1">
      <c r="A350" s="187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</row>
    <row r="351" ht="12.75" customHeight="1">
      <c r="A351" s="187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</row>
    <row r="352" ht="12.75" customHeight="1">
      <c r="A352" s="187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</row>
    <row r="353" ht="12.75" customHeight="1">
      <c r="A353" s="187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</row>
    <row r="354" ht="12.75" customHeight="1">
      <c r="A354" s="187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</row>
    <row r="355" ht="12.75" customHeight="1">
      <c r="A355" s="187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</row>
    <row r="356" ht="12.75" customHeight="1">
      <c r="A356" s="187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</row>
    <row r="357" ht="12.75" customHeight="1">
      <c r="A357" s="187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</row>
    <row r="358" ht="12.75" customHeight="1">
      <c r="A358" s="187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</row>
    <row r="359" ht="12.75" customHeight="1">
      <c r="A359" s="187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</row>
    <row r="360" ht="12.75" customHeight="1">
      <c r="A360" s="187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</row>
    <row r="361" ht="12.75" customHeight="1">
      <c r="A361" s="187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</row>
    <row r="362" ht="12.75" customHeight="1">
      <c r="A362" s="187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</row>
    <row r="363" ht="12.75" customHeight="1">
      <c r="A363" s="187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</row>
    <row r="364" ht="12.75" customHeight="1">
      <c r="A364" s="187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</row>
    <row r="365" ht="12.75" customHeight="1">
      <c r="A365" s="187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</row>
    <row r="366" ht="12.75" customHeight="1">
      <c r="A366" s="187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</row>
    <row r="367" ht="12.75" customHeight="1">
      <c r="A367" s="187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</row>
    <row r="368" ht="12.75" customHeight="1">
      <c r="A368" s="187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</row>
    <row r="369" ht="12.75" customHeight="1">
      <c r="A369" s="187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</row>
    <row r="370" ht="12.75" customHeight="1">
      <c r="A370" s="187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</row>
    <row r="371" ht="12.75" customHeight="1">
      <c r="A371" s="187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</row>
    <row r="372" ht="12.75" customHeight="1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</row>
    <row r="373" ht="12.75" customHeight="1">
      <c r="A373" s="187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</row>
    <row r="374" ht="12.75" customHeight="1">
      <c r="A374" s="187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</row>
    <row r="375" ht="12.75" customHeight="1">
      <c r="A375" s="187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</row>
    <row r="376" ht="12.75" customHeight="1">
      <c r="A376" s="187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</row>
    <row r="377" ht="12.75" customHeight="1">
      <c r="A377" s="187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</row>
    <row r="378" ht="12.75" customHeight="1">
      <c r="A378" s="187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</row>
    <row r="379" ht="12.75" customHeight="1">
      <c r="A379" s="187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</row>
    <row r="380" ht="12.75" customHeight="1">
      <c r="A380" s="187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</row>
    <row r="381" ht="12.75" customHeight="1">
      <c r="A381" s="187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</row>
    <row r="382" ht="12.75" customHeight="1">
      <c r="A382" s="187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</row>
    <row r="383" ht="12.75" customHeight="1">
      <c r="A383" s="187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</row>
    <row r="384" ht="12.75" customHeight="1">
      <c r="A384" s="187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</row>
    <row r="385" ht="12.75" customHeight="1">
      <c r="A385" s="187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</row>
    <row r="386" ht="12.75" customHeight="1">
      <c r="A386" s="187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</row>
    <row r="387" ht="12.75" customHeight="1">
      <c r="A387" s="187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</row>
    <row r="388" ht="12.75" customHeight="1">
      <c r="A388" s="187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</row>
    <row r="389" ht="12.75" customHeight="1">
      <c r="A389" s="187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</row>
    <row r="390" ht="12.75" customHeight="1">
      <c r="A390" s="187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</row>
    <row r="391" ht="12.75" customHeight="1">
      <c r="A391" s="187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</row>
    <row r="392" ht="12.75" customHeight="1">
      <c r="A392" s="187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</row>
    <row r="393" ht="12.75" customHeight="1">
      <c r="A393" s="187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</row>
    <row r="394" ht="12.75" customHeight="1">
      <c r="A394" s="187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</row>
    <row r="395" ht="12.75" customHeight="1">
      <c r="A395" s="187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</row>
    <row r="396" ht="12.75" customHeight="1">
      <c r="A396" s="187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</row>
    <row r="397" ht="12.75" customHeight="1">
      <c r="A397" s="187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</row>
    <row r="398" ht="12.75" customHeight="1">
      <c r="A398" s="187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</row>
    <row r="399" ht="12.75" customHeight="1">
      <c r="A399" s="187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</row>
    <row r="400" ht="12.75" customHeight="1">
      <c r="A400" s="187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</row>
    <row r="401" ht="12.75" customHeight="1">
      <c r="A401" s="187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</row>
    <row r="402" ht="12.75" customHeight="1">
      <c r="A402" s="187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</row>
    <row r="403" ht="12.75" customHeight="1">
      <c r="A403" s="187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</row>
    <row r="404" ht="12.75" customHeight="1">
      <c r="A404" s="187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</row>
    <row r="405" ht="12.75" customHeight="1">
      <c r="A405" s="187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</row>
    <row r="406" ht="12.75" customHeight="1">
      <c r="A406" s="187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</row>
    <row r="407" ht="12.75" customHeight="1">
      <c r="A407" s="187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</row>
    <row r="408" ht="12.75" customHeight="1">
      <c r="A408" s="187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</row>
    <row r="409" ht="12.75" customHeight="1">
      <c r="A409" s="187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</row>
    <row r="410" ht="12.75" customHeight="1">
      <c r="A410" s="187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</row>
    <row r="411" ht="12.75" customHeight="1">
      <c r="A411" s="187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</row>
    <row r="412" ht="12.75" customHeight="1">
      <c r="A412" s="187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</row>
    <row r="413" ht="12.75" customHeight="1">
      <c r="A413" s="187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</row>
    <row r="414" ht="12.75" customHeight="1">
      <c r="A414" s="187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</row>
    <row r="415" ht="12.75" customHeight="1">
      <c r="A415" s="187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</row>
    <row r="416" ht="12.75" customHeight="1">
      <c r="A416" s="187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</row>
    <row r="417" ht="12.75" customHeight="1">
      <c r="A417" s="187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</row>
    <row r="418" ht="12.75" customHeight="1">
      <c r="A418" s="187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</row>
    <row r="419" ht="12.75" customHeight="1">
      <c r="A419" s="187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</row>
    <row r="420" ht="12.75" customHeight="1">
      <c r="A420" s="187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</row>
    <row r="421" ht="12.75" customHeight="1">
      <c r="A421" s="187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</row>
    <row r="422" ht="12.75" customHeight="1">
      <c r="A422" s="187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</row>
    <row r="423" ht="12.75" customHeight="1">
      <c r="A423" s="187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</row>
    <row r="424" ht="12.75" customHeight="1">
      <c r="A424" s="187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</row>
    <row r="425" ht="12.75" customHeight="1">
      <c r="A425" s="187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</row>
    <row r="426" ht="12.75" customHeight="1">
      <c r="A426" s="187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</row>
    <row r="427" ht="12.75" customHeight="1">
      <c r="A427" s="187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</row>
    <row r="428" ht="12.75" customHeight="1">
      <c r="A428" s="187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</row>
    <row r="429" ht="12.75" customHeight="1">
      <c r="A429" s="187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</row>
    <row r="430" ht="12.75" customHeight="1">
      <c r="A430" s="187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</row>
    <row r="431" ht="12.75" customHeight="1">
      <c r="A431" s="187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</row>
    <row r="432" ht="12.75" customHeight="1">
      <c r="A432" s="187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</row>
    <row r="433" ht="12.75" customHeight="1">
      <c r="A433" s="187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</row>
    <row r="434" ht="12.75" customHeight="1">
      <c r="A434" s="187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</row>
    <row r="435" ht="12.75" customHeight="1">
      <c r="A435" s="187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</row>
    <row r="436" ht="12.75" customHeight="1">
      <c r="A436" s="187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</row>
    <row r="437" ht="12.75" customHeight="1">
      <c r="A437" s="187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</row>
    <row r="438" ht="12.75" customHeight="1">
      <c r="A438" s="187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</row>
    <row r="439" ht="12.75" customHeight="1">
      <c r="A439" s="187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</row>
    <row r="440" ht="12.75" customHeight="1">
      <c r="A440" s="187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</row>
    <row r="441" ht="12.75" customHeight="1">
      <c r="A441" s="187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</row>
    <row r="442" ht="12.75" customHeight="1">
      <c r="A442" s="187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</row>
    <row r="443" ht="12.75" customHeight="1">
      <c r="A443" s="187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</row>
    <row r="444" ht="12.75" customHeight="1">
      <c r="A444" s="187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</row>
    <row r="445" ht="12.75" customHeight="1">
      <c r="A445" s="187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</row>
    <row r="446" ht="12.75" customHeight="1">
      <c r="A446" s="187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</row>
    <row r="447" ht="12.75" customHeight="1">
      <c r="A447" s="187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</row>
    <row r="448" ht="12.75" customHeight="1">
      <c r="A448" s="187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</row>
    <row r="449" ht="12.75" customHeight="1">
      <c r="A449" s="187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</row>
    <row r="450" ht="12.75" customHeight="1">
      <c r="A450" s="187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</row>
    <row r="451" ht="12.75" customHeight="1">
      <c r="A451" s="187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</row>
    <row r="452" ht="12.75" customHeight="1">
      <c r="A452" s="187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</row>
    <row r="453" ht="12.75" customHeight="1">
      <c r="A453" s="187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</row>
    <row r="454" ht="12.75" customHeight="1">
      <c r="A454" s="187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</row>
    <row r="455" ht="12.75" customHeight="1">
      <c r="A455" s="187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</row>
    <row r="456" ht="12.75" customHeight="1">
      <c r="A456" s="187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</row>
    <row r="457" ht="12.75" customHeight="1">
      <c r="A457" s="187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</row>
    <row r="458" ht="12.75" customHeight="1">
      <c r="A458" s="187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</row>
    <row r="459" ht="12.75" customHeight="1">
      <c r="A459" s="187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</row>
    <row r="460" ht="12.75" customHeight="1">
      <c r="A460" s="187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</row>
    <row r="461" ht="12.75" customHeight="1">
      <c r="A461" s="187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</row>
    <row r="462" ht="12.75" customHeight="1">
      <c r="A462" s="187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</row>
    <row r="463" ht="12.75" customHeight="1">
      <c r="A463" s="187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</row>
    <row r="464" ht="12.75" customHeight="1">
      <c r="A464" s="187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</row>
    <row r="465" ht="12.75" customHeight="1">
      <c r="A465" s="187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</row>
    <row r="466" ht="12.75" customHeight="1">
      <c r="A466" s="187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</row>
    <row r="467" ht="12.75" customHeight="1">
      <c r="A467" s="187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</row>
    <row r="468" ht="12.75" customHeight="1">
      <c r="A468" s="187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</row>
    <row r="469" ht="12.75" customHeight="1">
      <c r="A469" s="187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</row>
    <row r="470" ht="12.75" customHeight="1">
      <c r="A470" s="187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</row>
    <row r="471" ht="12.75" customHeight="1">
      <c r="A471" s="187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</row>
    <row r="472" ht="12.75" customHeight="1">
      <c r="A472" s="187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</row>
    <row r="473" ht="12.75" customHeight="1">
      <c r="A473" s="187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</row>
    <row r="474" ht="12.75" customHeight="1">
      <c r="A474" s="187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</row>
    <row r="475" ht="12.75" customHeight="1">
      <c r="A475" s="187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</row>
    <row r="476" ht="12.75" customHeight="1">
      <c r="A476" s="187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</row>
    <row r="477" ht="12.75" customHeight="1">
      <c r="A477" s="187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</row>
    <row r="478" ht="12.75" customHeight="1">
      <c r="A478" s="187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</row>
    <row r="479" ht="12.75" customHeight="1">
      <c r="A479" s="187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</row>
    <row r="480" ht="12.75" customHeight="1">
      <c r="A480" s="187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</row>
    <row r="481" ht="12.75" customHeight="1">
      <c r="A481" s="187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</row>
    <row r="482" ht="12.75" customHeight="1">
      <c r="A482" s="187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</row>
    <row r="483" ht="12.75" customHeight="1">
      <c r="A483" s="187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</row>
    <row r="484" ht="12.75" customHeight="1">
      <c r="A484" s="187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</row>
    <row r="485" ht="12.75" customHeight="1">
      <c r="A485" s="187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</row>
    <row r="486" ht="12.75" customHeight="1">
      <c r="A486" s="187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</row>
    <row r="487" ht="12.75" customHeight="1">
      <c r="A487" s="187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</row>
    <row r="488" ht="12.75" customHeight="1">
      <c r="A488" s="187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</row>
    <row r="489" ht="12.75" customHeight="1">
      <c r="A489" s="187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</row>
    <row r="490" ht="12.75" customHeight="1">
      <c r="A490" s="187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</row>
    <row r="491" ht="12.75" customHeight="1">
      <c r="A491" s="187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</row>
    <row r="492" ht="12.75" customHeight="1">
      <c r="A492" s="187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</row>
    <row r="493" ht="12.75" customHeight="1">
      <c r="A493" s="187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</row>
    <row r="494" ht="12.75" customHeight="1">
      <c r="A494" s="187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</row>
    <row r="495" ht="12.75" customHeight="1">
      <c r="A495" s="187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</row>
    <row r="496" ht="12.75" customHeight="1">
      <c r="A496" s="187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</row>
    <row r="497" ht="12.75" customHeight="1">
      <c r="A497" s="187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</row>
    <row r="498" ht="12.75" customHeight="1">
      <c r="A498" s="187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</row>
    <row r="499" ht="12.75" customHeight="1">
      <c r="A499" s="187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</row>
    <row r="500" ht="12.75" customHeight="1">
      <c r="A500" s="187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</row>
    <row r="501" ht="12.75" customHeight="1">
      <c r="A501" s="187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</row>
    <row r="502" ht="12.75" customHeight="1">
      <c r="A502" s="187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</row>
    <row r="503" ht="12.75" customHeight="1">
      <c r="A503" s="187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</row>
    <row r="504" ht="12.75" customHeight="1">
      <c r="A504" s="187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</row>
    <row r="505" ht="12.75" customHeight="1">
      <c r="A505" s="187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</row>
    <row r="506" ht="12.75" customHeight="1">
      <c r="A506" s="187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</row>
    <row r="507" ht="12.75" customHeight="1">
      <c r="A507" s="187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</row>
    <row r="508" ht="12.75" customHeight="1">
      <c r="A508" s="187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</row>
    <row r="509" ht="12.75" customHeight="1">
      <c r="A509" s="187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</row>
    <row r="510" ht="12.75" customHeight="1">
      <c r="A510" s="187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</row>
    <row r="511" ht="12.75" customHeight="1">
      <c r="A511" s="187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</row>
    <row r="512" ht="12.75" customHeight="1">
      <c r="A512" s="187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</row>
    <row r="513" ht="12.75" customHeight="1">
      <c r="A513" s="187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</row>
    <row r="514" ht="12.75" customHeight="1">
      <c r="A514" s="187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</row>
    <row r="515" ht="12.75" customHeight="1">
      <c r="A515" s="187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</row>
    <row r="516" ht="12.75" customHeight="1">
      <c r="A516" s="187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</row>
    <row r="517" ht="12.75" customHeight="1">
      <c r="A517" s="187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</row>
    <row r="518" ht="12.75" customHeight="1">
      <c r="A518" s="187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</row>
    <row r="519" ht="12.75" customHeight="1">
      <c r="A519" s="187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</row>
    <row r="520" ht="12.75" customHeight="1">
      <c r="A520" s="187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</row>
    <row r="521" ht="12.75" customHeight="1">
      <c r="A521" s="187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</row>
    <row r="522" ht="12.75" customHeight="1">
      <c r="A522" s="187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</row>
    <row r="523" ht="12.75" customHeight="1">
      <c r="A523" s="187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</row>
    <row r="524" ht="12.75" customHeight="1">
      <c r="A524" s="187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</row>
    <row r="525" ht="12.75" customHeight="1">
      <c r="A525" s="187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</row>
    <row r="526" ht="12.75" customHeight="1">
      <c r="A526" s="187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</row>
    <row r="527" ht="12.75" customHeight="1">
      <c r="A527" s="187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</row>
    <row r="528" ht="12.75" customHeight="1">
      <c r="A528" s="187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</row>
    <row r="529" ht="12.75" customHeight="1">
      <c r="A529" s="187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</row>
    <row r="530" ht="12.75" customHeight="1">
      <c r="A530" s="187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</row>
    <row r="531" ht="12.75" customHeight="1">
      <c r="A531" s="187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</row>
    <row r="532" ht="12.75" customHeight="1">
      <c r="A532" s="187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</row>
    <row r="533" ht="12.75" customHeight="1">
      <c r="A533" s="187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</row>
    <row r="534" ht="12.75" customHeight="1">
      <c r="A534" s="187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</row>
    <row r="535" ht="12.75" customHeight="1">
      <c r="A535" s="187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</row>
    <row r="536" ht="12.75" customHeight="1">
      <c r="A536" s="187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</row>
    <row r="537" ht="12.75" customHeight="1">
      <c r="A537" s="187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</row>
    <row r="538" ht="12.75" customHeight="1">
      <c r="A538" s="187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</row>
    <row r="539" ht="12.75" customHeight="1">
      <c r="A539" s="187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</row>
    <row r="540" ht="12.75" customHeight="1">
      <c r="A540" s="187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</row>
    <row r="541" ht="12.75" customHeight="1">
      <c r="A541" s="187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</row>
    <row r="542" ht="12.75" customHeight="1">
      <c r="A542" s="187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</row>
    <row r="543" ht="12.75" customHeight="1">
      <c r="A543" s="187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</row>
    <row r="544" ht="12.75" customHeight="1">
      <c r="A544" s="187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</row>
    <row r="545" ht="12.75" customHeight="1">
      <c r="A545" s="187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</row>
    <row r="546" ht="12.75" customHeight="1">
      <c r="A546" s="187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</row>
    <row r="547" ht="12.75" customHeight="1">
      <c r="A547" s="187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</row>
    <row r="548" ht="12.75" customHeight="1">
      <c r="A548" s="187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</row>
    <row r="549" ht="12.75" customHeight="1">
      <c r="A549" s="187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</row>
    <row r="550" ht="12.75" customHeight="1">
      <c r="A550" s="187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</row>
    <row r="551" ht="12.75" customHeight="1">
      <c r="A551" s="187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</row>
    <row r="552" ht="12.75" customHeight="1">
      <c r="A552" s="187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</row>
    <row r="553" ht="12.75" customHeight="1">
      <c r="A553" s="187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</row>
    <row r="554" ht="12.75" customHeight="1">
      <c r="A554" s="187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</row>
    <row r="555" ht="12.75" customHeight="1">
      <c r="A555" s="187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</row>
    <row r="556" ht="12.75" customHeight="1">
      <c r="A556" s="187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</row>
    <row r="557" ht="12.75" customHeight="1">
      <c r="A557" s="187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</row>
    <row r="558" ht="12.75" customHeight="1">
      <c r="A558" s="187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</row>
    <row r="559" ht="12.75" customHeight="1">
      <c r="A559" s="187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</row>
    <row r="560" ht="12.75" customHeight="1">
      <c r="A560" s="187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</row>
    <row r="561" ht="12.75" customHeight="1">
      <c r="A561" s="187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</row>
    <row r="562" ht="12.75" customHeight="1">
      <c r="A562" s="187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</row>
    <row r="563" ht="12.75" customHeight="1">
      <c r="A563" s="187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</row>
    <row r="564" ht="12.75" customHeight="1">
      <c r="A564" s="187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</row>
    <row r="565" ht="12.75" customHeight="1">
      <c r="A565" s="187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</row>
    <row r="566" ht="12.75" customHeight="1">
      <c r="A566" s="187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</row>
    <row r="567" ht="12.75" customHeight="1">
      <c r="A567" s="187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</row>
    <row r="568" ht="12.75" customHeight="1">
      <c r="A568" s="187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</row>
    <row r="569" ht="12.75" customHeight="1">
      <c r="A569" s="187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</row>
    <row r="570" ht="12.75" customHeight="1">
      <c r="A570" s="187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</row>
    <row r="571" ht="12.75" customHeight="1">
      <c r="A571" s="187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</row>
    <row r="572" ht="12.75" customHeight="1">
      <c r="A572" s="187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</row>
    <row r="573" ht="12.75" customHeight="1">
      <c r="A573" s="187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</row>
    <row r="574" ht="12.75" customHeight="1">
      <c r="A574" s="187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</row>
    <row r="575" ht="12.75" customHeight="1">
      <c r="A575" s="187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</row>
    <row r="576" ht="12.75" customHeight="1">
      <c r="A576" s="187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</row>
    <row r="577" ht="12.75" customHeight="1">
      <c r="A577" s="187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</row>
    <row r="578" ht="12.75" customHeight="1">
      <c r="A578" s="187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</row>
    <row r="579" ht="12.75" customHeight="1">
      <c r="A579" s="187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</row>
    <row r="580" ht="12.75" customHeight="1">
      <c r="A580" s="187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</row>
    <row r="581" ht="12.75" customHeight="1">
      <c r="A581" s="187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</row>
    <row r="582" ht="12.75" customHeight="1">
      <c r="A582" s="187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</row>
    <row r="583" ht="12.75" customHeight="1">
      <c r="A583" s="187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</row>
    <row r="584" ht="12.75" customHeight="1">
      <c r="A584" s="187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</row>
    <row r="585" ht="12.75" customHeight="1">
      <c r="A585" s="187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</row>
    <row r="586" ht="12.75" customHeight="1">
      <c r="A586" s="187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</row>
    <row r="587" ht="12.75" customHeight="1">
      <c r="A587" s="187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</row>
    <row r="588" ht="12.75" customHeight="1">
      <c r="A588" s="187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</row>
    <row r="589" ht="12.75" customHeight="1">
      <c r="A589" s="187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</row>
    <row r="590" ht="12.75" customHeight="1">
      <c r="A590" s="187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</row>
    <row r="591" ht="12.75" customHeight="1">
      <c r="A591" s="187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</row>
    <row r="592" ht="12.75" customHeight="1">
      <c r="A592" s="187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</row>
    <row r="593" ht="12.75" customHeight="1">
      <c r="A593" s="187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</row>
    <row r="594" ht="12.75" customHeight="1">
      <c r="A594" s="187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</row>
    <row r="595" ht="12.75" customHeight="1">
      <c r="A595" s="187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</row>
    <row r="596" ht="12.75" customHeight="1">
      <c r="A596" s="187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</row>
    <row r="597" ht="12.75" customHeight="1">
      <c r="A597" s="187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</row>
    <row r="598" ht="12.75" customHeight="1">
      <c r="A598" s="187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</row>
    <row r="599" ht="12.75" customHeight="1">
      <c r="A599" s="187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</row>
    <row r="600" ht="12.75" customHeight="1">
      <c r="A600" s="187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</row>
    <row r="601" ht="12.75" customHeight="1">
      <c r="A601" s="187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</row>
    <row r="602" ht="12.75" customHeight="1">
      <c r="A602" s="187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</row>
    <row r="603" ht="12.75" customHeight="1">
      <c r="A603" s="187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</row>
    <row r="604" ht="12.75" customHeight="1">
      <c r="A604" s="187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</row>
    <row r="605" ht="12.75" customHeight="1">
      <c r="A605" s="187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</row>
    <row r="606" ht="12.75" customHeight="1">
      <c r="A606" s="187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</row>
    <row r="607" ht="12.75" customHeight="1">
      <c r="A607" s="187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</row>
    <row r="608" ht="12.75" customHeight="1">
      <c r="A608" s="187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</row>
    <row r="609" ht="12.75" customHeight="1">
      <c r="A609" s="187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</row>
    <row r="610" ht="12.75" customHeight="1">
      <c r="A610" s="187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</row>
    <row r="611" ht="12.75" customHeight="1">
      <c r="A611" s="187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</row>
    <row r="612" ht="12.75" customHeight="1">
      <c r="A612" s="187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</row>
    <row r="613" ht="12.75" customHeight="1">
      <c r="A613" s="187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</row>
    <row r="614" ht="12.75" customHeight="1">
      <c r="A614" s="187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</row>
    <row r="615" ht="12.75" customHeight="1">
      <c r="A615" s="187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</row>
    <row r="616" ht="12.75" customHeight="1">
      <c r="A616" s="187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</row>
    <row r="617" ht="12.75" customHeight="1">
      <c r="A617" s="187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</row>
    <row r="618" ht="12.75" customHeight="1">
      <c r="A618" s="187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</row>
    <row r="619" ht="12.75" customHeight="1">
      <c r="A619" s="187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</row>
    <row r="620" ht="12.75" customHeight="1">
      <c r="A620" s="187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</row>
    <row r="621" ht="12.75" customHeight="1">
      <c r="A621" s="187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</row>
    <row r="622" ht="12.75" customHeight="1">
      <c r="A622" s="187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</row>
    <row r="623" ht="12.75" customHeight="1">
      <c r="A623" s="187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</row>
    <row r="624" ht="12.75" customHeight="1">
      <c r="A624" s="187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</row>
    <row r="625" ht="12.75" customHeight="1">
      <c r="A625" s="187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</row>
    <row r="626" ht="12.75" customHeight="1">
      <c r="A626" s="187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</row>
    <row r="627" ht="12.75" customHeight="1">
      <c r="A627" s="187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</row>
    <row r="628" ht="12.75" customHeight="1">
      <c r="A628" s="187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</row>
    <row r="629" ht="12.75" customHeight="1">
      <c r="A629" s="187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</row>
    <row r="630" ht="12.75" customHeight="1">
      <c r="A630" s="187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</row>
    <row r="631" ht="12.75" customHeight="1">
      <c r="A631" s="187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</row>
    <row r="632" ht="12.75" customHeight="1">
      <c r="A632" s="187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</row>
    <row r="633" ht="12.75" customHeight="1">
      <c r="A633" s="187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</row>
    <row r="634" ht="12.75" customHeight="1">
      <c r="A634" s="187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</row>
    <row r="635" ht="12.75" customHeight="1">
      <c r="A635" s="187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</row>
    <row r="636" ht="12.75" customHeight="1">
      <c r="A636" s="187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</row>
    <row r="637" ht="12.75" customHeight="1">
      <c r="A637" s="187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</row>
    <row r="638" ht="12.75" customHeight="1">
      <c r="A638" s="187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</row>
    <row r="639" ht="12.75" customHeight="1">
      <c r="A639" s="187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</row>
    <row r="640" ht="12.75" customHeight="1">
      <c r="A640" s="187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</row>
    <row r="641" ht="12.75" customHeight="1">
      <c r="A641" s="187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</row>
    <row r="642" ht="12.75" customHeight="1">
      <c r="A642" s="187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</row>
    <row r="643" ht="12.75" customHeight="1">
      <c r="A643" s="187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</row>
    <row r="644" ht="12.75" customHeight="1">
      <c r="A644" s="187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</row>
    <row r="645" ht="12.75" customHeight="1">
      <c r="A645" s="187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</row>
    <row r="646" ht="12.75" customHeight="1">
      <c r="A646" s="187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</row>
    <row r="647" ht="12.75" customHeight="1">
      <c r="A647" s="187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</row>
    <row r="648" ht="12.75" customHeight="1">
      <c r="A648" s="187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</row>
    <row r="649" ht="12.75" customHeight="1">
      <c r="A649" s="187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</row>
    <row r="650" ht="12.75" customHeight="1">
      <c r="A650" s="187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</row>
    <row r="651" ht="12.75" customHeight="1">
      <c r="A651" s="187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</row>
    <row r="652" ht="12.75" customHeight="1">
      <c r="A652" s="187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</row>
    <row r="653" ht="12.75" customHeight="1">
      <c r="A653" s="187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</row>
    <row r="654" ht="12.75" customHeight="1">
      <c r="A654" s="187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</row>
    <row r="655" ht="12.75" customHeight="1">
      <c r="A655" s="187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</row>
    <row r="656" ht="12.75" customHeight="1">
      <c r="A656" s="187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</row>
    <row r="657" ht="12.75" customHeight="1">
      <c r="A657" s="187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</row>
    <row r="658" ht="12.75" customHeight="1">
      <c r="A658" s="187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</row>
    <row r="659" ht="12.75" customHeight="1">
      <c r="A659" s="187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</row>
    <row r="660" ht="12.75" customHeight="1">
      <c r="A660" s="187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</row>
    <row r="661" ht="12.75" customHeight="1">
      <c r="A661" s="187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</row>
    <row r="662" ht="12.75" customHeight="1">
      <c r="A662" s="187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</row>
    <row r="663" ht="12.75" customHeight="1">
      <c r="A663" s="187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</row>
    <row r="664" ht="12.75" customHeight="1">
      <c r="A664" s="187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</row>
    <row r="665" ht="12.75" customHeight="1">
      <c r="A665" s="187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</row>
    <row r="666" ht="12.75" customHeight="1">
      <c r="A666" s="187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</row>
    <row r="667" ht="12.75" customHeight="1">
      <c r="A667" s="187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</row>
    <row r="668" ht="12.75" customHeight="1">
      <c r="A668" s="187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</row>
    <row r="669" ht="12.75" customHeight="1">
      <c r="A669" s="187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</row>
    <row r="670" ht="12.75" customHeight="1">
      <c r="A670" s="187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</row>
    <row r="671" ht="12.75" customHeight="1">
      <c r="A671" s="187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</row>
    <row r="672" ht="12.75" customHeight="1">
      <c r="A672" s="187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</row>
    <row r="673" ht="12.75" customHeight="1">
      <c r="A673" s="187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</row>
    <row r="674" ht="12.75" customHeight="1">
      <c r="A674" s="187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</row>
    <row r="675" ht="12.75" customHeight="1">
      <c r="A675" s="187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</row>
    <row r="676" ht="12.75" customHeight="1">
      <c r="A676" s="187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</row>
    <row r="677" ht="12.75" customHeight="1">
      <c r="A677" s="187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</row>
    <row r="678" ht="12.75" customHeight="1">
      <c r="A678" s="187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</row>
    <row r="679" ht="12.75" customHeight="1">
      <c r="A679" s="187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</row>
    <row r="680" ht="12.75" customHeight="1">
      <c r="A680" s="187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</row>
    <row r="681" ht="12.75" customHeight="1">
      <c r="A681" s="187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</row>
    <row r="682" ht="12.75" customHeight="1">
      <c r="A682" s="187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</row>
    <row r="683" ht="12.75" customHeight="1">
      <c r="A683" s="187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</row>
    <row r="684" ht="12.75" customHeight="1">
      <c r="A684" s="187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</row>
    <row r="685" ht="12.75" customHeight="1">
      <c r="A685" s="187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</row>
    <row r="686" ht="12.75" customHeight="1">
      <c r="A686" s="187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</row>
    <row r="687" ht="12.75" customHeight="1">
      <c r="A687" s="187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</row>
    <row r="688" ht="12.75" customHeight="1">
      <c r="A688" s="187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</row>
    <row r="689" ht="12.75" customHeight="1">
      <c r="A689" s="187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</row>
    <row r="690" ht="12.75" customHeight="1">
      <c r="A690" s="187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</row>
    <row r="691" ht="12.75" customHeight="1">
      <c r="A691" s="187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</row>
    <row r="692" ht="12.75" customHeight="1">
      <c r="A692" s="187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</row>
    <row r="693" ht="12.75" customHeight="1">
      <c r="A693" s="187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</row>
    <row r="694" ht="12.75" customHeight="1">
      <c r="A694" s="187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</row>
    <row r="695" ht="12.75" customHeight="1">
      <c r="A695" s="187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</row>
    <row r="696" ht="12.75" customHeight="1">
      <c r="A696" s="187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</row>
    <row r="697" ht="12.75" customHeight="1">
      <c r="A697" s="187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</row>
    <row r="698" ht="12.75" customHeight="1">
      <c r="A698" s="187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</row>
    <row r="699" ht="12.75" customHeight="1">
      <c r="A699" s="187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</row>
    <row r="700" ht="12.75" customHeight="1">
      <c r="A700" s="187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</row>
    <row r="701" ht="12.75" customHeight="1">
      <c r="A701" s="187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</row>
    <row r="702" ht="12.75" customHeight="1">
      <c r="A702" s="187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</row>
    <row r="703" ht="12.75" customHeight="1">
      <c r="A703" s="187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</row>
    <row r="704" ht="12.75" customHeight="1">
      <c r="A704" s="187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</row>
    <row r="705" ht="12.75" customHeight="1">
      <c r="A705" s="187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</row>
    <row r="706" ht="12.75" customHeight="1">
      <c r="A706" s="187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</row>
    <row r="707" ht="12.75" customHeight="1">
      <c r="A707" s="187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</row>
    <row r="708" ht="12.75" customHeight="1">
      <c r="A708" s="187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</row>
    <row r="709" ht="12.75" customHeight="1">
      <c r="A709" s="187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</row>
    <row r="710" ht="12.75" customHeight="1">
      <c r="A710" s="187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</row>
    <row r="711" ht="12.75" customHeight="1">
      <c r="A711" s="187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</row>
    <row r="712" ht="12.75" customHeight="1">
      <c r="A712" s="187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</row>
    <row r="713" ht="12.75" customHeight="1">
      <c r="A713" s="187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</row>
    <row r="714" ht="12.75" customHeight="1">
      <c r="A714" s="187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</row>
    <row r="715" ht="12.75" customHeight="1">
      <c r="A715" s="187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</row>
    <row r="716" ht="12.75" customHeight="1">
      <c r="A716" s="187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</row>
    <row r="717" ht="12.75" customHeight="1">
      <c r="A717" s="187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</row>
    <row r="718" ht="12.75" customHeight="1">
      <c r="A718" s="187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</row>
    <row r="719" ht="12.75" customHeight="1">
      <c r="A719" s="187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</row>
    <row r="720" ht="12.75" customHeight="1">
      <c r="A720" s="187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</row>
    <row r="721" ht="12.75" customHeight="1">
      <c r="A721" s="187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</row>
    <row r="722" ht="12.75" customHeight="1">
      <c r="A722" s="187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</row>
    <row r="723" ht="12.75" customHeight="1">
      <c r="A723" s="187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</row>
    <row r="724" ht="12.75" customHeight="1">
      <c r="A724" s="187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</row>
    <row r="725" ht="12.75" customHeight="1">
      <c r="A725" s="187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</row>
    <row r="726" ht="12.75" customHeight="1">
      <c r="A726" s="187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</row>
    <row r="727" ht="12.75" customHeight="1">
      <c r="A727" s="187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</row>
    <row r="728" ht="12.75" customHeight="1">
      <c r="A728" s="187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</row>
    <row r="729" ht="12.75" customHeight="1">
      <c r="A729" s="187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</row>
    <row r="730" ht="12.75" customHeight="1">
      <c r="A730" s="187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</row>
    <row r="731" ht="12.75" customHeight="1">
      <c r="A731" s="187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</row>
    <row r="732" ht="12.75" customHeight="1">
      <c r="A732" s="187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</row>
    <row r="733" ht="12.75" customHeight="1">
      <c r="A733" s="187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</row>
    <row r="734" ht="12.75" customHeight="1">
      <c r="A734" s="187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</row>
    <row r="735" ht="12.75" customHeight="1">
      <c r="A735" s="187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</row>
    <row r="736" ht="12.75" customHeight="1">
      <c r="A736" s="187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</row>
    <row r="737" ht="12.75" customHeight="1">
      <c r="A737" s="187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</row>
    <row r="738" ht="12.75" customHeight="1">
      <c r="A738" s="187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</row>
    <row r="739" ht="12.75" customHeight="1">
      <c r="A739" s="187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</row>
    <row r="740" ht="12.75" customHeight="1">
      <c r="A740" s="187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</row>
    <row r="741" ht="12.75" customHeight="1">
      <c r="A741" s="187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</row>
    <row r="742" ht="12.75" customHeight="1">
      <c r="A742" s="187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</row>
    <row r="743" ht="12.75" customHeight="1">
      <c r="A743" s="187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</row>
    <row r="744" ht="12.75" customHeight="1">
      <c r="A744" s="187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</row>
    <row r="745" ht="12.75" customHeight="1">
      <c r="A745" s="187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</row>
    <row r="746" ht="12.75" customHeight="1">
      <c r="A746" s="187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</row>
    <row r="747" ht="12.75" customHeight="1">
      <c r="A747" s="187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</row>
    <row r="748" ht="12.75" customHeight="1">
      <c r="A748" s="187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</row>
    <row r="749" ht="12.75" customHeight="1">
      <c r="A749" s="187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</row>
    <row r="750" ht="12.75" customHeight="1">
      <c r="A750" s="187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</row>
    <row r="751" ht="12.75" customHeight="1">
      <c r="A751" s="187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</row>
    <row r="752" ht="12.75" customHeight="1">
      <c r="A752" s="187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</row>
    <row r="753" ht="12.75" customHeight="1">
      <c r="A753" s="187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</row>
    <row r="754" ht="12.75" customHeight="1">
      <c r="A754" s="187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</row>
    <row r="755" ht="12.75" customHeight="1">
      <c r="A755" s="187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</row>
    <row r="756" ht="12.75" customHeight="1">
      <c r="A756" s="187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</row>
    <row r="757" ht="12.75" customHeight="1">
      <c r="A757" s="187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</row>
    <row r="758" ht="12.75" customHeight="1">
      <c r="A758" s="187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</row>
    <row r="759" ht="12.75" customHeight="1">
      <c r="A759" s="187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</row>
    <row r="760" ht="12.75" customHeight="1">
      <c r="A760" s="187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</row>
    <row r="761" ht="12.75" customHeight="1">
      <c r="A761" s="187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</row>
    <row r="762" ht="12.75" customHeight="1">
      <c r="A762" s="187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</row>
    <row r="763" ht="12.75" customHeight="1">
      <c r="A763" s="187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</row>
    <row r="764" ht="12.75" customHeight="1">
      <c r="A764" s="187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</row>
    <row r="765" ht="12.75" customHeight="1">
      <c r="A765" s="187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</row>
    <row r="766" ht="12.75" customHeight="1">
      <c r="A766" s="187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</row>
    <row r="767" ht="12.75" customHeight="1">
      <c r="A767" s="187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</row>
    <row r="768" ht="12.75" customHeight="1">
      <c r="A768" s="187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</row>
    <row r="769" ht="12.75" customHeight="1">
      <c r="A769" s="187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</row>
    <row r="770" ht="12.75" customHeight="1">
      <c r="A770" s="187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</row>
    <row r="771" ht="12.75" customHeight="1">
      <c r="A771" s="187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</row>
    <row r="772" ht="12.75" customHeight="1">
      <c r="A772" s="187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</row>
    <row r="773" ht="12.75" customHeight="1">
      <c r="A773" s="187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</row>
    <row r="774" ht="12.75" customHeight="1">
      <c r="A774" s="187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</row>
    <row r="775" ht="12.75" customHeight="1">
      <c r="A775" s="187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</row>
    <row r="776" ht="12.75" customHeight="1">
      <c r="A776" s="187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</row>
    <row r="777" ht="12.75" customHeight="1">
      <c r="A777" s="187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</row>
    <row r="778" ht="12.75" customHeight="1">
      <c r="A778" s="187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</row>
    <row r="779" ht="12.75" customHeight="1">
      <c r="A779" s="187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</row>
    <row r="780" ht="12.75" customHeight="1">
      <c r="A780" s="187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</row>
    <row r="781" ht="12.75" customHeight="1">
      <c r="A781" s="187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</row>
    <row r="782" ht="12.75" customHeight="1">
      <c r="A782" s="187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</row>
    <row r="783" ht="12.75" customHeight="1">
      <c r="A783" s="187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</row>
    <row r="784" ht="12.75" customHeight="1">
      <c r="A784" s="187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</row>
    <row r="785" ht="12.75" customHeight="1">
      <c r="A785" s="187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</row>
    <row r="786" ht="12.75" customHeight="1">
      <c r="A786" s="187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</row>
    <row r="787" ht="12.75" customHeight="1">
      <c r="A787" s="187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</row>
    <row r="788" ht="12.75" customHeight="1">
      <c r="A788" s="187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</row>
    <row r="789" ht="12.75" customHeight="1">
      <c r="A789" s="187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</row>
    <row r="790" ht="12.75" customHeight="1">
      <c r="A790" s="187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</row>
    <row r="791" ht="12.75" customHeight="1">
      <c r="A791" s="187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</row>
    <row r="792" ht="12.75" customHeight="1">
      <c r="A792" s="187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</row>
    <row r="793" ht="12.75" customHeight="1">
      <c r="A793" s="187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</row>
    <row r="794" ht="12.75" customHeight="1">
      <c r="A794" s="187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</row>
    <row r="795" ht="12.75" customHeight="1">
      <c r="A795" s="187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</row>
    <row r="796" ht="12.75" customHeight="1">
      <c r="A796" s="187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</row>
    <row r="797" ht="12.75" customHeight="1">
      <c r="A797" s="187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</row>
    <row r="798" ht="12.75" customHeight="1">
      <c r="A798" s="187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</row>
    <row r="799" ht="12.75" customHeight="1">
      <c r="A799" s="187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</row>
    <row r="800" ht="12.75" customHeight="1">
      <c r="A800" s="187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</row>
    <row r="801" ht="12.75" customHeight="1">
      <c r="A801" s="187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</row>
    <row r="802" ht="12.75" customHeight="1">
      <c r="A802" s="187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</row>
    <row r="803" ht="12.75" customHeight="1">
      <c r="A803" s="187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</row>
    <row r="804" ht="12.75" customHeight="1">
      <c r="A804" s="187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</row>
    <row r="805" ht="12.75" customHeight="1">
      <c r="A805" s="187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</row>
    <row r="806" ht="12.75" customHeight="1">
      <c r="A806" s="187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</row>
    <row r="807" ht="12.75" customHeight="1">
      <c r="A807" s="187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</row>
    <row r="808" ht="12.75" customHeight="1">
      <c r="A808" s="187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</row>
    <row r="809" ht="12.75" customHeight="1">
      <c r="A809" s="187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</row>
    <row r="810" ht="12.75" customHeight="1">
      <c r="A810" s="187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</row>
    <row r="811" ht="12.75" customHeight="1">
      <c r="A811" s="187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</row>
    <row r="812" ht="12.75" customHeight="1">
      <c r="A812" s="187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</row>
    <row r="813" ht="12.75" customHeight="1">
      <c r="A813" s="187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</row>
    <row r="814" ht="12.75" customHeight="1">
      <c r="A814" s="187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</row>
    <row r="815" ht="12.75" customHeight="1">
      <c r="A815" s="187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</row>
    <row r="816" ht="12.75" customHeight="1">
      <c r="A816" s="187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</row>
    <row r="817" ht="12.75" customHeight="1">
      <c r="A817" s="187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</row>
    <row r="818" ht="12.75" customHeight="1">
      <c r="A818" s="187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</row>
    <row r="819" ht="12.75" customHeight="1">
      <c r="A819" s="187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</row>
    <row r="820" ht="12.75" customHeight="1">
      <c r="A820" s="187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</row>
    <row r="821" ht="12.75" customHeight="1">
      <c r="A821" s="187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</row>
    <row r="822" ht="12.75" customHeight="1">
      <c r="A822" s="187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</row>
    <row r="823" ht="12.75" customHeight="1">
      <c r="A823" s="187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</row>
    <row r="824" ht="12.75" customHeight="1">
      <c r="A824" s="187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</row>
    <row r="825" ht="12.75" customHeight="1">
      <c r="A825" s="187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</row>
    <row r="826" ht="12.75" customHeight="1">
      <c r="A826" s="187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</row>
    <row r="827" ht="12.75" customHeight="1">
      <c r="A827" s="187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</row>
    <row r="828" ht="12.75" customHeight="1">
      <c r="A828" s="187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</row>
    <row r="829" ht="12.75" customHeight="1">
      <c r="A829" s="187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</row>
    <row r="830" ht="12.75" customHeight="1">
      <c r="A830" s="187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</row>
    <row r="831" ht="12.75" customHeight="1">
      <c r="A831" s="187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</row>
    <row r="832" ht="12.75" customHeight="1">
      <c r="A832" s="187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</row>
    <row r="833" ht="12.75" customHeight="1">
      <c r="A833" s="187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</row>
    <row r="834" ht="12.75" customHeight="1">
      <c r="A834" s="187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</row>
    <row r="835" ht="12.75" customHeight="1">
      <c r="A835" s="187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</row>
    <row r="836" ht="12.75" customHeight="1">
      <c r="A836" s="187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</row>
    <row r="837" ht="12.75" customHeight="1">
      <c r="A837" s="187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</row>
    <row r="838" ht="12.75" customHeight="1">
      <c r="A838" s="187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</row>
    <row r="839" ht="12.75" customHeight="1">
      <c r="A839" s="187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</row>
    <row r="840" ht="12.75" customHeight="1">
      <c r="A840" s="187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</row>
    <row r="841" ht="12.75" customHeight="1">
      <c r="A841" s="187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</row>
    <row r="842" ht="12.75" customHeight="1">
      <c r="A842" s="187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</row>
    <row r="843" ht="12.75" customHeight="1">
      <c r="A843" s="187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</row>
    <row r="844" ht="12.75" customHeight="1">
      <c r="A844" s="187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</row>
    <row r="845" ht="12.75" customHeight="1">
      <c r="A845" s="187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</row>
    <row r="846" ht="12.75" customHeight="1">
      <c r="A846" s="187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</row>
    <row r="847" ht="12.75" customHeight="1">
      <c r="A847" s="187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</row>
    <row r="848" ht="12.75" customHeight="1">
      <c r="A848" s="187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</row>
    <row r="849" ht="12.75" customHeight="1">
      <c r="A849" s="187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</row>
    <row r="850" ht="12.75" customHeight="1">
      <c r="A850" s="187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</row>
    <row r="851" ht="12.75" customHeight="1">
      <c r="A851" s="187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</row>
    <row r="852" ht="12.75" customHeight="1">
      <c r="A852" s="187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</row>
    <row r="853" ht="12.75" customHeight="1">
      <c r="A853" s="187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</row>
    <row r="854" ht="12.75" customHeight="1">
      <c r="A854" s="187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</row>
    <row r="855" ht="12.75" customHeight="1">
      <c r="A855" s="187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</row>
    <row r="856" ht="12.75" customHeight="1">
      <c r="A856" s="187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</row>
    <row r="857" ht="12.75" customHeight="1">
      <c r="A857" s="187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</row>
    <row r="858" ht="12.75" customHeight="1">
      <c r="A858" s="187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</row>
    <row r="859" ht="12.75" customHeight="1">
      <c r="A859" s="187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</row>
    <row r="860" ht="12.75" customHeight="1">
      <c r="A860" s="187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</row>
    <row r="861" ht="12.75" customHeight="1">
      <c r="A861" s="187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</row>
    <row r="862" ht="12.75" customHeight="1">
      <c r="A862" s="187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</row>
    <row r="863" ht="12.75" customHeight="1">
      <c r="A863" s="187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</row>
    <row r="864" ht="12.75" customHeight="1">
      <c r="A864" s="187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</row>
    <row r="865" ht="12.75" customHeight="1">
      <c r="A865" s="187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</row>
    <row r="866" ht="12.75" customHeight="1">
      <c r="A866" s="187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</row>
    <row r="867" ht="12.75" customHeight="1">
      <c r="A867" s="187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</row>
    <row r="868" ht="12.75" customHeight="1">
      <c r="A868" s="187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</row>
    <row r="869" ht="12.75" customHeight="1">
      <c r="A869" s="187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</row>
    <row r="870" ht="12.75" customHeight="1">
      <c r="A870" s="187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</row>
    <row r="871" ht="12.75" customHeight="1">
      <c r="A871" s="187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</row>
    <row r="872" ht="12.75" customHeight="1">
      <c r="A872" s="187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</row>
    <row r="873" ht="12.75" customHeight="1">
      <c r="A873" s="187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</row>
    <row r="874" ht="12.75" customHeight="1">
      <c r="A874" s="187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</row>
    <row r="875" ht="12.75" customHeight="1">
      <c r="A875" s="187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</row>
    <row r="876" ht="12.75" customHeight="1">
      <c r="A876" s="187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</row>
    <row r="877" ht="12.75" customHeight="1">
      <c r="A877" s="187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</row>
    <row r="878" ht="12.75" customHeight="1">
      <c r="A878" s="187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</row>
    <row r="879" ht="12.75" customHeight="1">
      <c r="A879" s="187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</row>
    <row r="880" ht="12.75" customHeight="1">
      <c r="A880" s="187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</row>
    <row r="881" ht="12.75" customHeight="1">
      <c r="A881" s="187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</row>
    <row r="882" ht="12.75" customHeight="1">
      <c r="A882" s="187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</row>
    <row r="883" ht="12.75" customHeight="1">
      <c r="A883" s="187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</row>
    <row r="884" ht="12.75" customHeight="1">
      <c r="A884" s="187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</row>
    <row r="885" ht="12.75" customHeight="1">
      <c r="A885" s="187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</row>
    <row r="886" ht="12.75" customHeight="1">
      <c r="A886" s="187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</row>
    <row r="887" ht="12.75" customHeight="1">
      <c r="A887" s="187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</row>
    <row r="888" ht="12.75" customHeight="1">
      <c r="A888" s="187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</row>
    <row r="889" ht="12.75" customHeight="1">
      <c r="A889" s="187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</row>
    <row r="890" ht="12.75" customHeight="1">
      <c r="A890" s="187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</row>
    <row r="891" ht="12.75" customHeight="1">
      <c r="A891" s="187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</row>
    <row r="892" ht="12.75" customHeight="1">
      <c r="A892" s="187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</row>
    <row r="893" ht="12.75" customHeight="1">
      <c r="A893" s="187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</row>
    <row r="894" ht="12.75" customHeight="1">
      <c r="A894" s="187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</row>
    <row r="895" ht="12.75" customHeight="1">
      <c r="A895" s="187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</row>
    <row r="896" ht="12.75" customHeight="1">
      <c r="A896" s="187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</row>
    <row r="897" ht="12.75" customHeight="1">
      <c r="A897" s="187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</row>
    <row r="898" ht="12.75" customHeight="1">
      <c r="A898" s="187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</row>
    <row r="899" ht="12.75" customHeight="1">
      <c r="A899" s="187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</row>
    <row r="900" ht="12.75" customHeight="1">
      <c r="A900" s="187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</row>
    <row r="901" ht="12.75" customHeight="1">
      <c r="A901" s="187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</row>
    <row r="902" ht="12.75" customHeight="1">
      <c r="A902" s="187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</row>
    <row r="903" ht="12.75" customHeight="1">
      <c r="A903" s="187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</row>
    <row r="904" ht="12.75" customHeight="1">
      <c r="A904" s="187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</row>
    <row r="905" ht="12.75" customHeight="1">
      <c r="A905" s="187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</row>
    <row r="906" ht="12.75" customHeight="1">
      <c r="A906" s="187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</row>
    <row r="907" ht="12.75" customHeight="1">
      <c r="A907" s="187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</row>
    <row r="908" ht="12.75" customHeight="1">
      <c r="A908" s="187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</row>
    <row r="909" ht="12.75" customHeight="1">
      <c r="A909" s="187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</row>
    <row r="910" ht="12.75" customHeight="1">
      <c r="A910" s="187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</row>
    <row r="911" ht="12.75" customHeight="1">
      <c r="A911" s="187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</row>
    <row r="912" ht="12.75" customHeight="1">
      <c r="A912" s="187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</row>
    <row r="913" ht="12.75" customHeight="1">
      <c r="A913" s="187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</row>
    <row r="914" ht="12.75" customHeight="1">
      <c r="A914" s="187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</row>
    <row r="915" ht="12.75" customHeight="1">
      <c r="A915" s="187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</row>
    <row r="916" ht="12.75" customHeight="1">
      <c r="A916" s="187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</row>
    <row r="917" ht="12.75" customHeight="1">
      <c r="A917" s="187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</row>
    <row r="918" ht="12.75" customHeight="1">
      <c r="A918" s="187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</row>
    <row r="919" ht="12.75" customHeight="1">
      <c r="A919" s="187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</row>
    <row r="920" ht="12.75" customHeight="1">
      <c r="A920" s="187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</row>
    <row r="921" ht="12.75" customHeight="1">
      <c r="A921" s="187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</row>
    <row r="922" ht="12.75" customHeight="1">
      <c r="A922" s="187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</row>
    <row r="923" ht="12.75" customHeight="1">
      <c r="A923" s="187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</row>
    <row r="924" ht="12.75" customHeight="1">
      <c r="A924" s="187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</row>
    <row r="925" ht="12.75" customHeight="1">
      <c r="A925" s="187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</row>
    <row r="926" ht="12.75" customHeight="1">
      <c r="A926" s="187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</row>
    <row r="927" ht="12.75" customHeight="1">
      <c r="A927" s="187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</row>
    <row r="928" ht="12.75" customHeight="1">
      <c r="A928" s="187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</row>
    <row r="929" ht="12.75" customHeight="1">
      <c r="A929" s="187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</row>
    <row r="930" ht="12.75" customHeight="1">
      <c r="A930" s="187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</row>
    <row r="931" ht="12.75" customHeight="1">
      <c r="A931" s="187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</row>
    <row r="932" ht="12.75" customHeight="1">
      <c r="A932" s="187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</row>
    <row r="933" ht="12.75" customHeight="1">
      <c r="A933" s="187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</row>
    <row r="934" ht="12.75" customHeight="1">
      <c r="A934" s="187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87"/>
      <c r="V934" s="187"/>
      <c r="W934" s="187"/>
      <c r="X934" s="187"/>
      <c r="Y934" s="187"/>
      <c r="Z934" s="187"/>
    </row>
    <row r="935" ht="12.75" customHeight="1">
      <c r="A935" s="187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87"/>
      <c r="V935" s="187"/>
      <c r="W935" s="187"/>
      <c r="X935" s="187"/>
      <c r="Y935" s="187"/>
      <c r="Z935" s="187"/>
    </row>
    <row r="936" ht="12.75" customHeight="1">
      <c r="A936" s="187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87"/>
      <c r="V936" s="187"/>
      <c r="W936" s="187"/>
      <c r="X936" s="187"/>
      <c r="Y936" s="187"/>
      <c r="Z936" s="187"/>
    </row>
    <row r="937" ht="12.75" customHeight="1">
      <c r="A937" s="187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87"/>
      <c r="V937" s="187"/>
      <c r="W937" s="187"/>
      <c r="X937" s="187"/>
      <c r="Y937" s="187"/>
      <c r="Z937" s="187"/>
    </row>
    <row r="938" ht="12.75" customHeight="1">
      <c r="A938" s="187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87"/>
      <c r="V938" s="187"/>
      <c r="W938" s="187"/>
      <c r="X938" s="187"/>
      <c r="Y938" s="187"/>
      <c r="Z938" s="187"/>
    </row>
    <row r="939" ht="12.75" customHeight="1">
      <c r="A939" s="187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87"/>
      <c r="V939" s="187"/>
      <c r="W939" s="187"/>
      <c r="X939" s="187"/>
      <c r="Y939" s="187"/>
      <c r="Z939" s="187"/>
    </row>
    <row r="940" ht="12.75" customHeight="1">
      <c r="A940" s="187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87"/>
      <c r="V940" s="187"/>
      <c r="W940" s="187"/>
      <c r="X940" s="187"/>
      <c r="Y940" s="187"/>
      <c r="Z940" s="187"/>
    </row>
    <row r="941" ht="12.75" customHeight="1">
      <c r="A941" s="187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87"/>
      <c r="V941" s="187"/>
      <c r="W941" s="187"/>
      <c r="X941" s="187"/>
      <c r="Y941" s="187"/>
      <c r="Z941" s="187"/>
    </row>
    <row r="942" ht="12.75" customHeight="1">
      <c r="A942" s="187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87"/>
      <c r="V942" s="187"/>
      <c r="W942" s="187"/>
      <c r="X942" s="187"/>
      <c r="Y942" s="187"/>
      <c r="Z942" s="187"/>
    </row>
    <row r="943" ht="12.75" customHeight="1">
      <c r="A943" s="187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87"/>
      <c r="V943" s="187"/>
      <c r="W943" s="187"/>
      <c r="X943" s="187"/>
      <c r="Y943" s="187"/>
      <c r="Z943" s="187"/>
    </row>
    <row r="944" ht="12.75" customHeight="1">
      <c r="A944" s="187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87"/>
      <c r="V944" s="187"/>
      <c r="W944" s="187"/>
      <c r="X944" s="187"/>
      <c r="Y944" s="187"/>
      <c r="Z944" s="187"/>
    </row>
    <row r="945" ht="12.75" customHeight="1">
      <c r="A945" s="187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87"/>
      <c r="V945" s="187"/>
      <c r="W945" s="187"/>
      <c r="X945" s="187"/>
      <c r="Y945" s="187"/>
      <c r="Z945" s="187"/>
    </row>
    <row r="946" ht="12.75" customHeight="1">
      <c r="A946" s="187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87"/>
      <c r="V946" s="187"/>
      <c r="W946" s="187"/>
      <c r="X946" s="187"/>
      <c r="Y946" s="187"/>
      <c r="Z946" s="187"/>
    </row>
    <row r="947" ht="12.75" customHeight="1">
      <c r="A947" s="187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87"/>
      <c r="V947" s="187"/>
      <c r="W947" s="187"/>
      <c r="X947" s="187"/>
      <c r="Y947" s="187"/>
      <c r="Z947" s="187"/>
    </row>
    <row r="948" ht="12.75" customHeight="1">
      <c r="A948" s="187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87"/>
      <c r="V948" s="187"/>
      <c r="W948" s="187"/>
      <c r="X948" s="187"/>
      <c r="Y948" s="187"/>
      <c r="Z948" s="187"/>
    </row>
    <row r="949" ht="12.75" customHeight="1">
      <c r="A949" s="187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87"/>
      <c r="V949" s="187"/>
      <c r="W949" s="187"/>
      <c r="X949" s="187"/>
      <c r="Y949" s="187"/>
      <c r="Z949" s="187"/>
    </row>
    <row r="950" ht="12.75" customHeight="1">
      <c r="A950" s="187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87"/>
      <c r="V950" s="187"/>
      <c r="W950" s="187"/>
      <c r="X950" s="187"/>
      <c r="Y950" s="187"/>
      <c r="Z950" s="187"/>
    </row>
    <row r="951" ht="12.75" customHeight="1">
      <c r="A951" s="187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87"/>
      <c r="V951" s="187"/>
      <c r="W951" s="187"/>
      <c r="X951" s="187"/>
      <c r="Y951" s="187"/>
      <c r="Z951" s="187"/>
    </row>
    <row r="952" ht="12.75" customHeight="1">
      <c r="A952" s="187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87"/>
      <c r="V952" s="187"/>
      <c r="W952" s="187"/>
      <c r="X952" s="187"/>
      <c r="Y952" s="187"/>
      <c r="Z952" s="187"/>
    </row>
    <row r="953" ht="12.75" customHeight="1">
      <c r="A953" s="187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87"/>
      <c r="V953" s="187"/>
      <c r="W953" s="187"/>
      <c r="X953" s="187"/>
      <c r="Y953" s="187"/>
      <c r="Z953" s="187"/>
    </row>
    <row r="954" ht="12.75" customHeight="1">
      <c r="A954" s="187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87"/>
      <c r="V954" s="187"/>
      <c r="W954" s="187"/>
      <c r="X954" s="187"/>
      <c r="Y954" s="187"/>
      <c r="Z954" s="187"/>
    </row>
    <row r="955" ht="12.75" customHeight="1">
      <c r="A955" s="187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87"/>
      <c r="V955" s="187"/>
      <c r="W955" s="187"/>
      <c r="X955" s="187"/>
      <c r="Y955" s="187"/>
      <c r="Z955" s="187"/>
    </row>
    <row r="956" ht="12.75" customHeight="1">
      <c r="A956" s="187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87"/>
      <c r="V956" s="187"/>
      <c r="W956" s="187"/>
      <c r="X956" s="187"/>
      <c r="Y956" s="187"/>
      <c r="Z956" s="187"/>
    </row>
    <row r="957" ht="12.75" customHeight="1">
      <c r="A957" s="187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87"/>
      <c r="V957" s="187"/>
      <c r="W957" s="187"/>
      <c r="X957" s="187"/>
      <c r="Y957" s="187"/>
      <c r="Z957" s="187"/>
    </row>
    <row r="958" ht="12.75" customHeight="1">
      <c r="A958" s="187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87"/>
      <c r="V958" s="187"/>
      <c r="W958" s="187"/>
      <c r="X958" s="187"/>
      <c r="Y958" s="187"/>
      <c r="Z958" s="187"/>
    </row>
    <row r="959" ht="12.75" customHeight="1">
      <c r="A959" s="187"/>
      <c r="B959" s="187"/>
      <c r="C959" s="187"/>
      <c r="D959" s="187"/>
      <c r="E959" s="187"/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87"/>
      <c r="V959" s="187"/>
      <c r="W959" s="187"/>
      <c r="X959" s="187"/>
      <c r="Y959" s="187"/>
      <c r="Z959" s="187"/>
    </row>
    <row r="960" ht="12.75" customHeight="1">
      <c r="A960" s="187"/>
      <c r="B960" s="187"/>
      <c r="C960" s="187"/>
      <c r="D960" s="187"/>
      <c r="E960" s="187"/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87"/>
      <c r="V960" s="187"/>
      <c r="W960" s="187"/>
      <c r="X960" s="187"/>
      <c r="Y960" s="187"/>
      <c r="Z960" s="187"/>
    </row>
    <row r="961" ht="12.75" customHeight="1">
      <c r="A961" s="187"/>
      <c r="B961" s="187"/>
      <c r="C961" s="187"/>
      <c r="D961" s="187"/>
      <c r="E961" s="187"/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87"/>
      <c r="V961" s="187"/>
      <c r="W961" s="187"/>
      <c r="X961" s="187"/>
      <c r="Y961" s="187"/>
      <c r="Z961" s="187"/>
    </row>
    <row r="962" ht="12.75" customHeight="1">
      <c r="A962" s="187"/>
      <c r="B962" s="187"/>
      <c r="C962" s="187"/>
      <c r="D962" s="187"/>
      <c r="E962" s="187"/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87"/>
      <c r="V962" s="187"/>
      <c r="W962" s="187"/>
      <c r="X962" s="187"/>
      <c r="Y962" s="187"/>
      <c r="Z962" s="187"/>
    </row>
    <row r="963" ht="12.75" customHeight="1">
      <c r="A963" s="187"/>
      <c r="B963" s="187"/>
      <c r="C963" s="187"/>
      <c r="D963" s="187"/>
      <c r="E963" s="187"/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87"/>
      <c r="V963" s="187"/>
      <c r="W963" s="187"/>
      <c r="X963" s="187"/>
      <c r="Y963" s="187"/>
      <c r="Z963" s="187"/>
    </row>
    <row r="964" ht="12.75" customHeight="1">
      <c r="A964" s="187"/>
      <c r="B964" s="187"/>
      <c r="C964" s="187"/>
      <c r="D964" s="187"/>
      <c r="E964" s="187"/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87"/>
      <c r="V964" s="187"/>
      <c r="W964" s="187"/>
      <c r="X964" s="187"/>
      <c r="Y964" s="187"/>
      <c r="Z964" s="187"/>
    </row>
    <row r="965" ht="12.75" customHeight="1">
      <c r="A965" s="187"/>
      <c r="B965" s="187"/>
      <c r="C965" s="187"/>
      <c r="D965" s="187"/>
      <c r="E965" s="187"/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87"/>
      <c r="V965" s="187"/>
      <c r="W965" s="187"/>
      <c r="X965" s="187"/>
      <c r="Y965" s="187"/>
      <c r="Z965" s="187"/>
    </row>
    <row r="966" ht="12.75" customHeight="1">
      <c r="A966" s="187"/>
      <c r="B966" s="187"/>
      <c r="C966" s="187"/>
      <c r="D966" s="187"/>
      <c r="E966" s="187"/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87"/>
      <c r="V966" s="187"/>
      <c r="W966" s="187"/>
      <c r="X966" s="187"/>
      <c r="Y966" s="187"/>
      <c r="Z966" s="187"/>
    </row>
    <row r="967" ht="12.75" customHeight="1">
      <c r="A967" s="187"/>
      <c r="B967" s="187"/>
      <c r="C967" s="187"/>
      <c r="D967" s="187"/>
      <c r="E967" s="187"/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87"/>
      <c r="V967" s="187"/>
      <c r="W967" s="187"/>
      <c r="X967" s="187"/>
      <c r="Y967" s="187"/>
      <c r="Z967" s="187"/>
    </row>
    <row r="968" ht="12.75" customHeight="1">
      <c r="A968" s="187"/>
      <c r="B968" s="187"/>
      <c r="C968" s="187"/>
      <c r="D968" s="187"/>
      <c r="E968" s="187"/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87"/>
      <c r="V968" s="187"/>
      <c r="W968" s="187"/>
      <c r="X968" s="187"/>
      <c r="Y968" s="187"/>
      <c r="Z968" s="187"/>
    </row>
    <row r="969" ht="12.75" customHeight="1">
      <c r="A969" s="187"/>
      <c r="B969" s="187"/>
      <c r="C969" s="187"/>
      <c r="D969" s="187"/>
      <c r="E969" s="187"/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87"/>
      <c r="V969" s="187"/>
      <c r="W969" s="187"/>
      <c r="X969" s="187"/>
      <c r="Y969" s="187"/>
      <c r="Z969" s="187"/>
    </row>
    <row r="970" ht="12.75" customHeight="1">
      <c r="A970" s="187"/>
      <c r="B970" s="187"/>
      <c r="C970" s="187"/>
      <c r="D970" s="187"/>
      <c r="E970" s="187"/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87"/>
      <c r="V970" s="187"/>
      <c r="W970" s="187"/>
      <c r="X970" s="187"/>
      <c r="Y970" s="187"/>
      <c r="Z970" s="187"/>
    </row>
    <row r="971" ht="12.75" customHeight="1">
      <c r="A971" s="187"/>
      <c r="B971" s="187"/>
      <c r="C971" s="187"/>
      <c r="D971" s="187"/>
      <c r="E971" s="187"/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87"/>
      <c r="V971" s="187"/>
      <c r="W971" s="187"/>
      <c r="X971" s="187"/>
      <c r="Y971" s="187"/>
      <c r="Z971" s="187"/>
    </row>
    <row r="972" ht="12.75" customHeight="1">
      <c r="A972" s="187"/>
      <c r="B972" s="187"/>
      <c r="C972" s="187"/>
      <c r="D972" s="187"/>
      <c r="E972" s="187"/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87"/>
      <c r="V972" s="187"/>
      <c r="W972" s="187"/>
      <c r="X972" s="187"/>
      <c r="Y972" s="187"/>
      <c r="Z972" s="187"/>
    </row>
    <row r="973" ht="12.75" customHeight="1">
      <c r="A973" s="187"/>
      <c r="B973" s="187"/>
      <c r="C973" s="187"/>
      <c r="D973" s="187"/>
      <c r="E973" s="187"/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87"/>
      <c r="V973" s="187"/>
      <c r="W973" s="187"/>
      <c r="X973" s="187"/>
      <c r="Y973" s="187"/>
      <c r="Z973" s="187"/>
    </row>
    <row r="974" ht="12.75" customHeight="1">
      <c r="A974" s="187"/>
      <c r="B974" s="187"/>
      <c r="C974" s="187"/>
      <c r="D974" s="187"/>
      <c r="E974" s="187"/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87"/>
      <c r="V974" s="187"/>
      <c r="W974" s="187"/>
      <c r="X974" s="187"/>
      <c r="Y974" s="187"/>
      <c r="Z974" s="187"/>
    </row>
    <row r="975" ht="12.75" customHeight="1">
      <c r="A975" s="187"/>
      <c r="B975" s="187"/>
      <c r="C975" s="187"/>
      <c r="D975" s="187"/>
      <c r="E975" s="187"/>
      <c r="F975" s="187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87"/>
      <c r="V975" s="187"/>
      <c r="W975" s="187"/>
      <c r="X975" s="187"/>
      <c r="Y975" s="187"/>
      <c r="Z975" s="187"/>
    </row>
    <row r="976" ht="12.75" customHeight="1">
      <c r="A976" s="187"/>
      <c r="B976" s="187"/>
      <c r="C976" s="187"/>
      <c r="D976" s="187"/>
      <c r="E976" s="187"/>
      <c r="F976" s="187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87"/>
      <c r="V976" s="187"/>
      <c r="W976" s="187"/>
      <c r="X976" s="187"/>
      <c r="Y976" s="187"/>
      <c r="Z976" s="187"/>
    </row>
    <row r="977" ht="12.75" customHeight="1">
      <c r="A977" s="187"/>
      <c r="B977" s="187"/>
      <c r="C977" s="187"/>
      <c r="D977" s="187"/>
      <c r="E977" s="187"/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87"/>
      <c r="V977" s="187"/>
      <c r="W977" s="187"/>
      <c r="X977" s="187"/>
      <c r="Y977" s="187"/>
      <c r="Z977" s="187"/>
    </row>
    <row r="978" ht="12.75" customHeight="1">
      <c r="A978" s="187"/>
      <c r="B978" s="187"/>
      <c r="C978" s="187"/>
      <c r="D978" s="187"/>
      <c r="E978" s="187"/>
      <c r="F978" s="187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87"/>
      <c r="V978" s="187"/>
      <c r="W978" s="187"/>
      <c r="X978" s="187"/>
      <c r="Y978" s="187"/>
      <c r="Z978" s="187"/>
    </row>
    <row r="979" ht="12.75" customHeight="1">
      <c r="A979" s="187"/>
      <c r="B979" s="187"/>
      <c r="C979" s="187"/>
      <c r="D979" s="187"/>
      <c r="E979" s="187"/>
      <c r="F979" s="187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87"/>
      <c r="V979" s="187"/>
      <c r="W979" s="187"/>
      <c r="X979" s="187"/>
      <c r="Y979" s="187"/>
      <c r="Z979" s="187"/>
    </row>
    <row r="980" ht="12.75" customHeight="1">
      <c r="A980" s="187"/>
      <c r="B980" s="187"/>
      <c r="C980" s="187"/>
      <c r="D980" s="187"/>
      <c r="E980" s="187"/>
      <c r="F980" s="187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87"/>
      <c r="V980" s="187"/>
      <c r="W980" s="187"/>
      <c r="X980" s="187"/>
      <c r="Y980" s="187"/>
      <c r="Z980" s="187"/>
    </row>
    <row r="981" ht="12.75" customHeight="1">
      <c r="A981" s="187"/>
      <c r="B981" s="187"/>
      <c r="C981" s="187"/>
      <c r="D981" s="187"/>
      <c r="E981" s="187"/>
      <c r="F981" s="187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87"/>
      <c r="V981" s="187"/>
      <c r="W981" s="187"/>
      <c r="X981" s="187"/>
      <c r="Y981" s="187"/>
      <c r="Z981" s="187"/>
    </row>
    <row r="982" ht="12.75" customHeight="1">
      <c r="A982" s="187"/>
      <c r="B982" s="187"/>
      <c r="C982" s="187"/>
      <c r="D982" s="187"/>
      <c r="E982" s="187"/>
      <c r="F982" s="187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87"/>
      <c r="V982" s="187"/>
      <c r="W982" s="187"/>
      <c r="X982" s="187"/>
      <c r="Y982" s="187"/>
      <c r="Z982" s="187"/>
    </row>
    <row r="983" ht="12.75" customHeight="1">
      <c r="A983" s="187"/>
      <c r="B983" s="187"/>
      <c r="C983" s="187"/>
      <c r="D983" s="187"/>
      <c r="E983" s="187"/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87"/>
      <c r="V983" s="187"/>
      <c r="W983" s="187"/>
      <c r="X983" s="187"/>
      <c r="Y983" s="187"/>
      <c r="Z983" s="187"/>
    </row>
    <row r="984" ht="12.75" customHeight="1">
      <c r="A984" s="187"/>
      <c r="B984" s="187"/>
      <c r="C984" s="187"/>
      <c r="D984" s="187"/>
      <c r="E984" s="187"/>
      <c r="F984" s="187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87"/>
      <c r="V984" s="187"/>
      <c r="W984" s="187"/>
      <c r="X984" s="187"/>
      <c r="Y984" s="187"/>
      <c r="Z984" s="187"/>
    </row>
    <row r="985" ht="12.75" customHeight="1">
      <c r="A985" s="187"/>
      <c r="B985" s="187"/>
      <c r="C985" s="187"/>
      <c r="D985" s="187"/>
      <c r="E985" s="187"/>
      <c r="F985" s="187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87"/>
      <c r="V985" s="187"/>
      <c r="W985" s="187"/>
      <c r="X985" s="187"/>
      <c r="Y985" s="187"/>
      <c r="Z985" s="187"/>
    </row>
    <row r="986" ht="12.75" customHeight="1">
      <c r="A986" s="187"/>
      <c r="B986" s="187"/>
      <c r="C986" s="187"/>
      <c r="D986" s="187"/>
      <c r="E986" s="187"/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87"/>
      <c r="V986" s="187"/>
      <c r="W986" s="187"/>
      <c r="X986" s="187"/>
      <c r="Y986" s="187"/>
      <c r="Z986" s="187"/>
    </row>
    <row r="987" ht="12.75" customHeight="1">
      <c r="A987" s="187"/>
      <c r="B987" s="187"/>
      <c r="C987" s="187"/>
      <c r="D987" s="187"/>
      <c r="E987" s="187"/>
      <c r="F987" s="187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87"/>
      <c r="V987" s="187"/>
      <c r="W987" s="187"/>
      <c r="X987" s="187"/>
      <c r="Y987" s="187"/>
      <c r="Z987" s="187"/>
    </row>
    <row r="988" ht="12.75" customHeight="1">
      <c r="A988" s="187"/>
      <c r="B988" s="187"/>
      <c r="C988" s="187"/>
      <c r="D988" s="187"/>
      <c r="E988" s="187"/>
      <c r="F988" s="187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87"/>
      <c r="V988" s="187"/>
      <c r="W988" s="187"/>
      <c r="X988" s="187"/>
      <c r="Y988" s="187"/>
      <c r="Z988" s="187"/>
    </row>
    <row r="989" ht="12.75" customHeight="1">
      <c r="A989" s="187"/>
      <c r="B989" s="187"/>
      <c r="C989" s="187"/>
      <c r="D989" s="187"/>
      <c r="E989" s="187"/>
      <c r="F989" s="187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87"/>
      <c r="V989" s="187"/>
      <c r="W989" s="187"/>
      <c r="X989" s="187"/>
      <c r="Y989" s="187"/>
      <c r="Z989" s="187"/>
    </row>
    <row r="990" ht="12.75" customHeight="1">
      <c r="A990" s="187"/>
      <c r="B990" s="187"/>
      <c r="C990" s="187"/>
      <c r="D990" s="187"/>
      <c r="E990" s="187"/>
      <c r="F990" s="187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87"/>
      <c r="V990" s="187"/>
      <c r="W990" s="187"/>
      <c r="X990" s="187"/>
      <c r="Y990" s="187"/>
      <c r="Z990" s="187"/>
    </row>
    <row r="991" ht="12.75" customHeight="1">
      <c r="A991" s="187"/>
      <c r="B991" s="187"/>
      <c r="C991" s="187"/>
      <c r="D991" s="187"/>
      <c r="E991" s="187"/>
      <c r="F991" s="187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87"/>
      <c r="V991" s="187"/>
      <c r="W991" s="187"/>
      <c r="X991" s="187"/>
      <c r="Y991" s="187"/>
      <c r="Z991" s="187"/>
    </row>
    <row r="992" ht="12.75" customHeight="1">
      <c r="A992" s="187"/>
      <c r="B992" s="187"/>
      <c r="C992" s="187"/>
      <c r="D992" s="187"/>
      <c r="E992" s="187"/>
      <c r="F992" s="187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87"/>
      <c r="V992" s="187"/>
      <c r="W992" s="187"/>
      <c r="X992" s="187"/>
      <c r="Y992" s="187"/>
      <c r="Z992" s="187"/>
    </row>
    <row r="993" ht="12.75" customHeight="1">
      <c r="A993" s="187"/>
      <c r="B993" s="187"/>
      <c r="C993" s="187"/>
      <c r="D993" s="187"/>
      <c r="E993" s="187"/>
      <c r="F993" s="187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87"/>
      <c r="V993" s="187"/>
      <c r="W993" s="187"/>
      <c r="X993" s="187"/>
      <c r="Y993" s="187"/>
      <c r="Z993" s="187"/>
    </row>
    <row r="994" ht="12.75" customHeight="1">
      <c r="A994" s="187"/>
      <c r="B994" s="187"/>
      <c r="C994" s="187"/>
      <c r="D994" s="187"/>
      <c r="E994" s="187"/>
      <c r="F994" s="187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87"/>
      <c r="V994" s="187"/>
      <c r="W994" s="187"/>
      <c r="X994" s="187"/>
      <c r="Y994" s="187"/>
      <c r="Z994" s="187"/>
    </row>
    <row r="995" ht="12.75" customHeight="1">
      <c r="A995" s="187"/>
      <c r="B995" s="187"/>
      <c r="C995" s="187"/>
      <c r="D995" s="187"/>
      <c r="E995" s="187"/>
      <c r="F995" s="187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87"/>
      <c r="V995" s="187"/>
      <c r="W995" s="187"/>
      <c r="X995" s="187"/>
      <c r="Y995" s="187"/>
      <c r="Z995" s="187"/>
    </row>
    <row r="996" ht="12.75" customHeight="1">
      <c r="A996" s="187"/>
      <c r="B996" s="187"/>
      <c r="C996" s="187"/>
      <c r="D996" s="187"/>
      <c r="E996" s="187"/>
      <c r="F996" s="187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87"/>
      <c r="V996" s="187"/>
      <c r="W996" s="187"/>
      <c r="X996" s="187"/>
      <c r="Y996" s="187"/>
      <c r="Z996" s="187"/>
    </row>
    <row r="997" ht="12.75" customHeight="1">
      <c r="A997" s="187"/>
      <c r="B997" s="187"/>
      <c r="C997" s="187"/>
      <c r="D997" s="187"/>
      <c r="E997" s="187"/>
      <c r="F997" s="187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87"/>
      <c r="V997" s="187"/>
      <c r="W997" s="187"/>
      <c r="X997" s="187"/>
      <c r="Y997" s="187"/>
      <c r="Z997" s="187"/>
    </row>
    <row r="998" ht="12.75" customHeight="1">
      <c r="A998" s="187"/>
      <c r="B998" s="187"/>
      <c r="C998" s="187"/>
      <c r="D998" s="187"/>
      <c r="E998" s="187"/>
      <c r="F998" s="187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87"/>
      <c r="V998" s="187"/>
      <c r="W998" s="187"/>
      <c r="X998" s="187"/>
      <c r="Y998" s="187"/>
      <c r="Z998" s="187"/>
    </row>
    <row r="999" ht="12.75" customHeight="1">
      <c r="A999" s="187"/>
      <c r="B999" s="187"/>
      <c r="C999" s="187"/>
      <c r="D999" s="187"/>
      <c r="E999" s="187"/>
      <c r="F999" s="187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87"/>
      <c r="V999" s="187"/>
      <c r="W999" s="187"/>
      <c r="X999" s="187"/>
      <c r="Y999" s="187"/>
      <c r="Z999" s="187"/>
    </row>
    <row r="1000" ht="12.75" customHeight="1">
      <c r="A1000" s="187"/>
      <c r="B1000" s="187"/>
      <c r="C1000" s="187"/>
      <c r="D1000" s="187"/>
      <c r="E1000" s="187"/>
      <c r="F1000" s="187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87"/>
      <c r="V1000" s="187"/>
      <c r="W1000" s="187"/>
      <c r="X1000" s="187"/>
      <c r="Y1000" s="187"/>
      <c r="Z1000" s="187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paperSize="9" scale="6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3" width="5.63"/>
    <col customWidth="1" min="14" max="15" width="9.13"/>
    <col customWidth="1" min="16" max="26" width="8.0"/>
  </cols>
  <sheetData>
    <row r="1" ht="12.75" customHeight="1">
      <c r="A1" s="187"/>
      <c r="B1" s="187"/>
      <c r="C1" s="188" t="s">
        <v>228</v>
      </c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</row>
    <row r="2" ht="12.75" customHeight="1">
      <c r="A2" s="187"/>
      <c r="B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</row>
    <row r="3" ht="12.75" customHeight="1">
      <c r="A3" s="187"/>
      <c r="B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</row>
    <row r="4" ht="12.75" customHeight="1">
      <c r="A4" s="187"/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</row>
    <row r="5" ht="13.5" customHeight="1">
      <c r="A5" s="187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</row>
    <row r="6" ht="20.25" customHeight="1">
      <c r="A6" s="187"/>
      <c r="B6" s="187"/>
      <c r="C6" s="189" t="s">
        <v>306</v>
      </c>
      <c r="D6" s="103"/>
      <c r="E6" s="103"/>
      <c r="F6" s="103"/>
      <c r="G6" s="103"/>
      <c r="H6" s="103"/>
      <c r="I6" s="103"/>
      <c r="J6" s="103"/>
      <c r="K6" s="103"/>
      <c r="L6" s="103"/>
      <c r="M6" s="104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</row>
    <row r="7" ht="4.5" customHeight="1">
      <c r="A7" s="187"/>
      <c r="B7" s="187"/>
      <c r="C7" s="190"/>
      <c r="D7" s="191"/>
      <c r="E7" s="191"/>
      <c r="F7" s="191"/>
      <c r="G7" s="191"/>
      <c r="H7" s="191"/>
      <c r="I7" s="191"/>
      <c r="J7" s="191"/>
      <c r="K7" s="191"/>
      <c r="L7" s="191"/>
      <c r="M7" s="192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</row>
    <row r="8" ht="4.5" customHeight="1">
      <c r="A8" s="187"/>
      <c r="B8" s="187"/>
      <c r="C8" s="193"/>
      <c r="D8" s="194"/>
      <c r="E8" s="194"/>
      <c r="F8" s="194"/>
      <c r="G8" s="194"/>
      <c r="H8" s="194"/>
      <c r="I8" s="194"/>
      <c r="J8" s="194"/>
      <c r="K8" s="194"/>
      <c r="L8" s="194"/>
      <c r="M8" s="195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</row>
    <row r="9" ht="12.75" customHeight="1">
      <c r="A9" s="187"/>
      <c r="B9" s="187"/>
      <c r="C9" s="196" t="s">
        <v>195</v>
      </c>
      <c r="D9" s="191"/>
      <c r="E9" s="191"/>
      <c r="F9" s="191"/>
      <c r="G9" s="191"/>
      <c r="H9" s="191"/>
      <c r="I9" s="191"/>
      <c r="J9" s="191"/>
      <c r="K9" s="191"/>
      <c r="L9" s="191"/>
      <c r="M9" s="192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</row>
    <row r="10" ht="12.75" customHeight="1">
      <c r="A10" s="187"/>
      <c r="B10" s="187"/>
      <c r="C10" s="193"/>
      <c r="D10" s="194"/>
      <c r="E10" s="194"/>
      <c r="F10" s="194"/>
      <c r="G10" s="194"/>
      <c r="H10" s="194"/>
      <c r="I10" s="194"/>
      <c r="J10" s="194"/>
      <c r="K10" s="194"/>
      <c r="L10" s="194"/>
      <c r="M10" s="195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</row>
    <row r="11" ht="19.5" customHeight="1">
      <c r="A11" s="187"/>
      <c r="B11" s="187"/>
      <c r="C11" s="197" t="s">
        <v>196</v>
      </c>
      <c r="D11" s="198" t="s">
        <v>197</v>
      </c>
      <c r="E11" s="199" t="s">
        <v>180</v>
      </c>
      <c r="F11" s="200"/>
      <c r="G11" s="198"/>
      <c r="H11" s="199" t="s">
        <v>183</v>
      </c>
      <c r="I11" s="200"/>
      <c r="J11" s="201" t="s">
        <v>199</v>
      </c>
      <c r="K11" s="200"/>
      <c r="L11" s="201" t="s">
        <v>200</v>
      </c>
      <c r="M11" s="202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</row>
    <row r="12" ht="12.75" customHeight="1">
      <c r="A12" s="187"/>
      <c r="B12" s="187"/>
      <c r="C12" s="203"/>
      <c r="M12" s="204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</row>
    <row r="13" ht="13.5" customHeight="1">
      <c r="A13" s="187"/>
      <c r="B13" s="187"/>
      <c r="C13" s="205" t="s">
        <v>201</v>
      </c>
      <c r="D13" s="206" t="s">
        <v>209</v>
      </c>
      <c r="E13" s="207" t="s">
        <v>133</v>
      </c>
      <c r="F13" s="207" t="s">
        <v>139</v>
      </c>
      <c r="G13" s="208" t="s">
        <v>198</v>
      </c>
      <c r="H13" s="207" t="s">
        <v>136</v>
      </c>
      <c r="I13" s="207" t="s">
        <v>307</v>
      </c>
      <c r="J13" s="209">
        <v>6.0</v>
      </c>
      <c r="K13" s="210">
        <v>2.0</v>
      </c>
      <c r="L13" s="211">
        <f>IF(AND(J13&gt;K13,J14&gt;K14),2,IF(J13&gt;K13,1,IF(J14&gt;K14,1,0)))</f>
        <v>2</v>
      </c>
      <c r="M13" s="211">
        <f>IF(AND(K13&gt;J13,K14&gt;J14),2,IF(K13&gt;J13,1,IF(K14&gt;J14,1,0)))</f>
        <v>0</v>
      </c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</row>
    <row r="14" ht="12.75" customHeight="1">
      <c r="A14" s="187"/>
      <c r="B14" s="187"/>
      <c r="C14" s="212"/>
      <c r="D14" s="213"/>
      <c r="E14" s="213"/>
      <c r="F14" s="213"/>
      <c r="G14" s="213"/>
      <c r="H14" s="213"/>
      <c r="I14" s="213"/>
      <c r="J14" s="214">
        <v>6.0</v>
      </c>
      <c r="K14" s="215">
        <v>4.0</v>
      </c>
      <c r="L14" s="213"/>
      <c r="M14" s="213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</row>
    <row r="15" ht="4.5" customHeight="1">
      <c r="A15" s="187"/>
      <c r="B15" s="187"/>
      <c r="C15" s="216"/>
      <c r="D15" s="23"/>
      <c r="E15" s="23"/>
      <c r="F15" s="23"/>
      <c r="G15" s="23"/>
      <c r="H15" s="23"/>
      <c r="I15" s="23"/>
      <c r="J15" s="23"/>
      <c r="K15" s="23"/>
      <c r="L15" s="23"/>
      <c r="M15" s="202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</row>
    <row r="16" ht="12.75" customHeight="1">
      <c r="A16" s="187"/>
      <c r="B16" s="187"/>
      <c r="C16" s="205" t="s">
        <v>204</v>
      </c>
      <c r="D16" s="206" t="s">
        <v>216</v>
      </c>
      <c r="E16" s="207" t="s">
        <v>308</v>
      </c>
      <c r="F16" s="207" t="s">
        <v>65</v>
      </c>
      <c r="G16" s="208" t="s">
        <v>198</v>
      </c>
      <c r="H16" s="207" t="s">
        <v>61</v>
      </c>
      <c r="I16" s="207" t="s">
        <v>13</v>
      </c>
      <c r="J16" s="209">
        <v>6.0</v>
      </c>
      <c r="K16" s="210">
        <v>3.0</v>
      </c>
      <c r="L16" s="211">
        <f>IF(AND(J16&gt;K16,J17&gt;K17),2,IF(J16&gt;K16,1,IF(J17&gt;K17,1,0)))</f>
        <v>2</v>
      </c>
      <c r="M16" s="211">
        <f>IF(AND(K16&gt;J16,K17&gt;J17),2,IF(K16&gt;J16,1,IF(K17&gt;J17,1,0)))</f>
        <v>0</v>
      </c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</row>
    <row r="17" ht="12.75" customHeight="1">
      <c r="A17" s="187"/>
      <c r="B17" s="187"/>
      <c r="C17" s="212"/>
      <c r="D17" s="213"/>
      <c r="E17" s="213"/>
      <c r="F17" s="213"/>
      <c r="G17" s="213"/>
      <c r="H17" s="213"/>
      <c r="I17" s="213"/>
      <c r="J17" s="214">
        <v>6.0</v>
      </c>
      <c r="K17" s="215">
        <v>4.0</v>
      </c>
      <c r="L17" s="213"/>
      <c r="M17" s="213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</row>
    <row r="18" ht="4.5" customHeight="1">
      <c r="A18" s="187"/>
      <c r="B18" s="187"/>
      <c r="C18" s="217"/>
      <c r="D18" s="23"/>
      <c r="E18" s="23"/>
      <c r="F18" s="23"/>
      <c r="G18" s="23"/>
      <c r="H18" s="23"/>
      <c r="I18" s="23"/>
      <c r="J18" s="23"/>
      <c r="K18" s="23"/>
      <c r="L18" s="23"/>
      <c r="M18" s="202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</row>
    <row r="19" ht="12.75" customHeight="1">
      <c r="A19" s="187"/>
      <c r="B19" s="187"/>
      <c r="C19" s="205" t="s">
        <v>206</v>
      </c>
      <c r="D19" s="206" t="s">
        <v>212</v>
      </c>
      <c r="E19" s="207" t="s">
        <v>44</v>
      </c>
      <c r="F19" s="207" t="s">
        <v>51</v>
      </c>
      <c r="G19" s="208" t="s">
        <v>198</v>
      </c>
      <c r="H19" s="207" t="s">
        <v>41</v>
      </c>
      <c r="I19" s="207" t="s">
        <v>54</v>
      </c>
      <c r="J19" s="209">
        <v>2.0</v>
      </c>
      <c r="K19" s="210">
        <v>6.0</v>
      </c>
      <c r="L19" s="211">
        <f>IF(AND(J19&gt;K19,J20&gt;K20),2,IF(J19&gt;K19,1,IF(J20&gt;K20,1,0)))</f>
        <v>0</v>
      </c>
      <c r="M19" s="211">
        <f>IF(AND(K19&gt;J19,K20&gt;J20),2,IF(K19&gt;J19,1,IF(K20&gt;J20,1,0)))</f>
        <v>2</v>
      </c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</row>
    <row r="20" ht="12.75" customHeight="1">
      <c r="A20" s="187"/>
      <c r="B20" s="187"/>
      <c r="C20" s="212"/>
      <c r="D20" s="213"/>
      <c r="E20" s="213"/>
      <c r="F20" s="213"/>
      <c r="G20" s="213"/>
      <c r="H20" s="213"/>
      <c r="I20" s="213"/>
      <c r="J20" s="214">
        <v>3.0</v>
      </c>
      <c r="K20" s="215">
        <v>6.0</v>
      </c>
      <c r="L20" s="213"/>
      <c r="M20" s="213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</row>
    <row r="21" ht="4.5" customHeight="1">
      <c r="A21" s="187"/>
      <c r="B21" s="187"/>
      <c r="C21" s="217"/>
      <c r="D21" s="23"/>
      <c r="E21" s="23"/>
      <c r="F21" s="23"/>
      <c r="G21" s="23"/>
      <c r="H21" s="23"/>
      <c r="I21" s="23"/>
      <c r="J21" s="23"/>
      <c r="K21" s="23"/>
      <c r="L21" s="23"/>
      <c r="M21" s="202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</row>
    <row r="22" ht="12.75" customHeight="1">
      <c r="A22" s="187"/>
      <c r="B22" s="187"/>
      <c r="C22" s="205" t="s">
        <v>309</v>
      </c>
      <c r="D22" s="248"/>
      <c r="E22" s="211"/>
      <c r="F22" s="211"/>
      <c r="G22" s="208" t="s">
        <v>198</v>
      </c>
      <c r="H22" s="211"/>
      <c r="I22" s="211"/>
      <c r="J22" s="249"/>
      <c r="K22" s="250"/>
      <c r="L22" s="211">
        <f>IF(AND(J22&gt;K22,J23&gt;K23),2,IF(J22&gt;K22,1,IF(J23&gt;K23,1,0)))</f>
        <v>0</v>
      </c>
      <c r="M22" s="211">
        <f>IF(AND(K22&gt;J22,K23&gt;J23),2,IF(K22&gt;J22,1,IF(K23&gt;J23,1,0)))</f>
        <v>0</v>
      </c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</row>
    <row r="23" ht="12.75" customHeight="1">
      <c r="A23" s="187"/>
      <c r="B23" s="187"/>
      <c r="C23" s="212"/>
      <c r="D23" s="213"/>
      <c r="E23" s="213"/>
      <c r="F23" s="213"/>
      <c r="G23" s="213"/>
      <c r="H23" s="213"/>
      <c r="I23" s="213"/>
      <c r="J23" s="251"/>
      <c r="K23" s="252"/>
      <c r="L23" s="213"/>
      <c r="M23" s="213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</row>
    <row r="24" ht="4.5" customHeight="1">
      <c r="A24" s="187"/>
      <c r="B24" s="187"/>
      <c r="C24" s="217"/>
      <c r="D24" s="23"/>
      <c r="E24" s="23"/>
      <c r="F24" s="23"/>
      <c r="G24" s="23"/>
      <c r="H24" s="23"/>
      <c r="I24" s="23"/>
      <c r="J24" s="23"/>
      <c r="K24" s="23"/>
      <c r="L24" s="23"/>
      <c r="M24" s="202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</row>
    <row r="25" ht="12.75" customHeight="1">
      <c r="A25" s="187"/>
      <c r="B25" s="187"/>
      <c r="C25" s="220" t="s">
        <v>310</v>
      </c>
      <c r="D25" s="23"/>
      <c r="E25" s="23"/>
      <c r="F25" s="23"/>
      <c r="G25" s="23"/>
      <c r="H25" s="23"/>
      <c r="I25" s="200"/>
      <c r="J25" s="221">
        <f t="shared" ref="J25:M25" si="1">SUM(J13:J23)</f>
        <v>29</v>
      </c>
      <c r="K25" s="222">
        <f t="shared" si="1"/>
        <v>25</v>
      </c>
      <c r="L25" s="221">
        <f t="shared" si="1"/>
        <v>4</v>
      </c>
      <c r="M25" s="223">
        <f t="shared" si="1"/>
        <v>2</v>
      </c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</row>
    <row r="26" ht="4.5" customHeight="1">
      <c r="A26" s="187"/>
      <c r="B26" s="187"/>
      <c r="C26" s="224"/>
      <c r="D26" s="23"/>
      <c r="E26" s="23"/>
      <c r="F26" s="23"/>
      <c r="G26" s="23"/>
      <c r="H26" s="23"/>
      <c r="I26" s="23"/>
      <c r="J26" s="23"/>
      <c r="K26" s="23"/>
      <c r="L26" s="23"/>
      <c r="M26" s="202"/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</row>
    <row r="27" ht="12.75" customHeight="1">
      <c r="A27" s="187"/>
      <c r="B27" s="187"/>
      <c r="C27" s="225"/>
      <c r="D27" s="23"/>
      <c r="E27" s="23"/>
      <c r="F27" s="23"/>
      <c r="G27" s="23"/>
      <c r="H27" s="23"/>
      <c r="I27" s="23"/>
      <c r="J27" s="23"/>
      <c r="K27" s="23"/>
      <c r="L27" s="23"/>
      <c r="M27" s="202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</row>
    <row r="28" ht="12.75" customHeight="1">
      <c r="A28" s="187"/>
      <c r="B28" s="187"/>
      <c r="C28" s="205" t="s">
        <v>237</v>
      </c>
      <c r="D28" s="206" t="s">
        <v>207</v>
      </c>
      <c r="E28" s="207" t="s">
        <v>18</v>
      </c>
      <c r="F28" s="207" t="s">
        <v>32</v>
      </c>
      <c r="G28" s="208" t="s">
        <v>198</v>
      </c>
      <c r="H28" s="207" t="s">
        <v>21</v>
      </c>
      <c r="I28" s="207" t="s">
        <v>28</v>
      </c>
      <c r="J28" s="209">
        <v>2.0</v>
      </c>
      <c r="K28" s="210">
        <v>6.0</v>
      </c>
      <c r="L28" s="211">
        <f>IF(AND(J28&gt;K28,J29&gt;K29),2,IF(J28&gt;K28,1,IF(J29&gt;K29,1,0)))</f>
        <v>1</v>
      </c>
      <c r="M28" s="211">
        <f>IF(AND(K28&gt;J28,K29&gt;J29),2,IF(K28&gt;J28,1,IF(K29&gt;J29,1,0)))</f>
        <v>1</v>
      </c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</row>
    <row r="29" ht="12.75" customHeight="1">
      <c r="A29" s="187"/>
      <c r="B29" s="187"/>
      <c r="C29" s="212"/>
      <c r="D29" s="213"/>
      <c r="E29" s="213"/>
      <c r="F29" s="213"/>
      <c r="G29" s="213"/>
      <c r="H29" s="213"/>
      <c r="I29" s="213"/>
      <c r="J29" s="214">
        <v>6.0</v>
      </c>
      <c r="K29" s="215">
        <v>3.0</v>
      </c>
      <c r="L29" s="213"/>
      <c r="M29" s="213"/>
      <c r="N29" s="245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</row>
    <row r="30" ht="4.5" customHeight="1">
      <c r="A30" s="187"/>
      <c r="B30" s="187"/>
      <c r="C30" s="216"/>
      <c r="D30" s="23"/>
      <c r="E30" s="23"/>
      <c r="F30" s="23"/>
      <c r="G30" s="23"/>
      <c r="H30" s="23"/>
      <c r="I30" s="23"/>
      <c r="J30" s="23"/>
      <c r="K30" s="23"/>
      <c r="L30" s="23"/>
      <c r="M30" s="202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</row>
    <row r="31" ht="12.75" customHeight="1">
      <c r="A31" s="226"/>
      <c r="B31" s="187"/>
      <c r="C31" s="205" t="s">
        <v>204</v>
      </c>
      <c r="D31" s="206" t="s">
        <v>202</v>
      </c>
      <c r="E31" s="207" t="s">
        <v>105</v>
      </c>
      <c r="F31" s="207" t="s">
        <v>111</v>
      </c>
      <c r="G31" s="208" t="s">
        <v>198</v>
      </c>
      <c r="H31" s="207" t="s">
        <v>102</v>
      </c>
      <c r="I31" s="207" t="s">
        <v>108</v>
      </c>
      <c r="J31" s="209">
        <v>3.0</v>
      </c>
      <c r="K31" s="210">
        <v>6.0</v>
      </c>
      <c r="L31" s="211">
        <f>IF(AND(J31&gt;K31,J32&gt;K32),2,IF(J31&gt;K31,1,IF(J32&gt;K32,1,0)))</f>
        <v>0</v>
      </c>
      <c r="M31" s="211">
        <f>IF(AND(K31&gt;J31,K32&gt;J32),2,IF(K31&gt;J31,1,IF(K32&gt;J32,1,0)))</f>
        <v>2</v>
      </c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</row>
    <row r="32" ht="12.75" customHeight="1">
      <c r="A32" s="226"/>
      <c r="B32" s="187"/>
      <c r="C32" s="212"/>
      <c r="D32" s="213"/>
      <c r="E32" s="213"/>
      <c r="F32" s="213"/>
      <c r="G32" s="213"/>
      <c r="H32" s="213"/>
      <c r="I32" s="213"/>
      <c r="J32" s="214">
        <v>0.0</v>
      </c>
      <c r="K32" s="215">
        <v>6.0</v>
      </c>
      <c r="L32" s="213"/>
      <c r="M32" s="213"/>
      <c r="N32" s="245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</row>
    <row r="33" ht="4.5" customHeight="1">
      <c r="A33" s="187"/>
      <c r="B33" s="187"/>
      <c r="C33" s="217"/>
      <c r="D33" s="23"/>
      <c r="E33" s="23"/>
      <c r="F33" s="23"/>
      <c r="G33" s="23"/>
      <c r="H33" s="23"/>
      <c r="I33" s="23"/>
      <c r="J33" s="23"/>
      <c r="K33" s="23"/>
      <c r="L33" s="23"/>
      <c r="M33" s="202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</row>
    <row r="34" ht="12.75" customHeight="1">
      <c r="A34" s="187"/>
      <c r="B34" s="187"/>
      <c r="C34" s="205" t="s">
        <v>206</v>
      </c>
      <c r="D34" s="206" t="s">
        <v>214</v>
      </c>
      <c r="E34" s="207" t="s">
        <v>85</v>
      </c>
      <c r="F34" s="207" t="s">
        <v>92</v>
      </c>
      <c r="G34" s="208" t="s">
        <v>198</v>
      </c>
      <c r="H34" s="207" t="s">
        <v>81</v>
      </c>
      <c r="I34" s="207" t="s">
        <v>95</v>
      </c>
      <c r="J34" s="209">
        <v>6.0</v>
      </c>
      <c r="K34" s="210">
        <v>0.0</v>
      </c>
      <c r="L34" s="211">
        <f>IF(AND(J34&gt;K34,J35&gt;K35),2,IF(J34&gt;K34,1,IF(J35&gt;K35,1,0)))</f>
        <v>1</v>
      </c>
      <c r="M34" s="211">
        <f>IF(AND(K34&gt;J34,K35&gt;J35),2,IF(K34&gt;J34,1,IF(K35&gt;J35,1,0)))</f>
        <v>1</v>
      </c>
      <c r="N34" s="245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</row>
    <row r="35" ht="12.75" customHeight="1">
      <c r="A35" s="187"/>
      <c r="B35" s="187"/>
      <c r="C35" s="212"/>
      <c r="D35" s="213"/>
      <c r="E35" s="213"/>
      <c r="F35" s="213"/>
      <c r="G35" s="213"/>
      <c r="H35" s="213"/>
      <c r="I35" s="213"/>
      <c r="J35" s="214">
        <v>2.0</v>
      </c>
      <c r="K35" s="215">
        <v>6.0</v>
      </c>
      <c r="L35" s="213"/>
      <c r="M35" s="213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</row>
    <row r="36" ht="4.5" customHeight="1">
      <c r="A36" s="187"/>
      <c r="B36" s="187"/>
      <c r="C36" s="217"/>
      <c r="D36" s="23"/>
      <c r="E36" s="23"/>
      <c r="F36" s="23"/>
      <c r="G36" s="23"/>
      <c r="H36" s="23"/>
      <c r="I36" s="23"/>
      <c r="J36" s="23"/>
      <c r="K36" s="23"/>
      <c r="L36" s="23"/>
      <c r="M36" s="202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</row>
    <row r="37" ht="12.75" customHeight="1">
      <c r="A37" s="187"/>
      <c r="B37" s="187"/>
      <c r="C37" s="218" t="s">
        <v>213</v>
      </c>
      <c r="D37" s="235" t="s">
        <v>205</v>
      </c>
      <c r="E37" s="207" t="s">
        <v>311</v>
      </c>
      <c r="F37" s="207" t="s">
        <v>312</v>
      </c>
      <c r="G37" s="219" t="s">
        <v>198</v>
      </c>
      <c r="H37" s="207" t="s">
        <v>119</v>
      </c>
      <c r="I37" s="207" t="s">
        <v>124</v>
      </c>
      <c r="J37" s="209">
        <v>3.0</v>
      </c>
      <c r="K37" s="210">
        <v>6.0</v>
      </c>
      <c r="L37" s="211">
        <f>IF(AND(J37&gt;K37,J38&gt;K38),2,IF(J37&gt;K37,1,IF(J38&gt;K38,1,0)))</f>
        <v>0</v>
      </c>
      <c r="M37" s="211">
        <f>IF(AND(K37&gt;J37,K38&gt;J38),2,IF(K37&gt;J37,1,IF(K38&gt;J38,1,0)))</f>
        <v>2</v>
      </c>
      <c r="N37" s="245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</row>
    <row r="38" ht="12.75" customHeight="1">
      <c r="A38" s="187"/>
      <c r="B38" s="187"/>
      <c r="C38" s="212"/>
      <c r="D38" s="213"/>
      <c r="E38" s="213"/>
      <c r="F38" s="213"/>
      <c r="G38" s="213"/>
      <c r="H38" s="213"/>
      <c r="I38" s="213"/>
      <c r="J38" s="214">
        <v>2.0</v>
      </c>
      <c r="K38" s="215">
        <v>6.0</v>
      </c>
      <c r="L38" s="213"/>
      <c r="M38" s="213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</row>
    <row r="39" ht="4.5" customHeight="1">
      <c r="A39" s="187"/>
      <c r="B39" s="187"/>
      <c r="C39" s="217"/>
      <c r="D39" s="23"/>
      <c r="E39" s="23"/>
      <c r="F39" s="23"/>
      <c r="G39" s="23"/>
      <c r="H39" s="23"/>
      <c r="I39" s="23"/>
      <c r="J39" s="23"/>
      <c r="K39" s="23"/>
      <c r="L39" s="23"/>
      <c r="M39" s="202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</row>
    <row r="40" ht="12.75" customHeight="1">
      <c r="A40" s="187"/>
      <c r="B40" s="187"/>
      <c r="C40" s="220" t="s">
        <v>313</v>
      </c>
      <c r="D40" s="23"/>
      <c r="E40" s="23"/>
      <c r="F40" s="23"/>
      <c r="G40" s="23"/>
      <c r="H40" s="23"/>
      <c r="I40" s="200"/>
      <c r="J40" s="221">
        <f t="shared" ref="J40:M40" si="2">SUM(J28:J38)</f>
        <v>24</v>
      </c>
      <c r="K40" s="222">
        <f t="shared" si="2"/>
        <v>39</v>
      </c>
      <c r="L40" s="221">
        <f t="shared" si="2"/>
        <v>2</v>
      </c>
      <c r="M40" s="223">
        <f t="shared" si="2"/>
        <v>6</v>
      </c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</row>
    <row r="41" ht="4.5" customHeight="1">
      <c r="A41" s="187"/>
      <c r="B41" s="187"/>
      <c r="C41" s="224"/>
      <c r="D41" s="23"/>
      <c r="E41" s="23"/>
      <c r="F41" s="23"/>
      <c r="G41" s="23"/>
      <c r="H41" s="23"/>
      <c r="I41" s="23"/>
      <c r="J41" s="23"/>
      <c r="K41" s="23"/>
      <c r="L41" s="23"/>
      <c r="M41" s="202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</row>
    <row r="42" ht="12.75" customHeight="1">
      <c r="A42" s="187"/>
      <c r="B42" s="187"/>
      <c r="C42" s="228" t="s">
        <v>314</v>
      </c>
      <c r="D42" s="23"/>
      <c r="E42" s="23"/>
      <c r="F42" s="23"/>
      <c r="G42" s="23"/>
      <c r="H42" s="23"/>
      <c r="I42" s="200"/>
      <c r="J42" s="229">
        <f t="shared" ref="J42:M42" si="3">J40+J25</f>
        <v>53</v>
      </c>
      <c r="K42" s="230">
        <f t="shared" si="3"/>
        <v>64</v>
      </c>
      <c r="L42" s="231">
        <f t="shared" si="3"/>
        <v>6</v>
      </c>
      <c r="M42" s="232">
        <f t="shared" si="3"/>
        <v>8</v>
      </c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</row>
    <row r="43" ht="6.75" customHeight="1">
      <c r="A43" s="187"/>
      <c r="B43" s="187"/>
      <c r="C43" s="233"/>
      <c r="D43" s="23"/>
      <c r="E43" s="23"/>
      <c r="F43" s="23"/>
      <c r="G43" s="23"/>
      <c r="H43" s="23"/>
      <c r="I43" s="23"/>
      <c r="J43" s="23"/>
      <c r="K43" s="23"/>
      <c r="L43" s="23"/>
      <c r="M43" s="202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</row>
    <row r="44" ht="7.5" customHeight="1">
      <c r="A44" s="187"/>
      <c r="B44" s="187"/>
      <c r="C44" s="196" t="s">
        <v>219</v>
      </c>
      <c r="D44" s="191"/>
      <c r="E44" s="191"/>
      <c r="F44" s="191"/>
      <c r="G44" s="191"/>
      <c r="H44" s="191"/>
      <c r="I44" s="191"/>
      <c r="J44" s="191"/>
      <c r="K44" s="191"/>
      <c r="L44" s="191"/>
      <c r="M44" s="192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</row>
    <row r="45" ht="12.75" customHeight="1">
      <c r="A45" s="187"/>
      <c r="B45" s="187"/>
      <c r="C45" s="193"/>
      <c r="D45" s="194"/>
      <c r="E45" s="194"/>
      <c r="F45" s="194"/>
      <c r="G45" s="194"/>
      <c r="H45" s="194"/>
      <c r="I45" s="194"/>
      <c r="J45" s="194"/>
      <c r="K45" s="194"/>
      <c r="L45" s="194"/>
      <c r="M45" s="195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</row>
    <row r="46" ht="26.25" customHeight="1">
      <c r="A46" s="187"/>
      <c r="B46" s="187"/>
      <c r="C46" s="197" t="s">
        <v>196</v>
      </c>
      <c r="D46" s="198" t="s">
        <v>197</v>
      </c>
      <c r="E46" s="199" t="s">
        <v>177</v>
      </c>
      <c r="F46" s="200"/>
      <c r="G46" s="198"/>
      <c r="H46" s="199" t="s">
        <v>184</v>
      </c>
      <c r="I46" s="200"/>
      <c r="J46" s="201" t="s">
        <v>199</v>
      </c>
      <c r="K46" s="200"/>
      <c r="L46" s="201" t="s">
        <v>200</v>
      </c>
      <c r="M46" s="202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</row>
    <row r="47" ht="12.75" customHeight="1">
      <c r="A47" s="187"/>
      <c r="B47" s="187"/>
      <c r="C47" s="234"/>
      <c r="D47" s="23"/>
      <c r="E47" s="23"/>
      <c r="F47" s="23"/>
      <c r="G47" s="23"/>
      <c r="H47" s="23"/>
      <c r="I47" s="23"/>
      <c r="J47" s="23"/>
      <c r="K47" s="23"/>
      <c r="L47" s="23"/>
      <c r="M47" s="202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</row>
    <row r="48" ht="12.75" customHeight="1">
      <c r="A48" s="187"/>
      <c r="B48" s="187"/>
      <c r="C48" s="205" t="s">
        <v>201</v>
      </c>
      <c r="D48" s="206" t="s">
        <v>216</v>
      </c>
      <c r="E48" s="207" t="s">
        <v>64</v>
      </c>
      <c r="F48" s="207" t="s">
        <v>71</v>
      </c>
      <c r="G48" s="208" t="s">
        <v>198</v>
      </c>
      <c r="H48" s="207" t="s">
        <v>62</v>
      </c>
      <c r="I48" s="207" t="s">
        <v>69</v>
      </c>
      <c r="J48" s="209">
        <v>6.0</v>
      </c>
      <c r="K48" s="210">
        <v>1.0</v>
      </c>
      <c r="L48" s="211">
        <f>IF(AND(J48&gt;K48,J49&gt;K49),2,IF(J48&gt;K48,1,IF(J49&gt;K49,1,0)))</f>
        <v>2</v>
      </c>
      <c r="M48" s="211">
        <f>IF(AND(K48&gt;J48,K49&gt;J49),2,IF(K48&gt;J48,1,IF(K49&gt;J49,1,0)))</f>
        <v>0</v>
      </c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</row>
    <row r="49" ht="12.75" customHeight="1">
      <c r="A49" s="187"/>
      <c r="B49" s="187"/>
      <c r="C49" s="212"/>
      <c r="D49" s="213"/>
      <c r="E49" s="213"/>
      <c r="F49" s="213"/>
      <c r="G49" s="213"/>
      <c r="H49" s="213"/>
      <c r="I49" s="213"/>
      <c r="J49" s="214">
        <v>6.0</v>
      </c>
      <c r="K49" s="215">
        <v>4.0</v>
      </c>
      <c r="L49" s="213"/>
      <c r="M49" s="213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 ht="4.5" customHeight="1">
      <c r="A50" s="187"/>
      <c r="B50" s="187"/>
      <c r="C50" s="216"/>
      <c r="D50" s="23"/>
      <c r="E50" s="23"/>
      <c r="F50" s="23"/>
      <c r="G50" s="23"/>
      <c r="H50" s="23"/>
      <c r="I50" s="23"/>
      <c r="J50" s="23"/>
      <c r="K50" s="23"/>
      <c r="L50" s="23"/>
      <c r="M50" s="202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 ht="12.75" customHeight="1">
      <c r="A51" s="187"/>
      <c r="B51" s="187"/>
      <c r="C51" s="205" t="s">
        <v>204</v>
      </c>
      <c r="D51" s="206" t="s">
        <v>205</v>
      </c>
      <c r="E51" s="207" t="s">
        <v>115</v>
      </c>
      <c r="F51" s="207" t="s">
        <v>120</v>
      </c>
      <c r="G51" s="208" t="s">
        <v>198</v>
      </c>
      <c r="H51" s="207" t="s">
        <v>14</v>
      </c>
      <c r="I51" s="207" t="s">
        <v>125</v>
      </c>
      <c r="J51" s="209">
        <v>2.0</v>
      </c>
      <c r="K51" s="210">
        <v>6.0</v>
      </c>
      <c r="L51" s="211">
        <f>IF(AND(J51&gt;K51,J52&gt;K52),2,IF(J51&gt;K51,1,IF(J52&gt;K52,1,0)))</f>
        <v>0</v>
      </c>
      <c r="M51" s="211">
        <f>IF(AND(K51&gt;J51,K52&gt;J52),2,IF(K51&gt;J51,1,IF(K52&gt;J52,1,0)))</f>
        <v>2</v>
      </c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 ht="12.75" customHeight="1">
      <c r="A52" s="187"/>
      <c r="B52" s="187"/>
      <c r="C52" s="212"/>
      <c r="D52" s="213"/>
      <c r="E52" s="213"/>
      <c r="F52" s="213"/>
      <c r="G52" s="213"/>
      <c r="H52" s="213"/>
      <c r="I52" s="213"/>
      <c r="J52" s="214">
        <v>4.0</v>
      </c>
      <c r="K52" s="215">
        <v>6.0</v>
      </c>
      <c r="L52" s="213"/>
      <c r="M52" s="213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 ht="4.5" customHeight="1">
      <c r="A53" s="187"/>
      <c r="B53" s="187"/>
      <c r="C53" s="217"/>
      <c r="D53" s="23"/>
      <c r="E53" s="23"/>
      <c r="F53" s="23"/>
      <c r="G53" s="23"/>
      <c r="H53" s="23"/>
      <c r="I53" s="23"/>
      <c r="J53" s="23"/>
      <c r="K53" s="23"/>
      <c r="L53" s="23"/>
      <c r="M53" s="202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  <row r="54" ht="12.75" customHeight="1">
      <c r="A54" s="187"/>
      <c r="B54" s="187"/>
      <c r="C54" s="205" t="s">
        <v>206</v>
      </c>
      <c r="D54" s="206" t="s">
        <v>202</v>
      </c>
      <c r="E54" s="207" t="s">
        <v>98</v>
      </c>
      <c r="F54" s="207" t="s">
        <v>104</v>
      </c>
      <c r="G54" s="208" t="s">
        <v>198</v>
      </c>
      <c r="H54" s="207" t="s">
        <v>109</v>
      </c>
      <c r="I54" s="207" t="s">
        <v>315</v>
      </c>
      <c r="J54" s="209">
        <v>3.0</v>
      </c>
      <c r="K54" s="210">
        <v>6.0</v>
      </c>
      <c r="L54" s="211">
        <f>IF(AND(J54&gt;K54,J55&gt;K55),2,IF(J54&gt;K54,1,IF(J55&gt;K55,1,0)))</f>
        <v>1</v>
      </c>
      <c r="M54" s="211">
        <f>IF(AND(K54&gt;J54,K55&gt;J55),2,IF(K54&gt;J54,1,IF(K55&gt;J55,1,0)))</f>
        <v>1</v>
      </c>
      <c r="N54" s="187"/>
      <c r="O54" s="238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</row>
    <row r="55" ht="12.75" customHeight="1">
      <c r="A55" s="187"/>
      <c r="B55" s="187"/>
      <c r="C55" s="212"/>
      <c r="D55" s="213"/>
      <c r="E55" s="213"/>
      <c r="F55" s="213"/>
      <c r="G55" s="213"/>
      <c r="H55" s="213"/>
      <c r="I55" s="213"/>
      <c r="J55" s="214">
        <v>6.0</v>
      </c>
      <c r="K55" s="215">
        <v>2.0</v>
      </c>
      <c r="L55" s="213"/>
      <c r="M55" s="213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</row>
    <row r="56" ht="4.5" customHeight="1">
      <c r="A56" s="187"/>
      <c r="B56" s="187"/>
      <c r="C56" s="217"/>
      <c r="D56" s="23"/>
      <c r="E56" s="23"/>
      <c r="F56" s="23"/>
      <c r="G56" s="23"/>
      <c r="H56" s="23"/>
      <c r="I56" s="23"/>
      <c r="J56" s="23"/>
      <c r="K56" s="23"/>
      <c r="L56" s="23"/>
      <c r="M56" s="202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</row>
    <row r="57" ht="12.75" customHeight="1">
      <c r="A57" s="187"/>
      <c r="B57" s="187"/>
      <c r="C57" s="205" t="s">
        <v>204</v>
      </c>
      <c r="D57" s="235" t="s">
        <v>209</v>
      </c>
      <c r="E57" s="207" t="s">
        <v>132</v>
      </c>
      <c r="F57" s="207" t="s">
        <v>144</v>
      </c>
      <c r="G57" s="208" t="s">
        <v>198</v>
      </c>
      <c r="H57" s="207" t="s">
        <v>137</v>
      </c>
      <c r="I57" s="207" t="s">
        <v>149</v>
      </c>
      <c r="J57" s="209">
        <v>2.0</v>
      </c>
      <c r="K57" s="210">
        <v>6.0</v>
      </c>
      <c r="L57" s="211">
        <f>IF(AND(J57&gt;K57,J58&gt;K58),2,IF(J57&gt;K57,1,IF(J58&gt;K58,1,0)))</f>
        <v>1</v>
      </c>
      <c r="M57" s="211">
        <f>IF(AND(K57&gt;J57,K58&gt;J58),2,IF(K57&gt;J57,1,IF(K58&gt;J58,1,0)))</f>
        <v>1</v>
      </c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</row>
    <row r="58" ht="12.75" customHeight="1">
      <c r="A58" s="187"/>
      <c r="B58" s="187"/>
      <c r="C58" s="212"/>
      <c r="D58" s="213"/>
      <c r="E58" s="213"/>
      <c r="F58" s="213"/>
      <c r="G58" s="213"/>
      <c r="H58" s="213"/>
      <c r="I58" s="213"/>
      <c r="J58" s="214">
        <v>6.0</v>
      </c>
      <c r="K58" s="215">
        <v>2.0</v>
      </c>
      <c r="L58" s="213"/>
      <c r="M58" s="213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</row>
    <row r="59" ht="4.5" customHeight="1">
      <c r="A59" s="187"/>
      <c r="B59" s="187"/>
      <c r="C59" s="253"/>
      <c r="D59" s="254"/>
      <c r="E59" s="254"/>
      <c r="F59" s="254"/>
      <c r="G59" s="254"/>
      <c r="H59" s="254"/>
      <c r="I59" s="254"/>
      <c r="J59" s="254"/>
      <c r="K59" s="254"/>
      <c r="L59" s="254"/>
      <c r="M59" s="255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</row>
    <row r="60" ht="12.75" customHeight="1">
      <c r="A60" s="187"/>
      <c r="B60" s="187"/>
      <c r="C60" s="220" t="s">
        <v>310</v>
      </c>
      <c r="D60" s="23"/>
      <c r="E60" s="23"/>
      <c r="F60" s="23"/>
      <c r="G60" s="23"/>
      <c r="H60" s="23"/>
      <c r="I60" s="200"/>
      <c r="J60" s="221">
        <f t="shared" ref="J60:M60" si="4">SUM(J48:J58)</f>
        <v>35</v>
      </c>
      <c r="K60" s="222">
        <f t="shared" si="4"/>
        <v>33</v>
      </c>
      <c r="L60" s="221">
        <f t="shared" si="4"/>
        <v>4</v>
      </c>
      <c r="M60" s="223">
        <f t="shared" si="4"/>
        <v>4</v>
      </c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</row>
    <row r="61" ht="4.5" customHeight="1">
      <c r="A61" s="187"/>
      <c r="B61" s="187"/>
      <c r="C61" s="224"/>
      <c r="D61" s="23"/>
      <c r="E61" s="23"/>
      <c r="F61" s="23"/>
      <c r="G61" s="23"/>
      <c r="H61" s="23"/>
      <c r="I61" s="23"/>
      <c r="J61" s="23"/>
      <c r="K61" s="23"/>
      <c r="L61" s="23"/>
      <c r="M61" s="202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</row>
    <row r="62" ht="12.75" customHeight="1">
      <c r="A62" s="187"/>
      <c r="B62" s="187"/>
      <c r="C62" s="225"/>
      <c r="D62" s="23"/>
      <c r="E62" s="23"/>
      <c r="F62" s="23"/>
      <c r="G62" s="23"/>
      <c r="H62" s="23"/>
      <c r="I62" s="23"/>
      <c r="J62" s="23"/>
      <c r="K62" s="23"/>
      <c r="L62" s="23"/>
      <c r="M62" s="202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</row>
    <row r="63" ht="12.75" customHeight="1">
      <c r="A63" s="187"/>
      <c r="B63" s="187"/>
      <c r="C63" s="205" t="s">
        <v>201</v>
      </c>
      <c r="D63" s="206" t="s">
        <v>212</v>
      </c>
      <c r="E63" s="207" t="s">
        <v>9</v>
      </c>
      <c r="F63" s="207" t="s">
        <v>50</v>
      </c>
      <c r="G63" s="208" t="s">
        <v>198</v>
      </c>
      <c r="H63" s="207" t="s">
        <v>42</v>
      </c>
      <c r="I63" s="207" t="s">
        <v>316</v>
      </c>
      <c r="J63" s="209">
        <v>3.0</v>
      </c>
      <c r="K63" s="210">
        <v>6.0</v>
      </c>
      <c r="L63" s="211">
        <f>IF(AND(J63&gt;K63,J64&gt;K64),2,IF(J63&gt;K63,1,IF(J64&gt;K64,1,0)))</f>
        <v>0</v>
      </c>
      <c r="M63" s="211">
        <f>IF(AND(K63&gt;J63,K64&gt;J64),2,IF(K63&gt;J63,1,IF(K64&gt;J64,1,0)))</f>
        <v>2</v>
      </c>
      <c r="N63" s="245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</row>
    <row r="64" ht="12.75" customHeight="1">
      <c r="A64" s="187"/>
      <c r="B64" s="187"/>
      <c r="C64" s="212"/>
      <c r="D64" s="213"/>
      <c r="E64" s="213"/>
      <c r="F64" s="213"/>
      <c r="G64" s="213"/>
      <c r="H64" s="213"/>
      <c r="I64" s="213"/>
      <c r="J64" s="214">
        <v>2.0</v>
      </c>
      <c r="K64" s="215">
        <v>6.0</v>
      </c>
      <c r="L64" s="213"/>
      <c r="M64" s="213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</row>
    <row r="65" ht="4.5" customHeight="1">
      <c r="A65" s="187"/>
      <c r="B65" s="187"/>
      <c r="C65" s="216"/>
      <c r="D65" s="23"/>
      <c r="E65" s="23"/>
      <c r="F65" s="23"/>
      <c r="G65" s="23"/>
      <c r="H65" s="23"/>
      <c r="I65" s="23"/>
      <c r="J65" s="23"/>
      <c r="K65" s="23"/>
      <c r="L65" s="23"/>
      <c r="M65" s="202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</row>
    <row r="66" ht="12.75" customHeight="1">
      <c r="A66" s="187"/>
      <c r="B66" s="187"/>
      <c r="C66" s="218" t="s">
        <v>226</v>
      </c>
      <c r="D66" s="206" t="s">
        <v>207</v>
      </c>
      <c r="E66" s="207" t="s">
        <v>24</v>
      </c>
      <c r="F66" s="207" t="s">
        <v>31</v>
      </c>
      <c r="G66" s="208" t="s">
        <v>198</v>
      </c>
      <c r="H66" s="207" t="s">
        <v>22</v>
      </c>
      <c r="I66" s="207" t="s">
        <v>35</v>
      </c>
      <c r="J66" s="209">
        <v>3.0</v>
      </c>
      <c r="K66" s="210">
        <v>6.0</v>
      </c>
      <c r="L66" s="211">
        <f>IF(AND(J66&gt;K66,J67&gt;K67),2,IF(J66&gt;K66,1,IF(J67&gt;K67,1,0)))</f>
        <v>0</v>
      </c>
      <c r="M66" s="211">
        <f>IF(AND(K66&gt;J66,K67&gt;J67),2,IF(K66&gt;J66,1,IF(K67&gt;J67,1,0)))</f>
        <v>2</v>
      </c>
      <c r="N66" s="245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</row>
    <row r="67" ht="12.75" customHeight="1">
      <c r="A67" s="187"/>
      <c r="B67" s="187"/>
      <c r="C67" s="212"/>
      <c r="D67" s="213"/>
      <c r="E67" s="213"/>
      <c r="F67" s="213"/>
      <c r="G67" s="213"/>
      <c r="H67" s="213"/>
      <c r="I67" s="213"/>
      <c r="J67" s="214">
        <v>2.0</v>
      </c>
      <c r="K67" s="215">
        <v>6.0</v>
      </c>
      <c r="L67" s="213"/>
      <c r="M67" s="213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</row>
    <row r="68" ht="4.5" customHeight="1">
      <c r="A68" s="187"/>
      <c r="B68" s="187"/>
      <c r="C68" s="217"/>
      <c r="D68" s="23"/>
      <c r="E68" s="23"/>
      <c r="F68" s="23"/>
      <c r="G68" s="23"/>
      <c r="H68" s="23"/>
      <c r="I68" s="23"/>
      <c r="J68" s="23"/>
      <c r="K68" s="23"/>
      <c r="L68" s="23"/>
      <c r="M68" s="202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</row>
    <row r="69" ht="12.75" customHeight="1">
      <c r="A69" s="187"/>
      <c r="B69" s="187"/>
      <c r="C69" s="218" t="s">
        <v>237</v>
      </c>
      <c r="D69" s="206" t="s">
        <v>214</v>
      </c>
      <c r="E69" s="207" t="s">
        <v>84</v>
      </c>
      <c r="F69" s="207" t="s">
        <v>91</v>
      </c>
      <c r="G69" s="208" t="s">
        <v>198</v>
      </c>
      <c r="H69" s="207" t="s">
        <v>82</v>
      </c>
      <c r="I69" s="207" t="s">
        <v>89</v>
      </c>
      <c r="J69" s="209">
        <v>4.0</v>
      </c>
      <c r="K69" s="210">
        <v>6.0</v>
      </c>
      <c r="L69" s="211">
        <f>IF(AND(J69&gt;K69,J70&gt;K70),2,IF(J69&gt;K69,1,IF(J70&gt;K70,1,0)))</f>
        <v>0</v>
      </c>
      <c r="M69" s="211">
        <f>IF(AND(K69&gt;J69,K70&gt;J70),2,IF(K69&gt;J69,1,IF(K70&gt;J70,1,0)))</f>
        <v>2</v>
      </c>
      <c r="N69" s="245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</row>
    <row r="70" ht="12.75" customHeight="1">
      <c r="A70" s="187"/>
      <c r="B70" s="187"/>
      <c r="C70" s="212"/>
      <c r="D70" s="213"/>
      <c r="E70" s="213"/>
      <c r="F70" s="213"/>
      <c r="G70" s="213"/>
      <c r="H70" s="213"/>
      <c r="I70" s="213"/>
      <c r="J70" s="214">
        <v>0.0</v>
      </c>
      <c r="K70" s="215">
        <v>6.0</v>
      </c>
      <c r="L70" s="213"/>
      <c r="M70" s="213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</row>
    <row r="71" ht="4.5" customHeight="1">
      <c r="A71" s="187"/>
      <c r="B71" s="187"/>
      <c r="C71" s="217"/>
      <c r="D71" s="23"/>
      <c r="E71" s="23"/>
      <c r="F71" s="23"/>
      <c r="G71" s="23"/>
      <c r="H71" s="23"/>
      <c r="I71" s="23"/>
      <c r="J71" s="23"/>
      <c r="K71" s="23"/>
      <c r="L71" s="23"/>
      <c r="M71" s="202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</row>
    <row r="72" ht="12.75" customHeight="1">
      <c r="A72" s="187"/>
      <c r="B72" s="187"/>
      <c r="C72" s="218" t="s">
        <v>317</v>
      </c>
      <c r="D72" s="235" t="s">
        <v>202</v>
      </c>
      <c r="E72" s="211"/>
      <c r="F72" s="211"/>
      <c r="G72" s="208"/>
      <c r="H72" s="211"/>
      <c r="I72" s="211"/>
      <c r="J72" s="249"/>
      <c r="K72" s="250"/>
      <c r="L72" s="211">
        <f>IF(AND(J72&gt;K72,J73&gt;K73),2,IF(J72&gt;K72,1,IF(J73&gt;K73,1,0)))</f>
        <v>0</v>
      </c>
      <c r="M72" s="211">
        <f>IF(AND(K72&gt;J72,K73&gt;J73),2,IF(K72&gt;J72,1,IF(K73&gt;J73,1,0)))</f>
        <v>0</v>
      </c>
      <c r="N72" s="245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</row>
    <row r="73" ht="12.75" customHeight="1">
      <c r="A73" s="187"/>
      <c r="B73" s="187"/>
      <c r="C73" s="212"/>
      <c r="D73" s="213"/>
      <c r="E73" s="213"/>
      <c r="F73" s="213"/>
      <c r="G73" s="213"/>
      <c r="H73" s="213"/>
      <c r="I73" s="213"/>
      <c r="J73" s="251"/>
      <c r="K73" s="252"/>
      <c r="L73" s="213"/>
      <c r="M73" s="213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</row>
    <row r="74" ht="4.5" customHeight="1">
      <c r="A74" s="187"/>
      <c r="B74" s="187"/>
      <c r="C74" s="217"/>
      <c r="D74" s="23"/>
      <c r="E74" s="23"/>
      <c r="F74" s="23"/>
      <c r="G74" s="23"/>
      <c r="H74" s="23"/>
      <c r="I74" s="23"/>
      <c r="J74" s="23"/>
      <c r="K74" s="23"/>
      <c r="L74" s="23"/>
      <c r="M74" s="202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</row>
    <row r="75" ht="12.75" customHeight="1">
      <c r="A75" s="187"/>
      <c r="B75" s="187"/>
      <c r="C75" s="220" t="s">
        <v>313</v>
      </c>
      <c r="D75" s="23"/>
      <c r="E75" s="23"/>
      <c r="F75" s="23"/>
      <c r="G75" s="23"/>
      <c r="H75" s="23"/>
      <c r="I75" s="200"/>
      <c r="J75" s="221">
        <f t="shared" ref="J75:M75" si="5">SUM(J63:J73)</f>
        <v>14</v>
      </c>
      <c r="K75" s="222">
        <f t="shared" si="5"/>
        <v>36</v>
      </c>
      <c r="L75" s="221">
        <f t="shared" si="5"/>
        <v>0</v>
      </c>
      <c r="M75" s="223">
        <f t="shared" si="5"/>
        <v>6</v>
      </c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</row>
    <row r="76" ht="4.5" customHeight="1">
      <c r="A76" s="187"/>
      <c r="B76" s="187"/>
      <c r="C76" s="224"/>
      <c r="D76" s="23"/>
      <c r="E76" s="23"/>
      <c r="F76" s="23"/>
      <c r="G76" s="23"/>
      <c r="H76" s="23"/>
      <c r="I76" s="23"/>
      <c r="J76" s="23"/>
      <c r="K76" s="23"/>
      <c r="L76" s="23"/>
      <c r="M76" s="202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</row>
    <row r="77" ht="12.75" customHeight="1">
      <c r="A77" s="187"/>
      <c r="B77" s="187"/>
      <c r="C77" s="228" t="s">
        <v>314</v>
      </c>
      <c r="D77" s="23"/>
      <c r="E77" s="23"/>
      <c r="F77" s="23"/>
      <c r="G77" s="23"/>
      <c r="H77" s="23"/>
      <c r="I77" s="200"/>
      <c r="J77" s="229">
        <f t="shared" ref="J77:M77" si="6">J75+J60</f>
        <v>49</v>
      </c>
      <c r="K77" s="230">
        <f t="shared" si="6"/>
        <v>69</v>
      </c>
      <c r="L77" s="231">
        <f t="shared" si="6"/>
        <v>4</v>
      </c>
      <c r="M77" s="232">
        <f t="shared" si="6"/>
        <v>10</v>
      </c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</row>
    <row r="78" ht="6.75" customHeight="1">
      <c r="A78" s="187"/>
      <c r="B78" s="187"/>
      <c r="C78" s="233"/>
      <c r="D78" s="23"/>
      <c r="E78" s="23"/>
      <c r="F78" s="23"/>
      <c r="G78" s="23"/>
      <c r="H78" s="23"/>
      <c r="I78" s="23"/>
      <c r="J78" s="23"/>
      <c r="K78" s="23"/>
      <c r="L78" s="23"/>
      <c r="M78" s="202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</row>
    <row r="79" ht="12.75" customHeight="1">
      <c r="A79" s="187"/>
      <c r="B79" s="187"/>
      <c r="C79" s="196" t="s">
        <v>225</v>
      </c>
      <c r="D79" s="191"/>
      <c r="E79" s="191"/>
      <c r="F79" s="191"/>
      <c r="G79" s="191"/>
      <c r="H79" s="191"/>
      <c r="I79" s="191"/>
      <c r="J79" s="191"/>
      <c r="K79" s="191"/>
      <c r="L79" s="191"/>
      <c r="M79" s="192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</row>
    <row r="80" ht="12.75" customHeight="1">
      <c r="A80" s="187"/>
      <c r="B80" s="187"/>
      <c r="C80" s="193"/>
      <c r="D80" s="194"/>
      <c r="E80" s="194"/>
      <c r="F80" s="194"/>
      <c r="G80" s="194"/>
      <c r="H80" s="194"/>
      <c r="I80" s="194"/>
      <c r="J80" s="194"/>
      <c r="K80" s="194"/>
      <c r="L80" s="194"/>
      <c r="M80" s="195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</row>
    <row r="81" ht="26.25" customHeight="1">
      <c r="A81" s="187"/>
      <c r="B81" s="187"/>
      <c r="C81" s="236" t="s">
        <v>196</v>
      </c>
      <c r="D81" s="201" t="s">
        <v>197</v>
      </c>
      <c r="E81" s="199" t="s">
        <v>181</v>
      </c>
      <c r="F81" s="200"/>
      <c r="G81" s="198"/>
      <c r="H81" s="199" t="s">
        <v>220</v>
      </c>
      <c r="I81" s="200"/>
      <c r="J81" s="237"/>
      <c r="K81" s="200"/>
      <c r="L81" s="201"/>
      <c r="M81" s="202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</row>
    <row r="82" ht="12.75" customHeight="1">
      <c r="A82" s="187"/>
      <c r="B82" s="187"/>
      <c r="C82" s="203"/>
      <c r="M82" s="204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</row>
    <row r="83" ht="12.75" customHeight="1">
      <c r="A83" s="187"/>
      <c r="B83" s="187"/>
      <c r="C83" s="205" t="s">
        <v>201</v>
      </c>
      <c r="D83" s="206" t="s">
        <v>216</v>
      </c>
      <c r="E83" s="207" t="s">
        <v>66</v>
      </c>
      <c r="F83" s="207" t="s">
        <v>73</v>
      </c>
      <c r="G83" s="208" t="s">
        <v>198</v>
      </c>
      <c r="H83" s="207" t="s">
        <v>60</v>
      </c>
      <c r="I83" s="207" t="s">
        <v>74</v>
      </c>
      <c r="J83" s="209">
        <v>7.0</v>
      </c>
      <c r="K83" s="210">
        <v>5.0</v>
      </c>
      <c r="L83" s="211">
        <f>IF(AND(J83&gt;K83,J84&gt;K84),2,IF(J83&gt;K83,1,IF(J84&gt;K84,1,0)))</f>
        <v>2</v>
      </c>
      <c r="M83" s="211">
        <f>IF(AND(K83&gt;J83,K84&gt;J84),2,IF(K83&gt;J83,1,IF(K84&gt;J84,1,0)))</f>
        <v>0</v>
      </c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</row>
    <row r="84" ht="12.75" customHeight="1">
      <c r="A84" s="187"/>
      <c r="B84" s="187"/>
      <c r="C84" s="212"/>
      <c r="D84" s="213"/>
      <c r="E84" s="213"/>
      <c r="F84" s="213"/>
      <c r="G84" s="213"/>
      <c r="H84" s="213"/>
      <c r="I84" s="213"/>
      <c r="J84" s="214">
        <v>7.0</v>
      </c>
      <c r="K84" s="215">
        <v>5.0</v>
      </c>
      <c r="L84" s="213"/>
      <c r="M84" s="213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</row>
    <row r="85" ht="4.5" customHeight="1">
      <c r="A85" s="187"/>
      <c r="B85" s="187"/>
      <c r="C85" s="216"/>
      <c r="D85" s="23"/>
      <c r="E85" s="23"/>
      <c r="F85" s="23"/>
      <c r="G85" s="23"/>
      <c r="H85" s="23"/>
      <c r="I85" s="23"/>
      <c r="J85" s="23"/>
      <c r="K85" s="23"/>
      <c r="L85" s="23"/>
      <c r="M85" s="202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</row>
    <row r="86" ht="12.75" customHeight="1">
      <c r="A86" s="187"/>
      <c r="B86" s="187"/>
      <c r="C86" s="218" t="s">
        <v>318</v>
      </c>
      <c r="D86" s="206" t="s">
        <v>209</v>
      </c>
      <c r="E86" s="207" t="s">
        <v>134</v>
      </c>
      <c r="F86" s="207" t="s">
        <v>146</v>
      </c>
      <c r="G86" s="208" t="s">
        <v>198</v>
      </c>
      <c r="H86" s="207" t="s">
        <v>135</v>
      </c>
      <c r="I86" s="207" t="s">
        <v>147</v>
      </c>
      <c r="J86" s="209">
        <v>6.0</v>
      </c>
      <c r="K86" s="210">
        <v>4.0</v>
      </c>
      <c r="L86" s="211">
        <f>IF(AND(J86&gt;K86,J87&gt;K87),2,IF(J86&gt;K86,1,IF(J87&gt;K87,1,0)))</f>
        <v>1</v>
      </c>
      <c r="M86" s="211">
        <f>IF(AND(K86&gt;J86,K87&gt;J87),2,IF(K86&gt;J86,1,IF(K87&gt;J87,1,0)))</f>
        <v>1</v>
      </c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</row>
    <row r="87" ht="12.75" customHeight="1">
      <c r="A87" s="187"/>
      <c r="B87" s="187"/>
      <c r="C87" s="212"/>
      <c r="D87" s="213"/>
      <c r="E87" s="213"/>
      <c r="F87" s="213"/>
      <c r="G87" s="213"/>
      <c r="H87" s="213"/>
      <c r="I87" s="213"/>
      <c r="J87" s="214">
        <v>2.0</v>
      </c>
      <c r="K87" s="215">
        <v>6.0</v>
      </c>
      <c r="L87" s="213"/>
      <c r="M87" s="213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</row>
    <row r="88" ht="4.5" customHeight="1">
      <c r="A88" s="187"/>
      <c r="B88" s="187"/>
      <c r="C88" s="217"/>
      <c r="D88" s="23"/>
      <c r="E88" s="23"/>
      <c r="F88" s="23"/>
      <c r="G88" s="23"/>
      <c r="H88" s="23"/>
      <c r="I88" s="23"/>
      <c r="J88" s="23"/>
      <c r="K88" s="23"/>
      <c r="L88" s="23"/>
      <c r="M88" s="202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</row>
    <row r="89" ht="12.75" customHeight="1">
      <c r="A89" s="187"/>
      <c r="B89" s="187"/>
      <c r="C89" s="205" t="s">
        <v>206</v>
      </c>
      <c r="D89" s="206" t="s">
        <v>205</v>
      </c>
      <c r="E89" s="207" t="s">
        <v>319</v>
      </c>
      <c r="F89" s="207" t="s">
        <v>122</v>
      </c>
      <c r="G89" s="208" t="s">
        <v>198</v>
      </c>
      <c r="H89" s="207" t="s">
        <v>118</v>
      </c>
      <c r="I89" s="207" t="s">
        <v>123</v>
      </c>
      <c r="J89" s="209">
        <v>3.0</v>
      </c>
      <c r="K89" s="210">
        <v>6.0</v>
      </c>
      <c r="L89" s="211">
        <f>IF(AND(J89&gt;K89,J90&gt;K90),2,IF(J89&gt;K89,1,IF(J90&gt;K90,1,0)))</f>
        <v>1</v>
      </c>
      <c r="M89" s="211">
        <f>IF(AND(K89&gt;J89,K90&gt;J90),2,IF(K89&gt;J89,1,IF(K90&gt;J90,1,0)))</f>
        <v>1</v>
      </c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</row>
    <row r="90" ht="12.75" customHeight="1">
      <c r="A90" s="187"/>
      <c r="B90" s="187"/>
      <c r="C90" s="212"/>
      <c r="D90" s="213"/>
      <c r="E90" s="213"/>
      <c r="F90" s="213"/>
      <c r="G90" s="213"/>
      <c r="H90" s="213"/>
      <c r="I90" s="213"/>
      <c r="J90" s="214">
        <v>6.0</v>
      </c>
      <c r="K90" s="215">
        <v>2.0</v>
      </c>
      <c r="L90" s="213"/>
      <c r="M90" s="213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</row>
    <row r="91" ht="4.5" customHeight="1">
      <c r="A91" s="187"/>
      <c r="B91" s="187"/>
      <c r="C91" s="217"/>
      <c r="D91" s="23"/>
      <c r="E91" s="23"/>
      <c r="F91" s="23"/>
      <c r="G91" s="23"/>
      <c r="H91" s="23"/>
      <c r="I91" s="23"/>
      <c r="J91" s="23"/>
      <c r="K91" s="23"/>
      <c r="L91" s="23"/>
      <c r="M91" s="202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</row>
    <row r="92" ht="12.75" customHeight="1">
      <c r="A92" s="187"/>
      <c r="B92" s="187"/>
      <c r="C92" s="205" t="s">
        <v>204</v>
      </c>
      <c r="D92" s="248"/>
      <c r="E92" s="211"/>
      <c r="F92" s="211"/>
      <c r="G92" s="208"/>
      <c r="H92" s="211"/>
      <c r="I92" s="211"/>
      <c r="J92" s="249"/>
      <c r="K92" s="250"/>
      <c r="L92" s="211">
        <f>IF(AND(J92&gt;K92,J93&gt;K93),2,IF(J92&gt;K92,1,IF(J93&gt;K93,1,0)))</f>
        <v>0</v>
      </c>
      <c r="M92" s="211">
        <f>IF(AND(K92&gt;J92,K93&gt;J93),2,IF(K92&gt;J92,1,IF(K93&gt;J93,1,0)))</f>
        <v>0</v>
      </c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</row>
    <row r="93" ht="12.75" customHeight="1">
      <c r="A93" s="187"/>
      <c r="B93" s="187"/>
      <c r="C93" s="212"/>
      <c r="D93" s="213"/>
      <c r="E93" s="213"/>
      <c r="F93" s="213"/>
      <c r="G93" s="213"/>
      <c r="H93" s="213"/>
      <c r="I93" s="213"/>
      <c r="J93" s="251"/>
      <c r="K93" s="252"/>
      <c r="L93" s="213"/>
      <c r="M93" s="213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</row>
    <row r="94" ht="4.5" customHeight="1">
      <c r="A94" s="187"/>
      <c r="B94" s="187"/>
      <c r="C94" s="253"/>
      <c r="D94" s="254"/>
      <c r="E94" s="254"/>
      <c r="F94" s="254"/>
      <c r="G94" s="254"/>
      <c r="H94" s="254"/>
      <c r="I94" s="254"/>
      <c r="J94" s="254"/>
      <c r="K94" s="254"/>
      <c r="L94" s="254"/>
      <c r="M94" s="255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</row>
    <row r="95" ht="12.75" customHeight="1">
      <c r="A95" s="187"/>
      <c r="B95" s="187"/>
      <c r="C95" s="220" t="s">
        <v>310</v>
      </c>
      <c r="D95" s="23"/>
      <c r="E95" s="23"/>
      <c r="F95" s="23"/>
      <c r="G95" s="23"/>
      <c r="H95" s="23"/>
      <c r="I95" s="200"/>
      <c r="J95" s="221">
        <f t="shared" ref="J95:M95" si="7">SUM(J83:J93)</f>
        <v>31</v>
      </c>
      <c r="K95" s="222">
        <f t="shared" si="7"/>
        <v>28</v>
      </c>
      <c r="L95" s="221">
        <f t="shared" si="7"/>
        <v>4</v>
      </c>
      <c r="M95" s="223">
        <f t="shared" si="7"/>
        <v>2</v>
      </c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</row>
    <row r="96" ht="4.5" customHeight="1">
      <c r="A96" s="187"/>
      <c r="B96" s="187"/>
      <c r="C96" s="224"/>
      <c r="D96" s="23"/>
      <c r="E96" s="23"/>
      <c r="F96" s="23"/>
      <c r="G96" s="23"/>
      <c r="H96" s="23"/>
      <c r="I96" s="23"/>
      <c r="J96" s="23"/>
      <c r="K96" s="23"/>
      <c r="L96" s="23"/>
      <c r="M96" s="202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</row>
    <row r="97" ht="12.75" customHeight="1">
      <c r="A97" s="187"/>
      <c r="B97" s="187"/>
      <c r="C97" s="225"/>
      <c r="D97" s="23"/>
      <c r="E97" s="23"/>
      <c r="F97" s="23"/>
      <c r="G97" s="23"/>
      <c r="H97" s="23"/>
      <c r="I97" s="23"/>
      <c r="J97" s="23"/>
      <c r="K97" s="23"/>
      <c r="L97" s="23"/>
      <c r="M97" s="202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</row>
    <row r="98" ht="12.75" customHeight="1">
      <c r="A98" s="187"/>
      <c r="B98" s="187"/>
      <c r="C98" s="205" t="s">
        <v>201</v>
      </c>
      <c r="D98" s="206" t="s">
        <v>214</v>
      </c>
      <c r="E98" s="207" t="s">
        <v>79</v>
      </c>
      <c r="F98" s="207" t="s">
        <v>93</v>
      </c>
      <c r="G98" s="208" t="s">
        <v>198</v>
      </c>
      <c r="H98" s="207" t="s">
        <v>80</v>
      </c>
      <c r="I98" s="207" t="s">
        <v>87</v>
      </c>
      <c r="J98" s="209">
        <v>1.0</v>
      </c>
      <c r="K98" s="210">
        <v>6.0</v>
      </c>
      <c r="L98" s="211">
        <f>IF(AND(J98&gt;K98,J99&gt;K99),2,IF(J98&gt;K98,1,IF(J99&gt;K99,1,0)))</f>
        <v>0</v>
      </c>
      <c r="M98" s="211">
        <f>IF(AND(K98&gt;J98,K99&gt;J99),2,IF(K98&gt;J98,1,IF(K99&gt;J99,1,0)))</f>
        <v>2</v>
      </c>
      <c r="N98" s="245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</row>
    <row r="99" ht="12.75" customHeight="1">
      <c r="A99" s="187"/>
      <c r="B99" s="187"/>
      <c r="C99" s="212"/>
      <c r="D99" s="213"/>
      <c r="E99" s="213"/>
      <c r="F99" s="213"/>
      <c r="G99" s="213"/>
      <c r="H99" s="213"/>
      <c r="I99" s="213"/>
      <c r="J99" s="214">
        <v>1.0</v>
      </c>
      <c r="K99" s="215">
        <v>6.0</v>
      </c>
      <c r="L99" s="213"/>
      <c r="M99" s="213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</row>
    <row r="100" ht="4.5" customHeight="1">
      <c r="A100" s="187"/>
      <c r="B100" s="187"/>
      <c r="C100" s="216"/>
      <c r="D100" s="23"/>
      <c r="E100" s="23"/>
      <c r="F100" s="23"/>
      <c r="G100" s="23"/>
      <c r="H100" s="23"/>
      <c r="I100" s="23"/>
      <c r="J100" s="23"/>
      <c r="K100" s="23"/>
      <c r="L100" s="23"/>
      <c r="M100" s="202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</row>
    <row r="101" ht="12.75" customHeight="1">
      <c r="A101" s="187"/>
      <c r="B101" s="187"/>
      <c r="C101" s="205" t="s">
        <v>204</v>
      </c>
      <c r="D101" s="206" t="s">
        <v>207</v>
      </c>
      <c r="E101" s="207" t="s">
        <v>19</v>
      </c>
      <c r="F101" s="207" t="s">
        <v>26</v>
      </c>
      <c r="G101" s="208" t="s">
        <v>198</v>
      </c>
      <c r="H101" s="207" t="s">
        <v>20</v>
      </c>
      <c r="I101" s="207" t="s">
        <v>33</v>
      </c>
      <c r="J101" s="209">
        <v>6.0</v>
      </c>
      <c r="K101" s="210">
        <v>4.0</v>
      </c>
      <c r="L101" s="211">
        <f>IF(AND(J101&gt;K101,J102&gt;K102),2,IF(J101&gt;K101,1,IF(J102&gt;K102,1,0)))</f>
        <v>1</v>
      </c>
      <c r="M101" s="211">
        <f>IF(AND(K101&gt;J101,K102&gt;J102),2,IF(K101&gt;J101,1,IF(K102&gt;J102,1,0)))</f>
        <v>1</v>
      </c>
      <c r="N101" s="245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</row>
    <row r="102" ht="12.75" customHeight="1">
      <c r="A102" s="187"/>
      <c r="B102" s="187"/>
      <c r="C102" s="212"/>
      <c r="D102" s="213"/>
      <c r="E102" s="213"/>
      <c r="F102" s="213"/>
      <c r="G102" s="213"/>
      <c r="H102" s="213"/>
      <c r="I102" s="213"/>
      <c r="J102" s="214">
        <v>5.0</v>
      </c>
      <c r="K102" s="215">
        <v>7.0</v>
      </c>
      <c r="L102" s="213"/>
      <c r="M102" s="213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</row>
    <row r="103" ht="4.5" customHeight="1">
      <c r="A103" s="187"/>
      <c r="B103" s="187"/>
      <c r="C103" s="217"/>
      <c r="D103" s="23"/>
      <c r="E103" s="23"/>
      <c r="F103" s="23"/>
      <c r="G103" s="23"/>
      <c r="H103" s="23"/>
      <c r="I103" s="23"/>
      <c r="J103" s="23"/>
      <c r="K103" s="23"/>
      <c r="L103" s="23"/>
      <c r="M103" s="202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</row>
    <row r="104" ht="12.75" customHeight="1">
      <c r="A104" s="187"/>
      <c r="B104" s="187"/>
      <c r="C104" s="205" t="s">
        <v>204</v>
      </c>
      <c r="D104" s="206" t="s">
        <v>202</v>
      </c>
      <c r="E104" s="207" t="s">
        <v>100</v>
      </c>
      <c r="F104" s="207" t="s">
        <v>320</v>
      </c>
      <c r="G104" s="208" t="s">
        <v>198</v>
      </c>
      <c r="H104" s="207" t="s">
        <v>321</v>
      </c>
      <c r="I104" s="207" t="s">
        <v>12</v>
      </c>
      <c r="J104" s="209">
        <v>6.0</v>
      </c>
      <c r="K104" s="210">
        <v>2.0</v>
      </c>
      <c r="L104" s="211">
        <f>IF(AND(J104&gt;K104,J105&gt;K105),2,IF(J104&gt;K104,1,IF(J105&gt;K105,1,0)))</f>
        <v>2</v>
      </c>
      <c r="M104" s="211">
        <f>IF(AND(K104&gt;J104,K105&gt;J105),2,IF(K104&gt;J104,1,IF(K105&gt;J105,1,0)))</f>
        <v>0</v>
      </c>
      <c r="N104" s="245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</row>
    <row r="105" ht="12.75" customHeight="1">
      <c r="A105" s="187"/>
      <c r="B105" s="187"/>
      <c r="C105" s="212"/>
      <c r="D105" s="213"/>
      <c r="E105" s="213"/>
      <c r="F105" s="213"/>
      <c r="G105" s="213"/>
      <c r="H105" s="213"/>
      <c r="I105" s="213"/>
      <c r="J105" s="214">
        <v>6.0</v>
      </c>
      <c r="K105" s="215">
        <v>3.0</v>
      </c>
      <c r="L105" s="213"/>
      <c r="M105" s="213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</row>
    <row r="106" ht="4.5" customHeight="1">
      <c r="A106" s="187"/>
      <c r="B106" s="187"/>
      <c r="C106" s="217"/>
      <c r="D106" s="23"/>
      <c r="E106" s="23"/>
      <c r="F106" s="23"/>
      <c r="G106" s="23"/>
      <c r="H106" s="23"/>
      <c r="I106" s="23"/>
      <c r="J106" s="23"/>
      <c r="K106" s="23"/>
      <c r="L106" s="23"/>
      <c r="M106" s="202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</row>
    <row r="107" ht="12.75" customHeight="1">
      <c r="A107" s="187"/>
      <c r="B107" s="187"/>
      <c r="C107" s="205" t="s">
        <v>206</v>
      </c>
      <c r="D107" s="235" t="s">
        <v>212</v>
      </c>
      <c r="E107" s="207" t="s">
        <v>39</v>
      </c>
      <c r="F107" s="207" t="s">
        <v>45</v>
      </c>
      <c r="G107" s="219" t="s">
        <v>198</v>
      </c>
      <c r="H107" s="207" t="s">
        <v>46</v>
      </c>
      <c r="I107" s="207" t="s">
        <v>53</v>
      </c>
      <c r="J107" s="209">
        <v>5.0</v>
      </c>
      <c r="K107" s="210">
        <v>7.0</v>
      </c>
      <c r="L107" s="211">
        <f>IF(AND(J107&gt;K107,J108&gt;K108),2,IF(J107&gt;K107,1,IF(J108&gt;K108,1,0)))</f>
        <v>0</v>
      </c>
      <c r="M107" s="211">
        <f>IF(AND(K107&gt;J107,K108&gt;J108),2,IF(K107&gt;J107,1,IF(K108&gt;J108,1,0)))</f>
        <v>2</v>
      </c>
      <c r="N107" s="245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</row>
    <row r="108" ht="12.75" customHeight="1">
      <c r="A108" s="187"/>
      <c r="B108" s="187"/>
      <c r="C108" s="212"/>
      <c r="D108" s="213"/>
      <c r="E108" s="213"/>
      <c r="F108" s="213"/>
      <c r="G108" s="213"/>
      <c r="H108" s="213"/>
      <c r="I108" s="213"/>
      <c r="J108" s="214">
        <v>3.0</v>
      </c>
      <c r="K108" s="215">
        <v>6.0</v>
      </c>
      <c r="L108" s="213"/>
      <c r="M108" s="213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</row>
    <row r="109" ht="4.5" customHeight="1">
      <c r="A109" s="187"/>
      <c r="B109" s="187"/>
      <c r="C109" s="217"/>
      <c r="D109" s="23"/>
      <c r="E109" s="23"/>
      <c r="F109" s="23"/>
      <c r="G109" s="23"/>
      <c r="H109" s="23"/>
      <c r="I109" s="23"/>
      <c r="J109" s="23"/>
      <c r="K109" s="23"/>
      <c r="L109" s="23"/>
      <c r="M109" s="202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</row>
    <row r="110" ht="12.75" customHeight="1">
      <c r="A110" s="187"/>
      <c r="B110" s="187"/>
      <c r="C110" s="220" t="s">
        <v>313</v>
      </c>
      <c r="D110" s="23"/>
      <c r="E110" s="23"/>
      <c r="F110" s="23"/>
      <c r="G110" s="23"/>
      <c r="H110" s="23"/>
      <c r="I110" s="200"/>
      <c r="J110" s="221">
        <f t="shared" ref="J110:M110" si="8">SUM(J98:J108)</f>
        <v>33</v>
      </c>
      <c r="K110" s="222">
        <f t="shared" si="8"/>
        <v>41</v>
      </c>
      <c r="L110" s="221">
        <f t="shared" si="8"/>
        <v>3</v>
      </c>
      <c r="M110" s="223">
        <f t="shared" si="8"/>
        <v>5</v>
      </c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</row>
    <row r="111" ht="4.5" customHeight="1">
      <c r="A111" s="187"/>
      <c r="B111" s="187"/>
      <c r="C111" s="224"/>
      <c r="D111" s="23"/>
      <c r="E111" s="23"/>
      <c r="F111" s="23"/>
      <c r="G111" s="23"/>
      <c r="H111" s="23"/>
      <c r="I111" s="23"/>
      <c r="J111" s="23"/>
      <c r="K111" s="23"/>
      <c r="L111" s="23"/>
      <c r="M111" s="202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</row>
    <row r="112" ht="12.75" customHeight="1">
      <c r="A112" s="187"/>
      <c r="B112" s="187"/>
      <c r="C112" s="228" t="s">
        <v>314</v>
      </c>
      <c r="D112" s="23"/>
      <c r="E112" s="23"/>
      <c r="F112" s="23"/>
      <c r="G112" s="23"/>
      <c r="H112" s="23"/>
      <c r="I112" s="200"/>
      <c r="J112" s="229">
        <f t="shared" ref="J112:M112" si="9">J110+J95</f>
        <v>64</v>
      </c>
      <c r="K112" s="230">
        <f t="shared" si="9"/>
        <v>69</v>
      </c>
      <c r="L112" s="231">
        <f t="shared" si="9"/>
        <v>7</v>
      </c>
      <c r="M112" s="232">
        <f t="shared" si="9"/>
        <v>7</v>
      </c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</row>
    <row r="113" ht="6.75" customHeight="1">
      <c r="A113" s="187"/>
      <c r="B113" s="187"/>
      <c r="C113" s="239"/>
      <c r="D113" s="240"/>
      <c r="E113" s="240"/>
      <c r="F113" s="240"/>
      <c r="G113" s="240"/>
      <c r="H113" s="240"/>
      <c r="I113" s="240"/>
      <c r="J113" s="240"/>
      <c r="K113" s="240"/>
      <c r="L113" s="240"/>
      <c r="M113" s="241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</row>
    <row r="114" ht="12.75" customHeight="1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</row>
    <row r="115" ht="12.75" customHeight="1">
      <c r="A115" s="18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</row>
    <row r="116" ht="12.75" customHeight="1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</row>
    <row r="117" ht="12.75" customHeight="1">
      <c r="A117" s="18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</row>
    <row r="118" ht="12.75" customHeight="1">
      <c r="A118" s="18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</row>
    <row r="119" ht="12.75" customHeight="1">
      <c r="A119" s="18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</row>
    <row r="120" ht="12.75" customHeight="1">
      <c r="A120" s="18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</row>
    <row r="121" ht="12.75" customHeight="1">
      <c r="A121" s="187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</row>
    <row r="122" ht="12.75" customHeight="1">
      <c r="A122" s="18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</row>
    <row r="123" ht="12.75" customHeight="1">
      <c r="A123" s="187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</row>
    <row r="124" ht="12.75" customHeight="1">
      <c r="A124" s="187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</row>
    <row r="125" ht="12.75" customHeight="1">
      <c r="A125" s="18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</row>
    <row r="126" ht="12.75" customHeight="1">
      <c r="A126" s="18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</row>
    <row r="127" ht="12.75" customHeight="1">
      <c r="A127" s="187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</row>
    <row r="128" ht="12.75" customHeight="1">
      <c r="A128" s="187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</row>
    <row r="129" ht="12.75" customHeight="1">
      <c r="A129" s="18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</row>
    <row r="130" ht="12.75" customHeight="1">
      <c r="A130" s="18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</row>
    <row r="131" ht="12.75" customHeight="1">
      <c r="A131" s="18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</row>
    <row r="132" ht="12.75" customHeight="1">
      <c r="A132" s="187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</row>
    <row r="133" ht="12.75" customHeight="1">
      <c r="A133" s="18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</row>
    <row r="134" ht="12.75" customHeight="1">
      <c r="A134" s="18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</row>
    <row r="135" ht="12.75" customHeight="1">
      <c r="A135" s="18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</row>
    <row r="136" ht="12.75" customHeight="1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</row>
    <row r="137" ht="12.75" customHeight="1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</row>
    <row r="138" ht="12.75" customHeight="1">
      <c r="A138" s="187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</row>
    <row r="139" ht="12.75" customHeight="1">
      <c r="A139" s="18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</row>
    <row r="140" ht="12.75" customHeight="1">
      <c r="A140" s="18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</row>
    <row r="141" ht="12.75" customHeight="1">
      <c r="A141" s="18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</row>
    <row r="142" ht="12.75" customHeight="1">
      <c r="A142" s="187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</row>
    <row r="143" ht="12.75" customHeight="1">
      <c r="A143" s="187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</row>
    <row r="144" ht="12.75" customHeight="1">
      <c r="A144" s="187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</row>
    <row r="145" ht="12.75" customHeight="1">
      <c r="A145" s="187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</row>
    <row r="146" ht="12.75" customHeight="1">
      <c r="A146" s="187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</row>
    <row r="147" ht="12.75" customHeight="1">
      <c r="A147" s="187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</row>
    <row r="148" ht="12.75" customHeight="1">
      <c r="A148" s="187"/>
      <c r="B148" s="187"/>
      <c r="C148" s="187"/>
      <c r="D148" s="187"/>
      <c r="E148" s="187"/>
      <c r="F148" s="187" t="s">
        <v>227</v>
      </c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</row>
    <row r="149" ht="12.75" customHeight="1">
      <c r="A149" s="187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</row>
    <row r="150" ht="12.75" customHeight="1">
      <c r="A150" s="187"/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</row>
    <row r="151" ht="12.75" customHeight="1">
      <c r="A151" s="187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</row>
    <row r="152" ht="12.75" customHeight="1">
      <c r="A152" s="187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</row>
    <row r="153" ht="12.75" customHeight="1">
      <c r="A153" s="187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</row>
    <row r="154" ht="12.75" customHeight="1">
      <c r="A154" s="187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</row>
    <row r="155" ht="12.75" customHeight="1">
      <c r="A155" s="187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</row>
    <row r="156" ht="12.75" customHeight="1">
      <c r="A156" s="187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</row>
    <row r="157" ht="12.75" customHeight="1">
      <c r="A157" s="187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</row>
    <row r="158" ht="12.75" customHeight="1">
      <c r="A158" s="187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</row>
    <row r="159" ht="12.75" customHeight="1">
      <c r="A159" s="187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</row>
    <row r="160" ht="12.75" customHeight="1">
      <c r="A160" s="187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</row>
    <row r="161" ht="12.75" customHeight="1">
      <c r="A161" s="187"/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</row>
    <row r="162" ht="12.75" customHeight="1">
      <c r="A162" s="187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</row>
    <row r="163" ht="12.75" customHeight="1">
      <c r="A163" s="187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</row>
    <row r="164" ht="12.75" customHeight="1">
      <c r="A164" s="187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</row>
    <row r="165" ht="12.75" customHeight="1">
      <c r="A165" s="187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</row>
    <row r="166" ht="12.75" customHeight="1">
      <c r="A166" s="187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</row>
    <row r="167" ht="12.75" customHeight="1">
      <c r="A167" s="187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</row>
    <row r="168" ht="12.75" customHeight="1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</row>
    <row r="169" ht="12.75" customHeight="1">
      <c r="A169" s="187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</row>
    <row r="170" ht="12.75" customHeight="1">
      <c r="A170" s="187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</row>
    <row r="171" ht="12.75" customHeight="1">
      <c r="A171" s="187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</row>
    <row r="172" ht="12.75" customHeight="1">
      <c r="A172" s="187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</row>
    <row r="173" ht="12.75" customHeight="1">
      <c r="A173" s="18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</row>
    <row r="174" ht="12.75" customHeight="1">
      <c r="A174" s="187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</row>
    <row r="175" ht="12.75" customHeight="1">
      <c r="A175" s="187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</row>
    <row r="176" ht="12.75" customHeight="1">
      <c r="A176" s="187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</row>
    <row r="177" ht="12.75" customHeight="1">
      <c r="A177" s="187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</row>
    <row r="178" ht="12.75" customHeight="1">
      <c r="A178" s="187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</row>
    <row r="179" ht="12.75" customHeight="1">
      <c r="A179" s="187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</row>
    <row r="180" ht="12.75" customHeight="1">
      <c r="A180" s="187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</row>
    <row r="181" ht="12.75" customHeight="1">
      <c r="A181" s="187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</row>
    <row r="182" ht="12.75" customHeight="1">
      <c r="A182" s="187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</row>
    <row r="183" ht="12.75" customHeight="1">
      <c r="A183" s="187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</row>
    <row r="184" ht="12.75" customHeight="1">
      <c r="A184" s="187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</row>
    <row r="185" ht="12.75" customHeight="1">
      <c r="A185" s="187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</row>
    <row r="186" ht="12.75" customHeight="1">
      <c r="A186" s="187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</row>
    <row r="187" ht="12.75" customHeight="1">
      <c r="A187" s="187"/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</row>
    <row r="188" ht="12.75" customHeight="1">
      <c r="A188" s="187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</row>
    <row r="189" ht="12.75" customHeight="1">
      <c r="A189" s="187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</row>
    <row r="190" ht="12.75" customHeight="1">
      <c r="A190" s="187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</row>
    <row r="191" ht="12.75" customHeight="1">
      <c r="A191" s="187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</row>
    <row r="192" ht="12.75" customHeight="1">
      <c r="A192" s="187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</row>
    <row r="193" ht="12.75" customHeight="1">
      <c r="A193" s="187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</row>
    <row r="194" ht="12.75" customHeight="1">
      <c r="A194" s="187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</row>
    <row r="195" ht="12.75" customHeight="1">
      <c r="A195" s="187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</row>
    <row r="196" ht="12.75" customHeight="1">
      <c r="A196" s="187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</row>
    <row r="197" ht="12.75" customHeight="1">
      <c r="A197" s="187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</row>
    <row r="198" ht="12.75" customHeight="1">
      <c r="A198" s="187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</row>
    <row r="199" ht="12.75" customHeight="1">
      <c r="A199" s="187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</row>
    <row r="200" ht="12.75" customHeight="1">
      <c r="A200" s="187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</row>
    <row r="201" ht="12.75" customHeight="1">
      <c r="A201" s="187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</row>
    <row r="202" ht="12.75" customHeight="1">
      <c r="A202" s="187"/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</row>
    <row r="203" ht="12.75" customHeight="1">
      <c r="A203" s="187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</row>
    <row r="204" ht="12.75" customHeight="1">
      <c r="A204" s="187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</row>
    <row r="205" ht="12.75" customHeight="1">
      <c r="A205" s="187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</row>
    <row r="206" ht="12.75" customHeight="1">
      <c r="A206" s="187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</row>
    <row r="207" ht="12.75" customHeight="1">
      <c r="A207" s="187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</row>
    <row r="208" ht="12.75" customHeight="1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</row>
    <row r="209" ht="12.75" customHeight="1">
      <c r="A209" s="187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</row>
    <row r="210" ht="12.75" customHeight="1">
      <c r="A210" s="187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</row>
    <row r="211" ht="12.75" customHeight="1">
      <c r="A211" s="187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</row>
    <row r="212" ht="12.75" customHeight="1">
      <c r="A212" s="187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</row>
    <row r="213" ht="12.75" customHeight="1">
      <c r="A213" s="187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</row>
    <row r="214" ht="12.75" customHeight="1">
      <c r="A214" s="187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</row>
    <row r="215" ht="12.75" customHeight="1">
      <c r="A215" s="187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</row>
    <row r="216" ht="12.75" customHeight="1">
      <c r="A216" s="187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</row>
    <row r="217" ht="12.75" customHeight="1">
      <c r="A217" s="187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</row>
    <row r="218" ht="12.75" customHeight="1">
      <c r="A218" s="187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</row>
    <row r="219" ht="12.75" customHeight="1">
      <c r="A219" s="187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</row>
    <row r="220" ht="12.75" customHeight="1">
      <c r="A220" s="187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</row>
    <row r="221" ht="12.75" customHeight="1">
      <c r="A221" s="187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</row>
    <row r="222" ht="12.75" customHeight="1">
      <c r="A222" s="187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</row>
    <row r="223" ht="12.75" customHeight="1">
      <c r="A223" s="187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</row>
    <row r="224" ht="12.75" customHeight="1">
      <c r="A224" s="187"/>
      <c r="B224" s="187"/>
      <c r="C224" s="187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</row>
    <row r="225" ht="12.75" customHeight="1">
      <c r="A225" s="187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</row>
    <row r="226" ht="12.75" customHeight="1">
      <c r="A226" s="187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</row>
    <row r="227" ht="12.75" customHeight="1">
      <c r="A227" s="187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</row>
    <row r="228" ht="12.75" customHeight="1">
      <c r="A228" s="187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</row>
    <row r="229" ht="12.75" customHeight="1">
      <c r="A229" s="187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</row>
    <row r="230" ht="12.75" customHeight="1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</row>
    <row r="231" ht="12.75" customHeight="1">
      <c r="A231" s="187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</row>
    <row r="232" ht="12.75" customHeight="1">
      <c r="A232" s="187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</row>
    <row r="233" ht="12.75" customHeight="1">
      <c r="A233" s="187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</row>
    <row r="234" ht="12.75" customHeight="1">
      <c r="A234" s="187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</row>
    <row r="235" ht="12.75" customHeight="1">
      <c r="A235" s="187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</row>
    <row r="236" ht="12.75" customHeight="1">
      <c r="A236" s="187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</row>
    <row r="237" ht="12.75" customHeight="1">
      <c r="A237" s="187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</row>
    <row r="238" ht="12.75" customHeight="1">
      <c r="A238" s="187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</row>
    <row r="239" ht="12.75" customHeight="1">
      <c r="A239" s="187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</row>
    <row r="240" ht="12.75" customHeight="1">
      <c r="A240" s="187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</row>
    <row r="241" ht="12.75" customHeight="1">
      <c r="A241" s="187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</row>
    <row r="242" ht="12.75" customHeight="1">
      <c r="A242" s="187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</row>
    <row r="243" ht="12.75" customHeight="1">
      <c r="A243" s="187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</row>
    <row r="244" ht="12.75" customHeight="1">
      <c r="A244" s="187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</row>
    <row r="245" ht="12.75" customHeight="1">
      <c r="A245" s="187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</row>
    <row r="246" ht="12.75" customHeight="1">
      <c r="A246" s="187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</row>
    <row r="247" ht="12.75" customHeight="1">
      <c r="A247" s="187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</row>
    <row r="248" ht="12.75" customHeight="1">
      <c r="A248" s="187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</row>
    <row r="249" ht="12.75" customHeight="1">
      <c r="A249" s="187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</row>
    <row r="250" ht="12.75" customHeight="1">
      <c r="A250" s="187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</row>
    <row r="251" ht="12.75" customHeight="1">
      <c r="A251" s="187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</row>
    <row r="252" ht="12.75" customHeight="1">
      <c r="A252" s="187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</row>
    <row r="253" ht="12.75" customHeight="1">
      <c r="A253" s="187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</row>
    <row r="254" ht="12.75" customHeight="1">
      <c r="A254" s="187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</row>
    <row r="255" ht="12.75" customHeight="1">
      <c r="A255" s="187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</row>
    <row r="256" ht="12.75" customHeight="1">
      <c r="A256" s="187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</row>
    <row r="257" ht="12.75" customHeight="1">
      <c r="A257" s="187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</row>
    <row r="258" ht="12.75" customHeight="1">
      <c r="A258" s="187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</row>
    <row r="259" ht="12.75" customHeight="1">
      <c r="A259" s="187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</row>
    <row r="260" ht="12.75" customHeight="1">
      <c r="A260" s="187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</row>
    <row r="261" ht="12.75" customHeight="1">
      <c r="A261" s="187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</row>
    <row r="262" ht="12.75" customHeight="1">
      <c r="A262" s="187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</row>
    <row r="263" ht="12.75" customHeight="1">
      <c r="A263" s="187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</row>
    <row r="264" ht="12.75" customHeight="1">
      <c r="A264" s="187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</row>
    <row r="265" ht="12.75" customHeight="1">
      <c r="A265" s="187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</row>
    <row r="266" ht="12.75" customHeight="1">
      <c r="A266" s="187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</row>
    <row r="267" ht="12.75" customHeight="1">
      <c r="A267" s="187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</row>
    <row r="268" ht="12.75" customHeight="1">
      <c r="A268" s="187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</row>
    <row r="269" ht="12.75" customHeight="1">
      <c r="A269" s="187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</row>
    <row r="270" ht="12.75" customHeight="1">
      <c r="A270" s="187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</row>
    <row r="271" ht="12.75" customHeight="1">
      <c r="A271" s="187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</row>
    <row r="272" ht="12.75" customHeight="1">
      <c r="A272" s="187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</row>
    <row r="273" ht="12.75" customHeight="1">
      <c r="A273" s="187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</row>
    <row r="274" ht="12.75" customHeight="1">
      <c r="A274" s="187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</row>
    <row r="275" ht="12.75" customHeight="1">
      <c r="A275" s="187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</row>
    <row r="276" ht="12.75" customHeight="1">
      <c r="A276" s="187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</row>
    <row r="277" ht="12.75" customHeight="1">
      <c r="A277" s="187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</row>
    <row r="278" ht="12.75" customHeight="1">
      <c r="A278" s="187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</row>
    <row r="279" ht="12.75" customHeight="1">
      <c r="A279" s="187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</row>
    <row r="280" ht="12.75" customHeight="1">
      <c r="A280" s="187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</row>
    <row r="281" ht="12.75" customHeight="1">
      <c r="A281" s="187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</row>
    <row r="282" ht="12.75" customHeight="1">
      <c r="A282" s="187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</row>
    <row r="283" ht="12.75" customHeight="1">
      <c r="A283" s="187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</row>
    <row r="284" ht="12.75" customHeight="1">
      <c r="A284" s="187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</row>
    <row r="285" ht="12.75" customHeight="1">
      <c r="A285" s="187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</row>
    <row r="286" ht="12.75" customHeight="1">
      <c r="A286" s="187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</row>
    <row r="287" ht="12.75" customHeight="1">
      <c r="A287" s="187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</row>
    <row r="288" ht="12.75" customHeight="1">
      <c r="A288" s="187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</row>
    <row r="289" ht="12.75" customHeight="1">
      <c r="A289" s="187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</row>
    <row r="290" ht="12.75" customHeight="1">
      <c r="A290" s="187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</row>
    <row r="291" ht="12.75" customHeight="1">
      <c r="A291" s="187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</row>
    <row r="292" ht="12.75" customHeight="1">
      <c r="A292" s="187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</row>
    <row r="293" ht="12.75" customHeight="1">
      <c r="A293" s="187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</row>
    <row r="294" ht="12.75" customHeight="1">
      <c r="A294" s="187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</row>
    <row r="295" ht="12.75" customHeight="1">
      <c r="A295" s="187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</row>
    <row r="296" ht="12.75" customHeight="1">
      <c r="A296" s="187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</row>
    <row r="297" ht="12.75" customHeight="1">
      <c r="A297" s="187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</row>
    <row r="298" ht="12.75" customHeight="1">
      <c r="A298" s="187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</row>
    <row r="299" ht="12.75" customHeight="1">
      <c r="A299" s="187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</row>
    <row r="300" ht="12.75" customHeight="1">
      <c r="A300" s="187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</row>
    <row r="301" ht="12.75" customHeight="1">
      <c r="A301" s="187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</row>
    <row r="302" ht="12.75" customHeight="1">
      <c r="A302" s="187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</row>
    <row r="303" ht="12.75" customHeight="1">
      <c r="A303" s="187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</row>
    <row r="304" ht="12.75" customHeight="1">
      <c r="A304" s="187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</row>
    <row r="305" ht="12.75" customHeight="1">
      <c r="A305" s="187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</row>
    <row r="306" ht="12.75" customHeight="1">
      <c r="A306" s="187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</row>
    <row r="307" ht="12.75" customHeight="1">
      <c r="A307" s="187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</row>
    <row r="308" ht="12.75" customHeight="1">
      <c r="A308" s="187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</row>
    <row r="309" ht="12.75" customHeight="1">
      <c r="A309" s="187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</row>
    <row r="310" ht="12.75" customHeight="1">
      <c r="A310" s="187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</row>
    <row r="311" ht="12.75" customHeight="1">
      <c r="A311" s="187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</row>
    <row r="312" ht="12.75" customHeight="1">
      <c r="A312" s="187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</row>
    <row r="313" ht="12.75" customHeight="1">
      <c r="A313" s="187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</row>
    <row r="314" ht="12.75" customHeight="1">
      <c r="A314" s="187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</row>
    <row r="315" ht="12.75" customHeight="1">
      <c r="A315" s="187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</row>
    <row r="316" ht="12.75" customHeight="1">
      <c r="A316" s="187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</row>
    <row r="317" ht="12.75" customHeight="1">
      <c r="A317" s="187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</row>
    <row r="318" ht="12.75" customHeight="1">
      <c r="A318" s="187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</row>
    <row r="319" ht="12.75" customHeight="1">
      <c r="A319" s="187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</row>
    <row r="320" ht="12.75" customHeight="1">
      <c r="A320" s="187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</row>
    <row r="321" ht="12.75" customHeight="1">
      <c r="A321" s="187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</row>
    <row r="322" ht="12.75" customHeight="1">
      <c r="A322" s="187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</row>
    <row r="323" ht="12.75" customHeight="1">
      <c r="A323" s="187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</row>
    <row r="324" ht="12.75" customHeight="1">
      <c r="A324" s="187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</row>
    <row r="325" ht="12.75" customHeight="1">
      <c r="A325" s="187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</row>
    <row r="326" ht="12.75" customHeight="1">
      <c r="A326" s="187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</row>
    <row r="327" ht="12.75" customHeight="1">
      <c r="A327" s="187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</row>
    <row r="328" ht="12.75" customHeight="1">
      <c r="A328" s="187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</row>
    <row r="329" ht="12.75" customHeight="1">
      <c r="A329" s="187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</row>
    <row r="330" ht="12.75" customHeight="1">
      <c r="A330" s="187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</row>
    <row r="331" ht="12.75" customHeight="1">
      <c r="A331" s="187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</row>
    <row r="332" ht="12.75" customHeight="1">
      <c r="A332" s="187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</row>
    <row r="333" ht="12.75" customHeight="1">
      <c r="A333" s="187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</row>
    <row r="334" ht="12.75" customHeight="1">
      <c r="A334" s="187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</row>
    <row r="335" ht="12.75" customHeight="1">
      <c r="A335" s="187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</row>
    <row r="336" ht="12.75" customHeight="1">
      <c r="A336" s="187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</row>
    <row r="337" ht="12.75" customHeight="1">
      <c r="A337" s="187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</row>
    <row r="338" ht="12.75" customHeight="1">
      <c r="A338" s="187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</row>
    <row r="339" ht="12.75" customHeight="1">
      <c r="A339" s="187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</row>
    <row r="340" ht="12.75" customHeight="1">
      <c r="A340" s="187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</row>
    <row r="341" ht="12.75" customHeight="1">
      <c r="A341" s="187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</row>
    <row r="342" ht="12.75" customHeight="1">
      <c r="A342" s="187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</row>
    <row r="343" ht="12.75" customHeight="1">
      <c r="A343" s="187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</row>
    <row r="344" ht="12.75" customHeight="1">
      <c r="A344" s="187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</row>
    <row r="345" ht="12.75" customHeight="1">
      <c r="A345" s="187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</row>
    <row r="346" ht="12.75" customHeight="1">
      <c r="A346" s="187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</row>
    <row r="347" ht="12.75" customHeight="1">
      <c r="A347" s="187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</row>
    <row r="348" ht="12.75" customHeight="1">
      <c r="A348" s="187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</row>
    <row r="349" ht="12.75" customHeight="1">
      <c r="A349" s="187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</row>
    <row r="350" ht="12.75" customHeight="1">
      <c r="A350" s="187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</row>
    <row r="351" ht="12.75" customHeight="1">
      <c r="A351" s="187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</row>
    <row r="352" ht="12.75" customHeight="1">
      <c r="A352" s="187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</row>
    <row r="353" ht="12.75" customHeight="1">
      <c r="A353" s="187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</row>
    <row r="354" ht="12.75" customHeight="1">
      <c r="A354" s="187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</row>
    <row r="355" ht="12.75" customHeight="1">
      <c r="A355" s="187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</row>
    <row r="356" ht="12.75" customHeight="1">
      <c r="A356" s="187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</row>
    <row r="357" ht="12.75" customHeight="1">
      <c r="A357" s="187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</row>
    <row r="358" ht="12.75" customHeight="1">
      <c r="A358" s="187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</row>
    <row r="359" ht="12.75" customHeight="1">
      <c r="A359" s="187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</row>
    <row r="360" ht="12.75" customHeight="1">
      <c r="A360" s="187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</row>
    <row r="361" ht="12.75" customHeight="1">
      <c r="A361" s="187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</row>
    <row r="362" ht="12.75" customHeight="1">
      <c r="A362" s="187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</row>
    <row r="363" ht="12.75" customHeight="1">
      <c r="A363" s="187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</row>
    <row r="364" ht="12.75" customHeight="1">
      <c r="A364" s="187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</row>
    <row r="365" ht="12.75" customHeight="1">
      <c r="A365" s="187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</row>
    <row r="366" ht="12.75" customHeight="1">
      <c r="A366" s="187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</row>
    <row r="367" ht="12.75" customHeight="1">
      <c r="A367" s="187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</row>
    <row r="368" ht="12.75" customHeight="1">
      <c r="A368" s="187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</row>
    <row r="369" ht="12.75" customHeight="1">
      <c r="A369" s="187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</row>
    <row r="370" ht="12.75" customHeight="1">
      <c r="A370" s="187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</row>
    <row r="371" ht="12.75" customHeight="1">
      <c r="A371" s="187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</row>
    <row r="372" ht="12.75" customHeight="1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</row>
    <row r="373" ht="12.75" customHeight="1">
      <c r="A373" s="187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</row>
    <row r="374" ht="12.75" customHeight="1">
      <c r="A374" s="187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</row>
    <row r="375" ht="12.75" customHeight="1">
      <c r="A375" s="187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</row>
    <row r="376" ht="12.75" customHeight="1">
      <c r="A376" s="187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</row>
    <row r="377" ht="12.75" customHeight="1">
      <c r="A377" s="187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</row>
    <row r="378" ht="12.75" customHeight="1">
      <c r="A378" s="187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</row>
    <row r="379" ht="12.75" customHeight="1">
      <c r="A379" s="187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</row>
    <row r="380" ht="12.75" customHeight="1">
      <c r="A380" s="187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</row>
    <row r="381" ht="12.75" customHeight="1">
      <c r="A381" s="187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</row>
    <row r="382" ht="12.75" customHeight="1">
      <c r="A382" s="187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</row>
    <row r="383" ht="12.75" customHeight="1">
      <c r="A383" s="187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</row>
    <row r="384" ht="12.75" customHeight="1">
      <c r="A384" s="187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</row>
    <row r="385" ht="12.75" customHeight="1">
      <c r="A385" s="187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</row>
    <row r="386" ht="12.75" customHeight="1">
      <c r="A386" s="187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</row>
    <row r="387" ht="12.75" customHeight="1">
      <c r="A387" s="187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</row>
    <row r="388" ht="12.75" customHeight="1">
      <c r="A388" s="187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</row>
    <row r="389" ht="12.75" customHeight="1">
      <c r="A389" s="187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</row>
    <row r="390" ht="12.75" customHeight="1">
      <c r="A390" s="187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</row>
    <row r="391" ht="12.75" customHeight="1">
      <c r="A391" s="187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</row>
    <row r="392" ht="12.75" customHeight="1">
      <c r="A392" s="187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</row>
    <row r="393" ht="12.75" customHeight="1">
      <c r="A393" s="187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</row>
    <row r="394" ht="12.75" customHeight="1">
      <c r="A394" s="187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</row>
    <row r="395" ht="12.75" customHeight="1">
      <c r="A395" s="187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</row>
    <row r="396" ht="12.75" customHeight="1">
      <c r="A396" s="187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</row>
    <row r="397" ht="12.75" customHeight="1">
      <c r="A397" s="187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</row>
    <row r="398" ht="12.75" customHeight="1">
      <c r="A398" s="187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</row>
    <row r="399" ht="12.75" customHeight="1">
      <c r="A399" s="187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</row>
    <row r="400" ht="12.75" customHeight="1">
      <c r="A400" s="187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</row>
    <row r="401" ht="12.75" customHeight="1">
      <c r="A401" s="187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</row>
    <row r="402" ht="12.75" customHeight="1">
      <c r="A402" s="187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</row>
    <row r="403" ht="12.75" customHeight="1">
      <c r="A403" s="187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</row>
    <row r="404" ht="12.75" customHeight="1">
      <c r="A404" s="187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</row>
    <row r="405" ht="12.75" customHeight="1">
      <c r="A405" s="187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</row>
    <row r="406" ht="12.75" customHeight="1">
      <c r="A406" s="187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</row>
    <row r="407" ht="12.75" customHeight="1">
      <c r="A407" s="187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</row>
    <row r="408" ht="12.75" customHeight="1">
      <c r="A408" s="187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</row>
    <row r="409" ht="12.75" customHeight="1">
      <c r="A409" s="187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</row>
    <row r="410" ht="12.75" customHeight="1">
      <c r="A410" s="187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</row>
    <row r="411" ht="12.75" customHeight="1">
      <c r="A411" s="187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</row>
    <row r="412" ht="12.75" customHeight="1">
      <c r="A412" s="187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</row>
    <row r="413" ht="12.75" customHeight="1">
      <c r="A413" s="187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</row>
    <row r="414" ht="12.75" customHeight="1">
      <c r="A414" s="187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</row>
    <row r="415" ht="12.75" customHeight="1">
      <c r="A415" s="187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</row>
    <row r="416" ht="12.75" customHeight="1">
      <c r="A416" s="187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</row>
    <row r="417" ht="12.75" customHeight="1">
      <c r="A417" s="187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</row>
    <row r="418" ht="12.75" customHeight="1">
      <c r="A418" s="187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</row>
    <row r="419" ht="12.75" customHeight="1">
      <c r="A419" s="187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</row>
    <row r="420" ht="12.75" customHeight="1">
      <c r="A420" s="187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</row>
    <row r="421" ht="12.75" customHeight="1">
      <c r="A421" s="187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</row>
    <row r="422" ht="12.75" customHeight="1">
      <c r="A422" s="187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</row>
    <row r="423" ht="12.75" customHeight="1">
      <c r="A423" s="187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</row>
    <row r="424" ht="12.75" customHeight="1">
      <c r="A424" s="187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</row>
    <row r="425" ht="12.75" customHeight="1">
      <c r="A425" s="187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</row>
    <row r="426" ht="12.75" customHeight="1">
      <c r="A426" s="187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</row>
    <row r="427" ht="12.75" customHeight="1">
      <c r="A427" s="187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</row>
    <row r="428" ht="12.75" customHeight="1">
      <c r="A428" s="187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</row>
    <row r="429" ht="12.75" customHeight="1">
      <c r="A429" s="187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</row>
    <row r="430" ht="12.75" customHeight="1">
      <c r="A430" s="187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</row>
    <row r="431" ht="12.75" customHeight="1">
      <c r="A431" s="187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</row>
    <row r="432" ht="12.75" customHeight="1">
      <c r="A432" s="187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</row>
    <row r="433" ht="12.75" customHeight="1">
      <c r="A433" s="187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</row>
    <row r="434" ht="12.75" customHeight="1">
      <c r="A434" s="187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</row>
    <row r="435" ht="12.75" customHeight="1">
      <c r="A435" s="187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</row>
    <row r="436" ht="12.75" customHeight="1">
      <c r="A436" s="187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</row>
    <row r="437" ht="12.75" customHeight="1">
      <c r="A437" s="187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</row>
    <row r="438" ht="12.75" customHeight="1">
      <c r="A438" s="187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</row>
    <row r="439" ht="12.75" customHeight="1">
      <c r="A439" s="187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</row>
    <row r="440" ht="12.75" customHeight="1">
      <c r="A440" s="187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</row>
    <row r="441" ht="12.75" customHeight="1">
      <c r="A441" s="187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</row>
    <row r="442" ht="12.75" customHeight="1">
      <c r="A442" s="187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</row>
    <row r="443" ht="12.75" customHeight="1">
      <c r="A443" s="187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</row>
    <row r="444" ht="12.75" customHeight="1">
      <c r="A444" s="187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</row>
    <row r="445" ht="12.75" customHeight="1">
      <c r="A445" s="187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</row>
    <row r="446" ht="12.75" customHeight="1">
      <c r="A446" s="187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</row>
    <row r="447" ht="12.75" customHeight="1">
      <c r="A447" s="187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</row>
    <row r="448" ht="12.75" customHeight="1">
      <c r="A448" s="187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</row>
    <row r="449" ht="12.75" customHeight="1">
      <c r="A449" s="187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</row>
    <row r="450" ht="12.75" customHeight="1">
      <c r="A450" s="187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</row>
    <row r="451" ht="12.75" customHeight="1">
      <c r="A451" s="187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</row>
    <row r="452" ht="12.75" customHeight="1">
      <c r="A452" s="187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</row>
    <row r="453" ht="12.75" customHeight="1">
      <c r="A453" s="187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</row>
    <row r="454" ht="12.75" customHeight="1">
      <c r="A454" s="187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</row>
    <row r="455" ht="12.75" customHeight="1">
      <c r="A455" s="187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</row>
    <row r="456" ht="12.75" customHeight="1">
      <c r="A456" s="187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</row>
    <row r="457" ht="12.75" customHeight="1">
      <c r="A457" s="187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</row>
    <row r="458" ht="12.75" customHeight="1">
      <c r="A458" s="187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</row>
    <row r="459" ht="12.75" customHeight="1">
      <c r="A459" s="187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</row>
    <row r="460" ht="12.75" customHeight="1">
      <c r="A460" s="187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</row>
    <row r="461" ht="12.75" customHeight="1">
      <c r="A461" s="187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</row>
    <row r="462" ht="12.75" customHeight="1">
      <c r="A462" s="187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</row>
    <row r="463" ht="12.75" customHeight="1">
      <c r="A463" s="187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</row>
    <row r="464" ht="12.75" customHeight="1">
      <c r="A464" s="187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</row>
    <row r="465" ht="12.75" customHeight="1">
      <c r="A465" s="187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</row>
    <row r="466" ht="12.75" customHeight="1">
      <c r="A466" s="187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</row>
    <row r="467" ht="12.75" customHeight="1">
      <c r="A467" s="187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</row>
    <row r="468" ht="12.75" customHeight="1">
      <c r="A468" s="187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</row>
    <row r="469" ht="12.75" customHeight="1">
      <c r="A469" s="187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</row>
    <row r="470" ht="12.75" customHeight="1">
      <c r="A470" s="187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</row>
    <row r="471" ht="12.75" customHeight="1">
      <c r="A471" s="187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</row>
    <row r="472" ht="12.75" customHeight="1">
      <c r="A472" s="187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</row>
    <row r="473" ht="12.75" customHeight="1">
      <c r="A473" s="187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</row>
    <row r="474" ht="12.75" customHeight="1">
      <c r="A474" s="187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</row>
    <row r="475" ht="12.75" customHeight="1">
      <c r="A475" s="187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</row>
    <row r="476" ht="12.75" customHeight="1">
      <c r="A476" s="187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</row>
    <row r="477" ht="12.75" customHeight="1">
      <c r="A477" s="187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</row>
    <row r="478" ht="12.75" customHeight="1">
      <c r="A478" s="187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</row>
    <row r="479" ht="12.75" customHeight="1">
      <c r="A479" s="187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</row>
    <row r="480" ht="12.75" customHeight="1">
      <c r="A480" s="187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</row>
    <row r="481" ht="12.75" customHeight="1">
      <c r="A481" s="187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</row>
    <row r="482" ht="12.75" customHeight="1">
      <c r="A482" s="187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</row>
    <row r="483" ht="12.75" customHeight="1">
      <c r="A483" s="187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</row>
    <row r="484" ht="12.75" customHeight="1">
      <c r="A484" s="187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</row>
    <row r="485" ht="12.75" customHeight="1">
      <c r="A485" s="187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</row>
    <row r="486" ht="12.75" customHeight="1">
      <c r="A486" s="187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</row>
    <row r="487" ht="12.75" customHeight="1">
      <c r="A487" s="187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</row>
    <row r="488" ht="12.75" customHeight="1">
      <c r="A488" s="187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</row>
    <row r="489" ht="12.75" customHeight="1">
      <c r="A489" s="187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</row>
    <row r="490" ht="12.75" customHeight="1">
      <c r="A490" s="187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</row>
    <row r="491" ht="12.75" customHeight="1">
      <c r="A491" s="187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</row>
    <row r="492" ht="12.75" customHeight="1">
      <c r="A492" s="187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</row>
    <row r="493" ht="12.75" customHeight="1">
      <c r="A493" s="187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</row>
    <row r="494" ht="12.75" customHeight="1">
      <c r="A494" s="187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</row>
    <row r="495" ht="12.75" customHeight="1">
      <c r="A495" s="187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</row>
    <row r="496" ht="12.75" customHeight="1">
      <c r="A496" s="187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</row>
    <row r="497" ht="12.75" customHeight="1">
      <c r="A497" s="187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</row>
    <row r="498" ht="12.75" customHeight="1">
      <c r="A498" s="187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</row>
    <row r="499" ht="12.75" customHeight="1">
      <c r="A499" s="187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</row>
    <row r="500" ht="12.75" customHeight="1">
      <c r="A500" s="187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</row>
    <row r="501" ht="12.75" customHeight="1">
      <c r="A501" s="187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</row>
    <row r="502" ht="12.75" customHeight="1">
      <c r="A502" s="187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</row>
    <row r="503" ht="12.75" customHeight="1">
      <c r="A503" s="187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</row>
    <row r="504" ht="12.75" customHeight="1">
      <c r="A504" s="187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</row>
    <row r="505" ht="12.75" customHeight="1">
      <c r="A505" s="187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</row>
    <row r="506" ht="12.75" customHeight="1">
      <c r="A506" s="187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</row>
    <row r="507" ht="12.75" customHeight="1">
      <c r="A507" s="187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</row>
    <row r="508" ht="12.75" customHeight="1">
      <c r="A508" s="187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</row>
    <row r="509" ht="12.75" customHeight="1">
      <c r="A509" s="187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</row>
    <row r="510" ht="12.75" customHeight="1">
      <c r="A510" s="187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</row>
    <row r="511" ht="12.75" customHeight="1">
      <c r="A511" s="187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</row>
    <row r="512" ht="12.75" customHeight="1">
      <c r="A512" s="187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</row>
    <row r="513" ht="12.75" customHeight="1">
      <c r="A513" s="187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</row>
    <row r="514" ht="12.75" customHeight="1">
      <c r="A514" s="187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</row>
    <row r="515" ht="12.75" customHeight="1">
      <c r="A515" s="187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</row>
    <row r="516" ht="12.75" customHeight="1">
      <c r="A516" s="187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</row>
    <row r="517" ht="12.75" customHeight="1">
      <c r="A517" s="187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</row>
    <row r="518" ht="12.75" customHeight="1">
      <c r="A518" s="187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</row>
    <row r="519" ht="12.75" customHeight="1">
      <c r="A519" s="187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</row>
    <row r="520" ht="12.75" customHeight="1">
      <c r="A520" s="187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</row>
    <row r="521" ht="12.75" customHeight="1">
      <c r="A521" s="187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</row>
    <row r="522" ht="12.75" customHeight="1">
      <c r="A522" s="187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</row>
    <row r="523" ht="12.75" customHeight="1">
      <c r="A523" s="187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</row>
    <row r="524" ht="12.75" customHeight="1">
      <c r="A524" s="187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</row>
    <row r="525" ht="12.75" customHeight="1">
      <c r="A525" s="187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</row>
    <row r="526" ht="12.75" customHeight="1">
      <c r="A526" s="187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</row>
    <row r="527" ht="12.75" customHeight="1">
      <c r="A527" s="187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</row>
    <row r="528" ht="12.75" customHeight="1">
      <c r="A528" s="187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</row>
    <row r="529" ht="12.75" customHeight="1">
      <c r="A529" s="187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</row>
    <row r="530" ht="12.75" customHeight="1">
      <c r="A530" s="187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</row>
    <row r="531" ht="12.75" customHeight="1">
      <c r="A531" s="187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</row>
    <row r="532" ht="12.75" customHeight="1">
      <c r="A532" s="187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</row>
    <row r="533" ht="12.75" customHeight="1">
      <c r="A533" s="187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</row>
    <row r="534" ht="12.75" customHeight="1">
      <c r="A534" s="187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</row>
    <row r="535" ht="12.75" customHeight="1">
      <c r="A535" s="187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</row>
    <row r="536" ht="12.75" customHeight="1">
      <c r="A536" s="187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</row>
    <row r="537" ht="12.75" customHeight="1">
      <c r="A537" s="187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</row>
    <row r="538" ht="12.75" customHeight="1">
      <c r="A538" s="187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</row>
    <row r="539" ht="12.75" customHeight="1">
      <c r="A539" s="187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</row>
    <row r="540" ht="12.75" customHeight="1">
      <c r="A540" s="187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</row>
    <row r="541" ht="12.75" customHeight="1">
      <c r="A541" s="187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</row>
    <row r="542" ht="12.75" customHeight="1">
      <c r="A542" s="187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</row>
    <row r="543" ht="12.75" customHeight="1">
      <c r="A543" s="187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</row>
    <row r="544" ht="12.75" customHeight="1">
      <c r="A544" s="187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</row>
    <row r="545" ht="12.75" customHeight="1">
      <c r="A545" s="187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</row>
    <row r="546" ht="12.75" customHeight="1">
      <c r="A546" s="187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</row>
    <row r="547" ht="12.75" customHeight="1">
      <c r="A547" s="187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</row>
    <row r="548" ht="12.75" customHeight="1">
      <c r="A548" s="187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</row>
    <row r="549" ht="12.75" customHeight="1">
      <c r="A549" s="187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</row>
    <row r="550" ht="12.75" customHeight="1">
      <c r="A550" s="187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</row>
    <row r="551" ht="12.75" customHeight="1">
      <c r="A551" s="187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</row>
    <row r="552" ht="12.75" customHeight="1">
      <c r="A552" s="187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</row>
    <row r="553" ht="12.75" customHeight="1">
      <c r="A553" s="187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</row>
    <row r="554" ht="12.75" customHeight="1">
      <c r="A554" s="187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</row>
    <row r="555" ht="12.75" customHeight="1">
      <c r="A555" s="187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</row>
    <row r="556" ht="12.75" customHeight="1">
      <c r="A556" s="187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</row>
    <row r="557" ht="12.75" customHeight="1">
      <c r="A557" s="187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</row>
    <row r="558" ht="12.75" customHeight="1">
      <c r="A558" s="187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</row>
    <row r="559" ht="12.75" customHeight="1">
      <c r="A559" s="187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</row>
    <row r="560" ht="12.75" customHeight="1">
      <c r="A560" s="187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</row>
    <row r="561" ht="12.75" customHeight="1">
      <c r="A561" s="187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</row>
    <row r="562" ht="12.75" customHeight="1">
      <c r="A562" s="187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</row>
    <row r="563" ht="12.75" customHeight="1">
      <c r="A563" s="187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</row>
    <row r="564" ht="12.75" customHeight="1">
      <c r="A564" s="187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</row>
    <row r="565" ht="12.75" customHeight="1">
      <c r="A565" s="187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</row>
    <row r="566" ht="12.75" customHeight="1">
      <c r="A566" s="187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</row>
    <row r="567" ht="12.75" customHeight="1">
      <c r="A567" s="187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</row>
    <row r="568" ht="12.75" customHeight="1">
      <c r="A568" s="187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</row>
    <row r="569" ht="12.75" customHeight="1">
      <c r="A569" s="187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</row>
    <row r="570" ht="12.75" customHeight="1">
      <c r="A570" s="187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</row>
    <row r="571" ht="12.75" customHeight="1">
      <c r="A571" s="187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</row>
    <row r="572" ht="12.75" customHeight="1">
      <c r="A572" s="187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</row>
    <row r="573" ht="12.75" customHeight="1">
      <c r="A573" s="187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</row>
    <row r="574" ht="12.75" customHeight="1">
      <c r="A574" s="187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</row>
    <row r="575" ht="12.75" customHeight="1">
      <c r="A575" s="187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</row>
    <row r="576" ht="12.75" customHeight="1">
      <c r="A576" s="187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</row>
    <row r="577" ht="12.75" customHeight="1">
      <c r="A577" s="187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</row>
    <row r="578" ht="12.75" customHeight="1">
      <c r="A578" s="187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</row>
    <row r="579" ht="12.75" customHeight="1">
      <c r="A579" s="187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</row>
    <row r="580" ht="12.75" customHeight="1">
      <c r="A580" s="187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</row>
    <row r="581" ht="12.75" customHeight="1">
      <c r="A581" s="187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</row>
    <row r="582" ht="12.75" customHeight="1">
      <c r="A582" s="187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</row>
    <row r="583" ht="12.75" customHeight="1">
      <c r="A583" s="187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</row>
    <row r="584" ht="12.75" customHeight="1">
      <c r="A584" s="187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</row>
    <row r="585" ht="12.75" customHeight="1">
      <c r="A585" s="187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</row>
    <row r="586" ht="12.75" customHeight="1">
      <c r="A586" s="187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</row>
    <row r="587" ht="12.75" customHeight="1">
      <c r="A587" s="187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</row>
    <row r="588" ht="12.75" customHeight="1">
      <c r="A588" s="187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</row>
    <row r="589" ht="12.75" customHeight="1">
      <c r="A589" s="187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</row>
    <row r="590" ht="12.75" customHeight="1">
      <c r="A590" s="187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</row>
    <row r="591" ht="12.75" customHeight="1">
      <c r="A591" s="187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</row>
    <row r="592" ht="12.75" customHeight="1">
      <c r="A592" s="187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</row>
    <row r="593" ht="12.75" customHeight="1">
      <c r="A593" s="187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</row>
    <row r="594" ht="12.75" customHeight="1">
      <c r="A594" s="187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</row>
    <row r="595" ht="12.75" customHeight="1">
      <c r="A595" s="187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</row>
    <row r="596" ht="12.75" customHeight="1">
      <c r="A596" s="187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</row>
    <row r="597" ht="12.75" customHeight="1">
      <c r="A597" s="187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</row>
    <row r="598" ht="12.75" customHeight="1">
      <c r="A598" s="187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</row>
    <row r="599" ht="12.75" customHeight="1">
      <c r="A599" s="187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</row>
    <row r="600" ht="12.75" customHeight="1">
      <c r="A600" s="187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</row>
    <row r="601" ht="12.75" customHeight="1">
      <c r="A601" s="187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</row>
    <row r="602" ht="12.75" customHeight="1">
      <c r="A602" s="187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</row>
    <row r="603" ht="12.75" customHeight="1">
      <c r="A603" s="187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</row>
    <row r="604" ht="12.75" customHeight="1">
      <c r="A604" s="187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</row>
    <row r="605" ht="12.75" customHeight="1">
      <c r="A605" s="187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</row>
    <row r="606" ht="12.75" customHeight="1">
      <c r="A606" s="187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</row>
    <row r="607" ht="12.75" customHeight="1">
      <c r="A607" s="187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</row>
    <row r="608" ht="12.75" customHeight="1">
      <c r="A608" s="187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</row>
    <row r="609" ht="12.75" customHeight="1">
      <c r="A609" s="187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</row>
    <row r="610" ht="12.75" customHeight="1">
      <c r="A610" s="187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</row>
    <row r="611" ht="12.75" customHeight="1">
      <c r="A611" s="187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</row>
    <row r="612" ht="12.75" customHeight="1">
      <c r="A612" s="187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</row>
    <row r="613" ht="12.75" customHeight="1">
      <c r="A613" s="187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</row>
    <row r="614" ht="12.75" customHeight="1">
      <c r="A614" s="187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</row>
    <row r="615" ht="12.75" customHeight="1">
      <c r="A615" s="187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</row>
    <row r="616" ht="12.75" customHeight="1">
      <c r="A616" s="187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</row>
    <row r="617" ht="12.75" customHeight="1">
      <c r="A617" s="187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</row>
    <row r="618" ht="12.75" customHeight="1">
      <c r="A618" s="187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</row>
    <row r="619" ht="12.75" customHeight="1">
      <c r="A619" s="187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</row>
    <row r="620" ht="12.75" customHeight="1">
      <c r="A620" s="187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</row>
    <row r="621" ht="12.75" customHeight="1">
      <c r="A621" s="187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</row>
    <row r="622" ht="12.75" customHeight="1">
      <c r="A622" s="187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</row>
    <row r="623" ht="12.75" customHeight="1">
      <c r="A623" s="187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</row>
    <row r="624" ht="12.75" customHeight="1">
      <c r="A624" s="187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</row>
    <row r="625" ht="12.75" customHeight="1">
      <c r="A625" s="187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</row>
    <row r="626" ht="12.75" customHeight="1">
      <c r="A626" s="187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</row>
    <row r="627" ht="12.75" customHeight="1">
      <c r="A627" s="187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</row>
    <row r="628" ht="12.75" customHeight="1">
      <c r="A628" s="187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</row>
    <row r="629" ht="12.75" customHeight="1">
      <c r="A629" s="187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</row>
    <row r="630" ht="12.75" customHeight="1">
      <c r="A630" s="187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</row>
    <row r="631" ht="12.75" customHeight="1">
      <c r="A631" s="187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</row>
    <row r="632" ht="12.75" customHeight="1">
      <c r="A632" s="187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</row>
    <row r="633" ht="12.75" customHeight="1">
      <c r="A633" s="187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</row>
    <row r="634" ht="12.75" customHeight="1">
      <c r="A634" s="187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</row>
    <row r="635" ht="12.75" customHeight="1">
      <c r="A635" s="187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</row>
    <row r="636" ht="12.75" customHeight="1">
      <c r="A636" s="187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</row>
    <row r="637" ht="12.75" customHeight="1">
      <c r="A637" s="187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</row>
    <row r="638" ht="12.75" customHeight="1">
      <c r="A638" s="187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</row>
    <row r="639" ht="12.75" customHeight="1">
      <c r="A639" s="187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</row>
    <row r="640" ht="12.75" customHeight="1">
      <c r="A640" s="187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</row>
    <row r="641" ht="12.75" customHeight="1">
      <c r="A641" s="187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</row>
    <row r="642" ht="12.75" customHeight="1">
      <c r="A642" s="187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</row>
    <row r="643" ht="12.75" customHeight="1">
      <c r="A643" s="187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</row>
    <row r="644" ht="12.75" customHeight="1">
      <c r="A644" s="187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</row>
    <row r="645" ht="12.75" customHeight="1">
      <c r="A645" s="187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</row>
    <row r="646" ht="12.75" customHeight="1">
      <c r="A646" s="187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</row>
    <row r="647" ht="12.75" customHeight="1">
      <c r="A647" s="187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</row>
    <row r="648" ht="12.75" customHeight="1">
      <c r="A648" s="187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</row>
    <row r="649" ht="12.75" customHeight="1">
      <c r="A649" s="187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</row>
    <row r="650" ht="12.75" customHeight="1">
      <c r="A650" s="187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</row>
    <row r="651" ht="12.75" customHeight="1">
      <c r="A651" s="187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</row>
    <row r="652" ht="12.75" customHeight="1">
      <c r="A652" s="187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</row>
    <row r="653" ht="12.75" customHeight="1">
      <c r="A653" s="187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</row>
    <row r="654" ht="12.75" customHeight="1">
      <c r="A654" s="187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</row>
    <row r="655" ht="12.75" customHeight="1">
      <c r="A655" s="187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</row>
    <row r="656" ht="12.75" customHeight="1">
      <c r="A656" s="187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</row>
    <row r="657" ht="12.75" customHeight="1">
      <c r="A657" s="187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</row>
    <row r="658" ht="12.75" customHeight="1">
      <c r="A658" s="187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</row>
    <row r="659" ht="12.75" customHeight="1">
      <c r="A659" s="187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</row>
    <row r="660" ht="12.75" customHeight="1">
      <c r="A660" s="187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</row>
    <row r="661" ht="12.75" customHeight="1">
      <c r="A661" s="187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</row>
    <row r="662" ht="12.75" customHeight="1">
      <c r="A662" s="187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</row>
    <row r="663" ht="12.75" customHeight="1">
      <c r="A663" s="187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</row>
    <row r="664" ht="12.75" customHeight="1">
      <c r="A664" s="187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</row>
    <row r="665" ht="12.75" customHeight="1">
      <c r="A665" s="187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</row>
    <row r="666" ht="12.75" customHeight="1">
      <c r="A666" s="187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</row>
    <row r="667" ht="12.75" customHeight="1">
      <c r="A667" s="187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</row>
    <row r="668" ht="12.75" customHeight="1">
      <c r="A668" s="187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</row>
    <row r="669" ht="12.75" customHeight="1">
      <c r="A669" s="187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</row>
    <row r="670" ht="12.75" customHeight="1">
      <c r="A670" s="187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</row>
    <row r="671" ht="12.75" customHeight="1">
      <c r="A671" s="187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</row>
    <row r="672" ht="12.75" customHeight="1">
      <c r="A672" s="187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</row>
    <row r="673" ht="12.75" customHeight="1">
      <c r="A673" s="187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</row>
    <row r="674" ht="12.75" customHeight="1">
      <c r="A674" s="187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</row>
    <row r="675" ht="12.75" customHeight="1">
      <c r="A675" s="187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</row>
    <row r="676" ht="12.75" customHeight="1">
      <c r="A676" s="187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</row>
    <row r="677" ht="12.75" customHeight="1">
      <c r="A677" s="187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</row>
    <row r="678" ht="12.75" customHeight="1">
      <c r="A678" s="187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</row>
    <row r="679" ht="12.75" customHeight="1">
      <c r="A679" s="187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</row>
    <row r="680" ht="12.75" customHeight="1">
      <c r="A680" s="187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</row>
    <row r="681" ht="12.75" customHeight="1">
      <c r="A681" s="187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</row>
    <row r="682" ht="12.75" customHeight="1">
      <c r="A682" s="187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</row>
    <row r="683" ht="12.75" customHeight="1">
      <c r="A683" s="187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</row>
    <row r="684" ht="12.75" customHeight="1">
      <c r="A684" s="187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</row>
    <row r="685" ht="12.75" customHeight="1">
      <c r="A685" s="187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</row>
    <row r="686" ht="12.75" customHeight="1">
      <c r="A686" s="187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</row>
    <row r="687" ht="12.75" customHeight="1">
      <c r="A687" s="187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</row>
    <row r="688" ht="12.75" customHeight="1">
      <c r="A688" s="187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</row>
    <row r="689" ht="12.75" customHeight="1">
      <c r="A689" s="187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</row>
    <row r="690" ht="12.75" customHeight="1">
      <c r="A690" s="187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</row>
    <row r="691" ht="12.75" customHeight="1">
      <c r="A691" s="187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</row>
    <row r="692" ht="12.75" customHeight="1">
      <c r="A692" s="187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</row>
    <row r="693" ht="12.75" customHeight="1">
      <c r="A693" s="187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</row>
    <row r="694" ht="12.75" customHeight="1">
      <c r="A694" s="187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</row>
    <row r="695" ht="12.75" customHeight="1">
      <c r="A695" s="187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</row>
    <row r="696" ht="12.75" customHeight="1">
      <c r="A696" s="187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</row>
    <row r="697" ht="12.75" customHeight="1">
      <c r="A697" s="187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</row>
    <row r="698" ht="12.75" customHeight="1">
      <c r="A698" s="187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</row>
    <row r="699" ht="12.75" customHeight="1">
      <c r="A699" s="187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</row>
    <row r="700" ht="12.75" customHeight="1">
      <c r="A700" s="187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</row>
    <row r="701" ht="12.75" customHeight="1">
      <c r="A701" s="187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</row>
    <row r="702" ht="12.75" customHeight="1">
      <c r="A702" s="187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</row>
    <row r="703" ht="12.75" customHeight="1">
      <c r="A703" s="187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</row>
    <row r="704" ht="12.75" customHeight="1">
      <c r="A704" s="187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</row>
    <row r="705" ht="12.75" customHeight="1">
      <c r="A705" s="187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</row>
    <row r="706" ht="12.75" customHeight="1">
      <c r="A706" s="187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</row>
    <row r="707" ht="12.75" customHeight="1">
      <c r="A707" s="187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</row>
    <row r="708" ht="12.75" customHeight="1">
      <c r="A708" s="187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</row>
    <row r="709" ht="12.75" customHeight="1">
      <c r="A709" s="187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</row>
    <row r="710" ht="12.75" customHeight="1">
      <c r="A710" s="187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</row>
    <row r="711" ht="12.75" customHeight="1">
      <c r="A711" s="187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</row>
    <row r="712" ht="12.75" customHeight="1">
      <c r="A712" s="187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</row>
    <row r="713" ht="12.75" customHeight="1">
      <c r="A713" s="187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</row>
    <row r="714" ht="12.75" customHeight="1">
      <c r="A714" s="187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</row>
    <row r="715" ht="12.75" customHeight="1">
      <c r="A715" s="187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</row>
    <row r="716" ht="12.75" customHeight="1">
      <c r="A716" s="187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</row>
    <row r="717" ht="12.75" customHeight="1">
      <c r="A717" s="187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</row>
    <row r="718" ht="12.75" customHeight="1">
      <c r="A718" s="187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</row>
    <row r="719" ht="12.75" customHeight="1">
      <c r="A719" s="187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</row>
    <row r="720" ht="12.75" customHeight="1">
      <c r="A720" s="187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</row>
    <row r="721" ht="12.75" customHeight="1">
      <c r="A721" s="187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</row>
    <row r="722" ht="12.75" customHeight="1">
      <c r="A722" s="187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</row>
    <row r="723" ht="12.75" customHeight="1">
      <c r="A723" s="187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</row>
    <row r="724" ht="12.75" customHeight="1">
      <c r="A724" s="187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</row>
    <row r="725" ht="12.75" customHeight="1">
      <c r="A725" s="187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</row>
    <row r="726" ht="12.75" customHeight="1">
      <c r="A726" s="187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</row>
    <row r="727" ht="12.75" customHeight="1">
      <c r="A727" s="187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</row>
    <row r="728" ht="12.75" customHeight="1">
      <c r="A728" s="187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</row>
    <row r="729" ht="12.75" customHeight="1">
      <c r="A729" s="187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</row>
    <row r="730" ht="12.75" customHeight="1">
      <c r="A730" s="187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</row>
    <row r="731" ht="12.75" customHeight="1">
      <c r="A731" s="187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</row>
    <row r="732" ht="12.75" customHeight="1">
      <c r="A732" s="187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</row>
    <row r="733" ht="12.75" customHeight="1">
      <c r="A733" s="187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</row>
    <row r="734" ht="12.75" customHeight="1">
      <c r="A734" s="187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</row>
    <row r="735" ht="12.75" customHeight="1">
      <c r="A735" s="187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</row>
    <row r="736" ht="12.75" customHeight="1">
      <c r="A736" s="187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</row>
    <row r="737" ht="12.75" customHeight="1">
      <c r="A737" s="187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</row>
    <row r="738" ht="12.75" customHeight="1">
      <c r="A738" s="187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</row>
    <row r="739" ht="12.75" customHeight="1">
      <c r="A739" s="187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</row>
    <row r="740" ht="12.75" customHeight="1">
      <c r="A740" s="187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</row>
    <row r="741" ht="12.75" customHeight="1">
      <c r="A741" s="187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</row>
    <row r="742" ht="12.75" customHeight="1">
      <c r="A742" s="187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</row>
    <row r="743" ht="12.75" customHeight="1">
      <c r="A743" s="187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</row>
    <row r="744" ht="12.75" customHeight="1">
      <c r="A744" s="187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</row>
    <row r="745" ht="12.75" customHeight="1">
      <c r="A745" s="187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</row>
    <row r="746" ht="12.75" customHeight="1">
      <c r="A746" s="187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</row>
    <row r="747" ht="12.75" customHeight="1">
      <c r="A747" s="187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</row>
    <row r="748" ht="12.75" customHeight="1">
      <c r="A748" s="187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</row>
    <row r="749" ht="12.75" customHeight="1">
      <c r="A749" s="187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</row>
    <row r="750" ht="12.75" customHeight="1">
      <c r="A750" s="187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</row>
    <row r="751" ht="12.75" customHeight="1">
      <c r="A751" s="187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</row>
    <row r="752" ht="12.75" customHeight="1">
      <c r="A752" s="187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</row>
    <row r="753" ht="12.75" customHeight="1">
      <c r="A753" s="187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</row>
    <row r="754" ht="12.75" customHeight="1">
      <c r="A754" s="187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</row>
    <row r="755" ht="12.75" customHeight="1">
      <c r="A755" s="187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</row>
    <row r="756" ht="12.75" customHeight="1">
      <c r="A756" s="187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</row>
    <row r="757" ht="12.75" customHeight="1">
      <c r="A757" s="187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</row>
    <row r="758" ht="12.75" customHeight="1">
      <c r="A758" s="187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</row>
    <row r="759" ht="12.75" customHeight="1">
      <c r="A759" s="187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</row>
    <row r="760" ht="12.75" customHeight="1">
      <c r="A760" s="187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</row>
    <row r="761" ht="12.75" customHeight="1">
      <c r="A761" s="187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</row>
    <row r="762" ht="12.75" customHeight="1">
      <c r="A762" s="187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</row>
    <row r="763" ht="12.75" customHeight="1">
      <c r="A763" s="187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</row>
    <row r="764" ht="12.75" customHeight="1">
      <c r="A764" s="187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</row>
    <row r="765" ht="12.75" customHeight="1">
      <c r="A765" s="187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</row>
    <row r="766" ht="12.75" customHeight="1">
      <c r="A766" s="187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</row>
    <row r="767" ht="12.75" customHeight="1">
      <c r="A767" s="187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</row>
    <row r="768" ht="12.75" customHeight="1">
      <c r="A768" s="187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</row>
    <row r="769" ht="12.75" customHeight="1">
      <c r="A769" s="187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</row>
    <row r="770" ht="12.75" customHeight="1">
      <c r="A770" s="187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</row>
    <row r="771" ht="12.75" customHeight="1">
      <c r="A771" s="187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</row>
    <row r="772" ht="12.75" customHeight="1">
      <c r="A772" s="187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</row>
    <row r="773" ht="12.75" customHeight="1">
      <c r="A773" s="187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</row>
    <row r="774" ht="12.75" customHeight="1">
      <c r="A774" s="187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</row>
    <row r="775" ht="12.75" customHeight="1">
      <c r="A775" s="187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</row>
    <row r="776" ht="12.75" customHeight="1">
      <c r="A776" s="187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</row>
    <row r="777" ht="12.75" customHeight="1">
      <c r="A777" s="187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</row>
    <row r="778" ht="12.75" customHeight="1">
      <c r="A778" s="187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</row>
    <row r="779" ht="12.75" customHeight="1">
      <c r="A779" s="187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</row>
    <row r="780" ht="12.75" customHeight="1">
      <c r="A780" s="187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</row>
    <row r="781" ht="12.75" customHeight="1">
      <c r="A781" s="187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</row>
    <row r="782" ht="12.75" customHeight="1">
      <c r="A782" s="187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</row>
    <row r="783" ht="12.75" customHeight="1">
      <c r="A783" s="187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</row>
    <row r="784" ht="12.75" customHeight="1">
      <c r="A784" s="187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</row>
    <row r="785" ht="12.75" customHeight="1">
      <c r="A785" s="187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</row>
    <row r="786" ht="12.75" customHeight="1">
      <c r="A786" s="187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</row>
    <row r="787" ht="12.75" customHeight="1">
      <c r="A787" s="187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</row>
    <row r="788" ht="12.75" customHeight="1">
      <c r="A788" s="187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</row>
    <row r="789" ht="12.75" customHeight="1">
      <c r="A789" s="187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</row>
    <row r="790" ht="12.75" customHeight="1">
      <c r="A790" s="187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</row>
    <row r="791" ht="12.75" customHeight="1">
      <c r="A791" s="187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</row>
    <row r="792" ht="12.75" customHeight="1">
      <c r="A792" s="187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</row>
    <row r="793" ht="12.75" customHeight="1">
      <c r="A793" s="187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</row>
    <row r="794" ht="12.75" customHeight="1">
      <c r="A794" s="187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</row>
    <row r="795" ht="12.75" customHeight="1">
      <c r="A795" s="187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</row>
    <row r="796" ht="12.75" customHeight="1">
      <c r="A796" s="187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</row>
    <row r="797" ht="12.75" customHeight="1">
      <c r="A797" s="187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</row>
    <row r="798" ht="12.75" customHeight="1">
      <c r="A798" s="187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</row>
    <row r="799" ht="12.75" customHeight="1">
      <c r="A799" s="187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</row>
    <row r="800" ht="12.75" customHeight="1">
      <c r="A800" s="187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</row>
    <row r="801" ht="12.75" customHeight="1">
      <c r="A801" s="187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</row>
    <row r="802" ht="12.75" customHeight="1">
      <c r="A802" s="187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</row>
    <row r="803" ht="12.75" customHeight="1">
      <c r="A803" s="187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</row>
    <row r="804" ht="12.75" customHeight="1">
      <c r="A804" s="187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</row>
    <row r="805" ht="12.75" customHeight="1">
      <c r="A805" s="187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</row>
    <row r="806" ht="12.75" customHeight="1">
      <c r="A806" s="187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</row>
    <row r="807" ht="12.75" customHeight="1">
      <c r="A807" s="187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</row>
    <row r="808" ht="12.75" customHeight="1">
      <c r="A808" s="187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</row>
    <row r="809" ht="12.75" customHeight="1">
      <c r="A809" s="187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</row>
    <row r="810" ht="12.75" customHeight="1">
      <c r="A810" s="187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</row>
    <row r="811" ht="12.75" customHeight="1">
      <c r="A811" s="187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</row>
    <row r="812" ht="12.75" customHeight="1">
      <c r="A812" s="187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</row>
    <row r="813" ht="12.75" customHeight="1">
      <c r="A813" s="187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</row>
    <row r="814" ht="12.75" customHeight="1">
      <c r="A814" s="187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</row>
    <row r="815" ht="12.75" customHeight="1">
      <c r="A815" s="187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</row>
    <row r="816" ht="12.75" customHeight="1">
      <c r="A816" s="187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</row>
    <row r="817" ht="12.75" customHeight="1">
      <c r="A817" s="187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</row>
    <row r="818" ht="12.75" customHeight="1">
      <c r="A818" s="187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</row>
    <row r="819" ht="12.75" customHeight="1">
      <c r="A819" s="187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</row>
    <row r="820" ht="12.75" customHeight="1">
      <c r="A820" s="187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</row>
    <row r="821" ht="12.75" customHeight="1">
      <c r="A821" s="187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</row>
    <row r="822" ht="12.75" customHeight="1">
      <c r="A822" s="187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</row>
    <row r="823" ht="12.75" customHeight="1">
      <c r="A823" s="187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</row>
    <row r="824" ht="12.75" customHeight="1">
      <c r="A824" s="187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</row>
    <row r="825" ht="12.75" customHeight="1">
      <c r="A825" s="187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</row>
    <row r="826" ht="12.75" customHeight="1">
      <c r="A826" s="187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</row>
    <row r="827" ht="12.75" customHeight="1">
      <c r="A827" s="187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</row>
    <row r="828" ht="12.75" customHeight="1">
      <c r="A828" s="187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</row>
    <row r="829" ht="12.75" customHeight="1">
      <c r="A829" s="187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</row>
    <row r="830" ht="12.75" customHeight="1">
      <c r="A830" s="187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</row>
    <row r="831" ht="12.75" customHeight="1">
      <c r="A831" s="187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</row>
    <row r="832" ht="12.75" customHeight="1">
      <c r="A832" s="187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</row>
    <row r="833" ht="12.75" customHeight="1">
      <c r="A833" s="187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</row>
    <row r="834" ht="12.75" customHeight="1">
      <c r="A834" s="187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</row>
    <row r="835" ht="12.75" customHeight="1">
      <c r="A835" s="187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</row>
    <row r="836" ht="12.75" customHeight="1">
      <c r="A836" s="187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</row>
    <row r="837" ht="12.75" customHeight="1">
      <c r="A837" s="187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</row>
    <row r="838" ht="12.75" customHeight="1">
      <c r="A838" s="187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</row>
    <row r="839" ht="12.75" customHeight="1">
      <c r="A839" s="187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</row>
    <row r="840" ht="12.75" customHeight="1">
      <c r="A840" s="187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</row>
    <row r="841" ht="12.75" customHeight="1">
      <c r="A841" s="187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</row>
    <row r="842" ht="12.75" customHeight="1">
      <c r="A842" s="187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</row>
    <row r="843" ht="12.75" customHeight="1">
      <c r="A843" s="187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</row>
    <row r="844" ht="12.75" customHeight="1">
      <c r="A844" s="187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</row>
    <row r="845" ht="12.75" customHeight="1">
      <c r="A845" s="187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</row>
    <row r="846" ht="12.75" customHeight="1">
      <c r="A846" s="187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</row>
    <row r="847" ht="12.75" customHeight="1">
      <c r="A847" s="187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</row>
    <row r="848" ht="12.75" customHeight="1">
      <c r="A848" s="187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</row>
    <row r="849" ht="12.75" customHeight="1">
      <c r="A849" s="187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</row>
    <row r="850" ht="12.75" customHeight="1">
      <c r="A850" s="187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</row>
    <row r="851" ht="12.75" customHeight="1">
      <c r="A851" s="187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</row>
    <row r="852" ht="12.75" customHeight="1">
      <c r="A852" s="187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</row>
    <row r="853" ht="12.75" customHeight="1">
      <c r="A853" s="187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</row>
    <row r="854" ht="12.75" customHeight="1">
      <c r="A854" s="187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</row>
    <row r="855" ht="12.75" customHeight="1">
      <c r="A855" s="187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</row>
    <row r="856" ht="12.75" customHeight="1">
      <c r="A856" s="187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</row>
    <row r="857" ht="12.75" customHeight="1">
      <c r="A857" s="187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</row>
    <row r="858" ht="12.75" customHeight="1">
      <c r="A858" s="187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</row>
    <row r="859" ht="12.75" customHeight="1">
      <c r="A859" s="187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</row>
    <row r="860" ht="12.75" customHeight="1">
      <c r="A860" s="187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</row>
    <row r="861" ht="12.75" customHeight="1">
      <c r="A861" s="187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</row>
    <row r="862" ht="12.75" customHeight="1">
      <c r="A862" s="187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</row>
    <row r="863" ht="12.75" customHeight="1">
      <c r="A863" s="187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</row>
    <row r="864" ht="12.75" customHeight="1">
      <c r="A864" s="187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</row>
    <row r="865" ht="12.75" customHeight="1">
      <c r="A865" s="187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</row>
    <row r="866" ht="12.75" customHeight="1">
      <c r="A866" s="187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</row>
    <row r="867" ht="12.75" customHeight="1">
      <c r="A867" s="187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</row>
    <row r="868" ht="12.75" customHeight="1">
      <c r="A868" s="187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</row>
    <row r="869" ht="12.75" customHeight="1">
      <c r="A869" s="187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</row>
    <row r="870" ht="12.75" customHeight="1">
      <c r="A870" s="187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</row>
    <row r="871" ht="12.75" customHeight="1">
      <c r="A871" s="187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</row>
    <row r="872" ht="12.75" customHeight="1">
      <c r="A872" s="187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</row>
    <row r="873" ht="12.75" customHeight="1">
      <c r="A873" s="187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</row>
    <row r="874" ht="12.75" customHeight="1">
      <c r="A874" s="187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</row>
    <row r="875" ht="12.75" customHeight="1">
      <c r="A875" s="187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</row>
    <row r="876" ht="12.75" customHeight="1">
      <c r="A876" s="187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</row>
    <row r="877" ht="12.75" customHeight="1">
      <c r="A877" s="187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</row>
    <row r="878" ht="12.75" customHeight="1">
      <c r="A878" s="187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</row>
    <row r="879" ht="12.75" customHeight="1">
      <c r="A879" s="187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</row>
    <row r="880" ht="12.75" customHeight="1">
      <c r="A880" s="187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</row>
    <row r="881" ht="12.75" customHeight="1">
      <c r="A881" s="187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</row>
    <row r="882" ht="12.75" customHeight="1">
      <c r="A882" s="187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</row>
    <row r="883" ht="12.75" customHeight="1">
      <c r="A883" s="187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</row>
    <row r="884" ht="12.75" customHeight="1">
      <c r="A884" s="187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</row>
    <row r="885" ht="12.75" customHeight="1">
      <c r="A885" s="187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</row>
    <row r="886" ht="12.75" customHeight="1">
      <c r="A886" s="187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</row>
    <row r="887" ht="12.75" customHeight="1">
      <c r="A887" s="187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</row>
    <row r="888" ht="12.75" customHeight="1">
      <c r="A888" s="187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</row>
    <row r="889" ht="12.75" customHeight="1">
      <c r="A889" s="187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</row>
    <row r="890" ht="12.75" customHeight="1">
      <c r="A890" s="187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</row>
    <row r="891" ht="12.75" customHeight="1">
      <c r="A891" s="187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</row>
    <row r="892" ht="12.75" customHeight="1">
      <c r="A892" s="187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</row>
    <row r="893" ht="12.75" customHeight="1">
      <c r="A893" s="187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</row>
    <row r="894" ht="12.75" customHeight="1">
      <c r="A894" s="187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</row>
    <row r="895" ht="12.75" customHeight="1">
      <c r="A895" s="187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</row>
    <row r="896" ht="12.75" customHeight="1">
      <c r="A896" s="187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</row>
    <row r="897" ht="12.75" customHeight="1">
      <c r="A897" s="187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</row>
    <row r="898" ht="12.75" customHeight="1">
      <c r="A898" s="187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</row>
    <row r="899" ht="12.75" customHeight="1">
      <c r="A899" s="187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</row>
    <row r="900" ht="12.75" customHeight="1">
      <c r="A900" s="187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</row>
    <row r="901" ht="12.75" customHeight="1">
      <c r="A901" s="187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</row>
    <row r="902" ht="12.75" customHeight="1">
      <c r="A902" s="187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</row>
    <row r="903" ht="12.75" customHeight="1">
      <c r="A903" s="187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</row>
    <row r="904" ht="12.75" customHeight="1">
      <c r="A904" s="187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</row>
    <row r="905" ht="12.75" customHeight="1">
      <c r="A905" s="187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</row>
    <row r="906" ht="12.75" customHeight="1">
      <c r="A906" s="187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</row>
    <row r="907" ht="12.75" customHeight="1">
      <c r="A907" s="187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</row>
    <row r="908" ht="12.75" customHeight="1">
      <c r="A908" s="187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</row>
    <row r="909" ht="12.75" customHeight="1">
      <c r="A909" s="187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</row>
    <row r="910" ht="12.75" customHeight="1">
      <c r="A910" s="187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</row>
    <row r="911" ht="12.75" customHeight="1">
      <c r="A911" s="187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</row>
    <row r="912" ht="12.75" customHeight="1">
      <c r="A912" s="187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</row>
    <row r="913" ht="12.75" customHeight="1">
      <c r="A913" s="187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</row>
    <row r="914" ht="12.75" customHeight="1">
      <c r="A914" s="187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</row>
    <row r="915" ht="12.75" customHeight="1">
      <c r="A915" s="187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</row>
    <row r="916" ht="12.75" customHeight="1">
      <c r="A916" s="187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</row>
    <row r="917" ht="12.75" customHeight="1">
      <c r="A917" s="187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</row>
    <row r="918" ht="12.75" customHeight="1">
      <c r="A918" s="187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</row>
    <row r="919" ht="12.75" customHeight="1">
      <c r="A919" s="187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</row>
    <row r="920" ht="12.75" customHeight="1">
      <c r="A920" s="187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</row>
    <row r="921" ht="12.75" customHeight="1">
      <c r="A921" s="187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</row>
    <row r="922" ht="12.75" customHeight="1">
      <c r="A922" s="187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</row>
    <row r="923" ht="12.75" customHeight="1">
      <c r="A923" s="187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</row>
    <row r="924" ht="12.75" customHeight="1">
      <c r="A924" s="187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</row>
    <row r="925" ht="12.75" customHeight="1">
      <c r="A925" s="187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</row>
    <row r="926" ht="12.75" customHeight="1">
      <c r="A926" s="187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</row>
    <row r="927" ht="12.75" customHeight="1">
      <c r="A927" s="187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</row>
    <row r="928" ht="12.75" customHeight="1">
      <c r="A928" s="187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</row>
    <row r="929" ht="12.75" customHeight="1">
      <c r="A929" s="187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</row>
    <row r="930" ht="12.75" customHeight="1">
      <c r="A930" s="187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</row>
    <row r="931" ht="12.75" customHeight="1">
      <c r="A931" s="187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</row>
    <row r="932" ht="12.75" customHeight="1">
      <c r="A932" s="187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</row>
    <row r="933" ht="12.75" customHeight="1">
      <c r="A933" s="187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</row>
    <row r="934" ht="12.75" customHeight="1">
      <c r="A934" s="187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87"/>
      <c r="V934" s="187"/>
      <c r="W934" s="187"/>
      <c r="X934" s="187"/>
      <c r="Y934" s="187"/>
      <c r="Z934" s="187"/>
    </row>
    <row r="935" ht="12.75" customHeight="1">
      <c r="A935" s="187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87"/>
      <c r="V935" s="187"/>
      <c r="W935" s="187"/>
      <c r="X935" s="187"/>
      <c r="Y935" s="187"/>
      <c r="Z935" s="187"/>
    </row>
    <row r="936" ht="12.75" customHeight="1">
      <c r="A936" s="187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87"/>
      <c r="V936" s="187"/>
      <c r="W936" s="187"/>
      <c r="X936" s="187"/>
      <c r="Y936" s="187"/>
      <c r="Z936" s="187"/>
    </row>
    <row r="937" ht="12.75" customHeight="1">
      <c r="A937" s="187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87"/>
      <c r="V937" s="187"/>
      <c r="W937" s="187"/>
      <c r="X937" s="187"/>
      <c r="Y937" s="187"/>
      <c r="Z937" s="187"/>
    </row>
    <row r="938" ht="12.75" customHeight="1">
      <c r="A938" s="187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87"/>
      <c r="V938" s="187"/>
      <c r="W938" s="187"/>
      <c r="X938" s="187"/>
      <c r="Y938" s="187"/>
      <c r="Z938" s="187"/>
    </row>
    <row r="939" ht="12.75" customHeight="1">
      <c r="A939" s="187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87"/>
      <c r="V939" s="187"/>
      <c r="W939" s="187"/>
      <c r="X939" s="187"/>
      <c r="Y939" s="187"/>
      <c r="Z939" s="187"/>
    </row>
    <row r="940" ht="12.75" customHeight="1">
      <c r="A940" s="187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87"/>
      <c r="V940" s="187"/>
      <c r="W940" s="187"/>
      <c r="X940" s="187"/>
      <c r="Y940" s="187"/>
      <c r="Z940" s="187"/>
    </row>
    <row r="941" ht="12.75" customHeight="1">
      <c r="A941" s="187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87"/>
      <c r="V941" s="187"/>
      <c r="W941" s="187"/>
      <c r="X941" s="187"/>
      <c r="Y941" s="187"/>
      <c r="Z941" s="187"/>
    </row>
    <row r="942" ht="12.75" customHeight="1">
      <c r="A942" s="187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87"/>
      <c r="V942" s="187"/>
      <c r="W942" s="187"/>
      <c r="X942" s="187"/>
      <c r="Y942" s="187"/>
      <c r="Z942" s="187"/>
    </row>
    <row r="943" ht="12.75" customHeight="1">
      <c r="A943" s="187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87"/>
      <c r="V943" s="187"/>
      <c r="W943" s="187"/>
      <c r="X943" s="187"/>
      <c r="Y943" s="187"/>
      <c r="Z943" s="187"/>
    </row>
    <row r="944" ht="12.75" customHeight="1">
      <c r="A944" s="187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87"/>
      <c r="V944" s="187"/>
      <c r="W944" s="187"/>
      <c r="X944" s="187"/>
      <c r="Y944" s="187"/>
      <c r="Z944" s="187"/>
    </row>
    <row r="945" ht="12.75" customHeight="1">
      <c r="A945" s="187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87"/>
      <c r="V945" s="187"/>
      <c r="W945" s="187"/>
      <c r="X945" s="187"/>
      <c r="Y945" s="187"/>
      <c r="Z945" s="187"/>
    </row>
    <row r="946" ht="12.75" customHeight="1">
      <c r="A946" s="187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87"/>
      <c r="V946" s="187"/>
      <c r="W946" s="187"/>
      <c r="X946" s="187"/>
      <c r="Y946" s="187"/>
      <c r="Z946" s="187"/>
    </row>
    <row r="947" ht="12.75" customHeight="1">
      <c r="A947" s="187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87"/>
      <c r="V947" s="187"/>
      <c r="W947" s="187"/>
      <c r="X947" s="187"/>
      <c r="Y947" s="187"/>
      <c r="Z947" s="187"/>
    </row>
    <row r="948" ht="12.75" customHeight="1">
      <c r="A948" s="187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87"/>
      <c r="V948" s="187"/>
      <c r="W948" s="187"/>
      <c r="X948" s="187"/>
      <c r="Y948" s="187"/>
      <c r="Z948" s="187"/>
    </row>
    <row r="949" ht="12.75" customHeight="1">
      <c r="A949" s="187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87"/>
      <c r="V949" s="187"/>
      <c r="W949" s="187"/>
      <c r="X949" s="187"/>
      <c r="Y949" s="187"/>
      <c r="Z949" s="187"/>
    </row>
    <row r="950" ht="12.75" customHeight="1">
      <c r="A950" s="187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87"/>
      <c r="V950" s="187"/>
      <c r="W950" s="187"/>
      <c r="X950" s="187"/>
      <c r="Y950" s="187"/>
      <c r="Z950" s="187"/>
    </row>
    <row r="951" ht="12.75" customHeight="1">
      <c r="A951" s="187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87"/>
      <c r="V951" s="187"/>
      <c r="W951" s="187"/>
      <c r="X951" s="187"/>
      <c r="Y951" s="187"/>
      <c r="Z951" s="187"/>
    </row>
    <row r="952" ht="12.75" customHeight="1">
      <c r="A952" s="187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87"/>
      <c r="V952" s="187"/>
      <c r="W952" s="187"/>
      <c r="X952" s="187"/>
      <c r="Y952" s="187"/>
      <c r="Z952" s="187"/>
    </row>
    <row r="953" ht="12.75" customHeight="1">
      <c r="A953" s="187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87"/>
      <c r="V953" s="187"/>
      <c r="W953" s="187"/>
      <c r="X953" s="187"/>
      <c r="Y953" s="187"/>
      <c r="Z953" s="187"/>
    </row>
    <row r="954" ht="12.75" customHeight="1">
      <c r="A954" s="187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87"/>
      <c r="V954" s="187"/>
      <c r="W954" s="187"/>
      <c r="X954" s="187"/>
      <c r="Y954" s="187"/>
      <c r="Z954" s="187"/>
    </row>
    <row r="955" ht="12.75" customHeight="1">
      <c r="A955" s="187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87"/>
      <c r="V955" s="187"/>
      <c r="W955" s="187"/>
      <c r="X955" s="187"/>
      <c r="Y955" s="187"/>
      <c r="Z955" s="187"/>
    </row>
    <row r="956" ht="12.75" customHeight="1">
      <c r="A956" s="187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87"/>
      <c r="V956" s="187"/>
      <c r="W956" s="187"/>
      <c r="X956" s="187"/>
      <c r="Y956" s="187"/>
      <c r="Z956" s="187"/>
    </row>
    <row r="957" ht="12.75" customHeight="1">
      <c r="A957" s="187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87"/>
      <c r="V957" s="187"/>
      <c r="W957" s="187"/>
      <c r="X957" s="187"/>
      <c r="Y957" s="187"/>
      <c r="Z957" s="187"/>
    </row>
    <row r="958" ht="12.75" customHeight="1">
      <c r="A958" s="187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87"/>
      <c r="V958" s="187"/>
      <c r="W958" s="187"/>
      <c r="X958" s="187"/>
      <c r="Y958" s="187"/>
      <c r="Z958" s="187"/>
    </row>
    <row r="959" ht="12.75" customHeight="1">
      <c r="A959" s="187"/>
      <c r="B959" s="187"/>
      <c r="C959" s="187"/>
      <c r="D959" s="187"/>
      <c r="E959" s="187"/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87"/>
      <c r="V959" s="187"/>
      <c r="W959" s="187"/>
      <c r="X959" s="187"/>
      <c r="Y959" s="187"/>
      <c r="Z959" s="187"/>
    </row>
    <row r="960" ht="12.75" customHeight="1">
      <c r="A960" s="187"/>
      <c r="B960" s="187"/>
      <c r="C960" s="187"/>
      <c r="D960" s="187"/>
      <c r="E960" s="187"/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87"/>
      <c r="V960" s="187"/>
      <c r="W960" s="187"/>
      <c r="X960" s="187"/>
      <c r="Y960" s="187"/>
      <c r="Z960" s="187"/>
    </row>
    <row r="961" ht="12.75" customHeight="1">
      <c r="A961" s="187"/>
      <c r="B961" s="187"/>
      <c r="C961" s="187"/>
      <c r="D961" s="187"/>
      <c r="E961" s="187"/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87"/>
      <c r="V961" s="187"/>
      <c r="W961" s="187"/>
      <c r="X961" s="187"/>
      <c r="Y961" s="187"/>
      <c r="Z961" s="187"/>
    </row>
    <row r="962" ht="12.75" customHeight="1">
      <c r="A962" s="187"/>
      <c r="B962" s="187"/>
      <c r="C962" s="187"/>
      <c r="D962" s="187"/>
      <c r="E962" s="187"/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87"/>
      <c r="V962" s="187"/>
      <c r="W962" s="187"/>
      <c r="X962" s="187"/>
      <c r="Y962" s="187"/>
      <c r="Z962" s="187"/>
    </row>
    <row r="963" ht="12.75" customHeight="1">
      <c r="A963" s="187"/>
      <c r="B963" s="187"/>
      <c r="C963" s="187"/>
      <c r="D963" s="187"/>
      <c r="E963" s="187"/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87"/>
      <c r="V963" s="187"/>
      <c r="W963" s="187"/>
      <c r="X963" s="187"/>
      <c r="Y963" s="187"/>
      <c r="Z963" s="187"/>
    </row>
    <row r="964" ht="12.75" customHeight="1">
      <c r="A964" s="187"/>
      <c r="B964" s="187"/>
      <c r="C964" s="187"/>
      <c r="D964" s="187"/>
      <c r="E964" s="187"/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87"/>
      <c r="V964" s="187"/>
      <c r="W964" s="187"/>
      <c r="X964" s="187"/>
      <c r="Y964" s="187"/>
      <c r="Z964" s="187"/>
    </row>
    <row r="965" ht="12.75" customHeight="1">
      <c r="A965" s="187"/>
      <c r="B965" s="187"/>
      <c r="C965" s="187"/>
      <c r="D965" s="187"/>
      <c r="E965" s="187"/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87"/>
      <c r="V965" s="187"/>
      <c r="W965" s="187"/>
      <c r="X965" s="187"/>
      <c r="Y965" s="187"/>
      <c r="Z965" s="187"/>
    </row>
    <row r="966" ht="12.75" customHeight="1">
      <c r="A966" s="187"/>
      <c r="B966" s="187"/>
      <c r="C966" s="187"/>
      <c r="D966" s="187"/>
      <c r="E966" s="187"/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87"/>
      <c r="V966" s="187"/>
      <c r="W966" s="187"/>
      <c r="X966" s="187"/>
      <c r="Y966" s="187"/>
      <c r="Z966" s="187"/>
    </row>
    <row r="967" ht="12.75" customHeight="1">
      <c r="A967" s="187"/>
      <c r="B967" s="187"/>
      <c r="C967" s="187"/>
      <c r="D967" s="187"/>
      <c r="E967" s="187"/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87"/>
      <c r="V967" s="187"/>
      <c r="W967" s="187"/>
      <c r="X967" s="187"/>
      <c r="Y967" s="187"/>
      <c r="Z967" s="187"/>
    </row>
    <row r="968" ht="12.75" customHeight="1">
      <c r="A968" s="187"/>
      <c r="B968" s="187"/>
      <c r="C968" s="187"/>
      <c r="D968" s="187"/>
      <c r="E968" s="187"/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87"/>
      <c r="V968" s="187"/>
      <c r="W968" s="187"/>
      <c r="X968" s="187"/>
      <c r="Y968" s="187"/>
      <c r="Z968" s="187"/>
    </row>
    <row r="969" ht="12.75" customHeight="1">
      <c r="A969" s="187"/>
      <c r="B969" s="187"/>
      <c r="C969" s="187"/>
      <c r="D969" s="187"/>
      <c r="E969" s="187"/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87"/>
      <c r="V969" s="187"/>
      <c r="W969" s="187"/>
      <c r="X969" s="187"/>
      <c r="Y969" s="187"/>
      <c r="Z969" s="187"/>
    </row>
    <row r="970" ht="12.75" customHeight="1">
      <c r="A970" s="187"/>
      <c r="B970" s="187"/>
      <c r="C970" s="187"/>
      <c r="D970" s="187"/>
      <c r="E970" s="187"/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87"/>
      <c r="V970" s="187"/>
      <c r="W970" s="187"/>
      <c r="X970" s="187"/>
      <c r="Y970" s="187"/>
      <c r="Z970" s="187"/>
    </row>
    <row r="971" ht="12.75" customHeight="1">
      <c r="A971" s="187"/>
      <c r="B971" s="187"/>
      <c r="C971" s="187"/>
      <c r="D971" s="187"/>
      <c r="E971" s="187"/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87"/>
      <c r="V971" s="187"/>
      <c r="W971" s="187"/>
      <c r="X971" s="187"/>
      <c r="Y971" s="187"/>
      <c r="Z971" s="187"/>
    </row>
    <row r="972" ht="12.75" customHeight="1">
      <c r="A972" s="187"/>
      <c r="B972" s="187"/>
      <c r="C972" s="187"/>
      <c r="D972" s="187"/>
      <c r="E972" s="187"/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87"/>
      <c r="V972" s="187"/>
      <c r="W972" s="187"/>
      <c r="X972" s="187"/>
      <c r="Y972" s="187"/>
      <c r="Z972" s="187"/>
    </row>
    <row r="973" ht="12.75" customHeight="1">
      <c r="A973" s="187"/>
      <c r="B973" s="187"/>
      <c r="C973" s="187"/>
      <c r="D973" s="187"/>
      <c r="E973" s="187"/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87"/>
      <c r="V973" s="187"/>
      <c r="W973" s="187"/>
      <c r="X973" s="187"/>
      <c r="Y973" s="187"/>
      <c r="Z973" s="187"/>
    </row>
    <row r="974" ht="12.75" customHeight="1">
      <c r="A974" s="187"/>
      <c r="B974" s="187"/>
      <c r="C974" s="187"/>
      <c r="D974" s="187"/>
      <c r="E974" s="187"/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87"/>
      <c r="V974" s="187"/>
      <c r="W974" s="187"/>
      <c r="X974" s="187"/>
      <c r="Y974" s="187"/>
      <c r="Z974" s="187"/>
    </row>
    <row r="975" ht="12.75" customHeight="1">
      <c r="A975" s="187"/>
      <c r="B975" s="187"/>
      <c r="C975" s="187"/>
      <c r="D975" s="187"/>
      <c r="E975" s="187"/>
      <c r="F975" s="187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87"/>
      <c r="V975" s="187"/>
      <c r="W975" s="187"/>
      <c r="X975" s="187"/>
      <c r="Y975" s="187"/>
      <c r="Z975" s="187"/>
    </row>
    <row r="976" ht="12.75" customHeight="1">
      <c r="A976" s="187"/>
      <c r="B976" s="187"/>
      <c r="C976" s="187"/>
      <c r="D976" s="187"/>
      <c r="E976" s="187"/>
      <c r="F976" s="187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87"/>
      <c r="V976" s="187"/>
      <c r="W976" s="187"/>
      <c r="X976" s="187"/>
      <c r="Y976" s="187"/>
      <c r="Z976" s="187"/>
    </row>
    <row r="977" ht="12.75" customHeight="1">
      <c r="A977" s="187"/>
      <c r="B977" s="187"/>
      <c r="C977" s="187"/>
      <c r="D977" s="187"/>
      <c r="E977" s="187"/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87"/>
      <c r="V977" s="187"/>
      <c r="W977" s="187"/>
      <c r="X977" s="187"/>
      <c r="Y977" s="187"/>
      <c r="Z977" s="187"/>
    </row>
    <row r="978" ht="12.75" customHeight="1">
      <c r="A978" s="187"/>
      <c r="B978" s="187"/>
      <c r="C978" s="187"/>
      <c r="D978" s="187"/>
      <c r="E978" s="187"/>
      <c r="F978" s="187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87"/>
      <c r="V978" s="187"/>
      <c r="W978" s="187"/>
      <c r="X978" s="187"/>
      <c r="Y978" s="187"/>
      <c r="Z978" s="187"/>
    </row>
    <row r="979" ht="12.75" customHeight="1">
      <c r="A979" s="187"/>
      <c r="B979" s="187"/>
      <c r="C979" s="187"/>
      <c r="D979" s="187"/>
      <c r="E979" s="187"/>
      <c r="F979" s="187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87"/>
      <c r="V979" s="187"/>
      <c r="W979" s="187"/>
      <c r="X979" s="187"/>
      <c r="Y979" s="187"/>
      <c r="Z979" s="187"/>
    </row>
    <row r="980" ht="12.75" customHeight="1">
      <c r="A980" s="187"/>
      <c r="B980" s="187"/>
      <c r="C980" s="187"/>
      <c r="D980" s="187"/>
      <c r="E980" s="187"/>
      <c r="F980" s="187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87"/>
      <c r="V980" s="187"/>
      <c r="W980" s="187"/>
      <c r="X980" s="187"/>
      <c r="Y980" s="187"/>
      <c r="Z980" s="187"/>
    </row>
    <row r="981" ht="12.75" customHeight="1">
      <c r="A981" s="187"/>
      <c r="B981" s="187"/>
      <c r="C981" s="187"/>
      <c r="D981" s="187"/>
      <c r="E981" s="187"/>
      <c r="F981" s="187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87"/>
      <c r="V981" s="187"/>
      <c r="W981" s="187"/>
      <c r="X981" s="187"/>
      <c r="Y981" s="187"/>
      <c r="Z981" s="187"/>
    </row>
    <row r="982" ht="12.75" customHeight="1">
      <c r="A982" s="187"/>
      <c r="B982" s="187"/>
      <c r="C982" s="187"/>
      <c r="D982" s="187"/>
      <c r="E982" s="187"/>
      <c r="F982" s="187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87"/>
      <c r="V982" s="187"/>
      <c r="W982" s="187"/>
      <c r="X982" s="187"/>
      <c r="Y982" s="187"/>
      <c r="Z982" s="187"/>
    </row>
    <row r="983" ht="12.75" customHeight="1">
      <c r="A983" s="187"/>
      <c r="B983" s="187"/>
      <c r="C983" s="187"/>
      <c r="D983" s="187"/>
      <c r="E983" s="187"/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87"/>
      <c r="V983" s="187"/>
      <c r="W983" s="187"/>
      <c r="X983" s="187"/>
      <c r="Y983" s="187"/>
      <c r="Z983" s="187"/>
    </row>
    <row r="984" ht="12.75" customHeight="1">
      <c r="A984" s="187"/>
      <c r="B984" s="187"/>
      <c r="C984" s="187"/>
      <c r="D984" s="187"/>
      <c r="E984" s="187"/>
      <c r="F984" s="187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87"/>
      <c r="V984" s="187"/>
      <c r="W984" s="187"/>
      <c r="X984" s="187"/>
      <c r="Y984" s="187"/>
      <c r="Z984" s="187"/>
    </row>
    <row r="985" ht="12.75" customHeight="1">
      <c r="A985" s="187"/>
      <c r="B985" s="187"/>
      <c r="C985" s="187"/>
      <c r="D985" s="187"/>
      <c r="E985" s="187"/>
      <c r="F985" s="187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87"/>
      <c r="V985" s="187"/>
      <c r="W985" s="187"/>
      <c r="X985" s="187"/>
      <c r="Y985" s="187"/>
      <c r="Z985" s="187"/>
    </row>
    <row r="986" ht="12.75" customHeight="1">
      <c r="A986" s="187"/>
      <c r="B986" s="187"/>
      <c r="C986" s="187"/>
      <c r="D986" s="187"/>
      <c r="E986" s="187"/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87"/>
      <c r="V986" s="187"/>
      <c r="W986" s="187"/>
      <c r="X986" s="187"/>
      <c r="Y986" s="187"/>
      <c r="Z986" s="187"/>
    </row>
    <row r="987" ht="12.75" customHeight="1">
      <c r="A987" s="187"/>
      <c r="B987" s="187"/>
      <c r="C987" s="187"/>
      <c r="D987" s="187"/>
      <c r="E987" s="187"/>
      <c r="F987" s="187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87"/>
      <c r="V987" s="187"/>
      <c r="W987" s="187"/>
      <c r="X987" s="187"/>
      <c r="Y987" s="187"/>
      <c r="Z987" s="187"/>
    </row>
    <row r="988" ht="12.75" customHeight="1">
      <c r="A988" s="187"/>
      <c r="B988" s="187"/>
      <c r="C988" s="187"/>
      <c r="D988" s="187"/>
      <c r="E988" s="187"/>
      <c r="F988" s="187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87"/>
      <c r="V988" s="187"/>
      <c r="W988" s="187"/>
      <c r="X988" s="187"/>
      <c r="Y988" s="187"/>
      <c r="Z988" s="187"/>
    </row>
    <row r="989" ht="12.75" customHeight="1">
      <c r="A989" s="187"/>
      <c r="B989" s="187"/>
      <c r="C989" s="187"/>
      <c r="D989" s="187"/>
      <c r="E989" s="187"/>
      <c r="F989" s="187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87"/>
      <c r="V989" s="187"/>
      <c r="W989" s="187"/>
      <c r="X989" s="187"/>
      <c r="Y989" s="187"/>
      <c r="Z989" s="187"/>
    </row>
    <row r="990" ht="12.75" customHeight="1">
      <c r="A990" s="187"/>
      <c r="B990" s="187"/>
      <c r="C990" s="187"/>
      <c r="D990" s="187"/>
      <c r="E990" s="187"/>
      <c r="F990" s="187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87"/>
      <c r="V990" s="187"/>
      <c r="W990" s="187"/>
      <c r="X990" s="187"/>
      <c r="Y990" s="187"/>
      <c r="Z990" s="187"/>
    </row>
    <row r="991" ht="12.75" customHeight="1">
      <c r="A991" s="187"/>
      <c r="B991" s="187"/>
      <c r="C991" s="187"/>
      <c r="D991" s="187"/>
      <c r="E991" s="187"/>
      <c r="F991" s="187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87"/>
      <c r="V991" s="187"/>
      <c r="W991" s="187"/>
      <c r="X991" s="187"/>
      <c r="Y991" s="187"/>
      <c r="Z991" s="187"/>
    </row>
    <row r="992" ht="12.75" customHeight="1">
      <c r="A992" s="187"/>
      <c r="B992" s="187"/>
      <c r="C992" s="187"/>
      <c r="D992" s="187"/>
      <c r="E992" s="187"/>
      <c r="F992" s="187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87"/>
      <c r="V992" s="187"/>
      <c r="W992" s="187"/>
      <c r="X992" s="187"/>
      <c r="Y992" s="187"/>
      <c r="Z992" s="187"/>
    </row>
    <row r="993" ht="12.75" customHeight="1">
      <c r="A993" s="187"/>
      <c r="B993" s="187"/>
      <c r="C993" s="187"/>
      <c r="D993" s="187"/>
      <c r="E993" s="187"/>
      <c r="F993" s="187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87"/>
      <c r="V993" s="187"/>
      <c r="W993" s="187"/>
      <c r="X993" s="187"/>
      <c r="Y993" s="187"/>
      <c r="Z993" s="187"/>
    </row>
    <row r="994" ht="12.75" customHeight="1">
      <c r="A994" s="187"/>
      <c r="B994" s="187"/>
      <c r="C994" s="187"/>
      <c r="D994" s="187"/>
      <c r="E994" s="187"/>
      <c r="F994" s="187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87"/>
      <c r="V994" s="187"/>
      <c r="W994" s="187"/>
      <c r="X994" s="187"/>
      <c r="Y994" s="187"/>
      <c r="Z994" s="187"/>
    </row>
    <row r="995" ht="12.75" customHeight="1">
      <c r="A995" s="187"/>
      <c r="B995" s="187"/>
      <c r="C995" s="187"/>
      <c r="D995" s="187"/>
      <c r="E995" s="187"/>
      <c r="F995" s="187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87"/>
      <c r="V995" s="187"/>
      <c r="W995" s="187"/>
      <c r="X995" s="187"/>
      <c r="Y995" s="187"/>
      <c r="Z995" s="187"/>
    </row>
    <row r="996" ht="12.75" customHeight="1">
      <c r="A996" s="187"/>
      <c r="B996" s="187"/>
      <c r="C996" s="187"/>
      <c r="D996" s="187"/>
      <c r="E996" s="187"/>
      <c r="F996" s="187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87"/>
      <c r="V996" s="187"/>
      <c r="W996" s="187"/>
      <c r="X996" s="187"/>
      <c r="Y996" s="187"/>
      <c r="Z996" s="187"/>
    </row>
    <row r="997" ht="12.75" customHeight="1">
      <c r="A997" s="187"/>
      <c r="B997" s="187"/>
      <c r="C997" s="187"/>
      <c r="D997" s="187"/>
      <c r="E997" s="187"/>
      <c r="F997" s="187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87"/>
      <c r="V997" s="187"/>
      <c r="W997" s="187"/>
      <c r="X997" s="187"/>
      <c r="Y997" s="187"/>
      <c r="Z997" s="187"/>
    </row>
    <row r="998" ht="12.75" customHeight="1">
      <c r="A998" s="187"/>
      <c r="B998" s="187"/>
      <c r="C998" s="187"/>
      <c r="D998" s="187"/>
      <c r="E998" s="187"/>
      <c r="F998" s="187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87"/>
      <c r="V998" s="187"/>
      <c r="W998" s="187"/>
      <c r="X998" s="187"/>
      <c r="Y998" s="187"/>
      <c r="Z998" s="187"/>
    </row>
    <row r="999" ht="12.75" customHeight="1">
      <c r="A999" s="187"/>
      <c r="B999" s="187"/>
      <c r="C999" s="187"/>
      <c r="D999" s="187"/>
      <c r="E999" s="187"/>
      <c r="F999" s="187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87"/>
      <c r="V999" s="187"/>
      <c r="W999" s="187"/>
      <c r="X999" s="187"/>
      <c r="Y999" s="187"/>
      <c r="Z999" s="187"/>
    </row>
    <row r="1000" ht="12.75" customHeight="1">
      <c r="A1000" s="187"/>
      <c r="B1000" s="187"/>
      <c r="C1000" s="187"/>
      <c r="D1000" s="187"/>
      <c r="E1000" s="187"/>
      <c r="F1000" s="187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87"/>
      <c r="V1000" s="187"/>
      <c r="W1000" s="187"/>
      <c r="X1000" s="187"/>
      <c r="Y1000" s="187"/>
      <c r="Z1000" s="187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paperSize="9" scale="6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3" width="5.63"/>
    <col customWidth="1" min="14" max="15" width="9.13"/>
    <col customWidth="1" min="16" max="26" width="8.0"/>
  </cols>
  <sheetData>
    <row r="1" ht="12.75" customHeight="1">
      <c r="A1" s="187"/>
      <c r="B1" s="187"/>
      <c r="C1" s="188" t="s">
        <v>228</v>
      </c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</row>
    <row r="2" ht="12.75" customHeight="1">
      <c r="A2" s="187"/>
      <c r="B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</row>
    <row r="3" ht="12.75" customHeight="1">
      <c r="A3" s="187"/>
      <c r="B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</row>
    <row r="4" ht="12.75" customHeight="1">
      <c r="A4" s="187"/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</row>
    <row r="5" ht="13.5" customHeight="1">
      <c r="A5" s="187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</row>
    <row r="6" ht="20.25" customHeight="1">
      <c r="A6" s="187"/>
      <c r="B6" s="187"/>
      <c r="C6" s="189" t="s">
        <v>322</v>
      </c>
      <c r="D6" s="103"/>
      <c r="E6" s="103"/>
      <c r="F6" s="103"/>
      <c r="G6" s="103"/>
      <c r="H6" s="103"/>
      <c r="I6" s="103"/>
      <c r="J6" s="103"/>
      <c r="K6" s="103"/>
      <c r="L6" s="103"/>
      <c r="M6" s="104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</row>
    <row r="7" ht="4.5" customHeight="1">
      <c r="A7" s="187"/>
      <c r="B7" s="187"/>
      <c r="C7" s="190"/>
      <c r="D7" s="191"/>
      <c r="E7" s="191"/>
      <c r="F7" s="191"/>
      <c r="G7" s="191"/>
      <c r="H7" s="191"/>
      <c r="I7" s="191"/>
      <c r="J7" s="191"/>
      <c r="K7" s="191"/>
      <c r="L7" s="191"/>
      <c r="M7" s="192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</row>
    <row r="8" ht="4.5" customHeight="1">
      <c r="A8" s="187"/>
      <c r="B8" s="187"/>
      <c r="C8" s="193"/>
      <c r="D8" s="194"/>
      <c r="E8" s="194"/>
      <c r="F8" s="194"/>
      <c r="G8" s="194"/>
      <c r="H8" s="194"/>
      <c r="I8" s="194"/>
      <c r="J8" s="194"/>
      <c r="K8" s="194"/>
      <c r="L8" s="194"/>
      <c r="M8" s="195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</row>
    <row r="9" ht="12.75" customHeight="1">
      <c r="A9" s="187"/>
      <c r="B9" s="187"/>
      <c r="C9" s="196" t="s">
        <v>195</v>
      </c>
      <c r="D9" s="191"/>
      <c r="E9" s="191"/>
      <c r="F9" s="191"/>
      <c r="G9" s="191"/>
      <c r="H9" s="191"/>
      <c r="I9" s="191"/>
      <c r="J9" s="191"/>
      <c r="K9" s="191"/>
      <c r="L9" s="191"/>
      <c r="M9" s="192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</row>
    <row r="10" ht="12.75" customHeight="1">
      <c r="A10" s="187"/>
      <c r="B10" s="187"/>
      <c r="C10" s="193"/>
      <c r="D10" s="194"/>
      <c r="E10" s="194"/>
      <c r="F10" s="194"/>
      <c r="G10" s="194"/>
      <c r="H10" s="194"/>
      <c r="I10" s="194"/>
      <c r="J10" s="194"/>
      <c r="K10" s="194"/>
      <c r="L10" s="194"/>
      <c r="M10" s="195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</row>
    <row r="11" ht="19.5" customHeight="1">
      <c r="A11" s="187"/>
      <c r="B11" s="187"/>
      <c r="C11" s="197" t="s">
        <v>196</v>
      </c>
      <c r="D11" s="198" t="s">
        <v>197</v>
      </c>
      <c r="E11" s="199" t="s">
        <v>181</v>
      </c>
      <c r="F11" s="200"/>
      <c r="G11" s="198"/>
      <c r="H11" s="199" t="s">
        <v>184</v>
      </c>
      <c r="I11" s="200"/>
      <c r="J11" s="201" t="s">
        <v>199</v>
      </c>
      <c r="K11" s="200"/>
      <c r="L11" s="201" t="s">
        <v>200</v>
      </c>
      <c r="M11" s="202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</row>
    <row r="12" ht="12.75" customHeight="1">
      <c r="A12" s="187"/>
      <c r="B12" s="187"/>
      <c r="C12" s="203"/>
      <c r="M12" s="204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</row>
    <row r="13" ht="13.5" customHeight="1">
      <c r="A13" s="187"/>
      <c r="B13" s="187"/>
      <c r="C13" s="205" t="s">
        <v>201</v>
      </c>
      <c r="D13" s="206" t="s">
        <v>205</v>
      </c>
      <c r="E13" s="207" t="s">
        <v>117</v>
      </c>
      <c r="F13" s="207" t="s">
        <v>128</v>
      </c>
      <c r="G13" s="208" t="s">
        <v>198</v>
      </c>
      <c r="H13" s="207" t="s">
        <v>14</v>
      </c>
      <c r="I13" s="207" t="s">
        <v>323</v>
      </c>
      <c r="J13" s="209">
        <v>3.0</v>
      </c>
      <c r="K13" s="210">
        <v>6.0</v>
      </c>
      <c r="L13" s="211">
        <f>IF(AND(J13&gt;K13,J14&gt;K14),2,IF(J13&gt;K13,1,IF(J14&gt;K14,1,0)))</f>
        <v>0</v>
      </c>
      <c r="M13" s="211">
        <f>IF(AND(K13&gt;J13,K14&gt;J14),2,IF(K13&gt;J13,1,IF(K14&gt;J14,1,0)))</f>
        <v>2</v>
      </c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</row>
    <row r="14" ht="12.75" customHeight="1">
      <c r="A14" s="187"/>
      <c r="B14" s="187"/>
      <c r="C14" s="212"/>
      <c r="D14" s="213"/>
      <c r="E14" s="213"/>
      <c r="F14" s="213"/>
      <c r="G14" s="213"/>
      <c r="H14" s="213"/>
      <c r="I14" s="213"/>
      <c r="J14" s="214">
        <v>2.0</v>
      </c>
      <c r="K14" s="215">
        <v>6.0</v>
      </c>
      <c r="L14" s="213"/>
      <c r="M14" s="213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</row>
    <row r="15" ht="4.5" customHeight="1">
      <c r="A15" s="187"/>
      <c r="B15" s="187"/>
      <c r="C15" s="216"/>
      <c r="D15" s="23"/>
      <c r="E15" s="23"/>
      <c r="F15" s="23"/>
      <c r="G15" s="23"/>
      <c r="H15" s="23"/>
      <c r="I15" s="23"/>
      <c r="J15" s="23"/>
      <c r="K15" s="23"/>
      <c r="L15" s="23"/>
      <c r="M15" s="202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</row>
    <row r="16" ht="12.75" customHeight="1">
      <c r="A16" s="187"/>
      <c r="B16" s="187"/>
      <c r="C16" s="205" t="s">
        <v>204</v>
      </c>
      <c r="D16" s="206" t="s">
        <v>202</v>
      </c>
      <c r="E16" s="207" t="s">
        <v>324</v>
      </c>
      <c r="F16" s="207" t="s">
        <v>112</v>
      </c>
      <c r="G16" s="208" t="s">
        <v>198</v>
      </c>
      <c r="H16" s="207" t="s">
        <v>103</v>
      </c>
      <c r="I16" s="207" t="s">
        <v>109</v>
      </c>
      <c r="J16" s="209">
        <v>1.0</v>
      </c>
      <c r="K16" s="210">
        <v>6.0</v>
      </c>
      <c r="L16" s="211">
        <f>IF(AND(J16&gt;K16,J17&gt;K17),2,IF(J16&gt;K16,1,IF(J17&gt;K17,1,0)))</f>
        <v>0</v>
      </c>
      <c r="M16" s="211">
        <f>IF(AND(K16&gt;J16,K17&gt;J17),2,IF(K16&gt;J16,1,IF(K17&gt;J17,1,0)))</f>
        <v>2</v>
      </c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</row>
    <row r="17" ht="12.75" customHeight="1">
      <c r="A17" s="187"/>
      <c r="B17" s="187"/>
      <c r="C17" s="212"/>
      <c r="D17" s="213"/>
      <c r="E17" s="213"/>
      <c r="F17" s="213"/>
      <c r="G17" s="213"/>
      <c r="H17" s="213"/>
      <c r="I17" s="213"/>
      <c r="J17" s="214">
        <v>2.0</v>
      </c>
      <c r="K17" s="215">
        <v>6.0</v>
      </c>
      <c r="L17" s="213"/>
      <c r="M17" s="213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</row>
    <row r="18" ht="4.5" customHeight="1">
      <c r="A18" s="187"/>
      <c r="B18" s="187"/>
      <c r="C18" s="217"/>
      <c r="D18" s="23"/>
      <c r="E18" s="23"/>
      <c r="F18" s="23"/>
      <c r="G18" s="23"/>
      <c r="H18" s="23"/>
      <c r="I18" s="23"/>
      <c r="J18" s="23"/>
      <c r="K18" s="23"/>
      <c r="L18" s="23"/>
      <c r="M18" s="202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</row>
    <row r="19" ht="12.75" customHeight="1">
      <c r="A19" s="187"/>
      <c r="B19" s="187"/>
      <c r="C19" s="205" t="s">
        <v>206</v>
      </c>
      <c r="D19" s="206" t="s">
        <v>212</v>
      </c>
      <c r="E19" s="207" t="s">
        <v>45</v>
      </c>
      <c r="F19" s="207" t="s">
        <v>52</v>
      </c>
      <c r="G19" s="208" t="s">
        <v>198</v>
      </c>
      <c r="H19" s="207" t="s">
        <v>48</v>
      </c>
      <c r="I19" s="207" t="s">
        <v>55</v>
      </c>
      <c r="J19" s="209">
        <v>2.0</v>
      </c>
      <c r="K19" s="210">
        <v>6.0</v>
      </c>
      <c r="L19" s="211">
        <f>IF(AND(J19&gt;K19,J20&gt;K20),2,IF(J19&gt;K19,1,IF(J20&gt;K20,1,0)))</f>
        <v>0</v>
      </c>
      <c r="M19" s="211">
        <f>IF(AND(K19&gt;J19,K20&gt;J20),2,IF(K19&gt;J19,1,IF(K20&gt;J20,1,0)))</f>
        <v>2</v>
      </c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</row>
    <row r="20" ht="12.75" customHeight="1">
      <c r="A20" s="187"/>
      <c r="B20" s="187"/>
      <c r="C20" s="212"/>
      <c r="D20" s="213"/>
      <c r="E20" s="213"/>
      <c r="F20" s="213"/>
      <c r="G20" s="213"/>
      <c r="H20" s="213"/>
      <c r="I20" s="213"/>
      <c r="J20" s="214">
        <v>2.0</v>
      </c>
      <c r="K20" s="215">
        <v>6.0</v>
      </c>
      <c r="L20" s="213"/>
      <c r="M20" s="213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</row>
    <row r="21" ht="4.5" customHeight="1">
      <c r="A21" s="187"/>
      <c r="B21" s="187"/>
      <c r="C21" s="217"/>
      <c r="D21" s="23"/>
      <c r="E21" s="23"/>
      <c r="F21" s="23"/>
      <c r="G21" s="23"/>
      <c r="H21" s="23"/>
      <c r="I21" s="23"/>
      <c r="J21" s="23"/>
      <c r="K21" s="23"/>
      <c r="L21" s="23"/>
      <c r="M21" s="202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</row>
    <row r="22" ht="12.75" customHeight="1">
      <c r="A22" s="187"/>
      <c r="B22" s="187"/>
      <c r="C22" s="205" t="s">
        <v>317</v>
      </c>
      <c r="D22" s="248"/>
      <c r="E22" s="211"/>
      <c r="F22" s="211"/>
      <c r="G22" s="208" t="s">
        <v>198</v>
      </c>
      <c r="H22" s="211"/>
      <c r="I22" s="211"/>
      <c r="J22" s="249"/>
      <c r="K22" s="250"/>
      <c r="L22" s="211">
        <f>IF(AND(J22&gt;K22,J23&gt;K23),2,IF(J22&gt;K22,1,IF(J23&gt;K23,1,0)))</f>
        <v>0</v>
      </c>
      <c r="M22" s="211">
        <f>IF(AND(K22&gt;J22,K23&gt;J23),2,IF(K22&gt;J22,1,IF(K23&gt;J23,1,0)))</f>
        <v>0</v>
      </c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</row>
    <row r="23" ht="12.75" customHeight="1">
      <c r="A23" s="187"/>
      <c r="B23" s="187"/>
      <c r="C23" s="212"/>
      <c r="D23" s="213"/>
      <c r="E23" s="213"/>
      <c r="F23" s="213"/>
      <c r="G23" s="213"/>
      <c r="H23" s="213"/>
      <c r="I23" s="213"/>
      <c r="J23" s="251"/>
      <c r="K23" s="252"/>
      <c r="L23" s="213"/>
      <c r="M23" s="213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</row>
    <row r="24" ht="4.5" customHeight="1">
      <c r="A24" s="187"/>
      <c r="B24" s="187"/>
      <c r="C24" s="217"/>
      <c r="D24" s="23"/>
      <c r="E24" s="23"/>
      <c r="F24" s="23"/>
      <c r="G24" s="23"/>
      <c r="H24" s="23"/>
      <c r="I24" s="23"/>
      <c r="J24" s="23"/>
      <c r="K24" s="23"/>
      <c r="L24" s="23"/>
      <c r="M24" s="202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</row>
    <row r="25" ht="12.75" customHeight="1">
      <c r="A25" s="187"/>
      <c r="B25" s="187"/>
      <c r="C25" s="220" t="s">
        <v>325</v>
      </c>
      <c r="D25" s="23"/>
      <c r="E25" s="23"/>
      <c r="F25" s="23"/>
      <c r="G25" s="23"/>
      <c r="H25" s="23"/>
      <c r="I25" s="200"/>
      <c r="J25" s="221">
        <f t="shared" ref="J25:M25" si="1">SUM(J13:J23)</f>
        <v>12</v>
      </c>
      <c r="K25" s="222">
        <f t="shared" si="1"/>
        <v>36</v>
      </c>
      <c r="L25" s="221">
        <f t="shared" si="1"/>
        <v>0</v>
      </c>
      <c r="M25" s="223">
        <f t="shared" si="1"/>
        <v>6</v>
      </c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</row>
    <row r="26" ht="4.5" customHeight="1">
      <c r="A26" s="187"/>
      <c r="B26" s="187"/>
      <c r="C26" s="224"/>
      <c r="D26" s="23"/>
      <c r="E26" s="23"/>
      <c r="F26" s="23"/>
      <c r="G26" s="23"/>
      <c r="H26" s="23"/>
      <c r="I26" s="23"/>
      <c r="J26" s="23"/>
      <c r="K26" s="23"/>
      <c r="L26" s="23"/>
      <c r="M26" s="202"/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</row>
    <row r="27" ht="12.75" customHeight="1">
      <c r="A27" s="187"/>
      <c r="B27" s="187"/>
      <c r="C27" s="225"/>
      <c r="D27" s="23"/>
      <c r="E27" s="23"/>
      <c r="F27" s="23"/>
      <c r="G27" s="23"/>
      <c r="H27" s="23"/>
      <c r="I27" s="23"/>
      <c r="J27" s="23"/>
      <c r="K27" s="23"/>
      <c r="L27" s="23"/>
      <c r="M27" s="202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</row>
    <row r="28" ht="12.75" customHeight="1">
      <c r="A28" s="187"/>
      <c r="B28" s="187"/>
      <c r="C28" s="218" t="s">
        <v>223</v>
      </c>
      <c r="D28" s="206" t="s">
        <v>207</v>
      </c>
      <c r="E28" s="207" t="s">
        <v>19</v>
      </c>
      <c r="F28" s="207" t="s">
        <v>11</v>
      </c>
      <c r="G28" s="208" t="s">
        <v>198</v>
      </c>
      <c r="H28" s="207" t="s">
        <v>22</v>
      </c>
      <c r="I28" s="207" t="s">
        <v>326</v>
      </c>
      <c r="J28" s="209">
        <v>6.0</v>
      </c>
      <c r="K28" s="210">
        <v>7.0</v>
      </c>
      <c r="L28" s="211">
        <f>IF(AND(J28&gt;K28,J29&gt;K29),2,IF(J28&gt;K28,1,IF(J29&gt;K29,1,0)))</f>
        <v>1</v>
      </c>
      <c r="M28" s="211">
        <f>IF(AND(K28&gt;J28,K29&gt;J29),2,IF(K28&gt;J28,1,IF(K29&gt;J29,1,0)))</f>
        <v>1</v>
      </c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</row>
    <row r="29" ht="12.75" customHeight="1">
      <c r="A29" s="187"/>
      <c r="B29" s="187"/>
      <c r="C29" s="212"/>
      <c r="D29" s="213"/>
      <c r="E29" s="213"/>
      <c r="F29" s="213"/>
      <c r="G29" s="213"/>
      <c r="H29" s="213"/>
      <c r="I29" s="213"/>
      <c r="J29" s="214">
        <v>6.0</v>
      </c>
      <c r="K29" s="215">
        <v>3.0</v>
      </c>
      <c r="L29" s="213"/>
      <c r="M29" s="213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</row>
    <row r="30" ht="4.5" customHeight="1">
      <c r="A30" s="187"/>
      <c r="B30" s="187"/>
      <c r="C30" s="216"/>
      <c r="D30" s="23"/>
      <c r="E30" s="23"/>
      <c r="F30" s="23"/>
      <c r="G30" s="23"/>
      <c r="H30" s="23"/>
      <c r="I30" s="23"/>
      <c r="J30" s="23"/>
      <c r="K30" s="23"/>
      <c r="L30" s="23"/>
      <c r="M30" s="202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</row>
    <row r="31" ht="12.75" customHeight="1">
      <c r="A31" s="226"/>
      <c r="B31" s="187"/>
      <c r="C31" s="218" t="s">
        <v>223</v>
      </c>
      <c r="D31" s="206" t="s">
        <v>214</v>
      </c>
      <c r="E31" s="207" t="s">
        <v>79</v>
      </c>
      <c r="F31" s="207" t="s">
        <v>86</v>
      </c>
      <c r="G31" s="208" t="s">
        <v>198</v>
      </c>
      <c r="H31" s="207" t="s">
        <v>82</v>
      </c>
      <c r="I31" s="207" t="s">
        <v>89</v>
      </c>
      <c r="J31" s="209">
        <v>2.0</v>
      </c>
      <c r="K31" s="210">
        <v>6.0</v>
      </c>
      <c r="L31" s="211">
        <f>IF(AND(J31&gt;K31,J32&gt;K32),2,IF(J31&gt;K31,1,IF(J32&gt;K32,1,0)))</f>
        <v>1</v>
      </c>
      <c r="M31" s="211">
        <f>IF(AND(K31&gt;J31,K32&gt;J32),2,IF(K31&gt;J31,1,IF(K32&gt;J32,1,0)))</f>
        <v>1</v>
      </c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</row>
    <row r="32" ht="12.75" customHeight="1">
      <c r="A32" s="226"/>
      <c r="B32" s="187"/>
      <c r="C32" s="212"/>
      <c r="D32" s="213"/>
      <c r="E32" s="213"/>
      <c r="F32" s="213"/>
      <c r="G32" s="213"/>
      <c r="H32" s="213"/>
      <c r="I32" s="213"/>
      <c r="J32" s="214">
        <v>6.0</v>
      </c>
      <c r="K32" s="215">
        <v>2.0</v>
      </c>
      <c r="L32" s="213"/>
      <c r="M32" s="213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</row>
    <row r="33" ht="4.5" customHeight="1">
      <c r="A33" s="187"/>
      <c r="B33" s="187"/>
      <c r="C33" s="217"/>
      <c r="D33" s="23"/>
      <c r="E33" s="23"/>
      <c r="F33" s="23"/>
      <c r="G33" s="23"/>
      <c r="H33" s="23"/>
      <c r="I33" s="23"/>
      <c r="J33" s="23"/>
      <c r="K33" s="23"/>
      <c r="L33" s="23"/>
      <c r="M33" s="202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</row>
    <row r="34" ht="12.75" customHeight="1">
      <c r="A34" s="187"/>
      <c r="B34" s="187"/>
      <c r="C34" s="218" t="s">
        <v>327</v>
      </c>
      <c r="D34" s="206" t="s">
        <v>216</v>
      </c>
      <c r="E34" s="207" t="s">
        <v>328</v>
      </c>
      <c r="F34" s="207" t="s">
        <v>329</v>
      </c>
      <c r="G34" s="208" t="s">
        <v>198</v>
      </c>
      <c r="H34" s="207" t="s">
        <v>62</v>
      </c>
      <c r="I34" s="207" t="s">
        <v>75</v>
      </c>
      <c r="J34" s="209">
        <v>6.0</v>
      </c>
      <c r="K34" s="210">
        <v>7.0</v>
      </c>
      <c r="L34" s="211">
        <f>IF(AND(J34&gt;K34,J35&gt;K35),2,IF(J34&gt;K34,1,IF(J35&gt;K35,1,0)))</f>
        <v>1</v>
      </c>
      <c r="M34" s="211">
        <f>IF(AND(K34&gt;J34,K35&gt;J35),2,IF(K34&gt;J34,1,IF(K35&gt;J35,1,0)))</f>
        <v>1</v>
      </c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</row>
    <row r="35" ht="12.75" customHeight="1">
      <c r="A35" s="187"/>
      <c r="B35" s="187"/>
      <c r="C35" s="212"/>
      <c r="D35" s="213"/>
      <c r="E35" s="213"/>
      <c r="F35" s="213"/>
      <c r="G35" s="213"/>
      <c r="H35" s="213"/>
      <c r="I35" s="213"/>
      <c r="J35" s="214">
        <v>7.0</v>
      </c>
      <c r="K35" s="215">
        <v>5.0</v>
      </c>
      <c r="L35" s="213"/>
      <c r="M35" s="213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</row>
    <row r="36" ht="4.5" customHeight="1">
      <c r="A36" s="187"/>
      <c r="B36" s="187"/>
      <c r="C36" s="217"/>
      <c r="D36" s="23"/>
      <c r="E36" s="23"/>
      <c r="F36" s="23"/>
      <c r="G36" s="23"/>
      <c r="H36" s="23"/>
      <c r="I36" s="23"/>
      <c r="J36" s="23"/>
      <c r="K36" s="23"/>
      <c r="L36" s="23"/>
      <c r="M36" s="202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</row>
    <row r="37" ht="12.75" customHeight="1">
      <c r="A37" s="187"/>
      <c r="B37" s="187"/>
      <c r="C37" s="218" t="s">
        <v>201</v>
      </c>
      <c r="D37" s="235" t="s">
        <v>209</v>
      </c>
      <c r="E37" s="207" t="s">
        <v>134</v>
      </c>
      <c r="F37" s="207" t="s">
        <v>140</v>
      </c>
      <c r="G37" s="219" t="s">
        <v>198</v>
      </c>
      <c r="H37" s="207" t="s">
        <v>143</v>
      </c>
      <c r="I37" s="207" t="s">
        <v>149</v>
      </c>
      <c r="J37" s="209">
        <v>6.0</v>
      </c>
      <c r="K37" s="210">
        <v>1.0</v>
      </c>
      <c r="L37" s="211">
        <f>IF(AND(J37&gt;K37,J38&gt;K38),2,IF(J37&gt;K37,1,IF(J38&gt;K38,1,0)))</f>
        <v>2</v>
      </c>
      <c r="M37" s="211">
        <f>IF(AND(K37&gt;J37,K38&gt;J38),2,IF(K37&gt;J37,1,IF(K38&gt;J38,1,0)))</f>
        <v>0</v>
      </c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</row>
    <row r="38" ht="12.75" customHeight="1">
      <c r="A38" s="187"/>
      <c r="B38" s="187"/>
      <c r="C38" s="212"/>
      <c r="D38" s="213"/>
      <c r="E38" s="213"/>
      <c r="F38" s="213"/>
      <c r="G38" s="213"/>
      <c r="H38" s="213"/>
      <c r="I38" s="213"/>
      <c r="J38" s="214">
        <v>7.0</v>
      </c>
      <c r="K38" s="215">
        <v>5.0</v>
      </c>
      <c r="L38" s="213"/>
      <c r="M38" s="213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</row>
    <row r="39" ht="4.5" customHeight="1">
      <c r="A39" s="187"/>
      <c r="B39" s="187"/>
      <c r="C39" s="217"/>
      <c r="D39" s="23"/>
      <c r="E39" s="23"/>
      <c r="F39" s="23"/>
      <c r="G39" s="23"/>
      <c r="H39" s="23"/>
      <c r="I39" s="23"/>
      <c r="J39" s="23"/>
      <c r="K39" s="23"/>
      <c r="L39" s="23"/>
      <c r="M39" s="202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</row>
    <row r="40" ht="12.75" customHeight="1">
      <c r="A40" s="187"/>
      <c r="B40" s="187"/>
      <c r="C40" s="220" t="s">
        <v>330</v>
      </c>
      <c r="D40" s="23"/>
      <c r="E40" s="23"/>
      <c r="F40" s="23"/>
      <c r="G40" s="23"/>
      <c r="H40" s="23"/>
      <c r="I40" s="200"/>
      <c r="J40" s="221">
        <f t="shared" ref="J40:M40" si="2">SUM(J28:J38)</f>
        <v>46</v>
      </c>
      <c r="K40" s="222">
        <f t="shared" si="2"/>
        <v>36</v>
      </c>
      <c r="L40" s="221">
        <f t="shared" si="2"/>
        <v>5</v>
      </c>
      <c r="M40" s="223">
        <f t="shared" si="2"/>
        <v>3</v>
      </c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</row>
    <row r="41" ht="4.5" customHeight="1">
      <c r="A41" s="187"/>
      <c r="B41" s="187"/>
      <c r="C41" s="224"/>
      <c r="D41" s="23"/>
      <c r="E41" s="23"/>
      <c r="F41" s="23"/>
      <c r="G41" s="23"/>
      <c r="H41" s="23"/>
      <c r="I41" s="23"/>
      <c r="J41" s="23"/>
      <c r="K41" s="23"/>
      <c r="L41" s="23"/>
      <c r="M41" s="202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</row>
    <row r="42" ht="12.75" customHeight="1">
      <c r="A42" s="187"/>
      <c r="B42" s="187"/>
      <c r="C42" s="228" t="s">
        <v>331</v>
      </c>
      <c r="D42" s="23"/>
      <c r="E42" s="23"/>
      <c r="F42" s="23"/>
      <c r="G42" s="23"/>
      <c r="H42" s="23"/>
      <c r="I42" s="200"/>
      <c r="J42" s="229">
        <f t="shared" ref="J42:M42" si="3">J40+J25</f>
        <v>58</v>
      </c>
      <c r="K42" s="230">
        <f t="shared" si="3"/>
        <v>72</v>
      </c>
      <c r="L42" s="231">
        <f t="shared" si="3"/>
        <v>5</v>
      </c>
      <c r="M42" s="232">
        <f t="shared" si="3"/>
        <v>9</v>
      </c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</row>
    <row r="43" ht="6.75" customHeight="1">
      <c r="A43" s="187"/>
      <c r="B43" s="187"/>
      <c r="C43" s="233"/>
      <c r="D43" s="23"/>
      <c r="E43" s="23"/>
      <c r="F43" s="23"/>
      <c r="G43" s="23"/>
      <c r="H43" s="23"/>
      <c r="I43" s="23"/>
      <c r="J43" s="23"/>
      <c r="K43" s="23"/>
      <c r="L43" s="23"/>
      <c r="M43" s="202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</row>
    <row r="44" ht="7.5" customHeight="1">
      <c r="A44" s="187"/>
      <c r="B44" s="187"/>
      <c r="C44" s="196" t="s">
        <v>219</v>
      </c>
      <c r="D44" s="191"/>
      <c r="E44" s="191"/>
      <c r="F44" s="191"/>
      <c r="G44" s="191"/>
      <c r="H44" s="191"/>
      <c r="I44" s="191"/>
      <c r="J44" s="191"/>
      <c r="K44" s="191"/>
      <c r="L44" s="191"/>
      <c r="M44" s="192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</row>
    <row r="45" ht="12.75" customHeight="1">
      <c r="A45" s="187"/>
      <c r="B45" s="187"/>
      <c r="C45" s="193"/>
      <c r="D45" s="194"/>
      <c r="E45" s="194"/>
      <c r="F45" s="194"/>
      <c r="G45" s="194"/>
      <c r="H45" s="194"/>
      <c r="I45" s="194"/>
      <c r="J45" s="194"/>
      <c r="K45" s="194"/>
      <c r="L45" s="194"/>
      <c r="M45" s="195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</row>
    <row r="46" ht="26.25" customHeight="1">
      <c r="A46" s="187"/>
      <c r="B46" s="187"/>
      <c r="C46" s="197" t="s">
        <v>196</v>
      </c>
      <c r="D46" s="198" t="s">
        <v>197</v>
      </c>
      <c r="E46" s="199" t="s">
        <v>220</v>
      </c>
      <c r="F46" s="200"/>
      <c r="G46" s="198"/>
      <c r="H46" s="199" t="s">
        <v>180</v>
      </c>
      <c r="I46" s="200"/>
      <c r="J46" s="201" t="s">
        <v>199</v>
      </c>
      <c r="K46" s="200"/>
      <c r="L46" s="201" t="s">
        <v>200</v>
      </c>
      <c r="M46" s="202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</row>
    <row r="47" ht="12.75" customHeight="1">
      <c r="A47" s="187"/>
      <c r="B47" s="187"/>
      <c r="C47" s="234"/>
      <c r="D47" s="23"/>
      <c r="E47" s="23"/>
      <c r="F47" s="23"/>
      <c r="G47" s="23"/>
      <c r="H47" s="23"/>
      <c r="I47" s="23"/>
      <c r="J47" s="23"/>
      <c r="K47" s="23"/>
      <c r="L47" s="23"/>
      <c r="M47" s="202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</row>
    <row r="48" ht="12.75" customHeight="1">
      <c r="A48" s="187"/>
      <c r="B48" s="187"/>
      <c r="C48" s="205" t="s">
        <v>201</v>
      </c>
      <c r="D48" s="206" t="s">
        <v>212</v>
      </c>
      <c r="E48" s="207" t="s">
        <v>46</v>
      </c>
      <c r="F48" s="207" t="s">
        <v>53</v>
      </c>
      <c r="G48" s="208" t="s">
        <v>198</v>
      </c>
      <c r="H48" s="207" t="s">
        <v>38</v>
      </c>
      <c r="I48" s="207" t="s">
        <v>51</v>
      </c>
      <c r="J48" s="209">
        <v>6.0</v>
      </c>
      <c r="K48" s="210">
        <v>2.0</v>
      </c>
      <c r="L48" s="211">
        <f>IF(AND(J48&gt;K48,J49&gt;K49),2,IF(J48&gt;K48,1,IF(J49&gt;K49,1,0)))</f>
        <v>1</v>
      </c>
      <c r="M48" s="211">
        <f>IF(AND(K48&gt;J48,K49&gt;J49),2,IF(K48&gt;J48,1,IF(K49&gt;J49,1,0)))</f>
        <v>1</v>
      </c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</row>
    <row r="49" ht="12.75" customHeight="1">
      <c r="A49" s="187"/>
      <c r="B49" s="187"/>
      <c r="C49" s="212"/>
      <c r="D49" s="213"/>
      <c r="E49" s="213"/>
      <c r="F49" s="213"/>
      <c r="G49" s="213"/>
      <c r="H49" s="213"/>
      <c r="I49" s="213"/>
      <c r="J49" s="214">
        <v>2.0</v>
      </c>
      <c r="K49" s="215">
        <v>6.0</v>
      </c>
      <c r="L49" s="213"/>
      <c r="M49" s="213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 ht="4.5" customHeight="1">
      <c r="A50" s="187"/>
      <c r="B50" s="187"/>
      <c r="C50" s="216"/>
      <c r="D50" s="23"/>
      <c r="E50" s="23"/>
      <c r="F50" s="23"/>
      <c r="G50" s="23"/>
      <c r="H50" s="23"/>
      <c r="I50" s="23"/>
      <c r="J50" s="23"/>
      <c r="K50" s="23"/>
      <c r="L50" s="23"/>
      <c r="M50" s="202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 ht="12.75" customHeight="1">
      <c r="A51" s="187"/>
      <c r="B51" s="187"/>
      <c r="C51" s="205" t="s">
        <v>204</v>
      </c>
      <c r="D51" s="206" t="s">
        <v>216</v>
      </c>
      <c r="E51" s="207" t="s">
        <v>60</v>
      </c>
      <c r="F51" s="207" t="s">
        <v>67</v>
      </c>
      <c r="G51" s="208" t="s">
        <v>198</v>
      </c>
      <c r="H51" s="207" t="s">
        <v>332</v>
      </c>
      <c r="I51" s="207" t="s">
        <v>65</v>
      </c>
      <c r="J51" s="209">
        <v>6.0</v>
      </c>
      <c r="K51" s="210">
        <v>4.0</v>
      </c>
      <c r="L51" s="211">
        <f>IF(AND(J51&gt;K51,J52&gt;K52),2,IF(J51&gt;K51,1,IF(J52&gt;K52,1,0)))</f>
        <v>1</v>
      </c>
      <c r="M51" s="211">
        <f>IF(AND(K51&gt;J51,K52&gt;J52),2,IF(K51&gt;J51,1,IF(K52&gt;J52,1,0)))</f>
        <v>1</v>
      </c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 ht="12.75" customHeight="1">
      <c r="A52" s="187"/>
      <c r="B52" s="187"/>
      <c r="C52" s="212"/>
      <c r="D52" s="213"/>
      <c r="E52" s="213"/>
      <c r="F52" s="213"/>
      <c r="G52" s="213"/>
      <c r="H52" s="213"/>
      <c r="I52" s="213"/>
      <c r="J52" s="214">
        <v>3.0</v>
      </c>
      <c r="K52" s="215">
        <v>6.0</v>
      </c>
      <c r="L52" s="213"/>
      <c r="M52" s="213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 ht="4.5" customHeight="1">
      <c r="A53" s="187"/>
      <c r="B53" s="187"/>
      <c r="C53" s="217"/>
      <c r="D53" s="23"/>
      <c r="E53" s="23"/>
      <c r="F53" s="23"/>
      <c r="G53" s="23"/>
      <c r="H53" s="23"/>
      <c r="I53" s="23"/>
      <c r="J53" s="23"/>
      <c r="K53" s="23"/>
      <c r="L53" s="23"/>
      <c r="M53" s="202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  <row r="54" ht="12.75" customHeight="1">
      <c r="A54" s="187"/>
      <c r="B54" s="187"/>
      <c r="C54" s="205" t="s">
        <v>206</v>
      </c>
      <c r="D54" s="206" t="s">
        <v>202</v>
      </c>
      <c r="E54" s="207" t="s">
        <v>333</v>
      </c>
      <c r="F54" s="207" t="s">
        <v>107</v>
      </c>
      <c r="G54" s="208" t="s">
        <v>198</v>
      </c>
      <c r="H54" s="207" t="s">
        <v>99</v>
      </c>
      <c r="I54" s="207" t="s">
        <v>111</v>
      </c>
      <c r="J54" s="209">
        <v>6.0</v>
      </c>
      <c r="K54" s="210">
        <v>0.0</v>
      </c>
      <c r="L54" s="211">
        <f>IF(AND(J54&gt;K54,J55&gt;K55),2,IF(J54&gt;K54,1,IF(J55&gt;K55,1,0)))</f>
        <v>2</v>
      </c>
      <c r="M54" s="211">
        <f>IF(AND(K54&gt;J54,K55&gt;J55),2,IF(K54&gt;J54,1,IF(K55&gt;J55,1,0)))</f>
        <v>0</v>
      </c>
      <c r="N54" s="245" t="s">
        <v>292</v>
      </c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</row>
    <row r="55" ht="12.75" customHeight="1">
      <c r="A55" s="187"/>
      <c r="B55" s="187"/>
      <c r="C55" s="212"/>
      <c r="D55" s="213"/>
      <c r="E55" s="213"/>
      <c r="F55" s="213"/>
      <c r="G55" s="213"/>
      <c r="H55" s="213"/>
      <c r="I55" s="213"/>
      <c r="J55" s="214">
        <v>6.0</v>
      </c>
      <c r="K55" s="215">
        <v>0.0</v>
      </c>
      <c r="L55" s="213"/>
      <c r="M55" s="213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</row>
    <row r="56" ht="4.5" customHeight="1">
      <c r="A56" s="187"/>
      <c r="B56" s="187"/>
      <c r="C56" s="217"/>
      <c r="D56" s="23"/>
      <c r="E56" s="23"/>
      <c r="F56" s="23"/>
      <c r="G56" s="23"/>
      <c r="H56" s="23"/>
      <c r="I56" s="23"/>
      <c r="J56" s="23"/>
      <c r="K56" s="23"/>
      <c r="L56" s="23"/>
      <c r="M56" s="202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</row>
    <row r="57" ht="12.75" customHeight="1">
      <c r="A57" s="187"/>
      <c r="B57" s="187"/>
      <c r="C57" s="205" t="s">
        <v>206</v>
      </c>
      <c r="D57" s="248"/>
      <c r="E57" s="211"/>
      <c r="F57" s="211"/>
      <c r="G57" s="208" t="s">
        <v>198</v>
      </c>
      <c r="H57" s="211"/>
      <c r="I57" s="211"/>
      <c r="J57" s="249"/>
      <c r="K57" s="250"/>
      <c r="L57" s="211">
        <f>IF(AND(J57&gt;K57,J58&gt;K58),2,IF(J57&gt;K57,1,IF(J58&gt;K58,1,0)))</f>
        <v>0</v>
      </c>
      <c r="M57" s="211">
        <f>IF(AND(K57&gt;J57,K58&gt;J58),2,IF(K57&gt;J57,1,IF(K58&gt;J58,1,0)))</f>
        <v>0</v>
      </c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</row>
    <row r="58" ht="12.75" customHeight="1">
      <c r="A58" s="187"/>
      <c r="B58" s="187"/>
      <c r="C58" s="212"/>
      <c r="D58" s="213"/>
      <c r="E58" s="213"/>
      <c r="F58" s="213"/>
      <c r="G58" s="213"/>
      <c r="H58" s="213"/>
      <c r="I58" s="213"/>
      <c r="J58" s="251"/>
      <c r="K58" s="252"/>
      <c r="L58" s="213"/>
      <c r="M58" s="213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</row>
    <row r="59" ht="4.5" customHeight="1">
      <c r="A59" s="187"/>
      <c r="B59" s="187"/>
      <c r="C59" s="253"/>
      <c r="D59" s="254"/>
      <c r="E59" s="254"/>
      <c r="F59" s="254"/>
      <c r="G59" s="254"/>
      <c r="H59" s="254"/>
      <c r="I59" s="254"/>
      <c r="J59" s="254"/>
      <c r="K59" s="254"/>
      <c r="L59" s="254"/>
      <c r="M59" s="255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</row>
    <row r="60" ht="12.75" customHeight="1">
      <c r="A60" s="187"/>
      <c r="B60" s="187"/>
      <c r="C60" s="220" t="s">
        <v>325</v>
      </c>
      <c r="D60" s="23"/>
      <c r="E60" s="23"/>
      <c r="F60" s="23"/>
      <c r="G60" s="23"/>
      <c r="H60" s="23"/>
      <c r="I60" s="200"/>
      <c r="J60" s="221">
        <f t="shared" ref="J60:M60" si="4">SUM(J48:J58)</f>
        <v>29</v>
      </c>
      <c r="K60" s="222">
        <f t="shared" si="4"/>
        <v>18</v>
      </c>
      <c r="L60" s="221">
        <f t="shared" si="4"/>
        <v>4</v>
      </c>
      <c r="M60" s="223">
        <f t="shared" si="4"/>
        <v>2</v>
      </c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</row>
    <row r="61" ht="4.5" customHeight="1">
      <c r="A61" s="187"/>
      <c r="B61" s="187"/>
      <c r="C61" s="224"/>
      <c r="D61" s="23"/>
      <c r="E61" s="23"/>
      <c r="F61" s="23"/>
      <c r="G61" s="23"/>
      <c r="H61" s="23"/>
      <c r="I61" s="23"/>
      <c r="J61" s="23"/>
      <c r="K61" s="23"/>
      <c r="L61" s="23"/>
      <c r="M61" s="202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</row>
    <row r="62" ht="12.75" customHeight="1">
      <c r="A62" s="187"/>
      <c r="B62" s="187"/>
      <c r="C62" s="225"/>
      <c r="D62" s="23"/>
      <c r="E62" s="23"/>
      <c r="F62" s="23"/>
      <c r="G62" s="23"/>
      <c r="H62" s="23"/>
      <c r="I62" s="23"/>
      <c r="J62" s="23"/>
      <c r="K62" s="23"/>
      <c r="L62" s="23"/>
      <c r="M62" s="202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</row>
    <row r="63" ht="12.75" customHeight="1">
      <c r="A63" s="187"/>
      <c r="B63" s="187"/>
      <c r="C63" s="260" t="s">
        <v>237</v>
      </c>
      <c r="D63" s="206" t="s">
        <v>209</v>
      </c>
      <c r="E63" s="207" t="s">
        <v>135</v>
      </c>
      <c r="F63" s="207" t="s">
        <v>270</v>
      </c>
      <c r="G63" s="208" t="s">
        <v>198</v>
      </c>
      <c r="H63" s="207" t="s">
        <v>145</v>
      </c>
      <c r="I63" s="207" t="s">
        <v>139</v>
      </c>
      <c r="J63" s="209">
        <v>3.0</v>
      </c>
      <c r="K63" s="210">
        <v>6.0</v>
      </c>
      <c r="L63" s="211">
        <f>IF(AND(J63&gt;K63,J64&gt;K64),2,IF(J63&gt;K63,1,IF(J64&gt;K64,1,0)))</f>
        <v>0</v>
      </c>
      <c r="M63" s="211">
        <f>IF(AND(K63&gt;J63,K64&gt;J64),2,IF(K63&gt;J63,1,IF(K64&gt;J64,1,0)))</f>
        <v>2</v>
      </c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</row>
    <row r="64" ht="12.75" customHeight="1">
      <c r="A64" s="187"/>
      <c r="B64" s="187"/>
      <c r="C64" s="212"/>
      <c r="D64" s="213"/>
      <c r="E64" s="213"/>
      <c r="F64" s="213"/>
      <c r="G64" s="213"/>
      <c r="H64" s="213"/>
      <c r="I64" s="213"/>
      <c r="J64" s="214">
        <v>3.0</v>
      </c>
      <c r="K64" s="215">
        <v>6.0</v>
      </c>
      <c r="L64" s="213"/>
      <c r="M64" s="213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</row>
    <row r="65" ht="4.5" customHeight="1">
      <c r="A65" s="187"/>
      <c r="B65" s="187"/>
      <c r="C65" s="216"/>
      <c r="D65" s="23"/>
      <c r="E65" s="23"/>
      <c r="F65" s="23"/>
      <c r="G65" s="23"/>
      <c r="H65" s="23"/>
      <c r="I65" s="23"/>
      <c r="J65" s="23"/>
      <c r="K65" s="23"/>
      <c r="L65" s="23"/>
      <c r="M65" s="202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</row>
    <row r="66" ht="12.75" customHeight="1">
      <c r="A66" s="187"/>
      <c r="B66" s="187"/>
      <c r="C66" s="218" t="s">
        <v>327</v>
      </c>
      <c r="D66" s="206" t="s">
        <v>207</v>
      </c>
      <c r="E66" s="207" t="s">
        <v>20</v>
      </c>
      <c r="F66" s="207" t="s">
        <v>27</v>
      </c>
      <c r="G66" s="208" t="s">
        <v>198</v>
      </c>
      <c r="H66" s="207" t="s">
        <v>25</v>
      </c>
      <c r="I66" s="207" t="s">
        <v>32</v>
      </c>
      <c r="J66" s="209">
        <v>6.0</v>
      </c>
      <c r="K66" s="210">
        <v>0.0</v>
      </c>
      <c r="L66" s="211">
        <f>IF(AND(J66&gt;K66,J67&gt;K67),2,IF(J66&gt;K66,1,IF(J67&gt;K67,1,0)))</f>
        <v>2</v>
      </c>
      <c r="M66" s="211">
        <f>IF(AND(K66&gt;J66,K67&gt;J67),2,IF(K66&gt;J66,1,IF(K67&gt;J67,1,0)))</f>
        <v>0</v>
      </c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</row>
    <row r="67" ht="12.75" customHeight="1">
      <c r="A67" s="187"/>
      <c r="B67" s="187"/>
      <c r="C67" s="212"/>
      <c r="D67" s="213"/>
      <c r="E67" s="213"/>
      <c r="F67" s="213"/>
      <c r="G67" s="213"/>
      <c r="H67" s="213"/>
      <c r="I67" s="213"/>
      <c r="J67" s="214">
        <v>6.0</v>
      </c>
      <c r="K67" s="215">
        <v>1.0</v>
      </c>
      <c r="L67" s="213"/>
      <c r="M67" s="213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</row>
    <row r="68" ht="4.5" customHeight="1">
      <c r="A68" s="187"/>
      <c r="B68" s="187"/>
      <c r="C68" s="217"/>
      <c r="D68" s="23"/>
      <c r="E68" s="23"/>
      <c r="F68" s="23"/>
      <c r="G68" s="23"/>
      <c r="H68" s="23"/>
      <c r="I68" s="23"/>
      <c r="J68" s="23"/>
      <c r="K68" s="23"/>
      <c r="L68" s="23"/>
      <c r="M68" s="202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</row>
    <row r="69" ht="12.75" customHeight="1">
      <c r="A69" s="187"/>
      <c r="B69" s="187"/>
      <c r="C69" s="218" t="s">
        <v>327</v>
      </c>
      <c r="D69" s="206" t="s">
        <v>214</v>
      </c>
      <c r="E69" s="207" t="s">
        <v>80</v>
      </c>
      <c r="F69" s="207" t="s">
        <v>87</v>
      </c>
      <c r="G69" s="208" t="s">
        <v>198</v>
      </c>
      <c r="H69" s="207" t="s">
        <v>78</v>
      </c>
      <c r="I69" s="207" t="s">
        <v>92</v>
      </c>
      <c r="J69" s="209">
        <v>6.0</v>
      </c>
      <c r="K69" s="210">
        <v>4.0</v>
      </c>
      <c r="L69" s="211">
        <f>IF(AND(J69&gt;K69,J70&gt;K70),2,IF(J69&gt;K69,1,IF(J70&gt;K70,1,0)))</f>
        <v>2</v>
      </c>
      <c r="M69" s="211">
        <f>IF(AND(K69&gt;J69,K70&gt;J70),2,IF(K69&gt;J69,1,IF(K70&gt;J70,1,0)))</f>
        <v>0</v>
      </c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</row>
    <row r="70" ht="12.75" customHeight="1">
      <c r="A70" s="187"/>
      <c r="B70" s="187"/>
      <c r="C70" s="212"/>
      <c r="D70" s="213"/>
      <c r="E70" s="213"/>
      <c r="F70" s="213"/>
      <c r="G70" s="213"/>
      <c r="H70" s="213"/>
      <c r="I70" s="213"/>
      <c r="J70" s="214">
        <v>6.0</v>
      </c>
      <c r="K70" s="215">
        <v>3.0</v>
      </c>
      <c r="L70" s="213"/>
      <c r="M70" s="213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</row>
    <row r="71" ht="4.5" customHeight="1">
      <c r="A71" s="187"/>
      <c r="B71" s="187"/>
      <c r="C71" s="217"/>
      <c r="D71" s="23"/>
      <c r="E71" s="23"/>
      <c r="F71" s="23"/>
      <c r="G71" s="23"/>
      <c r="H71" s="23"/>
      <c r="I71" s="23"/>
      <c r="J71" s="23"/>
      <c r="K71" s="23"/>
      <c r="L71" s="23"/>
      <c r="M71" s="202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</row>
    <row r="72" ht="12.75" customHeight="1">
      <c r="A72" s="187"/>
      <c r="B72" s="187"/>
      <c r="C72" s="218" t="s">
        <v>201</v>
      </c>
      <c r="D72" s="235" t="s">
        <v>205</v>
      </c>
      <c r="E72" s="207" t="s">
        <v>118</v>
      </c>
      <c r="F72" s="207" t="s">
        <v>129</v>
      </c>
      <c r="G72" s="219" t="s">
        <v>198</v>
      </c>
      <c r="H72" s="207" t="s">
        <v>127</v>
      </c>
      <c r="I72" s="207" t="s">
        <v>133</v>
      </c>
      <c r="J72" s="209">
        <v>6.0</v>
      </c>
      <c r="K72" s="210">
        <v>1.0</v>
      </c>
      <c r="L72" s="211">
        <f>IF(AND(J72&gt;K72,J73&gt;K73),2,IF(J72&gt;K72,1,IF(J73&gt;K73,1,0)))</f>
        <v>2</v>
      </c>
      <c r="M72" s="211">
        <f>IF(AND(K72&gt;J72,K73&gt;J73),2,IF(K72&gt;J72,1,IF(K73&gt;J73,1,0)))</f>
        <v>0</v>
      </c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</row>
    <row r="73" ht="12.75" customHeight="1">
      <c r="A73" s="187"/>
      <c r="B73" s="187"/>
      <c r="C73" s="212"/>
      <c r="D73" s="213"/>
      <c r="E73" s="213"/>
      <c r="F73" s="213"/>
      <c r="G73" s="213"/>
      <c r="H73" s="213"/>
      <c r="I73" s="213"/>
      <c r="J73" s="214">
        <v>6.0</v>
      </c>
      <c r="K73" s="215">
        <v>4.0</v>
      </c>
      <c r="L73" s="213"/>
      <c r="M73" s="213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</row>
    <row r="74" ht="4.5" customHeight="1">
      <c r="A74" s="187"/>
      <c r="B74" s="187"/>
      <c r="C74" s="217"/>
      <c r="D74" s="23"/>
      <c r="E74" s="23"/>
      <c r="F74" s="23"/>
      <c r="G74" s="23"/>
      <c r="H74" s="23"/>
      <c r="I74" s="23"/>
      <c r="J74" s="23"/>
      <c r="K74" s="23"/>
      <c r="L74" s="23"/>
      <c r="M74" s="202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</row>
    <row r="75" ht="12.75" customHeight="1">
      <c r="A75" s="187"/>
      <c r="B75" s="187"/>
      <c r="C75" s="220" t="s">
        <v>330</v>
      </c>
      <c r="D75" s="23"/>
      <c r="E75" s="23"/>
      <c r="F75" s="23"/>
      <c r="G75" s="23"/>
      <c r="H75" s="23"/>
      <c r="I75" s="200"/>
      <c r="J75" s="221">
        <f t="shared" ref="J75:M75" si="5">SUM(J63:J73)</f>
        <v>42</v>
      </c>
      <c r="K75" s="222">
        <f t="shared" si="5"/>
        <v>25</v>
      </c>
      <c r="L75" s="221">
        <f t="shared" si="5"/>
        <v>6</v>
      </c>
      <c r="M75" s="223">
        <f t="shared" si="5"/>
        <v>2</v>
      </c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</row>
    <row r="76" ht="4.5" customHeight="1">
      <c r="A76" s="187"/>
      <c r="B76" s="187"/>
      <c r="C76" s="224"/>
      <c r="D76" s="23"/>
      <c r="E76" s="23"/>
      <c r="F76" s="23"/>
      <c r="G76" s="23"/>
      <c r="H76" s="23"/>
      <c r="I76" s="23"/>
      <c r="J76" s="23"/>
      <c r="K76" s="23"/>
      <c r="L76" s="23"/>
      <c r="M76" s="202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</row>
    <row r="77" ht="12.75" customHeight="1">
      <c r="A77" s="187"/>
      <c r="B77" s="187"/>
      <c r="C77" s="228" t="s">
        <v>331</v>
      </c>
      <c r="D77" s="23"/>
      <c r="E77" s="23"/>
      <c r="F77" s="23"/>
      <c r="G77" s="23"/>
      <c r="H77" s="23"/>
      <c r="I77" s="200"/>
      <c r="J77" s="229">
        <f t="shared" ref="J77:M77" si="6">J75+J60</f>
        <v>71</v>
      </c>
      <c r="K77" s="230">
        <f t="shared" si="6"/>
        <v>43</v>
      </c>
      <c r="L77" s="231">
        <f t="shared" si="6"/>
        <v>10</v>
      </c>
      <c r="M77" s="232">
        <f t="shared" si="6"/>
        <v>4</v>
      </c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</row>
    <row r="78" ht="6.75" customHeight="1">
      <c r="A78" s="187"/>
      <c r="B78" s="187"/>
      <c r="C78" s="233"/>
      <c r="D78" s="23"/>
      <c r="E78" s="23"/>
      <c r="F78" s="23"/>
      <c r="G78" s="23"/>
      <c r="H78" s="23"/>
      <c r="I78" s="23"/>
      <c r="J78" s="23"/>
      <c r="K78" s="23"/>
      <c r="L78" s="23"/>
      <c r="M78" s="202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</row>
    <row r="79" ht="12.75" customHeight="1">
      <c r="A79" s="187"/>
      <c r="B79" s="187"/>
      <c r="C79" s="196" t="s">
        <v>225</v>
      </c>
      <c r="D79" s="191"/>
      <c r="E79" s="191"/>
      <c r="F79" s="191"/>
      <c r="G79" s="191"/>
      <c r="H79" s="191"/>
      <c r="I79" s="191"/>
      <c r="J79" s="191"/>
      <c r="K79" s="191"/>
      <c r="L79" s="191"/>
      <c r="M79" s="192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</row>
    <row r="80" ht="12.75" customHeight="1">
      <c r="A80" s="187"/>
      <c r="B80" s="187"/>
      <c r="C80" s="193"/>
      <c r="D80" s="194"/>
      <c r="E80" s="194"/>
      <c r="F80" s="194"/>
      <c r="G80" s="194"/>
      <c r="H80" s="194"/>
      <c r="I80" s="194"/>
      <c r="J80" s="194"/>
      <c r="K80" s="194"/>
      <c r="L80" s="194"/>
      <c r="M80" s="195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</row>
    <row r="81" ht="26.25" customHeight="1">
      <c r="A81" s="187"/>
      <c r="B81" s="187"/>
      <c r="C81" s="236" t="s">
        <v>196</v>
      </c>
      <c r="D81" s="201" t="s">
        <v>197</v>
      </c>
      <c r="E81" s="199" t="s">
        <v>177</v>
      </c>
      <c r="F81" s="200"/>
      <c r="G81" s="198"/>
      <c r="H81" s="199" t="s">
        <v>334</v>
      </c>
      <c r="I81" s="200"/>
      <c r="J81" s="237"/>
      <c r="K81" s="200"/>
      <c r="L81" s="201"/>
      <c r="M81" s="202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</row>
    <row r="82" ht="12.75" customHeight="1">
      <c r="A82" s="187"/>
      <c r="B82" s="187"/>
      <c r="C82" s="203"/>
      <c r="M82" s="204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</row>
    <row r="83" ht="12.75" customHeight="1">
      <c r="A83" s="187"/>
      <c r="B83" s="187"/>
      <c r="C83" s="205" t="s">
        <v>201</v>
      </c>
      <c r="D83" s="206" t="s">
        <v>212</v>
      </c>
      <c r="E83" s="207" t="s">
        <v>37</v>
      </c>
      <c r="F83" s="207" t="s">
        <v>9</v>
      </c>
      <c r="G83" s="208" t="s">
        <v>198</v>
      </c>
      <c r="H83" s="207" t="s">
        <v>41</v>
      </c>
      <c r="I83" s="207" t="s">
        <v>47</v>
      </c>
      <c r="J83" s="209">
        <v>4.0</v>
      </c>
      <c r="K83" s="210">
        <v>6.0</v>
      </c>
      <c r="L83" s="211">
        <f>IF(AND(J83&gt;K83,J84&gt;K84),2,IF(J83&gt;K83,1,IF(J84&gt;K84,1,0)))</f>
        <v>1</v>
      </c>
      <c r="M83" s="211">
        <f>IF(AND(K83&gt;J83,K84&gt;J84),2,IF(K83&gt;J83,1,IF(K84&gt;J84,1,0)))</f>
        <v>1</v>
      </c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</row>
    <row r="84" ht="12.75" customHeight="1">
      <c r="A84" s="187"/>
      <c r="B84" s="187"/>
      <c r="C84" s="212"/>
      <c r="D84" s="213"/>
      <c r="E84" s="213"/>
      <c r="F84" s="213"/>
      <c r="G84" s="213"/>
      <c r="H84" s="213"/>
      <c r="I84" s="213"/>
      <c r="J84" s="214">
        <v>7.0</v>
      </c>
      <c r="K84" s="215">
        <v>5.0</v>
      </c>
      <c r="L84" s="213"/>
      <c r="M84" s="213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</row>
    <row r="85" ht="4.5" customHeight="1">
      <c r="A85" s="187"/>
      <c r="B85" s="187"/>
      <c r="C85" s="216"/>
      <c r="D85" s="23"/>
      <c r="E85" s="23"/>
      <c r="F85" s="23"/>
      <c r="G85" s="23"/>
      <c r="H85" s="23"/>
      <c r="I85" s="23"/>
      <c r="J85" s="23"/>
      <c r="K85" s="23"/>
      <c r="L85" s="23"/>
      <c r="M85" s="202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</row>
    <row r="86" ht="12.75" customHeight="1">
      <c r="A86" s="187"/>
      <c r="B86" s="187"/>
      <c r="C86" s="205" t="s">
        <v>204</v>
      </c>
      <c r="D86" s="206" t="s">
        <v>207</v>
      </c>
      <c r="E86" s="207" t="s">
        <v>77</v>
      </c>
      <c r="F86" s="207" t="s">
        <v>91</v>
      </c>
      <c r="G86" s="208" t="s">
        <v>198</v>
      </c>
      <c r="H86" s="207" t="s">
        <v>81</v>
      </c>
      <c r="I86" s="207" t="s">
        <v>88</v>
      </c>
      <c r="J86" s="209">
        <v>6.0</v>
      </c>
      <c r="K86" s="210">
        <v>3.0</v>
      </c>
      <c r="L86" s="211">
        <f>IF(AND(J86&gt;K86,J87&gt;K87),2,IF(J86&gt;K86,1,IF(J87&gt;K87,1,0)))</f>
        <v>2</v>
      </c>
      <c r="M86" s="211">
        <f>IF(AND(K86&gt;J86,K87&gt;J87),2,IF(K86&gt;J86,1,IF(K87&gt;J87,1,0)))</f>
        <v>0</v>
      </c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</row>
    <row r="87" ht="12.75" customHeight="1">
      <c r="A87" s="187"/>
      <c r="B87" s="187"/>
      <c r="C87" s="212"/>
      <c r="D87" s="213"/>
      <c r="E87" s="213"/>
      <c r="F87" s="213"/>
      <c r="G87" s="213"/>
      <c r="H87" s="213"/>
      <c r="I87" s="213"/>
      <c r="J87" s="214">
        <v>7.0</v>
      </c>
      <c r="K87" s="215">
        <v>5.0</v>
      </c>
      <c r="L87" s="213"/>
      <c r="M87" s="213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</row>
    <row r="88" ht="4.5" customHeight="1">
      <c r="A88" s="187"/>
      <c r="B88" s="187"/>
      <c r="C88" s="217"/>
      <c r="D88" s="23"/>
      <c r="E88" s="23"/>
      <c r="F88" s="23"/>
      <c r="G88" s="23"/>
      <c r="H88" s="23"/>
      <c r="I88" s="23"/>
      <c r="J88" s="23"/>
      <c r="K88" s="23"/>
      <c r="L88" s="23"/>
      <c r="M88" s="202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</row>
    <row r="89" ht="12.75" customHeight="1">
      <c r="A89" s="187"/>
      <c r="B89" s="187"/>
      <c r="C89" s="205" t="s">
        <v>206</v>
      </c>
      <c r="D89" s="206" t="s">
        <v>214</v>
      </c>
      <c r="E89" s="207" t="s">
        <v>17</v>
      </c>
      <c r="F89" s="207" t="s">
        <v>31</v>
      </c>
      <c r="G89" s="208" t="s">
        <v>198</v>
      </c>
      <c r="H89" s="207" t="s">
        <v>21</v>
      </c>
      <c r="I89" s="207" t="s">
        <v>34</v>
      </c>
      <c r="J89" s="209">
        <v>6.0</v>
      </c>
      <c r="K89" s="210">
        <v>4.0</v>
      </c>
      <c r="L89" s="211">
        <f>IF(AND(J89&gt;K89,J90&gt;K90),2,IF(J89&gt;K89,1,IF(J90&gt;K90,1,0)))</f>
        <v>2</v>
      </c>
      <c r="M89" s="211">
        <f>IF(AND(K89&gt;J89,K90&gt;J90),2,IF(K89&gt;J89,1,IF(K90&gt;J90,1,0)))</f>
        <v>0</v>
      </c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</row>
    <row r="90" ht="12.75" customHeight="1">
      <c r="A90" s="187"/>
      <c r="B90" s="187"/>
      <c r="C90" s="212"/>
      <c r="D90" s="213"/>
      <c r="E90" s="213"/>
      <c r="F90" s="213"/>
      <c r="G90" s="213"/>
      <c r="H90" s="213"/>
      <c r="I90" s="213"/>
      <c r="J90" s="214">
        <v>6.0</v>
      </c>
      <c r="K90" s="215">
        <v>1.0</v>
      </c>
      <c r="L90" s="213"/>
      <c r="M90" s="213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</row>
    <row r="91" ht="4.5" customHeight="1">
      <c r="A91" s="187"/>
      <c r="B91" s="187"/>
      <c r="C91" s="217"/>
      <c r="D91" s="23"/>
      <c r="E91" s="23"/>
      <c r="F91" s="23"/>
      <c r="G91" s="23"/>
      <c r="H91" s="23"/>
      <c r="I91" s="23"/>
      <c r="J91" s="23"/>
      <c r="K91" s="23"/>
      <c r="L91" s="23"/>
      <c r="M91" s="202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</row>
    <row r="92" ht="12.75" customHeight="1">
      <c r="A92" s="187"/>
      <c r="B92" s="187"/>
      <c r="C92" s="205"/>
      <c r="D92" s="248"/>
      <c r="E92" s="211"/>
      <c r="F92" s="211"/>
      <c r="G92" s="208"/>
      <c r="H92" s="211"/>
      <c r="I92" s="211"/>
      <c r="J92" s="249"/>
      <c r="K92" s="250"/>
      <c r="L92" s="211">
        <f>IF(AND(J92&gt;K92,J93&gt;K93),2,IF(J92&gt;K92,1,IF(J93&gt;K93,1,0)))</f>
        <v>0</v>
      </c>
      <c r="M92" s="211">
        <f>IF(AND(K92&gt;J92,K93&gt;J93),2,IF(K92&gt;J92,1,IF(K93&gt;J93,1,0)))</f>
        <v>0</v>
      </c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</row>
    <row r="93" ht="12.75" customHeight="1">
      <c r="A93" s="187"/>
      <c r="B93" s="187"/>
      <c r="C93" s="212"/>
      <c r="D93" s="213"/>
      <c r="E93" s="213"/>
      <c r="F93" s="213"/>
      <c r="G93" s="213"/>
      <c r="H93" s="213"/>
      <c r="I93" s="213"/>
      <c r="J93" s="251"/>
      <c r="K93" s="252"/>
      <c r="L93" s="213"/>
      <c r="M93" s="213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</row>
    <row r="94" ht="4.5" customHeight="1">
      <c r="A94" s="187"/>
      <c r="B94" s="187"/>
      <c r="C94" s="253"/>
      <c r="D94" s="254"/>
      <c r="E94" s="254"/>
      <c r="F94" s="254"/>
      <c r="G94" s="254"/>
      <c r="H94" s="254"/>
      <c r="I94" s="254"/>
      <c r="J94" s="254"/>
      <c r="K94" s="254"/>
      <c r="L94" s="254"/>
      <c r="M94" s="255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</row>
    <row r="95" ht="12.75" customHeight="1">
      <c r="A95" s="187"/>
      <c r="B95" s="187"/>
      <c r="C95" s="220" t="s">
        <v>325</v>
      </c>
      <c r="D95" s="23"/>
      <c r="E95" s="23"/>
      <c r="F95" s="23"/>
      <c r="G95" s="23"/>
      <c r="H95" s="23"/>
      <c r="I95" s="200"/>
      <c r="J95" s="221">
        <f t="shared" ref="J95:M95" si="7">SUM(J83:J93)</f>
        <v>36</v>
      </c>
      <c r="K95" s="222">
        <f t="shared" si="7"/>
        <v>24</v>
      </c>
      <c r="L95" s="221">
        <f t="shared" si="7"/>
        <v>5</v>
      </c>
      <c r="M95" s="223">
        <f t="shared" si="7"/>
        <v>1</v>
      </c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</row>
    <row r="96" ht="4.5" customHeight="1">
      <c r="A96" s="187"/>
      <c r="B96" s="187"/>
      <c r="C96" s="224"/>
      <c r="D96" s="23"/>
      <c r="E96" s="23"/>
      <c r="F96" s="23"/>
      <c r="G96" s="23"/>
      <c r="H96" s="23"/>
      <c r="I96" s="23"/>
      <c r="J96" s="23"/>
      <c r="K96" s="23"/>
      <c r="L96" s="23"/>
      <c r="M96" s="202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</row>
    <row r="97" ht="12.75" customHeight="1">
      <c r="A97" s="187"/>
      <c r="B97" s="187"/>
      <c r="C97" s="225"/>
      <c r="D97" s="23"/>
      <c r="E97" s="23"/>
      <c r="F97" s="23"/>
      <c r="G97" s="23"/>
      <c r="H97" s="23"/>
      <c r="I97" s="23"/>
      <c r="J97" s="23"/>
      <c r="K97" s="23"/>
      <c r="L97" s="23"/>
      <c r="M97" s="202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</row>
    <row r="98" ht="12.75" customHeight="1">
      <c r="A98" s="187"/>
      <c r="B98" s="187"/>
      <c r="C98" s="218" t="s">
        <v>223</v>
      </c>
      <c r="D98" s="206" t="s">
        <v>202</v>
      </c>
      <c r="E98" s="207" t="s">
        <v>98</v>
      </c>
      <c r="F98" s="207" t="s">
        <v>104</v>
      </c>
      <c r="G98" s="208" t="s">
        <v>198</v>
      </c>
      <c r="H98" s="207" t="s">
        <v>102</v>
      </c>
      <c r="I98" s="207" t="s">
        <v>108</v>
      </c>
      <c r="J98" s="209">
        <v>4.0</v>
      </c>
      <c r="K98" s="210">
        <v>6.0</v>
      </c>
      <c r="L98" s="211">
        <f>IF(AND(J98&gt;K98,J99&gt;K99),2,IF(J98&gt;K98,1,IF(J99&gt;K99,1,0)))</f>
        <v>0</v>
      </c>
      <c r="M98" s="211">
        <f>IF(AND(K98&gt;J98,K99&gt;J99),2,IF(K98&gt;J98,1,IF(K99&gt;J99,1,0)))</f>
        <v>2</v>
      </c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</row>
    <row r="99" ht="12.75" customHeight="1">
      <c r="A99" s="187"/>
      <c r="B99" s="187"/>
      <c r="C99" s="212"/>
      <c r="D99" s="213"/>
      <c r="E99" s="213"/>
      <c r="F99" s="213"/>
      <c r="G99" s="213"/>
      <c r="H99" s="213"/>
      <c r="I99" s="213"/>
      <c r="J99" s="214">
        <v>2.0</v>
      </c>
      <c r="K99" s="215">
        <v>6.0</v>
      </c>
      <c r="L99" s="213"/>
      <c r="M99" s="213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</row>
    <row r="100" ht="4.5" customHeight="1">
      <c r="A100" s="187"/>
      <c r="B100" s="187"/>
      <c r="C100" s="216"/>
      <c r="D100" s="23"/>
      <c r="E100" s="23"/>
      <c r="F100" s="23"/>
      <c r="G100" s="23"/>
      <c r="H100" s="23"/>
      <c r="I100" s="23"/>
      <c r="J100" s="23"/>
      <c r="K100" s="23"/>
      <c r="L100" s="23"/>
      <c r="M100" s="202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</row>
    <row r="101" ht="12.75" customHeight="1">
      <c r="A101" s="187"/>
      <c r="B101" s="187"/>
      <c r="C101" s="218" t="s">
        <v>327</v>
      </c>
      <c r="D101" s="206" t="s">
        <v>209</v>
      </c>
      <c r="E101" s="207" t="s">
        <v>132</v>
      </c>
      <c r="F101" s="207" t="s">
        <v>144</v>
      </c>
      <c r="G101" s="208" t="s">
        <v>198</v>
      </c>
      <c r="H101" s="207" t="s">
        <v>136</v>
      </c>
      <c r="I101" s="207" t="s">
        <v>222</v>
      </c>
      <c r="J101" s="209">
        <v>6.0</v>
      </c>
      <c r="K101" s="210">
        <v>3.0</v>
      </c>
      <c r="L101" s="211">
        <f>IF(AND(J101&gt;K101,J102&gt;K102),2,IF(J101&gt;K101,1,IF(J102&gt;K102,1,0)))</f>
        <v>2</v>
      </c>
      <c r="M101" s="211">
        <f>IF(AND(K101&gt;J101,K102&gt;J102),2,IF(K101&gt;J101,1,IF(K102&gt;J102,1,0)))</f>
        <v>0</v>
      </c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</row>
    <row r="102" ht="12.75" customHeight="1">
      <c r="A102" s="187"/>
      <c r="B102" s="187"/>
      <c r="C102" s="212"/>
      <c r="D102" s="213"/>
      <c r="E102" s="213"/>
      <c r="F102" s="213"/>
      <c r="G102" s="213"/>
      <c r="H102" s="213"/>
      <c r="I102" s="213"/>
      <c r="J102" s="214">
        <v>6.0</v>
      </c>
      <c r="K102" s="215">
        <v>2.0</v>
      </c>
      <c r="L102" s="213"/>
      <c r="M102" s="213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</row>
    <row r="103" ht="4.5" customHeight="1">
      <c r="A103" s="187"/>
      <c r="B103" s="187"/>
      <c r="C103" s="217"/>
      <c r="D103" s="23"/>
      <c r="E103" s="23"/>
      <c r="F103" s="23"/>
      <c r="G103" s="23"/>
      <c r="H103" s="23"/>
      <c r="I103" s="23"/>
      <c r="J103" s="23"/>
      <c r="K103" s="23"/>
      <c r="L103" s="23"/>
      <c r="M103" s="202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</row>
    <row r="104" ht="12.75" customHeight="1">
      <c r="A104" s="187"/>
      <c r="B104" s="187"/>
      <c r="C104" s="218" t="s">
        <v>201</v>
      </c>
      <c r="D104" s="206" t="s">
        <v>216</v>
      </c>
      <c r="E104" s="207" t="s">
        <v>57</v>
      </c>
      <c r="F104" s="207" t="s">
        <v>71</v>
      </c>
      <c r="G104" s="208" t="s">
        <v>198</v>
      </c>
      <c r="H104" s="207" t="s">
        <v>61</v>
      </c>
      <c r="I104" s="207" t="s">
        <v>13</v>
      </c>
      <c r="J104" s="209">
        <v>6.0</v>
      </c>
      <c r="K104" s="210">
        <v>7.0</v>
      </c>
      <c r="L104" s="211">
        <f>IF(AND(J104&gt;K104,J105&gt;K105),2,IF(J104&gt;K104,1,IF(J105&gt;K105,1,0)))</f>
        <v>1</v>
      </c>
      <c r="M104" s="211">
        <f>IF(AND(K104&gt;J104,K105&gt;J105),2,IF(K104&gt;J104,1,IF(K105&gt;J105,1,0)))</f>
        <v>1</v>
      </c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</row>
    <row r="105" ht="12.75" customHeight="1">
      <c r="A105" s="187"/>
      <c r="B105" s="187"/>
      <c r="C105" s="212"/>
      <c r="D105" s="213"/>
      <c r="E105" s="213"/>
      <c r="F105" s="213"/>
      <c r="G105" s="213"/>
      <c r="H105" s="213"/>
      <c r="I105" s="213"/>
      <c r="J105" s="214">
        <v>6.0</v>
      </c>
      <c r="K105" s="215">
        <v>4.0</v>
      </c>
      <c r="L105" s="213"/>
      <c r="M105" s="213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</row>
    <row r="106" ht="4.5" customHeight="1">
      <c r="A106" s="187"/>
      <c r="B106" s="187"/>
      <c r="C106" s="217"/>
      <c r="D106" s="23"/>
      <c r="E106" s="23"/>
      <c r="F106" s="23"/>
      <c r="G106" s="23"/>
      <c r="H106" s="23"/>
      <c r="I106" s="23"/>
      <c r="J106" s="23"/>
      <c r="K106" s="23"/>
      <c r="L106" s="23"/>
      <c r="M106" s="202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</row>
    <row r="107" ht="12.75" customHeight="1">
      <c r="A107" s="187"/>
      <c r="B107" s="187"/>
      <c r="C107" s="218" t="s">
        <v>201</v>
      </c>
      <c r="D107" s="235" t="s">
        <v>205</v>
      </c>
      <c r="E107" s="207" t="s">
        <v>115</v>
      </c>
      <c r="F107" s="207" t="s">
        <v>126</v>
      </c>
      <c r="G107" s="219" t="s">
        <v>198</v>
      </c>
      <c r="H107" s="207" t="s">
        <v>119</v>
      </c>
      <c r="I107" s="207" t="s">
        <v>130</v>
      </c>
      <c r="J107" s="209">
        <v>4.0</v>
      </c>
      <c r="K107" s="210">
        <v>6.0</v>
      </c>
      <c r="L107" s="211">
        <f>IF(AND(J107&gt;K107,J108&gt;K108),2,IF(J107&gt;K107,1,IF(J108&gt;K108,1,0)))</f>
        <v>0</v>
      </c>
      <c r="M107" s="211">
        <f>IF(AND(K107&gt;J107,K108&gt;J108),2,IF(K107&gt;J107,1,IF(K108&gt;J108,1,0)))</f>
        <v>2</v>
      </c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</row>
    <row r="108" ht="12.75" customHeight="1">
      <c r="A108" s="187"/>
      <c r="B108" s="187"/>
      <c r="C108" s="212"/>
      <c r="D108" s="213"/>
      <c r="E108" s="213"/>
      <c r="F108" s="213"/>
      <c r="G108" s="213"/>
      <c r="H108" s="213"/>
      <c r="I108" s="213"/>
      <c r="J108" s="214">
        <v>3.0</v>
      </c>
      <c r="K108" s="215">
        <v>6.0</v>
      </c>
      <c r="L108" s="213"/>
      <c r="M108" s="213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</row>
    <row r="109" ht="4.5" customHeight="1">
      <c r="A109" s="187"/>
      <c r="B109" s="187"/>
      <c r="C109" s="217"/>
      <c r="D109" s="23"/>
      <c r="E109" s="23"/>
      <c r="F109" s="23"/>
      <c r="G109" s="23"/>
      <c r="H109" s="23"/>
      <c r="I109" s="23"/>
      <c r="J109" s="23"/>
      <c r="K109" s="23"/>
      <c r="L109" s="23"/>
      <c r="M109" s="202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</row>
    <row r="110" ht="12.75" customHeight="1">
      <c r="A110" s="187"/>
      <c r="B110" s="187"/>
      <c r="C110" s="220" t="s">
        <v>330</v>
      </c>
      <c r="D110" s="23"/>
      <c r="E110" s="23"/>
      <c r="F110" s="23"/>
      <c r="G110" s="23"/>
      <c r="H110" s="23"/>
      <c r="I110" s="200"/>
      <c r="J110" s="221">
        <f t="shared" ref="J110:M110" si="8">SUM(J98:J108)</f>
        <v>37</v>
      </c>
      <c r="K110" s="222">
        <f t="shared" si="8"/>
        <v>40</v>
      </c>
      <c r="L110" s="221">
        <f t="shared" si="8"/>
        <v>3</v>
      </c>
      <c r="M110" s="223">
        <f t="shared" si="8"/>
        <v>5</v>
      </c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</row>
    <row r="111" ht="4.5" customHeight="1">
      <c r="A111" s="187"/>
      <c r="B111" s="187"/>
      <c r="C111" s="224"/>
      <c r="D111" s="23"/>
      <c r="E111" s="23"/>
      <c r="F111" s="23"/>
      <c r="G111" s="23"/>
      <c r="H111" s="23"/>
      <c r="I111" s="23"/>
      <c r="J111" s="23"/>
      <c r="K111" s="23"/>
      <c r="L111" s="23"/>
      <c r="M111" s="202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</row>
    <row r="112" ht="12.75" customHeight="1">
      <c r="A112" s="187"/>
      <c r="B112" s="187"/>
      <c r="C112" s="228" t="s">
        <v>331</v>
      </c>
      <c r="D112" s="23"/>
      <c r="E112" s="23"/>
      <c r="F112" s="23"/>
      <c r="G112" s="23"/>
      <c r="H112" s="23"/>
      <c r="I112" s="200"/>
      <c r="J112" s="229">
        <f t="shared" ref="J112:M112" si="9">J110+J95</f>
        <v>73</v>
      </c>
      <c r="K112" s="230">
        <f t="shared" si="9"/>
        <v>64</v>
      </c>
      <c r="L112" s="231">
        <f t="shared" si="9"/>
        <v>8</v>
      </c>
      <c r="M112" s="232">
        <f t="shared" si="9"/>
        <v>6</v>
      </c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</row>
    <row r="113" ht="6.75" customHeight="1">
      <c r="A113" s="187"/>
      <c r="B113" s="187"/>
      <c r="C113" s="239"/>
      <c r="D113" s="240"/>
      <c r="E113" s="240"/>
      <c r="F113" s="240"/>
      <c r="G113" s="240"/>
      <c r="H113" s="240"/>
      <c r="I113" s="240"/>
      <c r="J113" s="240"/>
      <c r="K113" s="240"/>
      <c r="L113" s="240"/>
      <c r="M113" s="241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</row>
    <row r="114" ht="12.75" customHeight="1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</row>
    <row r="115" ht="12.75" customHeight="1">
      <c r="A115" s="18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</row>
    <row r="116" ht="12.75" customHeight="1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</row>
    <row r="117" ht="12.75" customHeight="1">
      <c r="A117" s="18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</row>
    <row r="118" ht="12.75" customHeight="1">
      <c r="A118" s="18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</row>
    <row r="119" ht="12.75" customHeight="1">
      <c r="A119" s="18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</row>
    <row r="120" ht="12.75" customHeight="1">
      <c r="A120" s="18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</row>
    <row r="121" ht="12.75" customHeight="1">
      <c r="A121" s="187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</row>
    <row r="122" ht="12.75" customHeight="1">
      <c r="A122" s="18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</row>
    <row r="123" ht="12.75" customHeight="1">
      <c r="A123" s="187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</row>
    <row r="124" ht="12.75" customHeight="1">
      <c r="A124" s="187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</row>
    <row r="125" ht="12.75" customHeight="1">
      <c r="A125" s="18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</row>
    <row r="126" ht="12.75" customHeight="1">
      <c r="A126" s="18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</row>
    <row r="127" ht="12.75" customHeight="1">
      <c r="A127" s="187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</row>
    <row r="128" ht="12.75" customHeight="1">
      <c r="A128" s="187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</row>
    <row r="129" ht="12.75" customHeight="1">
      <c r="A129" s="18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</row>
    <row r="130" ht="12.75" customHeight="1">
      <c r="A130" s="18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</row>
    <row r="131" ht="12.75" customHeight="1">
      <c r="A131" s="18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</row>
    <row r="132" ht="12.75" customHeight="1">
      <c r="A132" s="187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</row>
    <row r="133" ht="12.75" customHeight="1">
      <c r="A133" s="18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</row>
    <row r="134" ht="12.75" customHeight="1">
      <c r="A134" s="18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</row>
    <row r="135" ht="12.75" customHeight="1">
      <c r="A135" s="18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</row>
    <row r="136" ht="12.75" customHeight="1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</row>
    <row r="137" ht="12.75" customHeight="1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</row>
    <row r="138" ht="12.75" customHeight="1">
      <c r="A138" s="187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</row>
    <row r="139" ht="12.75" customHeight="1">
      <c r="A139" s="18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</row>
    <row r="140" ht="12.75" customHeight="1">
      <c r="A140" s="18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</row>
    <row r="141" ht="12.75" customHeight="1">
      <c r="A141" s="18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</row>
    <row r="142" ht="12.75" customHeight="1">
      <c r="A142" s="187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</row>
    <row r="143" ht="12.75" customHeight="1">
      <c r="A143" s="187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</row>
    <row r="144" ht="12.75" customHeight="1">
      <c r="A144" s="187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</row>
    <row r="145" ht="12.75" customHeight="1">
      <c r="A145" s="187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</row>
    <row r="146" ht="12.75" customHeight="1">
      <c r="A146" s="187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</row>
    <row r="147" ht="12.75" customHeight="1">
      <c r="A147" s="187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</row>
    <row r="148" ht="12.75" customHeight="1">
      <c r="A148" s="187"/>
      <c r="B148" s="187"/>
      <c r="C148" s="187"/>
      <c r="D148" s="187"/>
      <c r="E148" s="187"/>
      <c r="F148" s="187" t="s">
        <v>227</v>
      </c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</row>
    <row r="149" ht="12.75" customHeight="1">
      <c r="A149" s="187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</row>
    <row r="150" ht="12.75" customHeight="1">
      <c r="A150" s="187"/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</row>
    <row r="151" ht="12.75" customHeight="1">
      <c r="A151" s="187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</row>
    <row r="152" ht="12.75" customHeight="1">
      <c r="A152" s="187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</row>
    <row r="153" ht="12.75" customHeight="1">
      <c r="A153" s="187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</row>
    <row r="154" ht="12.75" customHeight="1">
      <c r="A154" s="187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</row>
    <row r="155" ht="12.75" customHeight="1">
      <c r="A155" s="187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</row>
    <row r="156" ht="12.75" customHeight="1">
      <c r="A156" s="187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</row>
    <row r="157" ht="12.75" customHeight="1">
      <c r="A157" s="187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</row>
    <row r="158" ht="12.75" customHeight="1">
      <c r="A158" s="187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</row>
    <row r="159" ht="12.75" customHeight="1">
      <c r="A159" s="187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</row>
    <row r="160" ht="12.75" customHeight="1">
      <c r="A160" s="187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</row>
    <row r="161" ht="12.75" customHeight="1">
      <c r="A161" s="187"/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</row>
    <row r="162" ht="12.75" customHeight="1">
      <c r="A162" s="187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</row>
    <row r="163" ht="12.75" customHeight="1">
      <c r="A163" s="187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</row>
    <row r="164" ht="12.75" customHeight="1">
      <c r="A164" s="187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</row>
    <row r="165" ht="12.75" customHeight="1">
      <c r="A165" s="187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</row>
    <row r="166" ht="12.75" customHeight="1">
      <c r="A166" s="187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</row>
    <row r="167" ht="12.75" customHeight="1">
      <c r="A167" s="187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</row>
    <row r="168" ht="12.75" customHeight="1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</row>
    <row r="169" ht="12.75" customHeight="1">
      <c r="A169" s="187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</row>
    <row r="170" ht="12.75" customHeight="1">
      <c r="A170" s="187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</row>
    <row r="171" ht="12.75" customHeight="1">
      <c r="A171" s="187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</row>
    <row r="172" ht="12.75" customHeight="1">
      <c r="A172" s="187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</row>
    <row r="173" ht="12.75" customHeight="1">
      <c r="A173" s="18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</row>
    <row r="174" ht="12.75" customHeight="1">
      <c r="A174" s="187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</row>
    <row r="175" ht="12.75" customHeight="1">
      <c r="A175" s="187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</row>
    <row r="176" ht="12.75" customHeight="1">
      <c r="A176" s="187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</row>
    <row r="177" ht="12.75" customHeight="1">
      <c r="A177" s="187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</row>
    <row r="178" ht="12.75" customHeight="1">
      <c r="A178" s="187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</row>
    <row r="179" ht="12.75" customHeight="1">
      <c r="A179" s="187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</row>
    <row r="180" ht="12.75" customHeight="1">
      <c r="A180" s="187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</row>
    <row r="181" ht="12.75" customHeight="1">
      <c r="A181" s="187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</row>
    <row r="182" ht="12.75" customHeight="1">
      <c r="A182" s="187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</row>
    <row r="183" ht="12.75" customHeight="1">
      <c r="A183" s="187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</row>
    <row r="184" ht="12.75" customHeight="1">
      <c r="A184" s="187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</row>
    <row r="185" ht="12.75" customHeight="1">
      <c r="A185" s="187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</row>
    <row r="186" ht="12.75" customHeight="1">
      <c r="A186" s="187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</row>
    <row r="187" ht="12.75" customHeight="1">
      <c r="A187" s="187"/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</row>
    <row r="188" ht="12.75" customHeight="1">
      <c r="A188" s="187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</row>
    <row r="189" ht="12.75" customHeight="1">
      <c r="A189" s="187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</row>
    <row r="190" ht="12.75" customHeight="1">
      <c r="A190" s="187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</row>
    <row r="191" ht="12.75" customHeight="1">
      <c r="A191" s="187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</row>
    <row r="192" ht="12.75" customHeight="1">
      <c r="A192" s="187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</row>
    <row r="193" ht="12.75" customHeight="1">
      <c r="A193" s="187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</row>
    <row r="194" ht="12.75" customHeight="1">
      <c r="A194" s="187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</row>
    <row r="195" ht="12.75" customHeight="1">
      <c r="A195" s="187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</row>
    <row r="196" ht="12.75" customHeight="1">
      <c r="A196" s="187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</row>
    <row r="197" ht="12.75" customHeight="1">
      <c r="A197" s="187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</row>
    <row r="198" ht="12.75" customHeight="1">
      <c r="A198" s="187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</row>
    <row r="199" ht="12.75" customHeight="1">
      <c r="A199" s="187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</row>
    <row r="200" ht="12.75" customHeight="1">
      <c r="A200" s="187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</row>
    <row r="201" ht="12.75" customHeight="1">
      <c r="A201" s="187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</row>
    <row r="202" ht="12.75" customHeight="1">
      <c r="A202" s="187"/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</row>
    <row r="203" ht="12.75" customHeight="1">
      <c r="A203" s="187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</row>
    <row r="204" ht="12.75" customHeight="1">
      <c r="A204" s="187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</row>
    <row r="205" ht="12.75" customHeight="1">
      <c r="A205" s="187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</row>
    <row r="206" ht="12.75" customHeight="1">
      <c r="A206" s="187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</row>
    <row r="207" ht="12.75" customHeight="1">
      <c r="A207" s="187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</row>
    <row r="208" ht="12.75" customHeight="1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</row>
    <row r="209" ht="12.75" customHeight="1">
      <c r="A209" s="187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</row>
    <row r="210" ht="12.75" customHeight="1">
      <c r="A210" s="187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</row>
    <row r="211" ht="12.75" customHeight="1">
      <c r="A211" s="187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</row>
    <row r="212" ht="12.75" customHeight="1">
      <c r="A212" s="187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</row>
    <row r="213" ht="12.75" customHeight="1">
      <c r="A213" s="187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</row>
    <row r="214" ht="12.75" customHeight="1">
      <c r="A214" s="187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</row>
    <row r="215" ht="12.75" customHeight="1">
      <c r="A215" s="187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</row>
    <row r="216" ht="12.75" customHeight="1">
      <c r="A216" s="187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</row>
    <row r="217" ht="12.75" customHeight="1">
      <c r="A217" s="187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</row>
    <row r="218" ht="12.75" customHeight="1">
      <c r="A218" s="187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</row>
    <row r="219" ht="12.75" customHeight="1">
      <c r="A219" s="187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</row>
    <row r="220" ht="12.75" customHeight="1">
      <c r="A220" s="187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</row>
    <row r="221" ht="12.75" customHeight="1">
      <c r="A221" s="187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</row>
    <row r="222" ht="12.75" customHeight="1">
      <c r="A222" s="187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</row>
    <row r="223" ht="12.75" customHeight="1">
      <c r="A223" s="187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</row>
    <row r="224" ht="12.75" customHeight="1">
      <c r="A224" s="187"/>
      <c r="B224" s="187"/>
      <c r="C224" s="187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</row>
    <row r="225" ht="12.75" customHeight="1">
      <c r="A225" s="187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</row>
    <row r="226" ht="12.75" customHeight="1">
      <c r="A226" s="187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</row>
    <row r="227" ht="12.75" customHeight="1">
      <c r="A227" s="187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</row>
    <row r="228" ht="12.75" customHeight="1">
      <c r="A228" s="187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</row>
    <row r="229" ht="12.75" customHeight="1">
      <c r="A229" s="187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</row>
    <row r="230" ht="12.75" customHeight="1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</row>
    <row r="231" ht="12.75" customHeight="1">
      <c r="A231" s="187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</row>
    <row r="232" ht="12.75" customHeight="1">
      <c r="A232" s="187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</row>
    <row r="233" ht="12.75" customHeight="1">
      <c r="A233" s="187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</row>
    <row r="234" ht="12.75" customHeight="1">
      <c r="A234" s="187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</row>
    <row r="235" ht="12.75" customHeight="1">
      <c r="A235" s="187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</row>
    <row r="236" ht="12.75" customHeight="1">
      <c r="A236" s="187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</row>
    <row r="237" ht="12.75" customHeight="1">
      <c r="A237" s="187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</row>
    <row r="238" ht="12.75" customHeight="1">
      <c r="A238" s="187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</row>
    <row r="239" ht="12.75" customHeight="1">
      <c r="A239" s="187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</row>
    <row r="240" ht="12.75" customHeight="1">
      <c r="A240" s="187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</row>
    <row r="241" ht="12.75" customHeight="1">
      <c r="A241" s="187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</row>
    <row r="242" ht="12.75" customHeight="1">
      <c r="A242" s="187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</row>
    <row r="243" ht="12.75" customHeight="1">
      <c r="A243" s="187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</row>
    <row r="244" ht="12.75" customHeight="1">
      <c r="A244" s="187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</row>
    <row r="245" ht="12.75" customHeight="1">
      <c r="A245" s="187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</row>
    <row r="246" ht="12.75" customHeight="1">
      <c r="A246" s="187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</row>
    <row r="247" ht="12.75" customHeight="1">
      <c r="A247" s="187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</row>
    <row r="248" ht="12.75" customHeight="1">
      <c r="A248" s="187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</row>
    <row r="249" ht="12.75" customHeight="1">
      <c r="A249" s="187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</row>
    <row r="250" ht="12.75" customHeight="1">
      <c r="A250" s="187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</row>
    <row r="251" ht="12.75" customHeight="1">
      <c r="A251" s="187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</row>
    <row r="252" ht="12.75" customHeight="1">
      <c r="A252" s="187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</row>
    <row r="253" ht="12.75" customHeight="1">
      <c r="A253" s="187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</row>
    <row r="254" ht="12.75" customHeight="1">
      <c r="A254" s="187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</row>
    <row r="255" ht="12.75" customHeight="1">
      <c r="A255" s="187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</row>
    <row r="256" ht="12.75" customHeight="1">
      <c r="A256" s="187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</row>
    <row r="257" ht="12.75" customHeight="1">
      <c r="A257" s="187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</row>
    <row r="258" ht="12.75" customHeight="1">
      <c r="A258" s="187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</row>
    <row r="259" ht="12.75" customHeight="1">
      <c r="A259" s="187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</row>
    <row r="260" ht="12.75" customHeight="1">
      <c r="A260" s="187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</row>
    <row r="261" ht="12.75" customHeight="1">
      <c r="A261" s="187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</row>
    <row r="262" ht="12.75" customHeight="1">
      <c r="A262" s="187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</row>
    <row r="263" ht="12.75" customHeight="1">
      <c r="A263" s="187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</row>
    <row r="264" ht="12.75" customHeight="1">
      <c r="A264" s="187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</row>
    <row r="265" ht="12.75" customHeight="1">
      <c r="A265" s="187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</row>
    <row r="266" ht="12.75" customHeight="1">
      <c r="A266" s="187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</row>
    <row r="267" ht="12.75" customHeight="1">
      <c r="A267" s="187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</row>
    <row r="268" ht="12.75" customHeight="1">
      <c r="A268" s="187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</row>
    <row r="269" ht="12.75" customHeight="1">
      <c r="A269" s="187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</row>
    <row r="270" ht="12.75" customHeight="1">
      <c r="A270" s="187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</row>
    <row r="271" ht="12.75" customHeight="1">
      <c r="A271" s="187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</row>
    <row r="272" ht="12.75" customHeight="1">
      <c r="A272" s="187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</row>
    <row r="273" ht="12.75" customHeight="1">
      <c r="A273" s="187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</row>
    <row r="274" ht="12.75" customHeight="1">
      <c r="A274" s="187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</row>
    <row r="275" ht="12.75" customHeight="1">
      <c r="A275" s="187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</row>
    <row r="276" ht="12.75" customHeight="1">
      <c r="A276" s="187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</row>
    <row r="277" ht="12.75" customHeight="1">
      <c r="A277" s="187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</row>
    <row r="278" ht="12.75" customHeight="1">
      <c r="A278" s="187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</row>
    <row r="279" ht="12.75" customHeight="1">
      <c r="A279" s="187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</row>
    <row r="280" ht="12.75" customHeight="1">
      <c r="A280" s="187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</row>
    <row r="281" ht="12.75" customHeight="1">
      <c r="A281" s="187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</row>
    <row r="282" ht="12.75" customHeight="1">
      <c r="A282" s="187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</row>
    <row r="283" ht="12.75" customHeight="1">
      <c r="A283" s="187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</row>
    <row r="284" ht="12.75" customHeight="1">
      <c r="A284" s="187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</row>
    <row r="285" ht="12.75" customHeight="1">
      <c r="A285" s="187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</row>
    <row r="286" ht="12.75" customHeight="1">
      <c r="A286" s="187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</row>
    <row r="287" ht="12.75" customHeight="1">
      <c r="A287" s="187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</row>
    <row r="288" ht="12.75" customHeight="1">
      <c r="A288" s="187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</row>
    <row r="289" ht="12.75" customHeight="1">
      <c r="A289" s="187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</row>
    <row r="290" ht="12.75" customHeight="1">
      <c r="A290" s="187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</row>
    <row r="291" ht="12.75" customHeight="1">
      <c r="A291" s="187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</row>
    <row r="292" ht="12.75" customHeight="1">
      <c r="A292" s="187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</row>
    <row r="293" ht="12.75" customHeight="1">
      <c r="A293" s="187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</row>
    <row r="294" ht="12.75" customHeight="1">
      <c r="A294" s="187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</row>
    <row r="295" ht="12.75" customHeight="1">
      <c r="A295" s="187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</row>
    <row r="296" ht="12.75" customHeight="1">
      <c r="A296" s="187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</row>
    <row r="297" ht="12.75" customHeight="1">
      <c r="A297" s="187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</row>
    <row r="298" ht="12.75" customHeight="1">
      <c r="A298" s="187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</row>
    <row r="299" ht="12.75" customHeight="1">
      <c r="A299" s="187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</row>
    <row r="300" ht="12.75" customHeight="1">
      <c r="A300" s="187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</row>
    <row r="301" ht="12.75" customHeight="1">
      <c r="A301" s="187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</row>
    <row r="302" ht="12.75" customHeight="1">
      <c r="A302" s="187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</row>
    <row r="303" ht="12.75" customHeight="1">
      <c r="A303" s="187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</row>
    <row r="304" ht="12.75" customHeight="1">
      <c r="A304" s="187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</row>
    <row r="305" ht="12.75" customHeight="1">
      <c r="A305" s="187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</row>
    <row r="306" ht="12.75" customHeight="1">
      <c r="A306" s="187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</row>
    <row r="307" ht="12.75" customHeight="1">
      <c r="A307" s="187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</row>
    <row r="308" ht="12.75" customHeight="1">
      <c r="A308" s="187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</row>
    <row r="309" ht="12.75" customHeight="1">
      <c r="A309" s="187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</row>
    <row r="310" ht="12.75" customHeight="1">
      <c r="A310" s="187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</row>
    <row r="311" ht="12.75" customHeight="1">
      <c r="A311" s="187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</row>
    <row r="312" ht="12.75" customHeight="1">
      <c r="A312" s="187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</row>
    <row r="313" ht="12.75" customHeight="1">
      <c r="A313" s="187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</row>
    <row r="314" ht="12.75" customHeight="1">
      <c r="A314" s="187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</row>
    <row r="315" ht="12.75" customHeight="1">
      <c r="A315" s="187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</row>
    <row r="316" ht="12.75" customHeight="1">
      <c r="A316" s="187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</row>
    <row r="317" ht="12.75" customHeight="1">
      <c r="A317" s="187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</row>
    <row r="318" ht="12.75" customHeight="1">
      <c r="A318" s="187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</row>
    <row r="319" ht="12.75" customHeight="1">
      <c r="A319" s="187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</row>
    <row r="320" ht="12.75" customHeight="1">
      <c r="A320" s="187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</row>
    <row r="321" ht="12.75" customHeight="1">
      <c r="A321" s="187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</row>
    <row r="322" ht="12.75" customHeight="1">
      <c r="A322" s="187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</row>
    <row r="323" ht="12.75" customHeight="1">
      <c r="A323" s="187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</row>
    <row r="324" ht="12.75" customHeight="1">
      <c r="A324" s="187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</row>
    <row r="325" ht="12.75" customHeight="1">
      <c r="A325" s="187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</row>
    <row r="326" ht="12.75" customHeight="1">
      <c r="A326" s="187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</row>
    <row r="327" ht="12.75" customHeight="1">
      <c r="A327" s="187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</row>
    <row r="328" ht="12.75" customHeight="1">
      <c r="A328" s="187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</row>
    <row r="329" ht="12.75" customHeight="1">
      <c r="A329" s="187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</row>
    <row r="330" ht="12.75" customHeight="1">
      <c r="A330" s="187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</row>
    <row r="331" ht="12.75" customHeight="1">
      <c r="A331" s="187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</row>
    <row r="332" ht="12.75" customHeight="1">
      <c r="A332" s="187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</row>
    <row r="333" ht="12.75" customHeight="1">
      <c r="A333" s="187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</row>
    <row r="334" ht="12.75" customHeight="1">
      <c r="A334" s="187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</row>
    <row r="335" ht="12.75" customHeight="1">
      <c r="A335" s="187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</row>
    <row r="336" ht="12.75" customHeight="1">
      <c r="A336" s="187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</row>
    <row r="337" ht="12.75" customHeight="1">
      <c r="A337" s="187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</row>
    <row r="338" ht="12.75" customHeight="1">
      <c r="A338" s="187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</row>
    <row r="339" ht="12.75" customHeight="1">
      <c r="A339" s="187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</row>
    <row r="340" ht="12.75" customHeight="1">
      <c r="A340" s="187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</row>
    <row r="341" ht="12.75" customHeight="1">
      <c r="A341" s="187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</row>
    <row r="342" ht="12.75" customHeight="1">
      <c r="A342" s="187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</row>
    <row r="343" ht="12.75" customHeight="1">
      <c r="A343" s="187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</row>
    <row r="344" ht="12.75" customHeight="1">
      <c r="A344" s="187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</row>
    <row r="345" ht="12.75" customHeight="1">
      <c r="A345" s="187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</row>
    <row r="346" ht="12.75" customHeight="1">
      <c r="A346" s="187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</row>
    <row r="347" ht="12.75" customHeight="1">
      <c r="A347" s="187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</row>
    <row r="348" ht="12.75" customHeight="1">
      <c r="A348" s="187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</row>
    <row r="349" ht="12.75" customHeight="1">
      <c r="A349" s="187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</row>
    <row r="350" ht="12.75" customHeight="1">
      <c r="A350" s="187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</row>
    <row r="351" ht="12.75" customHeight="1">
      <c r="A351" s="187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</row>
    <row r="352" ht="12.75" customHeight="1">
      <c r="A352" s="187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</row>
    <row r="353" ht="12.75" customHeight="1">
      <c r="A353" s="187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</row>
    <row r="354" ht="12.75" customHeight="1">
      <c r="A354" s="187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</row>
    <row r="355" ht="12.75" customHeight="1">
      <c r="A355" s="187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</row>
    <row r="356" ht="12.75" customHeight="1">
      <c r="A356" s="187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</row>
    <row r="357" ht="12.75" customHeight="1">
      <c r="A357" s="187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</row>
    <row r="358" ht="12.75" customHeight="1">
      <c r="A358" s="187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</row>
    <row r="359" ht="12.75" customHeight="1">
      <c r="A359" s="187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</row>
    <row r="360" ht="12.75" customHeight="1">
      <c r="A360" s="187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</row>
    <row r="361" ht="12.75" customHeight="1">
      <c r="A361" s="187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</row>
    <row r="362" ht="12.75" customHeight="1">
      <c r="A362" s="187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</row>
    <row r="363" ht="12.75" customHeight="1">
      <c r="A363" s="187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</row>
    <row r="364" ht="12.75" customHeight="1">
      <c r="A364" s="187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</row>
    <row r="365" ht="12.75" customHeight="1">
      <c r="A365" s="187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</row>
    <row r="366" ht="12.75" customHeight="1">
      <c r="A366" s="187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</row>
    <row r="367" ht="12.75" customHeight="1">
      <c r="A367" s="187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</row>
    <row r="368" ht="12.75" customHeight="1">
      <c r="A368" s="187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</row>
    <row r="369" ht="12.75" customHeight="1">
      <c r="A369" s="187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</row>
    <row r="370" ht="12.75" customHeight="1">
      <c r="A370" s="187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</row>
    <row r="371" ht="12.75" customHeight="1">
      <c r="A371" s="187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</row>
    <row r="372" ht="12.75" customHeight="1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</row>
    <row r="373" ht="12.75" customHeight="1">
      <c r="A373" s="187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</row>
    <row r="374" ht="12.75" customHeight="1">
      <c r="A374" s="187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</row>
    <row r="375" ht="12.75" customHeight="1">
      <c r="A375" s="187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</row>
    <row r="376" ht="12.75" customHeight="1">
      <c r="A376" s="187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</row>
    <row r="377" ht="12.75" customHeight="1">
      <c r="A377" s="187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</row>
    <row r="378" ht="12.75" customHeight="1">
      <c r="A378" s="187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</row>
    <row r="379" ht="12.75" customHeight="1">
      <c r="A379" s="187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</row>
    <row r="380" ht="12.75" customHeight="1">
      <c r="A380" s="187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</row>
    <row r="381" ht="12.75" customHeight="1">
      <c r="A381" s="187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</row>
    <row r="382" ht="12.75" customHeight="1">
      <c r="A382" s="187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</row>
    <row r="383" ht="12.75" customHeight="1">
      <c r="A383" s="187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</row>
    <row r="384" ht="12.75" customHeight="1">
      <c r="A384" s="187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</row>
    <row r="385" ht="12.75" customHeight="1">
      <c r="A385" s="187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</row>
    <row r="386" ht="12.75" customHeight="1">
      <c r="A386" s="187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</row>
    <row r="387" ht="12.75" customHeight="1">
      <c r="A387" s="187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</row>
    <row r="388" ht="12.75" customHeight="1">
      <c r="A388" s="187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</row>
    <row r="389" ht="12.75" customHeight="1">
      <c r="A389" s="187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</row>
    <row r="390" ht="12.75" customHeight="1">
      <c r="A390" s="187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</row>
    <row r="391" ht="12.75" customHeight="1">
      <c r="A391" s="187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</row>
    <row r="392" ht="12.75" customHeight="1">
      <c r="A392" s="187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</row>
    <row r="393" ht="12.75" customHeight="1">
      <c r="A393" s="187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</row>
    <row r="394" ht="12.75" customHeight="1">
      <c r="A394" s="187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</row>
    <row r="395" ht="12.75" customHeight="1">
      <c r="A395" s="187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</row>
    <row r="396" ht="12.75" customHeight="1">
      <c r="A396" s="187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</row>
    <row r="397" ht="12.75" customHeight="1">
      <c r="A397" s="187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</row>
    <row r="398" ht="12.75" customHeight="1">
      <c r="A398" s="187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</row>
    <row r="399" ht="12.75" customHeight="1">
      <c r="A399" s="187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</row>
    <row r="400" ht="12.75" customHeight="1">
      <c r="A400" s="187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</row>
    <row r="401" ht="12.75" customHeight="1">
      <c r="A401" s="187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</row>
    <row r="402" ht="12.75" customHeight="1">
      <c r="A402" s="187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</row>
    <row r="403" ht="12.75" customHeight="1">
      <c r="A403" s="187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</row>
    <row r="404" ht="12.75" customHeight="1">
      <c r="A404" s="187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</row>
    <row r="405" ht="12.75" customHeight="1">
      <c r="A405" s="187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</row>
    <row r="406" ht="12.75" customHeight="1">
      <c r="A406" s="187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</row>
    <row r="407" ht="12.75" customHeight="1">
      <c r="A407" s="187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</row>
    <row r="408" ht="12.75" customHeight="1">
      <c r="A408" s="187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</row>
    <row r="409" ht="12.75" customHeight="1">
      <c r="A409" s="187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</row>
    <row r="410" ht="12.75" customHeight="1">
      <c r="A410" s="187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</row>
    <row r="411" ht="12.75" customHeight="1">
      <c r="A411" s="187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</row>
    <row r="412" ht="12.75" customHeight="1">
      <c r="A412" s="187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</row>
    <row r="413" ht="12.75" customHeight="1">
      <c r="A413" s="187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</row>
    <row r="414" ht="12.75" customHeight="1">
      <c r="A414" s="187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</row>
    <row r="415" ht="12.75" customHeight="1">
      <c r="A415" s="187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</row>
    <row r="416" ht="12.75" customHeight="1">
      <c r="A416" s="187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</row>
    <row r="417" ht="12.75" customHeight="1">
      <c r="A417" s="187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</row>
    <row r="418" ht="12.75" customHeight="1">
      <c r="A418" s="187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</row>
    <row r="419" ht="12.75" customHeight="1">
      <c r="A419" s="187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</row>
    <row r="420" ht="12.75" customHeight="1">
      <c r="A420" s="187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</row>
    <row r="421" ht="12.75" customHeight="1">
      <c r="A421" s="187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</row>
    <row r="422" ht="12.75" customHeight="1">
      <c r="A422" s="187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</row>
    <row r="423" ht="12.75" customHeight="1">
      <c r="A423" s="187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</row>
    <row r="424" ht="12.75" customHeight="1">
      <c r="A424" s="187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</row>
    <row r="425" ht="12.75" customHeight="1">
      <c r="A425" s="187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</row>
    <row r="426" ht="12.75" customHeight="1">
      <c r="A426" s="187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</row>
    <row r="427" ht="12.75" customHeight="1">
      <c r="A427" s="187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</row>
    <row r="428" ht="12.75" customHeight="1">
      <c r="A428" s="187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</row>
    <row r="429" ht="12.75" customHeight="1">
      <c r="A429" s="187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</row>
    <row r="430" ht="12.75" customHeight="1">
      <c r="A430" s="187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</row>
    <row r="431" ht="12.75" customHeight="1">
      <c r="A431" s="187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</row>
    <row r="432" ht="12.75" customHeight="1">
      <c r="A432" s="187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</row>
    <row r="433" ht="12.75" customHeight="1">
      <c r="A433" s="187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</row>
    <row r="434" ht="12.75" customHeight="1">
      <c r="A434" s="187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</row>
    <row r="435" ht="12.75" customHeight="1">
      <c r="A435" s="187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</row>
    <row r="436" ht="12.75" customHeight="1">
      <c r="A436" s="187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</row>
    <row r="437" ht="12.75" customHeight="1">
      <c r="A437" s="187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</row>
    <row r="438" ht="12.75" customHeight="1">
      <c r="A438" s="187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</row>
    <row r="439" ht="12.75" customHeight="1">
      <c r="A439" s="187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</row>
    <row r="440" ht="12.75" customHeight="1">
      <c r="A440" s="187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</row>
    <row r="441" ht="12.75" customHeight="1">
      <c r="A441" s="187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</row>
    <row r="442" ht="12.75" customHeight="1">
      <c r="A442" s="187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</row>
    <row r="443" ht="12.75" customHeight="1">
      <c r="A443" s="187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</row>
    <row r="444" ht="12.75" customHeight="1">
      <c r="A444" s="187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</row>
    <row r="445" ht="12.75" customHeight="1">
      <c r="A445" s="187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</row>
    <row r="446" ht="12.75" customHeight="1">
      <c r="A446" s="187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</row>
    <row r="447" ht="12.75" customHeight="1">
      <c r="A447" s="187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</row>
    <row r="448" ht="12.75" customHeight="1">
      <c r="A448" s="187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</row>
    <row r="449" ht="12.75" customHeight="1">
      <c r="A449" s="187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</row>
    <row r="450" ht="12.75" customHeight="1">
      <c r="A450" s="187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</row>
    <row r="451" ht="12.75" customHeight="1">
      <c r="A451" s="187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</row>
    <row r="452" ht="12.75" customHeight="1">
      <c r="A452" s="187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</row>
    <row r="453" ht="12.75" customHeight="1">
      <c r="A453" s="187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</row>
    <row r="454" ht="12.75" customHeight="1">
      <c r="A454" s="187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</row>
    <row r="455" ht="12.75" customHeight="1">
      <c r="A455" s="187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</row>
    <row r="456" ht="12.75" customHeight="1">
      <c r="A456" s="187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</row>
    <row r="457" ht="12.75" customHeight="1">
      <c r="A457" s="187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</row>
    <row r="458" ht="12.75" customHeight="1">
      <c r="A458" s="187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</row>
    <row r="459" ht="12.75" customHeight="1">
      <c r="A459" s="187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</row>
    <row r="460" ht="12.75" customHeight="1">
      <c r="A460" s="187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</row>
    <row r="461" ht="12.75" customHeight="1">
      <c r="A461" s="187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</row>
    <row r="462" ht="12.75" customHeight="1">
      <c r="A462" s="187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</row>
    <row r="463" ht="12.75" customHeight="1">
      <c r="A463" s="187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</row>
    <row r="464" ht="12.75" customHeight="1">
      <c r="A464" s="187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</row>
    <row r="465" ht="12.75" customHeight="1">
      <c r="A465" s="187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</row>
    <row r="466" ht="12.75" customHeight="1">
      <c r="A466" s="187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</row>
    <row r="467" ht="12.75" customHeight="1">
      <c r="A467" s="187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</row>
    <row r="468" ht="12.75" customHeight="1">
      <c r="A468" s="187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</row>
    <row r="469" ht="12.75" customHeight="1">
      <c r="A469" s="187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</row>
    <row r="470" ht="12.75" customHeight="1">
      <c r="A470" s="187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</row>
    <row r="471" ht="12.75" customHeight="1">
      <c r="A471" s="187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</row>
    <row r="472" ht="12.75" customHeight="1">
      <c r="A472" s="187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</row>
    <row r="473" ht="12.75" customHeight="1">
      <c r="A473" s="187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</row>
    <row r="474" ht="12.75" customHeight="1">
      <c r="A474" s="187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</row>
    <row r="475" ht="12.75" customHeight="1">
      <c r="A475" s="187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</row>
    <row r="476" ht="12.75" customHeight="1">
      <c r="A476" s="187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</row>
    <row r="477" ht="12.75" customHeight="1">
      <c r="A477" s="187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</row>
    <row r="478" ht="12.75" customHeight="1">
      <c r="A478" s="187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</row>
    <row r="479" ht="12.75" customHeight="1">
      <c r="A479" s="187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</row>
    <row r="480" ht="12.75" customHeight="1">
      <c r="A480" s="187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</row>
    <row r="481" ht="12.75" customHeight="1">
      <c r="A481" s="187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</row>
    <row r="482" ht="12.75" customHeight="1">
      <c r="A482" s="187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</row>
    <row r="483" ht="12.75" customHeight="1">
      <c r="A483" s="187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</row>
    <row r="484" ht="12.75" customHeight="1">
      <c r="A484" s="187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</row>
    <row r="485" ht="12.75" customHeight="1">
      <c r="A485" s="187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</row>
    <row r="486" ht="12.75" customHeight="1">
      <c r="A486" s="187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</row>
    <row r="487" ht="12.75" customHeight="1">
      <c r="A487" s="187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</row>
    <row r="488" ht="12.75" customHeight="1">
      <c r="A488" s="187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</row>
    <row r="489" ht="12.75" customHeight="1">
      <c r="A489" s="187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</row>
    <row r="490" ht="12.75" customHeight="1">
      <c r="A490" s="187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</row>
    <row r="491" ht="12.75" customHeight="1">
      <c r="A491" s="187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</row>
    <row r="492" ht="12.75" customHeight="1">
      <c r="A492" s="187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</row>
    <row r="493" ht="12.75" customHeight="1">
      <c r="A493" s="187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</row>
    <row r="494" ht="12.75" customHeight="1">
      <c r="A494" s="187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</row>
    <row r="495" ht="12.75" customHeight="1">
      <c r="A495" s="187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</row>
    <row r="496" ht="12.75" customHeight="1">
      <c r="A496" s="187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</row>
    <row r="497" ht="12.75" customHeight="1">
      <c r="A497" s="187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</row>
    <row r="498" ht="12.75" customHeight="1">
      <c r="A498" s="187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</row>
    <row r="499" ht="12.75" customHeight="1">
      <c r="A499" s="187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</row>
    <row r="500" ht="12.75" customHeight="1">
      <c r="A500" s="187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</row>
    <row r="501" ht="12.75" customHeight="1">
      <c r="A501" s="187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</row>
    <row r="502" ht="12.75" customHeight="1">
      <c r="A502" s="187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</row>
    <row r="503" ht="12.75" customHeight="1">
      <c r="A503" s="187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</row>
    <row r="504" ht="12.75" customHeight="1">
      <c r="A504" s="187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</row>
    <row r="505" ht="12.75" customHeight="1">
      <c r="A505" s="187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</row>
    <row r="506" ht="12.75" customHeight="1">
      <c r="A506" s="187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</row>
    <row r="507" ht="12.75" customHeight="1">
      <c r="A507" s="187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</row>
    <row r="508" ht="12.75" customHeight="1">
      <c r="A508" s="187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</row>
    <row r="509" ht="12.75" customHeight="1">
      <c r="A509" s="187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</row>
    <row r="510" ht="12.75" customHeight="1">
      <c r="A510" s="187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</row>
    <row r="511" ht="12.75" customHeight="1">
      <c r="A511" s="187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</row>
    <row r="512" ht="12.75" customHeight="1">
      <c r="A512" s="187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</row>
    <row r="513" ht="12.75" customHeight="1">
      <c r="A513" s="187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</row>
    <row r="514" ht="12.75" customHeight="1">
      <c r="A514" s="187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</row>
    <row r="515" ht="12.75" customHeight="1">
      <c r="A515" s="187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</row>
    <row r="516" ht="12.75" customHeight="1">
      <c r="A516" s="187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</row>
    <row r="517" ht="12.75" customHeight="1">
      <c r="A517" s="187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</row>
    <row r="518" ht="12.75" customHeight="1">
      <c r="A518" s="187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</row>
    <row r="519" ht="12.75" customHeight="1">
      <c r="A519" s="187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</row>
    <row r="520" ht="12.75" customHeight="1">
      <c r="A520" s="187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</row>
    <row r="521" ht="12.75" customHeight="1">
      <c r="A521" s="187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</row>
    <row r="522" ht="12.75" customHeight="1">
      <c r="A522" s="187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</row>
    <row r="523" ht="12.75" customHeight="1">
      <c r="A523" s="187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</row>
    <row r="524" ht="12.75" customHeight="1">
      <c r="A524" s="187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</row>
    <row r="525" ht="12.75" customHeight="1">
      <c r="A525" s="187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</row>
    <row r="526" ht="12.75" customHeight="1">
      <c r="A526" s="187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</row>
    <row r="527" ht="12.75" customHeight="1">
      <c r="A527" s="187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</row>
    <row r="528" ht="12.75" customHeight="1">
      <c r="A528" s="187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</row>
    <row r="529" ht="12.75" customHeight="1">
      <c r="A529" s="187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</row>
    <row r="530" ht="12.75" customHeight="1">
      <c r="A530" s="187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</row>
    <row r="531" ht="12.75" customHeight="1">
      <c r="A531" s="187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</row>
    <row r="532" ht="12.75" customHeight="1">
      <c r="A532" s="187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</row>
    <row r="533" ht="12.75" customHeight="1">
      <c r="A533" s="187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</row>
    <row r="534" ht="12.75" customHeight="1">
      <c r="A534" s="187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</row>
    <row r="535" ht="12.75" customHeight="1">
      <c r="A535" s="187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</row>
    <row r="536" ht="12.75" customHeight="1">
      <c r="A536" s="187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</row>
    <row r="537" ht="12.75" customHeight="1">
      <c r="A537" s="187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</row>
    <row r="538" ht="12.75" customHeight="1">
      <c r="A538" s="187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</row>
    <row r="539" ht="12.75" customHeight="1">
      <c r="A539" s="187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</row>
    <row r="540" ht="12.75" customHeight="1">
      <c r="A540" s="187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</row>
    <row r="541" ht="12.75" customHeight="1">
      <c r="A541" s="187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</row>
    <row r="542" ht="12.75" customHeight="1">
      <c r="A542" s="187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</row>
    <row r="543" ht="12.75" customHeight="1">
      <c r="A543" s="187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</row>
    <row r="544" ht="12.75" customHeight="1">
      <c r="A544" s="187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</row>
    <row r="545" ht="12.75" customHeight="1">
      <c r="A545" s="187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</row>
    <row r="546" ht="12.75" customHeight="1">
      <c r="A546" s="187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</row>
    <row r="547" ht="12.75" customHeight="1">
      <c r="A547" s="187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</row>
    <row r="548" ht="12.75" customHeight="1">
      <c r="A548" s="187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</row>
    <row r="549" ht="12.75" customHeight="1">
      <c r="A549" s="187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</row>
    <row r="550" ht="12.75" customHeight="1">
      <c r="A550" s="187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</row>
    <row r="551" ht="12.75" customHeight="1">
      <c r="A551" s="187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</row>
    <row r="552" ht="12.75" customHeight="1">
      <c r="A552" s="187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</row>
    <row r="553" ht="12.75" customHeight="1">
      <c r="A553" s="187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</row>
    <row r="554" ht="12.75" customHeight="1">
      <c r="A554" s="187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</row>
    <row r="555" ht="12.75" customHeight="1">
      <c r="A555" s="187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</row>
    <row r="556" ht="12.75" customHeight="1">
      <c r="A556" s="187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</row>
    <row r="557" ht="12.75" customHeight="1">
      <c r="A557" s="187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</row>
    <row r="558" ht="12.75" customHeight="1">
      <c r="A558" s="187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</row>
    <row r="559" ht="12.75" customHeight="1">
      <c r="A559" s="187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</row>
    <row r="560" ht="12.75" customHeight="1">
      <c r="A560" s="187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</row>
    <row r="561" ht="12.75" customHeight="1">
      <c r="A561" s="187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</row>
    <row r="562" ht="12.75" customHeight="1">
      <c r="A562" s="187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</row>
    <row r="563" ht="12.75" customHeight="1">
      <c r="A563" s="187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</row>
    <row r="564" ht="12.75" customHeight="1">
      <c r="A564" s="187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</row>
    <row r="565" ht="12.75" customHeight="1">
      <c r="A565" s="187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</row>
    <row r="566" ht="12.75" customHeight="1">
      <c r="A566" s="187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</row>
    <row r="567" ht="12.75" customHeight="1">
      <c r="A567" s="187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</row>
    <row r="568" ht="12.75" customHeight="1">
      <c r="A568" s="187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</row>
    <row r="569" ht="12.75" customHeight="1">
      <c r="A569" s="187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</row>
    <row r="570" ht="12.75" customHeight="1">
      <c r="A570" s="187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</row>
    <row r="571" ht="12.75" customHeight="1">
      <c r="A571" s="187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</row>
    <row r="572" ht="12.75" customHeight="1">
      <c r="A572" s="187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</row>
    <row r="573" ht="12.75" customHeight="1">
      <c r="A573" s="187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</row>
    <row r="574" ht="12.75" customHeight="1">
      <c r="A574" s="187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</row>
    <row r="575" ht="12.75" customHeight="1">
      <c r="A575" s="187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</row>
    <row r="576" ht="12.75" customHeight="1">
      <c r="A576" s="187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</row>
    <row r="577" ht="12.75" customHeight="1">
      <c r="A577" s="187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</row>
    <row r="578" ht="12.75" customHeight="1">
      <c r="A578" s="187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</row>
    <row r="579" ht="12.75" customHeight="1">
      <c r="A579" s="187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</row>
    <row r="580" ht="12.75" customHeight="1">
      <c r="A580" s="187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</row>
    <row r="581" ht="12.75" customHeight="1">
      <c r="A581" s="187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</row>
    <row r="582" ht="12.75" customHeight="1">
      <c r="A582" s="187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</row>
    <row r="583" ht="12.75" customHeight="1">
      <c r="A583" s="187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</row>
    <row r="584" ht="12.75" customHeight="1">
      <c r="A584" s="187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</row>
    <row r="585" ht="12.75" customHeight="1">
      <c r="A585" s="187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</row>
    <row r="586" ht="12.75" customHeight="1">
      <c r="A586" s="187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</row>
    <row r="587" ht="12.75" customHeight="1">
      <c r="A587" s="187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</row>
    <row r="588" ht="12.75" customHeight="1">
      <c r="A588" s="187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</row>
    <row r="589" ht="12.75" customHeight="1">
      <c r="A589" s="187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</row>
    <row r="590" ht="12.75" customHeight="1">
      <c r="A590" s="187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</row>
    <row r="591" ht="12.75" customHeight="1">
      <c r="A591" s="187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</row>
    <row r="592" ht="12.75" customHeight="1">
      <c r="A592" s="187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</row>
    <row r="593" ht="12.75" customHeight="1">
      <c r="A593" s="187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</row>
    <row r="594" ht="12.75" customHeight="1">
      <c r="A594" s="187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</row>
    <row r="595" ht="12.75" customHeight="1">
      <c r="A595" s="187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</row>
    <row r="596" ht="12.75" customHeight="1">
      <c r="A596" s="187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</row>
    <row r="597" ht="12.75" customHeight="1">
      <c r="A597" s="187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</row>
    <row r="598" ht="12.75" customHeight="1">
      <c r="A598" s="187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</row>
    <row r="599" ht="12.75" customHeight="1">
      <c r="A599" s="187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</row>
    <row r="600" ht="12.75" customHeight="1">
      <c r="A600" s="187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</row>
    <row r="601" ht="12.75" customHeight="1">
      <c r="A601" s="187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</row>
    <row r="602" ht="12.75" customHeight="1">
      <c r="A602" s="187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</row>
    <row r="603" ht="12.75" customHeight="1">
      <c r="A603" s="187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</row>
    <row r="604" ht="12.75" customHeight="1">
      <c r="A604" s="187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</row>
    <row r="605" ht="12.75" customHeight="1">
      <c r="A605" s="187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</row>
    <row r="606" ht="12.75" customHeight="1">
      <c r="A606" s="187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</row>
    <row r="607" ht="12.75" customHeight="1">
      <c r="A607" s="187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</row>
    <row r="608" ht="12.75" customHeight="1">
      <c r="A608" s="187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</row>
    <row r="609" ht="12.75" customHeight="1">
      <c r="A609" s="187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</row>
    <row r="610" ht="12.75" customHeight="1">
      <c r="A610" s="187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</row>
    <row r="611" ht="12.75" customHeight="1">
      <c r="A611" s="187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</row>
    <row r="612" ht="12.75" customHeight="1">
      <c r="A612" s="187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</row>
    <row r="613" ht="12.75" customHeight="1">
      <c r="A613" s="187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</row>
    <row r="614" ht="12.75" customHeight="1">
      <c r="A614" s="187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</row>
    <row r="615" ht="12.75" customHeight="1">
      <c r="A615" s="187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</row>
    <row r="616" ht="12.75" customHeight="1">
      <c r="A616" s="187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</row>
    <row r="617" ht="12.75" customHeight="1">
      <c r="A617" s="187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</row>
    <row r="618" ht="12.75" customHeight="1">
      <c r="A618" s="187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</row>
    <row r="619" ht="12.75" customHeight="1">
      <c r="A619" s="187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</row>
    <row r="620" ht="12.75" customHeight="1">
      <c r="A620" s="187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</row>
    <row r="621" ht="12.75" customHeight="1">
      <c r="A621" s="187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</row>
    <row r="622" ht="12.75" customHeight="1">
      <c r="A622" s="187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</row>
    <row r="623" ht="12.75" customHeight="1">
      <c r="A623" s="187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</row>
    <row r="624" ht="12.75" customHeight="1">
      <c r="A624" s="187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</row>
    <row r="625" ht="12.75" customHeight="1">
      <c r="A625" s="187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</row>
    <row r="626" ht="12.75" customHeight="1">
      <c r="A626" s="187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</row>
    <row r="627" ht="12.75" customHeight="1">
      <c r="A627" s="187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</row>
    <row r="628" ht="12.75" customHeight="1">
      <c r="A628" s="187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</row>
    <row r="629" ht="12.75" customHeight="1">
      <c r="A629" s="187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</row>
    <row r="630" ht="12.75" customHeight="1">
      <c r="A630" s="187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</row>
    <row r="631" ht="12.75" customHeight="1">
      <c r="A631" s="187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</row>
    <row r="632" ht="12.75" customHeight="1">
      <c r="A632" s="187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</row>
    <row r="633" ht="12.75" customHeight="1">
      <c r="A633" s="187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</row>
    <row r="634" ht="12.75" customHeight="1">
      <c r="A634" s="187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</row>
    <row r="635" ht="12.75" customHeight="1">
      <c r="A635" s="187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</row>
    <row r="636" ht="12.75" customHeight="1">
      <c r="A636" s="187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</row>
    <row r="637" ht="12.75" customHeight="1">
      <c r="A637" s="187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</row>
    <row r="638" ht="12.75" customHeight="1">
      <c r="A638" s="187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</row>
    <row r="639" ht="12.75" customHeight="1">
      <c r="A639" s="187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</row>
    <row r="640" ht="12.75" customHeight="1">
      <c r="A640" s="187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</row>
    <row r="641" ht="12.75" customHeight="1">
      <c r="A641" s="187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</row>
    <row r="642" ht="12.75" customHeight="1">
      <c r="A642" s="187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</row>
    <row r="643" ht="12.75" customHeight="1">
      <c r="A643" s="187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</row>
    <row r="644" ht="12.75" customHeight="1">
      <c r="A644" s="187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</row>
    <row r="645" ht="12.75" customHeight="1">
      <c r="A645" s="187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</row>
    <row r="646" ht="12.75" customHeight="1">
      <c r="A646" s="187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</row>
    <row r="647" ht="12.75" customHeight="1">
      <c r="A647" s="187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</row>
    <row r="648" ht="12.75" customHeight="1">
      <c r="A648" s="187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</row>
    <row r="649" ht="12.75" customHeight="1">
      <c r="A649" s="187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</row>
    <row r="650" ht="12.75" customHeight="1">
      <c r="A650" s="187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</row>
    <row r="651" ht="12.75" customHeight="1">
      <c r="A651" s="187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</row>
    <row r="652" ht="12.75" customHeight="1">
      <c r="A652" s="187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</row>
    <row r="653" ht="12.75" customHeight="1">
      <c r="A653" s="187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</row>
    <row r="654" ht="12.75" customHeight="1">
      <c r="A654" s="187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</row>
    <row r="655" ht="12.75" customHeight="1">
      <c r="A655" s="187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</row>
    <row r="656" ht="12.75" customHeight="1">
      <c r="A656" s="187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</row>
    <row r="657" ht="12.75" customHeight="1">
      <c r="A657" s="187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</row>
    <row r="658" ht="12.75" customHeight="1">
      <c r="A658" s="187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</row>
    <row r="659" ht="12.75" customHeight="1">
      <c r="A659" s="187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</row>
    <row r="660" ht="12.75" customHeight="1">
      <c r="A660" s="187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</row>
    <row r="661" ht="12.75" customHeight="1">
      <c r="A661" s="187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</row>
    <row r="662" ht="12.75" customHeight="1">
      <c r="A662" s="187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</row>
    <row r="663" ht="12.75" customHeight="1">
      <c r="A663" s="187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</row>
    <row r="664" ht="12.75" customHeight="1">
      <c r="A664" s="187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</row>
    <row r="665" ht="12.75" customHeight="1">
      <c r="A665" s="187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</row>
    <row r="666" ht="12.75" customHeight="1">
      <c r="A666" s="187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</row>
    <row r="667" ht="12.75" customHeight="1">
      <c r="A667" s="187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</row>
    <row r="668" ht="12.75" customHeight="1">
      <c r="A668" s="187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</row>
    <row r="669" ht="12.75" customHeight="1">
      <c r="A669" s="187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</row>
    <row r="670" ht="12.75" customHeight="1">
      <c r="A670" s="187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</row>
    <row r="671" ht="12.75" customHeight="1">
      <c r="A671" s="187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</row>
    <row r="672" ht="12.75" customHeight="1">
      <c r="A672" s="187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</row>
    <row r="673" ht="12.75" customHeight="1">
      <c r="A673" s="187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</row>
    <row r="674" ht="12.75" customHeight="1">
      <c r="A674" s="187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</row>
    <row r="675" ht="12.75" customHeight="1">
      <c r="A675" s="187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</row>
    <row r="676" ht="12.75" customHeight="1">
      <c r="A676" s="187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</row>
    <row r="677" ht="12.75" customHeight="1">
      <c r="A677" s="187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</row>
    <row r="678" ht="12.75" customHeight="1">
      <c r="A678" s="187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</row>
    <row r="679" ht="12.75" customHeight="1">
      <c r="A679" s="187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</row>
    <row r="680" ht="12.75" customHeight="1">
      <c r="A680" s="187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</row>
    <row r="681" ht="12.75" customHeight="1">
      <c r="A681" s="187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</row>
    <row r="682" ht="12.75" customHeight="1">
      <c r="A682" s="187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</row>
    <row r="683" ht="12.75" customHeight="1">
      <c r="A683" s="187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</row>
    <row r="684" ht="12.75" customHeight="1">
      <c r="A684" s="187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</row>
    <row r="685" ht="12.75" customHeight="1">
      <c r="A685" s="187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</row>
    <row r="686" ht="12.75" customHeight="1">
      <c r="A686" s="187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</row>
    <row r="687" ht="12.75" customHeight="1">
      <c r="A687" s="187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</row>
    <row r="688" ht="12.75" customHeight="1">
      <c r="A688" s="187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</row>
    <row r="689" ht="12.75" customHeight="1">
      <c r="A689" s="187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</row>
    <row r="690" ht="12.75" customHeight="1">
      <c r="A690" s="187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</row>
    <row r="691" ht="12.75" customHeight="1">
      <c r="A691" s="187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</row>
    <row r="692" ht="12.75" customHeight="1">
      <c r="A692" s="187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</row>
    <row r="693" ht="12.75" customHeight="1">
      <c r="A693" s="187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</row>
    <row r="694" ht="12.75" customHeight="1">
      <c r="A694" s="187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</row>
    <row r="695" ht="12.75" customHeight="1">
      <c r="A695" s="187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</row>
    <row r="696" ht="12.75" customHeight="1">
      <c r="A696" s="187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</row>
    <row r="697" ht="12.75" customHeight="1">
      <c r="A697" s="187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</row>
    <row r="698" ht="12.75" customHeight="1">
      <c r="A698" s="187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</row>
    <row r="699" ht="12.75" customHeight="1">
      <c r="A699" s="187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</row>
    <row r="700" ht="12.75" customHeight="1">
      <c r="A700" s="187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</row>
    <row r="701" ht="12.75" customHeight="1">
      <c r="A701" s="187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</row>
    <row r="702" ht="12.75" customHeight="1">
      <c r="A702" s="187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</row>
    <row r="703" ht="12.75" customHeight="1">
      <c r="A703" s="187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</row>
    <row r="704" ht="12.75" customHeight="1">
      <c r="A704" s="187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</row>
    <row r="705" ht="12.75" customHeight="1">
      <c r="A705" s="187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</row>
    <row r="706" ht="12.75" customHeight="1">
      <c r="A706" s="187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</row>
    <row r="707" ht="12.75" customHeight="1">
      <c r="A707" s="187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</row>
    <row r="708" ht="12.75" customHeight="1">
      <c r="A708" s="187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</row>
    <row r="709" ht="12.75" customHeight="1">
      <c r="A709" s="187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</row>
    <row r="710" ht="12.75" customHeight="1">
      <c r="A710" s="187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</row>
    <row r="711" ht="12.75" customHeight="1">
      <c r="A711" s="187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</row>
    <row r="712" ht="12.75" customHeight="1">
      <c r="A712" s="187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</row>
    <row r="713" ht="12.75" customHeight="1">
      <c r="A713" s="187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</row>
    <row r="714" ht="12.75" customHeight="1">
      <c r="A714" s="187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</row>
    <row r="715" ht="12.75" customHeight="1">
      <c r="A715" s="187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</row>
    <row r="716" ht="12.75" customHeight="1">
      <c r="A716" s="187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</row>
    <row r="717" ht="12.75" customHeight="1">
      <c r="A717" s="187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</row>
    <row r="718" ht="12.75" customHeight="1">
      <c r="A718" s="187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</row>
    <row r="719" ht="12.75" customHeight="1">
      <c r="A719" s="187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</row>
    <row r="720" ht="12.75" customHeight="1">
      <c r="A720" s="187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</row>
    <row r="721" ht="12.75" customHeight="1">
      <c r="A721" s="187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</row>
    <row r="722" ht="12.75" customHeight="1">
      <c r="A722" s="187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</row>
    <row r="723" ht="12.75" customHeight="1">
      <c r="A723" s="187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</row>
    <row r="724" ht="12.75" customHeight="1">
      <c r="A724" s="187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</row>
    <row r="725" ht="12.75" customHeight="1">
      <c r="A725" s="187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</row>
    <row r="726" ht="12.75" customHeight="1">
      <c r="A726" s="187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</row>
    <row r="727" ht="12.75" customHeight="1">
      <c r="A727" s="187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</row>
    <row r="728" ht="12.75" customHeight="1">
      <c r="A728" s="187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</row>
    <row r="729" ht="12.75" customHeight="1">
      <c r="A729" s="187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</row>
    <row r="730" ht="12.75" customHeight="1">
      <c r="A730" s="187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</row>
    <row r="731" ht="12.75" customHeight="1">
      <c r="A731" s="187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</row>
    <row r="732" ht="12.75" customHeight="1">
      <c r="A732" s="187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</row>
    <row r="733" ht="12.75" customHeight="1">
      <c r="A733" s="187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</row>
    <row r="734" ht="12.75" customHeight="1">
      <c r="A734" s="187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</row>
    <row r="735" ht="12.75" customHeight="1">
      <c r="A735" s="187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</row>
    <row r="736" ht="12.75" customHeight="1">
      <c r="A736" s="187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</row>
    <row r="737" ht="12.75" customHeight="1">
      <c r="A737" s="187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</row>
    <row r="738" ht="12.75" customHeight="1">
      <c r="A738" s="187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</row>
    <row r="739" ht="12.75" customHeight="1">
      <c r="A739" s="187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</row>
    <row r="740" ht="12.75" customHeight="1">
      <c r="A740" s="187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</row>
    <row r="741" ht="12.75" customHeight="1">
      <c r="A741" s="187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</row>
    <row r="742" ht="12.75" customHeight="1">
      <c r="A742" s="187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</row>
    <row r="743" ht="12.75" customHeight="1">
      <c r="A743" s="187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</row>
    <row r="744" ht="12.75" customHeight="1">
      <c r="A744" s="187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</row>
    <row r="745" ht="12.75" customHeight="1">
      <c r="A745" s="187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</row>
    <row r="746" ht="12.75" customHeight="1">
      <c r="A746" s="187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</row>
    <row r="747" ht="12.75" customHeight="1">
      <c r="A747" s="187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</row>
    <row r="748" ht="12.75" customHeight="1">
      <c r="A748" s="187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</row>
    <row r="749" ht="12.75" customHeight="1">
      <c r="A749" s="187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</row>
    <row r="750" ht="12.75" customHeight="1">
      <c r="A750" s="187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</row>
    <row r="751" ht="12.75" customHeight="1">
      <c r="A751" s="187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</row>
    <row r="752" ht="12.75" customHeight="1">
      <c r="A752" s="187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</row>
    <row r="753" ht="12.75" customHeight="1">
      <c r="A753" s="187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</row>
    <row r="754" ht="12.75" customHeight="1">
      <c r="A754" s="187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</row>
    <row r="755" ht="12.75" customHeight="1">
      <c r="A755" s="187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</row>
    <row r="756" ht="12.75" customHeight="1">
      <c r="A756" s="187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</row>
    <row r="757" ht="12.75" customHeight="1">
      <c r="A757" s="187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</row>
    <row r="758" ht="12.75" customHeight="1">
      <c r="A758" s="187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</row>
    <row r="759" ht="12.75" customHeight="1">
      <c r="A759" s="187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</row>
    <row r="760" ht="12.75" customHeight="1">
      <c r="A760" s="187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</row>
    <row r="761" ht="12.75" customHeight="1">
      <c r="A761" s="187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</row>
    <row r="762" ht="12.75" customHeight="1">
      <c r="A762" s="187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</row>
    <row r="763" ht="12.75" customHeight="1">
      <c r="A763" s="187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</row>
    <row r="764" ht="12.75" customHeight="1">
      <c r="A764" s="187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</row>
    <row r="765" ht="12.75" customHeight="1">
      <c r="A765" s="187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</row>
    <row r="766" ht="12.75" customHeight="1">
      <c r="A766" s="187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</row>
    <row r="767" ht="12.75" customHeight="1">
      <c r="A767" s="187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</row>
    <row r="768" ht="12.75" customHeight="1">
      <c r="A768" s="187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</row>
    <row r="769" ht="12.75" customHeight="1">
      <c r="A769" s="187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</row>
    <row r="770" ht="12.75" customHeight="1">
      <c r="A770" s="187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</row>
    <row r="771" ht="12.75" customHeight="1">
      <c r="A771" s="187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</row>
    <row r="772" ht="12.75" customHeight="1">
      <c r="A772" s="187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</row>
    <row r="773" ht="12.75" customHeight="1">
      <c r="A773" s="187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</row>
    <row r="774" ht="12.75" customHeight="1">
      <c r="A774" s="187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</row>
    <row r="775" ht="12.75" customHeight="1">
      <c r="A775" s="187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</row>
    <row r="776" ht="12.75" customHeight="1">
      <c r="A776" s="187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</row>
    <row r="777" ht="12.75" customHeight="1">
      <c r="A777" s="187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</row>
    <row r="778" ht="12.75" customHeight="1">
      <c r="A778" s="187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</row>
    <row r="779" ht="12.75" customHeight="1">
      <c r="A779" s="187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</row>
    <row r="780" ht="12.75" customHeight="1">
      <c r="A780" s="187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</row>
    <row r="781" ht="12.75" customHeight="1">
      <c r="A781" s="187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</row>
    <row r="782" ht="12.75" customHeight="1">
      <c r="A782" s="187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</row>
    <row r="783" ht="12.75" customHeight="1">
      <c r="A783" s="187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</row>
    <row r="784" ht="12.75" customHeight="1">
      <c r="A784" s="187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</row>
    <row r="785" ht="12.75" customHeight="1">
      <c r="A785" s="187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</row>
    <row r="786" ht="12.75" customHeight="1">
      <c r="A786" s="187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</row>
    <row r="787" ht="12.75" customHeight="1">
      <c r="A787" s="187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</row>
    <row r="788" ht="12.75" customHeight="1">
      <c r="A788" s="187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</row>
    <row r="789" ht="12.75" customHeight="1">
      <c r="A789" s="187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</row>
    <row r="790" ht="12.75" customHeight="1">
      <c r="A790" s="187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</row>
    <row r="791" ht="12.75" customHeight="1">
      <c r="A791" s="187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</row>
    <row r="792" ht="12.75" customHeight="1">
      <c r="A792" s="187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</row>
    <row r="793" ht="12.75" customHeight="1">
      <c r="A793" s="187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</row>
    <row r="794" ht="12.75" customHeight="1">
      <c r="A794" s="187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</row>
    <row r="795" ht="12.75" customHeight="1">
      <c r="A795" s="187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</row>
    <row r="796" ht="12.75" customHeight="1">
      <c r="A796" s="187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</row>
    <row r="797" ht="12.75" customHeight="1">
      <c r="A797" s="187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</row>
    <row r="798" ht="12.75" customHeight="1">
      <c r="A798" s="187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</row>
    <row r="799" ht="12.75" customHeight="1">
      <c r="A799" s="187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</row>
    <row r="800" ht="12.75" customHeight="1">
      <c r="A800" s="187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</row>
    <row r="801" ht="12.75" customHeight="1">
      <c r="A801" s="187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</row>
    <row r="802" ht="12.75" customHeight="1">
      <c r="A802" s="187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</row>
    <row r="803" ht="12.75" customHeight="1">
      <c r="A803" s="187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</row>
    <row r="804" ht="12.75" customHeight="1">
      <c r="A804" s="187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</row>
    <row r="805" ht="12.75" customHeight="1">
      <c r="A805" s="187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</row>
    <row r="806" ht="12.75" customHeight="1">
      <c r="A806" s="187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</row>
    <row r="807" ht="12.75" customHeight="1">
      <c r="A807" s="187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</row>
    <row r="808" ht="12.75" customHeight="1">
      <c r="A808" s="187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</row>
    <row r="809" ht="12.75" customHeight="1">
      <c r="A809" s="187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</row>
    <row r="810" ht="12.75" customHeight="1">
      <c r="A810" s="187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</row>
    <row r="811" ht="12.75" customHeight="1">
      <c r="A811" s="187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</row>
    <row r="812" ht="12.75" customHeight="1">
      <c r="A812" s="187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</row>
    <row r="813" ht="12.75" customHeight="1">
      <c r="A813" s="187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</row>
    <row r="814" ht="12.75" customHeight="1">
      <c r="A814" s="187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</row>
    <row r="815" ht="12.75" customHeight="1">
      <c r="A815" s="187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</row>
    <row r="816" ht="12.75" customHeight="1">
      <c r="A816" s="187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</row>
    <row r="817" ht="12.75" customHeight="1">
      <c r="A817" s="187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</row>
    <row r="818" ht="12.75" customHeight="1">
      <c r="A818" s="187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</row>
    <row r="819" ht="12.75" customHeight="1">
      <c r="A819" s="187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</row>
    <row r="820" ht="12.75" customHeight="1">
      <c r="A820" s="187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</row>
    <row r="821" ht="12.75" customHeight="1">
      <c r="A821" s="187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</row>
    <row r="822" ht="12.75" customHeight="1">
      <c r="A822" s="187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</row>
    <row r="823" ht="12.75" customHeight="1">
      <c r="A823" s="187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</row>
    <row r="824" ht="12.75" customHeight="1">
      <c r="A824" s="187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</row>
    <row r="825" ht="12.75" customHeight="1">
      <c r="A825" s="187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</row>
    <row r="826" ht="12.75" customHeight="1">
      <c r="A826" s="187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</row>
    <row r="827" ht="12.75" customHeight="1">
      <c r="A827" s="187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</row>
    <row r="828" ht="12.75" customHeight="1">
      <c r="A828" s="187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</row>
    <row r="829" ht="12.75" customHeight="1">
      <c r="A829" s="187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</row>
    <row r="830" ht="12.75" customHeight="1">
      <c r="A830" s="187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</row>
    <row r="831" ht="12.75" customHeight="1">
      <c r="A831" s="187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</row>
    <row r="832" ht="12.75" customHeight="1">
      <c r="A832" s="187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</row>
    <row r="833" ht="12.75" customHeight="1">
      <c r="A833" s="187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</row>
    <row r="834" ht="12.75" customHeight="1">
      <c r="A834" s="187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</row>
    <row r="835" ht="12.75" customHeight="1">
      <c r="A835" s="187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</row>
    <row r="836" ht="12.75" customHeight="1">
      <c r="A836" s="187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</row>
    <row r="837" ht="12.75" customHeight="1">
      <c r="A837" s="187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</row>
    <row r="838" ht="12.75" customHeight="1">
      <c r="A838" s="187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</row>
    <row r="839" ht="12.75" customHeight="1">
      <c r="A839" s="187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</row>
    <row r="840" ht="12.75" customHeight="1">
      <c r="A840" s="187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</row>
    <row r="841" ht="12.75" customHeight="1">
      <c r="A841" s="187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</row>
    <row r="842" ht="12.75" customHeight="1">
      <c r="A842" s="187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</row>
    <row r="843" ht="12.75" customHeight="1">
      <c r="A843" s="187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</row>
    <row r="844" ht="12.75" customHeight="1">
      <c r="A844" s="187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</row>
    <row r="845" ht="12.75" customHeight="1">
      <c r="A845" s="187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</row>
    <row r="846" ht="12.75" customHeight="1">
      <c r="A846" s="187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</row>
    <row r="847" ht="12.75" customHeight="1">
      <c r="A847" s="187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</row>
    <row r="848" ht="12.75" customHeight="1">
      <c r="A848" s="187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</row>
    <row r="849" ht="12.75" customHeight="1">
      <c r="A849" s="187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</row>
    <row r="850" ht="12.75" customHeight="1">
      <c r="A850" s="187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</row>
    <row r="851" ht="12.75" customHeight="1">
      <c r="A851" s="187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</row>
    <row r="852" ht="12.75" customHeight="1">
      <c r="A852" s="187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</row>
    <row r="853" ht="12.75" customHeight="1">
      <c r="A853" s="187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</row>
    <row r="854" ht="12.75" customHeight="1">
      <c r="A854" s="187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</row>
    <row r="855" ht="12.75" customHeight="1">
      <c r="A855" s="187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</row>
    <row r="856" ht="12.75" customHeight="1">
      <c r="A856" s="187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</row>
    <row r="857" ht="12.75" customHeight="1">
      <c r="A857" s="187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</row>
    <row r="858" ht="12.75" customHeight="1">
      <c r="A858" s="187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</row>
    <row r="859" ht="12.75" customHeight="1">
      <c r="A859" s="187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</row>
    <row r="860" ht="12.75" customHeight="1">
      <c r="A860" s="187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</row>
    <row r="861" ht="12.75" customHeight="1">
      <c r="A861" s="187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</row>
    <row r="862" ht="12.75" customHeight="1">
      <c r="A862" s="187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</row>
    <row r="863" ht="12.75" customHeight="1">
      <c r="A863" s="187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</row>
    <row r="864" ht="12.75" customHeight="1">
      <c r="A864" s="187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</row>
    <row r="865" ht="12.75" customHeight="1">
      <c r="A865" s="187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</row>
    <row r="866" ht="12.75" customHeight="1">
      <c r="A866" s="187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</row>
    <row r="867" ht="12.75" customHeight="1">
      <c r="A867" s="187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</row>
    <row r="868" ht="12.75" customHeight="1">
      <c r="A868" s="187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</row>
    <row r="869" ht="12.75" customHeight="1">
      <c r="A869" s="187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</row>
    <row r="870" ht="12.75" customHeight="1">
      <c r="A870" s="187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</row>
    <row r="871" ht="12.75" customHeight="1">
      <c r="A871" s="187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</row>
    <row r="872" ht="12.75" customHeight="1">
      <c r="A872" s="187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</row>
    <row r="873" ht="12.75" customHeight="1">
      <c r="A873" s="187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</row>
    <row r="874" ht="12.75" customHeight="1">
      <c r="A874" s="187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</row>
    <row r="875" ht="12.75" customHeight="1">
      <c r="A875" s="187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</row>
    <row r="876" ht="12.75" customHeight="1">
      <c r="A876" s="187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</row>
    <row r="877" ht="12.75" customHeight="1">
      <c r="A877" s="187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</row>
    <row r="878" ht="12.75" customHeight="1">
      <c r="A878" s="187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</row>
    <row r="879" ht="12.75" customHeight="1">
      <c r="A879" s="187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</row>
    <row r="880" ht="12.75" customHeight="1">
      <c r="A880" s="187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</row>
    <row r="881" ht="12.75" customHeight="1">
      <c r="A881" s="187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</row>
    <row r="882" ht="12.75" customHeight="1">
      <c r="A882" s="187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</row>
    <row r="883" ht="12.75" customHeight="1">
      <c r="A883" s="187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</row>
    <row r="884" ht="12.75" customHeight="1">
      <c r="A884" s="187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</row>
    <row r="885" ht="12.75" customHeight="1">
      <c r="A885" s="187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</row>
    <row r="886" ht="12.75" customHeight="1">
      <c r="A886" s="187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</row>
    <row r="887" ht="12.75" customHeight="1">
      <c r="A887" s="187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</row>
    <row r="888" ht="12.75" customHeight="1">
      <c r="A888" s="187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</row>
    <row r="889" ht="12.75" customHeight="1">
      <c r="A889" s="187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</row>
    <row r="890" ht="12.75" customHeight="1">
      <c r="A890" s="187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</row>
    <row r="891" ht="12.75" customHeight="1">
      <c r="A891" s="187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</row>
    <row r="892" ht="12.75" customHeight="1">
      <c r="A892" s="187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</row>
    <row r="893" ht="12.75" customHeight="1">
      <c r="A893" s="187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</row>
    <row r="894" ht="12.75" customHeight="1">
      <c r="A894" s="187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</row>
    <row r="895" ht="12.75" customHeight="1">
      <c r="A895" s="187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</row>
    <row r="896" ht="12.75" customHeight="1">
      <c r="A896" s="187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</row>
    <row r="897" ht="12.75" customHeight="1">
      <c r="A897" s="187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</row>
    <row r="898" ht="12.75" customHeight="1">
      <c r="A898" s="187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</row>
    <row r="899" ht="12.75" customHeight="1">
      <c r="A899" s="187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</row>
    <row r="900" ht="12.75" customHeight="1">
      <c r="A900" s="187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</row>
    <row r="901" ht="12.75" customHeight="1">
      <c r="A901" s="187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</row>
    <row r="902" ht="12.75" customHeight="1">
      <c r="A902" s="187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</row>
    <row r="903" ht="12.75" customHeight="1">
      <c r="A903" s="187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</row>
    <row r="904" ht="12.75" customHeight="1">
      <c r="A904" s="187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</row>
    <row r="905" ht="12.75" customHeight="1">
      <c r="A905" s="187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</row>
    <row r="906" ht="12.75" customHeight="1">
      <c r="A906" s="187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</row>
    <row r="907" ht="12.75" customHeight="1">
      <c r="A907" s="187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</row>
    <row r="908" ht="12.75" customHeight="1">
      <c r="A908" s="187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</row>
    <row r="909" ht="12.75" customHeight="1">
      <c r="A909" s="187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</row>
    <row r="910" ht="12.75" customHeight="1">
      <c r="A910" s="187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</row>
    <row r="911" ht="12.75" customHeight="1">
      <c r="A911" s="187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</row>
    <row r="912" ht="12.75" customHeight="1">
      <c r="A912" s="187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</row>
    <row r="913" ht="12.75" customHeight="1">
      <c r="A913" s="187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</row>
    <row r="914" ht="12.75" customHeight="1">
      <c r="A914" s="187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</row>
    <row r="915" ht="12.75" customHeight="1">
      <c r="A915" s="187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</row>
    <row r="916" ht="12.75" customHeight="1">
      <c r="A916" s="187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</row>
    <row r="917" ht="12.75" customHeight="1">
      <c r="A917" s="187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</row>
    <row r="918" ht="12.75" customHeight="1">
      <c r="A918" s="187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</row>
    <row r="919" ht="12.75" customHeight="1">
      <c r="A919" s="187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</row>
    <row r="920" ht="12.75" customHeight="1">
      <c r="A920" s="187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</row>
    <row r="921" ht="12.75" customHeight="1">
      <c r="A921" s="187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</row>
    <row r="922" ht="12.75" customHeight="1">
      <c r="A922" s="187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</row>
    <row r="923" ht="12.75" customHeight="1">
      <c r="A923" s="187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</row>
    <row r="924" ht="12.75" customHeight="1">
      <c r="A924" s="187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</row>
    <row r="925" ht="12.75" customHeight="1">
      <c r="A925" s="187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</row>
    <row r="926" ht="12.75" customHeight="1">
      <c r="A926" s="187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</row>
    <row r="927" ht="12.75" customHeight="1">
      <c r="A927" s="187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</row>
    <row r="928" ht="12.75" customHeight="1">
      <c r="A928" s="187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</row>
    <row r="929" ht="12.75" customHeight="1">
      <c r="A929" s="187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</row>
    <row r="930" ht="12.75" customHeight="1">
      <c r="A930" s="187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</row>
    <row r="931" ht="12.75" customHeight="1">
      <c r="A931" s="187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</row>
    <row r="932" ht="12.75" customHeight="1">
      <c r="A932" s="187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</row>
    <row r="933" ht="12.75" customHeight="1">
      <c r="A933" s="187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</row>
    <row r="934" ht="12.75" customHeight="1">
      <c r="A934" s="187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87"/>
      <c r="V934" s="187"/>
      <c r="W934" s="187"/>
      <c r="X934" s="187"/>
      <c r="Y934" s="187"/>
      <c r="Z934" s="187"/>
    </row>
    <row r="935" ht="12.75" customHeight="1">
      <c r="A935" s="187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87"/>
      <c r="V935" s="187"/>
      <c r="W935" s="187"/>
      <c r="X935" s="187"/>
      <c r="Y935" s="187"/>
      <c r="Z935" s="187"/>
    </row>
    <row r="936" ht="12.75" customHeight="1">
      <c r="A936" s="187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87"/>
      <c r="V936" s="187"/>
      <c r="W936" s="187"/>
      <c r="X936" s="187"/>
      <c r="Y936" s="187"/>
      <c r="Z936" s="187"/>
    </row>
    <row r="937" ht="12.75" customHeight="1">
      <c r="A937" s="187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87"/>
      <c r="V937" s="187"/>
      <c r="W937" s="187"/>
      <c r="X937" s="187"/>
      <c r="Y937" s="187"/>
      <c r="Z937" s="187"/>
    </row>
    <row r="938" ht="12.75" customHeight="1">
      <c r="A938" s="187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87"/>
      <c r="V938" s="187"/>
      <c r="W938" s="187"/>
      <c r="X938" s="187"/>
      <c r="Y938" s="187"/>
      <c r="Z938" s="187"/>
    </row>
    <row r="939" ht="12.75" customHeight="1">
      <c r="A939" s="187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87"/>
      <c r="V939" s="187"/>
      <c r="W939" s="187"/>
      <c r="X939" s="187"/>
      <c r="Y939" s="187"/>
      <c r="Z939" s="187"/>
    </row>
    <row r="940" ht="12.75" customHeight="1">
      <c r="A940" s="187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87"/>
      <c r="V940" s="187"/>
      <c r="W940" s="187"/>
      <c r="X940" s="187"/>
      <c r="Y940" s="187"/>
      <c r="Z940" s="187"/>
    </row>
    <row r="941" ht="12.75" customHeight="1">
      <c r="A941" s="187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87"/>
      <c r="V941" s="187"/>
      <c r="W941" s="187"/>
      <c r="X941" s="187"/>
      <c r="Y941" s="187"/>
      <c r="Z941" s="187"/>
    </row>
    <row r="942" ht="12.75" customHeight="1">
      <c r="A942" s="187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87"/>
      <c r="V942" s="187"/>
      <c r="W942" s="187"/>
      <c r="X942" s="187"/>
      <c r="Y942" s="187"/>
      <c r="Z942" s="187"/>
    </row>
    <row r="943" ht="12.75" customHeight="1">
      <c r="A943" s="187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87"/>
      <c r="V943" s="187"/>
      <c r="W943" s="187"/>
      <c r="X943" s="187"/>
      <c r="Y943" s="187"/>
      <c r="Z943" s="187"/>
    </row>
    <row r="944" ht="12.75" customHeight="1">
      <c r="A944" s="187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87"/>
      <c r="V944" s="187"/>
      <c r="W944" s="187"/>
      <c r="X944" s="187"/>
      <c r="Y944" s="187"/>
      <c r="Z944" s="187"/>
    </row>
    <row r="945" ht="12.75" customHeight="1">
      <c r="A945" s="187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87"/>
      <c r="V945" s="187"/>
      <c r="W945" s="187"/>
      <c r="X945" s="187"/>
      <c r="Y945" s="187"/>
      <c r="Z945" s="187"/>
    </row>
    <row r="946" ht="12.75" customHeight="1">
      <c r="A946" s="187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87"/>
      <c r="V946" s="187"/>
      <c r="W946" s="187"/>
      <c r="X946" s="187"/>
      <c r="Y946" s="187"/>
      <c r="Z946" s="187"/>
    </row>
    <row r="947" ht="12.75" customHeight="1">
      <c r="A947" s="187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87"/>
      <c r="V947" s="187"/>
      <c r="W947" s="187"/>
      <c r="X947" s="187"/>
      <c r="Y947" s="187"/>
      <c r="Z947" s="187"/>
    </row>
    <row r="948" ht="12.75" customHeight="1">
      <c r="A948" s="187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87"/>
      <c r="V948" s="187"/>
      <c r="W948" s="187"/>
      <c r="X948" s="187"/>
      <c r="Y948" s="187"/>
      <c r="Z948" s="187"/>
    </row>
    <row r="949" ht="12.75" customHeight="1">
      <c r="A949" s="187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87"/>
      <c r="V949" s="187"/>
      <c r="W949" s="187"/>
      <c r="X949" s="187"/>
      <c r="Y949" s="187"/>
      <c r="Z949" s="187"/>
    </row>
    <row r="950" ht="12.75" customHeight="1">
      <c r="A950" s="187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87"/>
      <c r="V950" s="187"/>
      <c r="W950" s="187"/>
      <c r="X950" s="187"/>
      <c r="Y950" s="187"/>
      <c r="Z950" s="187"/>
    </row>
    <row r="951" ht="12.75" customHeight="1">
      <c r="A951" s="187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87"/>
      <c r="V951" s="187"/>
      <c r="W951" s="187"/>
      <c r="X951" s="187"/>
      <c r="Y951" s="187"/>
      <c r="Z951" s="187"/>
    </row>
    <row r="952" ht="12.75" customHeight="1">
      <c r="A952" s="187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87"/>
      <c r="V952" s="187"/>
      <c r="W952" s="187"/>
      <c r="X952" s="187"/>
      <c r="Y952" s="187"/>
      <c r="Z952" s="187"/>
    </row>
    <row r="953" ht="12.75" customHeight="1">
      <c r="A953" s="187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87"/>
      <c r="V953" s="187"/>
      <c r="W953" s="187"/>
      <c r="X953" s="187"/>
      <c r="Y953" s="187"/>
      <c r="Z953" s="187"/>
    </row>
    <row r="954" ht="12.75" customHeight="1">
      <c r="A954" s="187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87"/>
      <c r="V954" s="187"/>
      <c r="W954" s="187"/>
      <c r="X954" s="187"/>
      <c r="Y954" s="187"/>
      <c r="Z954" s="187"/>
    </row>
    <row r="955" ht="12.75" customHeight="1">
      <c r="A955" s="187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87"/>
      <c r="V955" s="187"/>
      <c r="W955" s="187"/>
      <c r="X955" s="187"/>
      <c r="Y955" s="187"/>
      <c r="Z955" s="187"/>
    </row>
    <row r="956" ht="12.75" customHeight="1">
      <c r="A956" s="187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87"/>
      <c r="V956" s="187"/>
      <c r="W956" s="187"/>
      <c r="X956" s="187"/>
      <c r="Y956" s="187"/>
      <c r="Z956" s="187"/>
    </row>
    <row r="957" ht="12.75" customHeight="1">
      <c r="A957" s="187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87"/>
      <c r="V957" s="187"/>
      <c r="W957" s="187"/>
      <c r="X957" s="187"/>
      <c r="Y957" s="187"/>
      <c r="Z957" s="187"/>
    </row>
    <row r="958" ht="12.75" customHeight="1">
      <c r="A958" s="187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87"/>
      <c r="V958" s="187"/>
      <c r="W958" s="187"/>
      <c r="X958" s="187"/>
      <c r="Y958" s="187"/>
      <c r="Z958" s="187"/>
    </row>
    <row r="959" ht="12.75" customHeight="1">
      <c r="A959" s="187"/>
      <c r="B959" s="187"/>
      <c r="C959" s="187"/>
      <c r="D959" s="187"/>
      <c r="E959" s="187"/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87"/>
      <c r="V959" s="187"/>
      <c r="W959" s="187"/>
      <c r="X959" s="187"/>
      <c r="Y959" s="187"/>
      <c r="Z959" s="187"/>
    </row>
    <row r="960" ht="12.75" customHeight="1">
      <c r="A960" s="187"/>
      <c r="B960" s="187"/>
      <c r="C960" s="187"/>
      <c r="D960" s="187"/>
      <c r="E960" s="187"/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87"/>
      <c r="V960" s="187"/>
      <c r="W960" s="187"/>
      <c r="X960" s="187"/>
      <c r="Y960" s="187"/>
      <c r="Z960" s="187"/>
    </row>
    <row r="961" ht="12.75" customHeight="1">
      <c r="A961" s="187"/>
      <c r="B961" s="187"/>
      <c r="C961" s="187"/>
      <c r="D961" s="187"/>
      <c r="E961" s="187"/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87"/>
      <c r="V961" s="187"/>
      <c r="W961" s="187"/>
      <c r="X961" s="187"/>
      <c r="Y961" s="187"/>
      <c r="Z961" s="187"/>
    </row>
    <row r="962" ht="12.75" customHeight="1">
      <c r="A962" s="187"/>
      <c r="B962" s="187"/>
      <c r="C962" s="187"/>
      <c r="D962" s="187"/>
      <c r="E962" s="187"/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87"/>
      <c r="V962" s="187"/>
      <c r="W962" s="187"/>
      <c r="X962" s="187"/>
      <c r="Y962" s="187"/>
      <c r="Z962" s="187"/>
    </row>
    <row r="963" ht="12.75" customHeight="1">
      <c r="A963" s="187"/>
      <c r="B963" s="187"/>
      <c r="C963" s="187"/>
      <c r="D963" s="187"/>
      <c r="E963" s="187"/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87"/>
      <c r="V963" s="187"/>
      <c r="W963" s="187"/>
      <c r="X963" s="187"/>
      <c r="Y963" s="187"/>
      <c r="Z963" s="187"/>
    </row>
    <row r="964" ht="12.75" customHeight="1">
      <c r="A964" s="187"/>
      <c r="B964" s="187"/>
      <c r="C964" s="187"/>
      <c r="D964" s="187"/>
      <c r="E964" s="187"/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87"/>
      <c r="V964" s="187"/>
      <c r="W964" s="187"/>
      <c r="X964" s="187"/>
      <c r="Y964" s="187"/>
      <c r="Z964" s="187"/>
    </row>
    <row r="965" ht="12.75" customHeight="1">
      <c r="A965" s="187"/>
      <c r="B965" s="187"/>
      <c r="C965" s="187"/>
      <c r="D965" s="187"/>
      <c r="E965" s="187"/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87"/>
      <c r="V965" s="187"/>
      <c r="W965" s="187"/>
      <c r="X965" s="187"/>
      <c r="Y965" s="187"/>
      <c r="Z965" s="187"/>
    </row>
    <row r="966" ht="12.75" customHeight="1">
      <c r="A966" s="187"/>
      <c r="B966" s="187"/>
      <c r="C966" s="187"/>
      <c r="D966" s="187"/>
      <c r="E966" s="187"/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87"/>
      <c r="V966" s="187"/>
      <c r="W966" s="187"/>
      <c r="X966" s="187"/>
      <c r="Y966" s="187"/>
      <c r="Z966" s="187"/>
    </row>
    <row r="967" ht="12.75" customHeight="1">
      <c r="A967" s="187"/>
      <c r="B967" s="187"/>
      <c r="C967" s="187"/>
      <c r="D967" s="187"/>
      <c r="E967" s="187"/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87"/>
      <c r="V967" s="187"/>
      <c r="W967" s="187"/>
      <c r="X967" s="187"/>
      <c r="Y967" s="187"/>
      <c r="Z967" s="187"/>
    </row>
    <row r="968" ht="12.75" customHeight="1">
      <c r="A968" s="187"/>
      <c r="B968" s="187"/>
      <c r="C968" s="187"/>
      <c r="D968" s="187"/>
      <c r="E968" s="187"/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87"/>
      <c r="V968" s="187"/>
      <c r="W968" s="187"/>
      <c r="X968" s="187"/>
      <c r="Y968" s="187"/>
      <c r="Z968" s="187"/>
    </row>
    <row r="969" ht="12.75" customHeight="1">
      <c r="A969" s="187"/>
      <c r="B969" s="187"/>
      <c r="C969" s="187"/>
      <c r="D969" s="187"/>
      <c r="E969" s="187"/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87"/>
      <c r="V969" s="187"/>
      <c r="W969" s="187"/>
      <c r="X969" s="187"/>
      <c r="Y969" s="187"/>
      <c r="Z969" s="187"/>
    </row>
    <row r="970" ht="12.75" customHeight="1">
      <c r="A970" s="187"/>
      <c r="B970" s="187"/>
      <c r="C970" s="187"/>
      <c r="D970" s="187"/>
      <c r="E970" s="187"/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87"/>
      <c r="V970" s="187"/>
      <c r="W970" s="187"/>
      <c r="X970" s="187"/>
      <c r="Y970" s="187"/>
      <c r="Z970" s="187"/>
    </row>
    <row r="971" ht="12.75" customHeight="1">
      <c r="A971" s="187"/>
      <c r="B971" s="187"/>
      <c r="C971" s="187"/>
      <c r="D971" s="187"/>
      <c r="E971" s="187"/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87"/>
      <c r="V971" s="187"/>
      <c r="W971" s="187"/>
      <c r="X971" s="187"/>
      <c r="Y971" s="187"/>
      <c r="Z971" s="187"/>
    </row>
    <row r="972" ht="12.75" customHeight="1">
      <c r="A972" s="187"/>
      <c r="B972" s="187"/>
      <c r="C972" s="187"/>
      <c r="D972" s="187"/>
      <c r="E972" s="187"/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87"/>
      <c r="V972" s="187"/>
      <c r="W972" s="187"/>
      <c r="X972" s="187"/>
      <c r="Y972" s="187"/>
      <c r="Z972" s="187"/>
    </row>
    <row r="973" ht="12.75" customHeight="1">
      <c r="A973" s="187"/>
      <c r="B973" s="187"/>
      <c r="C973" s="187"/>
      <c r="D973" s="187"/>
      <c r="E973" s="187"/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87"/>
      <c r="V973" s="187"/>
      <c r="W973" s="187"/>
      <c r="X973" s="187"/>
      <c r="Y973" s="187"/>
      <c r="Z973" s="187"/>
    </row>
    <row r="974" ht="12.75" customHeight="1">
      <c r="A974" s="187"/>
      <c r="B974" s="187"/>
      <c r="C974" s="187"/>
      <c r="D974" s="187"/>
      <c r="E974" s="187"/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87"/>
      <c r="V974" s="187"/>
      <c r="W974" s="187"/>
      <c r="X974" s="187"/>
      <c r="Y974" s="187"/>
      <c r="Z974" s="187"/>
    </row>
    <row r="975" ht="12.75" customHeight="1">
      <c r="A975" s="187"/>
      <c r="B975" s="187"/>
      <c r="C975" s="187"/>
      <c r="D975" s="187"/>
      <c r="E975" s="187"/>
      <c r="F975" s="187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87"/>
      <c r="V975" s="187"/>
      <c r="W975" s="187"/>
      <c r="X975" s="187"/>
      <c r="Y975" s="187"/>
      <c r="Z975" s="187"/>
    </row>
    <row r="976" ht="12.75" customHeight="1">
      <c r="A976" s="187"/>
      <c r="B976" s="187"/>
      <c r="C976" s="187"/>
      <c r="D976" s="187"/>
      <c r="E976" s="187"/>
      <c r="F976" s="187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87"/>
      <c r="V976" s="187"/>
      <c r="W976" s="187"/>
      <c r="X976" s="187"/>
      <c r="Y976" s="187"/>
      <c r="Z976" s="187"/>
    </row>
    <row r="977" ht="12.75" customHeight="1">
      <c r="A977" s="187"/>
      <c r="B977" s="187"/>
      <c r="C977" s="187"/>
      <c r="D977" s="187"/>
      <c r="E977" s="187"/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87"/>
      <c r="V977" s="187"/>
      <c r="W977" s="187"/>
      <c r="X977" s="187"/>
      <c r="Y977" s="187"/>
      <c r="Z977" s="187"/>
    </row>
    <row r="978" ht="12.75" customHeight="1">
      <c r="A978" s="187"/>
      <c r="B978" s="187"/>
      <c r="C978" s="187"/>
      <c r="D978" s="187"/>
      <c r="E978" s="187"/>
      <c r="F978" s="187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87"/>
      <c r="V978" s="187"/>
      <c r="W978" s="187"/>
      <c r="X978" s="187"/>
      <c r="Y978" s="187"/>
      <c r="Z978" s="187"/>
    </row>
    <row r="979" ht="12.75" customHeight="1">
      <c r="A979" s="187"/>
      <c r="B979" s="187"/>
      <c r="C979" s="187"/>
      <c r="D979" s="187"/>
      <c r="E979" s="187"/>
      <c r="F979" s="187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87"/>
      <c r="V979" s="187"/>
      <c r="W979" s="187"/>
      <c r="X979" s="187"/>
      <c r="Y979" s="187"/>
      <c r="Z979" s="187"/>
    </row>
    <row r="980" ht="12.75" customHeight="1">
      <c r="A980" s="187"/>
      <c r="B980" s="187"/>
      <c r="C980" s="187"/>
      <c r="D980" s="187"/>
      <c r="E980" s="187"/>
      <c r="F980" s="187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87"/>
      <c r="V980" s="187"/>
      <c r="W980" s="187"/>
      <c r="X980" s="187"/>
      <c r="Y980" s="187"/>
      <c r="Z980" s="187"/>
    </row>
    <row r="981" ht="12.75" customHeight="1">
      <c r="A981" s="187"/>
      <c r="B981" s="187"/>
      <c r="C981" s="187"/>
      <c r="D981" s="187"/>
      <c r="E981" s="187"/>
      <c r="F981" s="187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87"/>
      <c r="V981" s="187"/>
      <c r="W981" s="187"/>
      <c r="X981" s="187"/>
      <c r="Y981" s="187"/>
      <c r="Z981" s="187"/>
    </row>
    <row r="982" ht="12.75" customHeight="1">
      <c r="A982" s="187"/>
      <c r="B982" s="187"/>
      <c r="C982" s="187"/>
      <c r="D982" s="187"/>
      <c r="E982" s="187"/>
      <c r="F982" s="187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87"/>
      <c r="V982" s="187"/>
      <c r="W982" s="187"/>
      <c r="X982" s="187"/>
      <c r="Y982" s="187"/>
      <c r="Z982" s="187"/>
    </row>
    <row r="983" ht="12.75" customHeight="1">
      <c r="A983" s="187"/>
      <c r="B983" s="187"/>
      <c r="C983" s="187"/>
      <c r="D983" s="187"/>
      <c r="E983" s="187"/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87"/>
      <c r="V983" s="187"/>
      <c r="W983" s="187"/>
      <c r="X983" s="187"/>
      <c r="Y983" s="187"/>
      <c r="Z983" s="187"/>
    </row>
    <row r="984" ht="12.75" customHeight="1">
      <c r="A984" s="187"/>
      <c r="B984" s="187"/>
      <c r="C984" s="187"/>
      <c r="D984" s="187"/>
      <c r="E984" s="187"/>
      <c r="F984" s="187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87"/>
      <c r="V984" s="187"/>
      <c r="W984" s="187"/>
      <c r="X984" s="187"/>
      <c r="Y984" s="187"/>
      <c r="Z984" s="187"/>
    </row>
    <row r="985" ht="12.75" customHeight="1">
      <c r="A985" s="187"/>
      <c r="B985" s="187"/>
      <c r="C985" s="187"/>
      <c r="D985" s="187"/>
      <c r="E985" s="187"/>
      <c r="F985" s="187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87"/>
      <c r="V985" s="187"/>
      <c r="W985" s="187"/>
      <c r="X985" s="187"/>
      <c r="Y985" s="187"/>
      <c r="Z985" s="187"/>
    </row>
    <row r="986" ht="12.75" customHeight="1">
      <c r="A986" s="187"/>
      <c r="B986" s="187"/>
      <c r="C986" s="187"/>
      <c r="D986" s="187"/>
      <c r="E986" s="187"/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87"/>
      <c r="V986" s="187"/>
      <c r="W986" s="187"/>
      <c r="X986" s="187"/>
      <c r="Y986" s="187"/>
      <c r="Z986" s="187"/>
    </row>
    <row r="987" ht="12.75" customHeight="1">
      <c r="A987" s="187"/>
      <c r="B987" s="187"/>
      <c r="C987" s="187"/>
      <c r="D987" s="187"/>
      <c r="E987" s="187"/>
      <c r="F987" s="187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87"/>
      <c r="V987" s="187"/>
      <c r="W987" s="187"/>
      <c r="X987" s="187"/>
      <c r="Y987" s="187"/>
      <c r="Z987" s="187"/>
    </row>
    <row r="988" ht="12.75" customHeight="1">
      <c r="A988" s="187"/>
      <c r="B988" s="187"/>
      <c r="C988" s="187"/>
      <c r="D988" s="187"/>
      <c r="E988" s="187"/>
      <c r="F988" s="187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87"/>
      <c r="V988" s="187"/>
      <c r="W988" s="187"/>
      <c r="X988" s="187"/>
      <c r="Y988" s="187"/>
      <c r="Z988" s="187"/>
    </row>
    <row r="989" ht="12.75" customHeight="1">
      <c r="A989" s="187"/>
      <c r="B989" s="187"/>
      <c r="C989" s="187"/>
      <c r="D989" s="187"/>
      <c r="E989" s="187"/>
      <c r="F989" s="187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87"/>
      <c r="V989" s="187"/>
      <c r="W989" s="187"/>
      <c r="X989" s="187"/>
      <c r="Y989" s="187"/>
      <c r="Z989" s="187"/>
    </row>
    <row r="990" ht="12.75" customHeight="1">
      <c r="A990" s="187"/>
      <c r="B990" s="187"/>
      <c r="C990" s="187"/>
      <c r="D990" s="187"/>
      <c r="E990" s="187"/>
      <c r="F990" s="187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87"/>
      <c r="V990" s="187"/>
      <c r="W990" s="187"/>
      <c r="X990" s="187"/>
      <c r="Y990" s="187"/>
      <c r="Z990" s="187"/>
    </row>
    <row r="991" ht="12.75" customHeight="1">
      <c r="A991" s="187"/>
      <c r="B991" s="187"/>
      <c r="C991" s="187"/>
      <c r="D991" s="187"/>
      <c r="E991" s="187"/>
      <c r="F991" s="187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87"/>
      <c r="V991" s="187"/>
      <c r="W991" s="187"/>
      <c r="X991" s="187"/>
      <c r="Y991" s="187"/>
      <c r="Z991" s="187"/>
    </row>
    <row r="992" ht="12.75" customHeight="1">
      <c r="A992" s="187"/>
      <c r="B992" s="187"/>
      <c r="C992" s="187"/>
      <c r="D992" s="187"/>
      <c r="E992" s="187"/>
      <c r="F992" s="187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87"/>
      <c r="V992" s="187"/>
      <c r="W992" s="187"/>
      <c r="X992" s="187"/>
      <c r="Y992" s="187"/>
      <c r="Z992" s="187"/>
    </row>
    <row r="993" ht="12.75" customHeight="1">
      <c r="A993" s="187"/>
      <c r="B993" s="187"/>
      <c r="C993" s="187"/>
      <c r="D993" s="187"/>
      <c r="E993" s="187"/>
      <c r="F993" s="187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87"/>
      <c r="V993" s="187"/>
      <c r="W993" s="187"/>
      <c r="X993" s="187"/>
      <c r="Y993" s="187"/>
      <c r="Z993" s="187"/>
    </row>
    <row r="994" ht="12.75" customHeight="1">
      <c r="A994" s="187"/>
      <c r="B994" s="187"/>
      <c r="C994" s="187"/>
      <c r="D994" s="187"/>
      <c r="E994" s="187"/>
      <c r="F994" s="187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87"/>
      <c r="V994" s="187"/>
      <c r="W994" s="187"/>
      <c r="X994" s="187"/>
      <c r="Y994" s="187"/>
      <c r="Z994" s="187"/>
    </row>
    <row r="995" ht="12.75" customHeight="1">
      <c r="A995" s="187"/>
      <c r="B995" s="187"/>
      <c r="C995" s="187"/>
      <c r="D995" s="187"/>
      <c r="E995" s="187"/>
      <c r="F995" s="187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87"/>
      <c r="V995" s="187"/>
      <c r="W995" s="187"/>
      <c r="X995" s="187"/>
      <c r="Y995" s="187"/>
      <c r="Z995" s="187"/>
    </row>
    <row r="996" ht="12.75" customHeight="1">
      <c r="A996" s="187"/>
      <c r="B996" s="187"/>
      <c r="C996" s="187"/>
      <c r="D996" s="187"/>
      <c r="E996" s="187"/>
      <c r="F996" s="187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87"/>
      <c r="V996" s="187"/>
      <c r="W996" s="187"/>
      <c r="X996" s="187"/>
      <c r="Y996" s="187"/>
      <c r="Z996" s="187"/>
    </row>
    <row r="997" ht="12.75" customHeight="1">
      <c r="A997" s="187"/>
      <c r="B997" s="187"/>
      <c r="C997" s="187"/>
      <c r="D997" s="187"/>
      <c r="E997" s="187"/>
      <c r="F997" s="187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87"/>
      <c r="V997" s="187"/>
      <c r="W997" s="187"/>
      <c r="X997" s="187"/>
      <c r="Y997" s="187"/>
      <c r="Z997" s="187"/>
    </row>
    <row r="998" ht="12.75" customHeight="1">
      <c r="A998" s="187"/>
      <c r="B998" s="187"/>
      <c r="C998" s="187"/>
      <c r="D998" s="187"/>
      <c r="E998" s="187"/>
      <c r="F998" s="187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87"/>
      <c r="V998" s="187"/>
      <c r="W998" s="187"/>
      <c r="X998" s="187"/>
      <c r="Y998" s="187"/>
      <c r="Z998" s="187"/>
    </row>
    <row r="999" ht="12.75" customHeight="1">
      <c r="A999" s="187"/>
      <c r="B999" s="187"/>
      <c r="C999" s="187"/>
      <c r="D999" s="187"/>
      <c r="E999" s="187"/>
      <c r="F999" s="187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87"/>
      <c r="V999" s="187"/>
      <c r="W999" s="187"/>
      <c r="X999" s="187"/>
      <c r="Y999" s="187"/>
      <c r="Z999" s="187"/>
    </row>
    <row r="1000" ht="12.75" customHeight="1">
      <c r="A1000" s="187"/>
      <c r="B1000" s="187"/>
      <c r="C1000" s="187"/>
      <c r="D1000" s="187"/>
      <c r="E1000" s="187"/>
      <c r="F1000" s="187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87"/>
      <c r="V1000" s="187"/>
      <c r="W1000" s="187"/>
      <c r="X1000" s="187"/>
      <c r="Y1000" s="187"/>
      <c r="Z1000" s="187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paperSize="9" scale="6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3" width="5.63"/>
    <col customWidth="1" min="14" max="15" width="9.13"/>
    <col customWidth="1" min="16" max="26" width="8.0"/>
  </cols>
  <sheetData>
    <row r="1" ht="12.75" customHeight="1">
      <c r="A1" s="187"/>
      <c r="B1" s="187"/>
      <c r="C1" s="188" t="s">
        <v>228</v>
      </c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</row>
    <row r="2" ht="12.75" customHeight="1">
      <c r="A2" s="187"/>
      <c r="B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</row>
    <row r="3" ht="12.75" customHeight="1">
      <c r="A3" s="187"/>
      <c r="B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</row>
    <row r="4" ht="12.75" customHeight="1">
      <c r="A4" s="187"/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</row>
    <row r="5" ht="13.5" customHeight="1">
      <c r="A5" s="187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</row>
    <row r="6" ht="20.25" customHeight="1">
      <c r="A6" s="187"/>
      <c r="B6" s="187"/>
      <c r="C6" s="189" t="s">
        <v>335</v>
      </c>
      <c r="D6" s="103"/>
      <c r="E6" s="103"/>
      <c r="F6" s="103"/>
      <c r="G6" s="103"/>
      <c r="H6" s="103"/>
      <c r="I6" s="103"/>
      <c r="J6" s="103"/>
      <c r="K6" s="103"/>
      <c r="L6" s="103"/>
      <c r="M6" s="104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</row>
    <row r="7" ht="4.5" customHeight="1">
      <c r="A7" s="187"/>
      <c r="B7" s="187"/>
      <c r="C7" s="190"/>
      <c r="D7" s="191"/>
      <c r="E7" s="191"/>
      <c r="F7" s="191"/>
      <c r="G7" s="191"/>
      <c r="H7" s="191"/>
      <c r="I7" s="191"/>
      <c r="J7" s="191"/>
      <c r="K7" s="191"/>
      <c r="L7" s="191"/>
      <c r="M7" s="192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</row>
    <row r="8" ht="4.5" customHeight="1">
      <c r="A8" s="187"/>
      <c r="B8" s="187"/>
      <c r="C8" s="193"/>
      <c r="D8" s="194"/>
      <c r="E8" s="194"/>
      <c r="F8" s="194"/>
      <c r="G8" s="194"/>
      <c r="H8" s="194"/>
      <c r="I8" s="194"/>
      <c r="J8" s="194"/>
      <c r="K8" s="194"/>
      <c r="L8" s="194"/>
      <c r="M8" s="195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</row>
    <row r="9" ht="12.75" customHeight="1">
      <c r="A9" s="187"/>
      <c r="B9" s="187"/>
      <c r="C9" s="196" t="s">
        <v>195</v>
      </c>
      <c r="D9" s="191"/>
      <c r="E9" s="191"/>
      <c r="F9" s="191"/>
      <c r="G9" s="191"/>
      <c r="H9" s="191"/>
      <c r="I9" s="191"/>
      <c r="J9" s="191"/>
      <c r="K9" s="191"/>
      <c r="L9" s="191"/>
      <c r="M9" s="192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</row>
    <row r="10" ht="12.75" customHeight="1">
      <c r="A10" s="187"/>
      <c r="B10" s="187"/>
      <c r="C10" s="193"/>
      <c r="D10" s="194"/>
      <c r="E10" s="194"/>
      <c r="F10" s="194"/>
      <c r="G10" s="194"/>
      <c r="H10" s="194"/>
      <c r="I10" s="194"/>
      <c r="J10" s="194"/>
      <c r="K10" s="194"/>
      <c r="L10" s="194"/>
      <c r="M10" s="195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</row>
    <row r="11" ht="19.5" customHeight="1">
      <c r="A11" s="187"/>
      <c r="B11" s="187"/>
      <c r="C11" s="197" t="s">
        <v>196</v>
      </c>
      <c r="D11" s="198" t="s">
        <v>197</v>
      </c>
      <c r="E11" s="199" t="s">
        <v>249</v>
      </c>
      <c r="F11" s="200"/>
      <c r="G11" s="198" t="s">
        <v>198</v>
      </c>
      <c r="H11" s="199" t="s">
        <v>242</v>
      </c>
      <c r="I11" s="200"/>
      <c r="J11" s="201" t="s">
        <v>199</v>
      </c>
      <c r="K11" s="200"/>
      <c r="L11" s="201" t="s">
        <v>200</v>
      </c>
      <c r="M11" s="202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</row>
    <row r="12" ht="12.75" customHeight="1">
      <c r="A12" s="187"/>
      <c r="B12" s="187"/>
      <c r="C12" s="203"/>
      <c r="M12" s="204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</row>
    <row r="13" ht="13.5" customHeight="1">
      <c r="A13" s="187"/>
      <c r="B13" s="187"/>
      <c r="C13" s="205" t="s">
        <v>201</v>
      </c>
      <c r="D13" s="206" t="s">
        <v>214</v>
      </c>
      <c r="E13" s="207" t="s">
        <v>80</v>
      </c>
      <c r="F13" s="207" t="s">
        <v>271</v>
      </c>
      <c r="G13" s="208" t="s">
        <v>198</v>
      </c>
      <c r="H13" s="207" t="s">
        <v>82</v>
      </c>
      <c r="I13" s="207" t="s">
        <v>96</v>
      </c>
      <c r="J13" s="209">
        <v>6.0</v>
      </c>
      <c r="K13" s="210">
        <v>3.0</v>
      </c>
      <c r="L13" s="211">
        <f>IF(AND(J13&gt;K13,J14&gt;K14),2,IF(J13&gt;K13,1,IF(J14&gt;K14,1,0)))</f>
        <v>1</v>
      </c>
      <c r="M13" s="211">
        <f>IF(AND(K13&gt;J13,K14&gt;J14),2,IF(K13&gt;J13,1,IF(K14&gt;J14,1,0)))</f>
        <v>1</v>
      </c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</row>
    <row r="14" ht="12.75" customHeight="1">
      <c r="A14" s="187"/>
      <c r="B14" s="187"/>
      <c r="C14" s="212"/>
      <c r="D14" s="213"/>
      <c r="E14" s="213"/>
      <c r="F14" s="213"/>
      <c r="G14" s="213"/>
      <c r="H14" s="213"/>
      <c r="I14" s="213"/>
      <c r="J14" s="214">
        <v>2.0</v>
      </c>
      <c r="K14" s="215">
        <v>6.0</v>
      </c>
      <c r="L14" s="213"/>
      <c r="M14" s="213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</row>
    <row r="15" ht="4.5" customHeight="1">
      <c r="A15" s="187"/>
      <c r="B15" s="187"/>
      <c r="C15" s="216"/>
      <c r="D15" s="23"/>
      <c r="E15" s="23"/>
      <c r="F15" s="23"/>
      <c r="G15" s="23"/>
      <c r="H15" s="23"/>
      <c r="I15" s="23"/>
      <c r="J15" s="23"/>
      <c r="K15" s="23"/>
      <c r="L15" s="23"/>
      <c r="M15" s="202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</row>
    <row r="16" ht="12.75" customHeight="1">
      <c r="A16" s="187"/>
      <c r="B16" s="187"/>
      <c r="C16" s="205" t="s">
        <v>204</v>
      </c>
      <c r="D16" s="206" t="s">
        <v>205</v>
      </c>
      <c r="E16" s="207" t="s">
        <v>118</v>
      </c>
      <c r="F16" s="207" t="s">
        <v>123</v>
      </c>
      <c r="G16" s="208" t="s">
        <v>198</v>
      </c>
      <c r="H16" s="207" t="s">
        <v>125</v>
      </c>
      <c r="I16" s="207" t="s">
        <v>131</v>
      </c>
      <c r="J16" s="209">
        <v>6.0</v>
      </c>
      <c r="K16" s="210">
        <v>2.0</v>
      </c>
      <c r="L16" s="211">
        <f>IF(AND(J16&gt;K16,J17&gt;K17),2,IF(J16&gt;K16,1,IF(J17&gt;K17,1,0)))</f>
        <v>2</v>
      </c>
      <c r="M16" s="211">
        <f>IF(AND(K16&gt;J16,K17&gt;J17),2,IF(K16&gt;J16,1,IF(K17&gt;J17,1,0)))</f>
        <v>0</v>
      </c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</row>
    <row r="17" ht="12.75" customHeight="1">
      <c r="A17" s="187"/>
      <c r="B17" s="187"/>
      <c r="C17" s="212"/>
      <c r="D17" s="213"/>
      <c r="E17" s="213"/>
      <c r="F17" s="213"/>
      <c r="G17" s="213"/>
      <c r="H17" s="213"/>
      <c r="I17" s="213"/>
      <c r="J17" s="214">
        <v>6.0</v>
      </c>
      <c r="K17" s="215">
        <v>3.0</v>
      </c>
      <c r="L17" s="213"/>
      <c r="M17" s="213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</row>
    <row r="18" ht="4.5" customHeight="1">
      <c r="A18" s="187"/>
      <c r="B18" s="187"/>
      <c r="C18" s="217"/>
      <c r="D18" s="23"/>
      <c r="E18" s="23"/>
      <c r="F18" s="23"/>
      <c r="G18" s="23"/>
      <c r="H18" s="23"/>
      <c r="I18" s="23"/>
      <c r="J18" s="23"/>
      <c r="K18" s="23"/>
      <c r="L18" s="23"/>
      <c r="M18" s="202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</row>
    <row r="19" ht="12.75" customHeight="1">
      <c r="A19" s="187"/>
      <c r="B19" s="187"/>
      <c r="C19" s="205" t="s">
        <v>206</v>
      </c>
      <c r="D19" s="206" t="s">
        <v>212</v>
      </c>
      <c r="E19" s="207" t="s">
        <v>40</v>
      </c>
      <c r="F19" s="207" t="s">
        <v>53</v>
      </c>
      <c r="G19" s="208" t="s">
        <v>198</v>
      </c>
      <c r="H19" s="207" t="s">
        <v>42</v>
      </c>
      <c r="I19" s="207" t="s">
        <v>55</v>
      </c>
      <c r="J19" s="209">
        <v>5.0</v>
      </c>
      <c r="K19" s="210">
        <v>7.0</v>
      </c>
      <c r="L19" s="211">
        <f>IF(AND(J19&gt;K19,J20&gt;K20),2,IF(J19&gt;K19,1,IF(J20&gt;K20,1,0)))</f>
        <v>1</v>
      </c>
      <c r="M19" s="211">
        <f>IF(AND(K19&gt;J19,K20&gt;J20),2,IF(K19&gt;J19,1,IF(K20&gt;J20,1,0)))</f>
        <v>1</v>
      </c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</row>
    <row r="20" ht="12.75" customHeight="1">
      <c r="A20" s="187"/>
      <c r="B20" s="187"/>
      <c r="C20" s="212"/>
      <c r="D20" s="213"/>
      <c r="E20" s="213"/>
      <c r="F20" s="213"/>
      <c r="G20" s="213"/>
      <c r="H20" s="213"/>
      <c r="I20" s="213"/>
      <c r="J20" s="214">
        <v>6.0</v>
      </c>
      <c r="K20" s="215">
        <v>3.0</v>
      </c>
      <c r="L20" s="213"/>
      <c r="M20" s="213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</row>
    <row r="21" ht="4.5" customHeight="1">
      <c r="A21" s="187"/>
      <c r="B21" s="187"/>
      <c r="C21" s="217"/>
      <c r="D21" s="23"/>
      <c r="E21" s="23"/>
      <c r="F21" s="23"/>
      <c r="G21" s="23"/>
      <c r="H21" s="23"/>
      <c r="I21" s="23"/>
      <c r="J21" s="23"/>
      <c r="K21" s="23"/>
      <c r="L21" s="23"/>
      <c r="M21" s="202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</row>
    <row r="22" ht="12.75" customHeight="1">
      <c r="A22" s="187"/>
      <c r="B22" s="187"/>
      <c r="C22" s="205" t="s">
        <v>206</v>
      </c>
      <c r="D22" s="235" t="s">
        <v>202</v>
      </c>
      <c r="E22" s="207" t="s">
        <v>252</v>
      </c>
      <c r="F22" s="207" t="s">
        <v>12</v>
      </c>
      <c r="G22" s="208" t="s">
        <v>198</v>
      </c>
      <c r="H22" s="207" t="s">
        <v>103</v>
      </c>
      <c r="I22" s="207" t="s">
        <v>109</v>
      </c>
      <c r="J22" s="209">
        <v>2.0</v>
      </c>
      <c r="K22" s="210">
        <v>6.0</v>
      </c>
      <c r="L22" s="211">
        <f>IF(AND(J22&gt;K22,J23&gt;K23),2,IF(J22&gt;K22,1,IF(J23&gt;K23,1,0)))</f>
        <v>0</v>
      </c>
      <c r="M22" s="211">
        <f>IF(AND(K22&gt;J22,K23&gt;J23),2,IF(K22&gt;J22,1,IF(K23&gt;J23,1,0)))</f>
        <v>2</v>
      </c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</row>
    <row r="23" ht="12.75" customHeight="1">
      <c r="A23" s="187"/>
      <c r="B23" s="187"/>
      <c r="C23" s="212"/>
      <c r="D23" s="213"/>
      <c r="E23" s="213"/>
      <c r="F23" s="213"/>
      <c r="G23" s="213"/>
      <c r="H23" s="213"/>
      <c r="I23" s="213"/>
      <c r="J23" s="214">
        <v>0.0</v>
      </c>
      <c r="K23" s="215">
        <v>6.0</v>
      </c>
      <c r="L23" s="213"/>
      <c r="M23" s="213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</row>
    <row r="24" ht="4.5" customHeight="1">
      <c r="A24" s="187"/>
      <c r="B24" s="187"/>
      <c r="C24" s="217"/>
      <c r="D24" s="23"/>
      <c r="E24" s="23"/>
      <c r="F24" s="23"/>
      <c r="G24" s="23"/>
      <c r="H24" s="23"/>
      <c r="I24" s="23"/>
      <c r="J24" s="23"/>
      <c r="K24" s="23"/>
      <c r="L24" s="23"/>
      <c r="M24" s="202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</row>
    <row r="25" ht="12.75" customHeight="1">
      <c r="A25" s="187"/>
      <c r="B25" s="187"/>
      <c r="C25" s="220" t="s">
        <v>336</v>
      </c>
      <c r="D25" s="23"/>
      <c r="E25" s="23"/>
      <c r="F25" s="23"/>
      <c r="G25" s="23"/>
      <c r="H25" s="23"/>
      <c r="I25" s="200"/>
      <c r="J25" s="221">
        <f t="shared" ref="J25:M25" si="1">SUM(J13:J23)</f>
        <v>33</v>
      </c>
      <c r="K25" s="222">
        <f t="shared" si="1"/>
        <v>36</v>
      </c>
      <c r="L25" s="221">
        <f t="shared" si="1"/>
        <v>4</v>
      </c>
      <c r="M25" s="223">
        <f t="shared" si="1"/>
        <v>4</v>
      </c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</row>
    <row r="26" ht="4.5" customHeight="1">
      <c r="A26" s="187"/>
      <c r="B26" s="187"/>
      <c r="C26" s="224"/>
      <c r="D26" s="23"/>
      <c r="E26" s="23"/>
      <c r="F26" s="23"/>
      <c r="G26" s="23"/>
      <c r="H26" s="23"/>
      <c r="I26" s="23"/>
      <c r="J26" s="23"/>
      <c r="K26" s="23"/>
      <c r="L26" s="23"/>
      <c r="M26" s="202"/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</row>
    <row r="27" ht="12.75" customHeight="1">
      <c r="A27" s="187"/>
      <c r="B27" s="187"/>
      <c r="C27" s="225"/>
      <c r="D27" s="23"/>
      <c r="E27" s="23"/>
      <c r="F27" s="23"/>
      <c r="G27" s="23"/>
      <c r="H27" s="23"/>
      <c r="I27" s="23"/>
      <c r="J27" s="23"/>
      <c r="K27" s="23"/>
      <c r="L27" s="23"/>
      <c r="M27" s="202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</row>
    <row r="28" ht="12.75" customHeight="1">
      <c r="A28" s="187"/>
      <c r="B28" s="187"/>
      <c r="C28" s="218" t="s">
        <v>211</v>
      </c>
      <c r="D28" s="206" t="s">
        <v>216</v>
      </c>
      <c r="E28" s="207" t="s">
        <v>251</v>
      </c>
      <c r="F28" s="207" t="s">
        <v>67</v>
      </c>
      <c r="G28" s="208" t="s">
        <v>198</v>
      </c>
      <c r="H28" s="207" t="s">
        <v>62</v>
      </c>
      <c r="I28" s="207" t="s">
        <v>75</v>
      </c>
      <c r="J28" s="209">
        <v>1.0</v>
      </c>
      <c r="K28" s="210">
        <v>6.0</v>
      </c>
      <c r="L28" s="211">
        <f>IF(AND(J28&gt;K28,J29&gt;K29),2,IF(J28&gt;K28,1,IF(J29&gt;K29,1,0)))</f>
        <v>0</v>
      </c>
      <c r="M28" s="211">
        <f>IF(AND(K28&gt;J28,K29&gt;J29),2,IF(K28&gt;J28,1,IF(K29&gt;J29,1,0)))</f>
        <v>2</v>
      </c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</row>
    <row r="29" ht="12.75" customHeight="1">
      <c r="A29" s="187"/>
      <c r="B29" s="187"/>
      <c r="C29" s="212"/>
      <c r="D29" s="213"/>
      <c r="E29" s="213"/>
      <c r="F29" s="213"/>
      <c r="G29" s="213"/>
      <c r="H29" s="213"/>
      <c r="I29" s="213"/>
      <c r="J29" s="214">
        <v>2.0</v>
      </c>
      <c r="K29" s="215">
        <v>6.0</v>
      </c>
      <c r="L29" s="213"/>
      <c r="M29" s="213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</row>
    <row r="30" ht="4.5" customHeight="1">
      <c r="A30" s="187"/>
      <c r="B30" s="187"/>
      <c r="C30" s="216"/>
      <c r="D30" s="23"/>
      <c r="E30" s="23"/>
      <c r="F30" s="23"/>
      <c r="G30" s="23"/>
      <c r="H30" s="23"/>
      <c r="I30" s="23"/>
      <c r="J30" s="23"/>
      <c r="K30" s="23"/>
      <c r="L30" s="23"/>
      <c r="M30" s="202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</row>
    <row r="31" ht="12.75" customHeight="1">
      <c r="A31" s="226"/>
      <c r="B31" s="187"/>
      <c r="C31" s="206" t="s">
        <v>213</v>
      </c>
      <c r="D31" s="206" t="s">
        <v>209</v>
      </c>
      <c r="E31" s="207" t="s">
        <v>141</v>
      </c>
      <c r="F31" s="207" t="s">
        <v>270</v>
      </c>
      <c r="G31" s="208" t="s">
        <v>198</v>
      </c>
      <c r="H31" s="207" t="s">
        <v>137</v>
      </c>
      <c r="I31" s="207" t="s">
        <v>149</v>
      </c>
      <c r="J31" s="209">
        <v>1.0</v>
      </c>
      <c r="K31" s="210">
        <v>6.0</v>
      </c>
      <c r="L31" s="211">
        <f>IF(AND(J31&gt;K31,J32&gt;K32),2,IF(J31&gt;K31,1,IF(J32&gt;K32,1,0)))</f>
        <v>0</v>
      </c>
      <c r="M31" s="211">
        <f>IF(AND(K31&gt;J31,K32&gt;J32),2,IF(K31&gt;J31,1,IF(K32&gt;J32,1,0)))</f>
        <v>2</v>
      </c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</row>
    <row r="32" ht="12.75" customHeight="1">
      <c r="A32" s="226"/>
      <c r="B32" s="187"/>
      <c r="C32" s="213"/>
      <c r="D32" s="213"/>
      <c r="E32" s="213"/>
      <c r="F32" s="213"/>
      <c r="G32" s="213"/>
      <c r="H32" s="213"/>
      <c r="I32" s="213"/>
      <c r="J32" s="214">
        <v>4.0</v>
      </c>
      <c r="K32" s="215">
        <v>6.0</v>
      </c>
      <c r="L32" s="213"/>
      <c r="M32" s="213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</row>
    <row r="33" ht="4.5" customHeight="1">
      <c r="A33" s="187"/>
      <c r="B33" s="187"/>
      <c r="C33" s="217"/>
      <c r="D33" s="23"/>
      <c r="E33" s="23"/>
      <c r="F33" s="23"/>
      <c r="G33" s="23"/>
      <c r="H33" s="23"/>
      <c r="I33" s="23"/>
      <c r="J33" s="23"/>
      <c r="K33" s="23"/>
      <c r="L33" s="23"/>
      <c r="M33" s="202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</row>
    <row r="34" ht="12.75" customHeight="1">
      <c r="A34" s="187"/>
      <c r="B34" s="187"/>
      <c r="C34" s="218" t="s">
        <v>208</v>
      </c>
      <c r="D34" s="206" t="s">
        <v>207</v>
      </c>
      <c r="E34" s="207" t="s">
        <v>20</v>
      </c>
      <c r="F34" s="207" t="s">
        <v>33</v>
      </c>
      <c r="G34" s="208" t="s">
        <v>198</v>
      </c>
      <c r="H34" s="207" t="s">
        <v>29</v>
      </c>
      <c r="I34" s="207" t="s">
        <v>35</v>
      </c>
      <c r="J34" s="209">
        <v>7.0</v>
      </c>
      <c r="K34" s="210">
        <v>6.0</v>
      </c>
      <c r="L34" s="211">
        <f>IF(AND(J34&gt;K34,J35&gt;K35),2,IF(J34&gt;K34,1,IF(J35&gt;K35,1,0)))</f>
        <v>2</v>
      </c>
      <c r="M34" s="211">
        <f>IF(AND(K34&gt;J34,K35&gt;J35),2,IF(K34&gt;J34,1,IF(K35&gt;J35,1,0)))</f>
        <v>0</v>
      </c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</row>
    <row r="35" ht="12.75" customHeight="1">
      <c r="A35" s="187"/>
      <c r="B35" s="187"/>
      <c r="C35" s="212"/>
      <c r="D35" s="213"/>
      <c r="E35" s="213"/>
      <c r="F35" s="213"/>
      <c r="G35" s="213"/>
      <c r="H35" s="213"/>
      <c r="I35" s="213"/>
      <c r="J35" s="214">
        <v>6.0</v>
      </c>
      <c r="K35" s="215">
        <v>4.0</v>
      </c>
      <c r="L35" s="213"/>
      <c r="M35" s="213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</row>
    <row r="36" ht="4.5" customHeight="1">
      <c r="A36" s="187"/>
      <c r="B36" s="187"/>
      <c r="C36" s="217"/>
      <c r="D36" s="23"/>
      <c r="E36" s="23"/>
      <c r="F36" s="23"/>
      <c r="G36" s="23"/>
      <c r="H36" s="23"/>
      <c r="I36" s="23"/>
      <c r="J36" s="23"/>
      <c r="K36" s="23"/>
      <c r="L36" s="23"/>
      <c r="M36" s="202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</row>
    <row r="37" ht="12.75" customHeight="1">
      <c r="A37" s="187"/>
      <c r="B37" s="187"/>
      <c r="C37" s="205" t="s">
        <v>237</v>
      </c>
      <c r="D37" s="248"/>
      <c r="E37" s="211"/>
      <c r="F37" s="211"/>
      <c r="G37" s="208"/>
      <c r="H37" s="211"/>
      <c r="I37" s="211"/>
      <c r="J37" s="249"/>
      <c r="K37" s="250"/>
      <c r="L37" s="211">
        <f>IF(AND(J37&gt;K37,J38&gt;K38),2,IF(J37&gt;K37,1,IF(J38&gt;K38,1,0)))</f>
        <v>0</v>
      </c>
      <c r="M37" s="211">
        <f>IF(AND(K37&gt;J37,K38&gt;J38),2,IF(K37&gt;J37,1,IF(K38&gt;J38,1,0)))</f>
        <v>0</v>
      </c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</row>
    <row r="38" ht="12.75" customHeight="1">
      <c r="A38" s="187"/>
      <c r="B38" s="187"/>
      <c r="C38" s="212"/>
      <c r="D38" s="213"/>
      <c r="E38" s="213"/>
      <c r="F38" s="213"/>
      <c r="G38" s="213"/>
      <c r="H38" s="213"/>
      <c r="I38" s="213"/>
      <c r="J38" s="251"/>
      <c r="K38" s="252"/>
      <c r="L38" s="213"/>
      <c r="M38" s="213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</row>
    <row r="39" ht="4.5" customHeight="1">
      <c r="A39" s="187"/>
      <c r="B39" s="187"/>
      <c r="C39" s="217"/>
      <c r="D39" s="23"/>
      <c r="E39" s="23"/>
      <c r="F39" s="23"/>
      <c r="G39" s="23"/>
      <c r="H39" s="23"/>
      <c r="I39" s="23"/>
      <c r="J39" s="23"/>
      <c r="K39" s="23"/>
      <c r="L39" s="23"/>
      <c r="M39" s="202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</row>
    <row r="40" ht="12.75" customHeight="1">
      <c r="A40" s="187"/>
      <c r="B40" s="187"/>
      <c r="C40" s="220" t="s">
        <v>337</v>
      </c>
      <c r="D40" s="23"/>
      <c r="E40" s="23"/>
      <c r="F40" s="23"/>
      <c r="G40" s="23"/>
      <c r="H40" s="23"/>
      <c r="I40" s="200"/>
      <c r="J40" s="221">
        <f t="shared" ref="J40:M40" si="2">SUM(J28:J38)</f>
        <v>21</v>
      </c>
      <c r="K40" s="222">
        <f t="shared" si="2"/>
        <v>34</v>
      </c>
      <c r="L40" s="221">
        <f t="shared" si="2"/>
        <v>2</v>
      </c>
      <c r="M40" s="223">
        <f t="shared" si="2"/>
        <v>4</v>
      </c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</row>
    <row r="41" ht="4.5" customHeight="1">
      <c r="A41" s="187"/>
      <c r="B41" s="187"/>
      <c r="C41" s="224"/>
      <c r="D41" s="23"/>
      <c r="E41" s="23"/>
      <c r="F41" s="23"/>
      <c r="G41" s="23"/>
      <c r="H41" s="23"/>
      <c r="I41" s="23"/>
      <c r="J41" s="23"/>
      <c r="K41" s="23"/>
      <c r="L41" s="23"/>
      <c r="M41" s="202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</row>
    <row r="42" ht="12.75" customHeight="1">
      <c r="A42" s="187"/>
      <c r="B42" s="187"/>
      <c r="C42" s="228" t="s">
        <v>338</v>
      </c>
      <c r="D42" s="23"/>
      <c r="E42" s="23"/>
      <c r="F42" s="23"/>
      <c r="G42" s="23"/>
      <c r="H42" s="23"/>
      <c r="I42" s="200"/>
      <c r="J42" s="229">
        <f t="shared" ref="J42:M42" si="3">J40+J25</f>
        <v>54</v>
      </c>
      <c r="K42" s="230">
        <f t="shared" si="3"/>
        <v>70</v>
      </c>
      <c r="L42" s="231">
        <f t="shared" si="3"/>
        <v>6</v>
      </c>
      <c r="M42" s="232">
        <f t="shared" si="3"/>
        <v>8</v>
      </c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</row>
    <row r="43" ht="6.75" customHeight="1">
      <c r="A43" s="187"/>
      <c r="B43" s="187"/>
      <c r="C43" s="233"/>
      <c r="D43" s="23"/>
      <c r="E43" s="23"/>
      <c r="F43" s="23"/>
      <c r="G43" s="23"/>
      <c r="H43" s="23"/>
      <c r="I43" s="23"/>
      <c r="J43" s="23"/>
      <c r="K43" s="23"/>
      <c r="L43" s="23"/>
      <c r="M43" s="202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</row>
    <row r="44" ht="7.5" customHeight="1">
      <c r="A44" s="187"/>
      <c r="B44" s="187"/>
      <c r="C44" s="196" t="s">
        <v>219</v>
      </c>
      <c r="D44" s="191"/>
      <c r="E44" s="191"/>
      <c r="F44" s="191"/>
      <c r="G44" s="191"/>
      <c r="H44" s="191"/>
      <c r="I44" s="191"/>
      <c r="J44" s="191"/>
      <c r="K44" s="191"/>
      <c r="L44" s="191"/>
      <c r="M44" s="192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</row>
    <row r="45" ht="12.75" customHeight="1">
      <c r="A45" s="187"/>
      <c r="B45" s="187"/>
      <c r="C45" s="193"/>
      <c r="D45" s="194"/>
      <c r="E45" s="194"/>
      <c r="F45" s="194"/>
      <c r="G45" s="194"/>
      <c r="H45" s="194"/>
      <c r="I45" s="194"/>
      <c r="J45" s="194"/>
      <c r="K45" s="194"/>
      <c r="L45" s="194"/>
      <c r="M45" s="195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</row>
    <row r="46" ht="26.25" customHeight="1">
      <c r="A46" s="187"/>
      <c r="B46" s="187"/>
      <c r="C46" s="197" t="s">
        <v>196</v>
      </c>
      <c r="D46" s="198" t="s">
        <v>197</v>
      </c>
      <c r="E46" s="199" t="s">
        <v>248</v>
      </c>
      <c r="F46" s="200"/>
      <c r="G46" s="198"/>
      <c r="H46" s="199" t="s">
        <v>231</v>
      </c>
      <c r="I46" s="200"/>
      <c r="J46" s="201" t="s">
        <v>199</v>
      </c>
      <c r="K46" s="200"/>
      <c r="L46" s="201" t="s">
        <v>200</v>
      </c>
      <c r="M46" s="202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</row>
    <row r="47" ht="12.75" customHeight="1">
      <c r="A47" s="187"/>
      <c r="B47" s="187"/>
      <c r="C47" s="234"/>
      <c r="D47" s="23"/>
      <c r="E47" s="23"/>
      <c r="F47" s="23"/>
      <c r="G47" s="23"/>
      <c r="H47" s="23"/>
      <c r="I47" s="23"/>
      <c r="J47" s="23"/>
      <c r="K47" s="23"/>
      <c r="L47" s="23"/>
      <c r="M47" s="202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</row>
    <row r="48" ht="12.75" customHeight="1">
      <c r="A48" s="187"/>
      <c r="B48" s="187"/>
      <c r="C48" s="205" t="s">
        <v>201</v>
      </c>
      <c r="D48" s="206" t="s">
        <v>207</v>
      </c>
      <c r="E48" s="207" t="s">
        <v>19</v>
      </c>
      <c r="F48" s="207" t="s">
        <v>26</v>
      </c>
      <c r="G48" s="208" t="s">
        <v>198</v>
      </c>
      <c r="H48" s="207" t="s">
        <v>266</v>
      </c>
      <c r="I48" s="207" t="s">
        <v>34</v>
      </c>
      <c r="J48" s="209">
        <v>2.0</v>
      </c>
      <c r="K48" s="210">
        <v>6.0</v>
      </c>
      <c r="L48" s="211">
        <f>IF(AND(J48&gt;K48,J49&gt;K49),2,IF(J48&gt;K48,1,IF(J49&gt;K49,1,0)))</f>
        <v>1</v>
      </c>
      <c r="M48" s="211">
        <f>IF(AND(K48&gt;J48,K49&gt;J49),2,IF(K48&gt;J48,1,IF(K49&gt;J49,1,0)))</f>
        <v>1</v>
      </c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</row>
    <row r="49" ht="12.75" customHeight="1">
      <c r="A49" s="187"/>
      <c r="B49" s="187"/>
      <c r="C49" s="212"/>
      <c r="D49" s="213"/>
      <c r="E49" s="213"/>
      <c r="F49" s="213"/>
      <c r="G49" s="213"/>
      <c r="H49" s="213"/>
      <c r="I49" s="213"/>
      <c r="J49" s="214">
        <v>6.0</v>
      </c>
      <c r="K49" s="215">
        <v>4.0</v>
      </c>
      <c r="L49" s="213"/>
      <c r="M49" s="213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 ht="4.5" customHeight="1">
      <c r="A50" s="187"/>
      <c r="B50" s="187"/>
      <c r="C50" s="216"/>
      <c r="D50" s="23"/>
      <c r="E50" s="23"/>
      <c r="F50" s="23"/>
      <c r="G50" s="23"/>
      <c r="H50" s="23"/>
      <c r="I50" s="23"/>
      <c r="J50" s="23"/>
      <c r="K50" s="23"/>
      <c r="L50" s="23"/>
      <c r="M50" s="202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 ht="12.75" customHeight="1">
      <c r="A51" s="187"/>
      <c r="B51" s="187"/>
      <c r="C51" s="205" t="s">
        <v>204</v>
      </c>
      <c r="D51" s="206" t="s">
        <v>205</v>
      </c>
      <c r="E51" s="207" t="s">
        <v>122</v>
      </c>
      <c r="F51" s="207" t="s">
        <v>128</v>
      </c>
      <c r="G51" s="208" t="s">
        <v>198</v>
      </c>
      <c r="H51" s="207" t="s">
        <v>119</v>
      </c>
      <c r="I51" s="207" t="s">
        <v>124</v>
      </c>
      <c r="J51" s="209">
        <v>6.0</v>
      </c>
      <c r="K51" s="210">
        <v>4.0</v>
      </c>
      <c r="L51" s="211">
        <f>IF(AND(J51&gt;K51,J52&gt;K52),2,IF(J51&gt;K51,1,IF(J52&gt;K52,1,0)))</f>
        <v>1</v>
      </c>
      <c r="M51" s="211">
        <f>IF(AND(K51&gt;J51,K52&gt;J52),2,IF(K51&gt;J51,1,IF(K52&gt;J52,1,0)))</f>
        <v>1</v>
      </c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 ht="12.75" customHeight="1">
      <c r="A52" s="187"/>
      <c r="B52" s="187"/>
      <c r="C52" s="212"/>
      <c r="D52" s="213"/>
      <c r="E52" s="213"/>
      <c r="F52" s="213"/>
      <c r="G52" s="213"/>
      <c r="H52" s="213"/>
      <c r="I52" s="213"/>
      <c r="J52" s="214">
        <v>1.0</v>
      </c>
      <c r="K52" s="215">
        <v>6.0</v>
      </c>
      <c r="L52" s="213"/>
      <c r="M52" s="213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 ht="4.5" customHeight="1">
      <c r="A53" s="187"/>
      <c r="B53" s="187"/>
      <c r="C53" s="217"/>
      <c r="D53" s="23"/>
      <c r="E53" s="23"/>
      <c r="F53" s="23"/>
      <c r="G53" s="23"/>
      <c r="H53" s="23"/>
      <c r="I53" s="23"/>
      <c r="J53" s="23"/>
      <c r="K53" s="23"/>
      <c r="L53" s="23"/>
      <c r="M53" s="202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  <row r="54" ht="12.75" customHeight="1">
      <c r="A54" s="187"/>
      <c r="B54" s="187"/>
      <c r="C54" s="205" t="s">
        <v>206</v>
      </c>
      <c r="D54" s="206" t="s">
        <v>212</v>
      </c>
      <c r="E54" s="207" t="s">
        <v>39</v>
      </c>
      <c r="F54" s="207" t="s">
        <v>45</v>
      </c>
      <c r="G54" s="208" t="s">
        <v>198</v>
      </c>
      <c r="H54" s="207" t="s">
        <v>41</v>
      </c>
      <c r="I54" s="207" t="s">
        <v>54</v>
      </c>
      <c r="J54" s="209">
        <v>6.0</v>
      </c>
      <c r="K54" s="210">
        <v>4.0</v>
      </c>
      <c r="L54" s="211">
        <f>IF(AND(J54&gt;K54,J55&gt;K55),2,IF(J54&gt;K54,1,IF(J55&gt;K55,1,0)))</f>
        <v>2</v>
      </c>
      <c r="M54" s="211">
        <f>IF(AND(K54&gt;J54,K55&gt;J55),2,IF(K54&gt;J54,1,IF(K55&gt;J55,1,0)))</f>
        <v>0</v>
      </c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</row>
    <row r="55" ht="12.75" customHeight="1">
      <c r="A55" s="187"/>
      <c r="B55" s="187"/>
      <c r="C55" s="212"/>
      <c r="D55" s="213"/>
      <c r="E55" s="213"/>
      <c r="F55" s="213"/>
      <c r="G55" s="213"/>
      <c r="H55" s="213"/>
      <c r="I55" s="213"/>
      <c r="J55" s="214">
        <v>6.0</v>
      </c>
      <c r="K55" s="215">
        <v>0.0</v>
      </c>
      <c r="L55" s="213"/>
      <c r="M55" s="213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</row>
    <row r="56" ht="4.5" customHeight="1">
      <c r="A56" s="187"/>
      <c r="B56" s="187"/>
      <c r="C56" s="217"/>
      <c r="D56" s="23"/>
      <c r="E56" s="23"/>
      <c r="F56" s="23"/>
      <c r="G56" s="23"/>
      <c r="H56" s="23"/>
      <c r="I56" s="23"/>
      <c r="J56" s="23"/>
      <c r="K56" s="23"/>
      <c r="L56" s="23"/>
      <c r="M56" s="202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</row>
    <row r="57" ht="12.75" customHeight="1">
      <c r="A57" s="187"/>
      <c r="B57" s="187"/>
      <c r="C57" s="218" t="s">
        <v>339</v>
      </c>
      <c r="D57" s="235" t="s">
        <v>202</v>
      </c>
      <c r="E57" s="207" t="s">
        <v>100</v>
      </c>
      <c r="F57" s="207" t="s">
        <v>106</v>
      </c>
      <c r="G57" s="219" t="s">
        <v>198</v>
      </c>
      <c r="H57" s="207" t="s">
        <v>102</v>
      </c>
      <c r="I57" s="207" t="s">
        <v>113</v>
      </c>
      <c r="J57" s="209">
        <v>3.0</v>
      </c>
      <c r="K57" s="210">
        <v>6.0</v>
      </c>
      <c r="L57" s="211">
        <f>IF(AND(J57&gt;K57,J58&gt;K58),2,IF(J57&gt;K57,1,IF(J58&gt;K58,1,0)))</f>
        <v>0</v>
      </c>
      <c r="M57" s="211">
        <f>IF(AND(K57&gt;J57,K58&gt;J58),2,IF(K57&gt;J57,1,IF(K58&gt;J58,1,0)))</f>
        <v>2</v>
      </c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</row>
    <row r="58" ht="12.75" customHeight="1">
      <c r="A58" s="187"/>
      <c r="B58" s="187"/>
      <c r="C58" s="212"/>
      <c r="D58" s="213"/>
      <c r="E58" s="213"/>
      <c r="F58" s="213"/>
      <c r="G58" s="213"/>
      <c r="H58" s="213"/>
      <c r="I58" s="213"/>
      <c r="J58" s="214">
        <v>3.0</v>
      </c>
      <c r="K58" s="215">
        <v>6.0</v>
      </c>
      <c r="L58" s="213"/>
      <c r="M58" s="213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</row>
    <row r="59" ht="4.5" customHeight="1">
      <c r="A59" s="187"/>
      <c r="B59" s="187"/>
      <c r="C59" s="253"/>
      <c r="D59" s="254"/>
      <c r="E59" s="254"/>
      <c r="F59" s="254"/>
      <c r="G59" s="254"/>
      <c r="H59" s="254"/>
      <c r="I59" s="254"/>
      <c r="J59" s="254"/>
      <c r="K59" s="254"/>
      <c r="L59" s="254"/>
      <c r="M59" s="255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</row>
    <row r="60" ht="12.75" customHeight="1">
      <c r="A60" s="187"/>
      <c r="B60" s="187"/>
      <c r="C60" s="220" t="s">
        <v>336</v>
      </c>
      <c r="D60" s="23"/>
      <c r="E60" s="23"/>
      <c r="F60" s="23"/>
      <c r="G60" s="23"/>
      <c r="H60" s="23"/>
      <c r="I60" s="200"/>
      <c r="J60" s="221">
        <f t="shared" ref="J60:M60" si="4">SUM(J48:J58)</f>
        <v>33</v>
      </c>
      <c r="K60" s="222">
        <f t="shared" si="4"/>
        <v>36</v>
      </c>
      <c r="L60" s="221">
        <f t="shared" si="4"/>
        <v>4</v>
      </c>
      <c r="M60" s="223">
        <f t="shared" si="4"/>
        <v>4</v>
      </c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</row>
    <row r="61" ht="4.5" customHeight="1">
      <c r="A61" s="187"/>
      <c r="B61" s="187"/>
      <c r="C61" s="224"/>
      <c r="D61" s="23"/>
      <c r="E61" s="23"/>
      <c r="F61" s="23"/>
      <c r="G61" s="23"/>
      <c r="H61" s="23"/>
      <c r="I61" s="23"/>
      <c r="J61" s="23"/>
      <c r="K61" s="23"/>
      <c r="L61" s="23"/>
      <c r="M61" s="202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</row>
    <row r="62" ht="12.75" customHeight="1">
      <c r="A62" s="187"/>
      <c r="B62" s="187"/>
      <c r="C62" s="225"/>
      <c r="D62" s="23"/>
      <c r="E62" s="23"/>
      <c r="F62" s="23"/>
      <c r="G62" s="23"/>
      <c r="H62" s="23"/>
      <c r="I62" s="23"/>
      <c r="J62" s="23"/>
      <c r="K62" s="23"/>
      <c r="L62" s="23"/>
      <c r="M62" s="202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</row>
    <row r="63" ht="12.75" customHeight="1">
      <c r="A63" s="187"/>
      <c r="B63" s="187"/>
      <c r="C63" s="205" t="s">
        <v>223</v>
      </c>
      <c r="D63" s="206" t="s">
        <v>216</v>
      </c>
      <c r="E63" s="261" t="s">
        <v>66</v>
      </c>
      <c r="F63" s="261" t="s">
        <v>73</v>
      </c>
      <c r="G63" s="208" t="s">
        <v>198</v>
      </c>
      <c r="H63" s="207" t="s">
        <v>61</v>
      </c>
      <c r="I63" s="207" t="s">
        <v>68</v>
      </c>
      <c r="J63" s="209">
        <v>3.0</v>
      </c>
      <c r="K63" s="210">
        <v>6.0</v>
      </c>
      <c r="L63" s="211">
        <f>IF(AND(J63&gt;K63,J64&gt;K64),2,IF(J63&gt;K63,1,IF(J64&gt;K64,1,0)))</f>
        <v>1</v>
      </c>
      <c r="M63" s="211">
        <f>IF(AND(K63&gt;J63,K64&gt;J64),2,IF(K63&gt;J63,1,IF(K64&gt;J64,1,0)))</f>
        <v>1</v>
      </c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</row>
    <row r="64" ht="12.75" customHeight="1">
      <c r="A64" s="187"/>
      <c r="B64" s="187"/>
      <c r="C64" s="212"/>
      <c r="D64" s="213"/>
      <c r="E64" s="213"/>
      <c r="F64" s="213"/>
      <c r="G64" s="213"/>
      <c r="H64" s="213"/>
      <c r="I64" s="213"/>
      <c r="J64" s="214">
        <v>6.0</v>
      </c>
      <c r="K64" s="215">
        <v>4.0</v>
      </c>
      <c r="L64" s="213"/>
      <c r="M64" s="213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</row>
    <row r="65" ht="4.5" customHeight="1">
      <c r="A65" s="187"/>
      <c r="B65" s="187"/>
      <c r="C65" s="216"/>
      <c r="D65" s="23"/>
      <c r="E65" s="23"/>
      <c r="F65" s="23"/>
      <c r="G65" s="23"/>
      <c r="H65" s="23"/>
      <c r="I65" s="23"/>
      <c r="J65" s="23"/>
      <c r="K65" s="23"/>
      <c r="L65" s="23"/>
      <c r="M65" s="202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</row>
    <row r="66" ht="12.75" customHeight="1">
      <c r="A66" s="187"/>
      <c r="B66" s="187"/>
      <c r="C66" s="218" t="s">
        <v>213</v>
      </c>
      <c r="D66" s="206" t="s">
        <v>214</v>
      </c>
      <c r="E66" s="207" t="s">
        <v>86</v>
      </c>
      <c r="F66" s="207" t="s">
        <v>93</v>
      </c>
      <c r="G66" s="208" t="s">
        <v>198</v>
      </c>
      <c r="H66" s="207" t="s">
        <v>81</v>
      </c>
      <c r="I66" s="207" t="s">
        <v>95</v>
      </c>
      <c r="J66" s="209">
        <v>6.0</v>
      </c>
      <c r="K66" s="210">
        <v>0.0</v>
      </c>
      <c r="L66" s="211">
        <f>IF(AND(J66&gt;K66,J67&gt;K67),2,IF(J66&gt;K66,1,IF(J67&gt;K67,1,0)))</f>
        <v>2</v>
      </c>
      <c r="M66" s="211">
        <f>IF(AND(K66&gt;J66,K67&gt;J67),2,IF(K66&gt;J66,1,IF(K67&gt;J67,1,0)))</f>
        <v>0</v>
      </c>
      <c r="N66" s="245" t="s">
        <v>292</v>
      </c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</row>
    <row r="67" ht="12.75" customHeight="1">
      <c r="A67" s="187"/>
      <c r="B67" s="187"/>
      <c r="C67" s="212"/>
      <c r="D67" s="213"/>
      <c r="E67" s="213"/>
      <c r="F67" s="213"/>
      <c r="G67" s="213"/>
      <c r="H67" s="213"/>
      <c r="I67" s="213"/>
      <c r="J67" s="214">
        <v>6.0</v>
      </c>
      <c r="K67" s="215">
        <v>4.0</v>
      </c>
      <c r="L67" s="213"/>
      <c r="M67" s="213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</row>
    <row r="68" ht="4.5" customHeight="1">
      <c r="A68" s="187"/>
      <c r="B68" s="187"/>
      <c r="C68" s="217"/>
      <c r="D68" s="23"/>
      <c r="E68" s="23"/>
      <c r="F68" s="23"/>
      <c r="G68" s="23"/>
      <c r="H68" s="23"/>
      <c r="I68" s="23"/>
      <c r="J68" s="23"/>
      <c r="K68" s="23"/>
      <c r="L68" s="23"/>
      <c r="M68" s="202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</row>
    <row r="69" ht="12.75" customHeight="1">
      <c r="A69" s="187"/>
      <c r="B69" s="187"/>
      <c r="C69" s="218" t="s">
        <v>201</v>
      </c>
      <c r="D69" s="206" t="s">
        <v>209</v>
      </c>
      <c r="E69" s="207" t="s">
        <v>134</v>
      </c>
      <c r="F69" s="207" t="s">
        <v>146</v>
      </c>
      <c r="G69" s="208" t="s">
        <v>198</v>
      </c>
      <c r="H69" s="207" t="s">
        <v>340</v>
      </c>
      <c r="I69" s="207" t="s">
        <v>142</v>
      </c>
      <c r="J69" s="209">
        <v>4.0</v>
      </c>
      <c r="K69" s="210">
        <v>6.0</v>
      </c>
      <c r="L69" s="211">
        <f>IF(AND(J69&gt;K69,J70&gt;K70),2,IF(J69&gt;K69,1,IF(J70&gt;K70,1,0)))</f>
        <v>1</v>
      </c>
      <c r="M69" s="211">
        <f>IF(AND(K69&gt;J69,K70&gt;J70),2,IF(K69&gt;J69,1,IF(K70&gt;J70,1,0)))</f>
        <v>1</v>
      </c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</row>
    <row r="70" ht="12.75" customHeight="1">
      <c r="A70" s="187"/>
      <c r="B70" s="187"/>
      <c r="C70" s="212"/>
      <c r="D70" s="213"/>
      <c r="E70" s="213"/>
      <c r="F70" s="213"/>
      <c r="G70" s="213"/>
      <c r="H70" s="213"/>
      <c r="I70" s="213"/>
      <c r="J70" s="214">
        <v>6.0</v>
      </c>
      <c r="K70" s="215">
        <v>1.0</v>
      </c>
      <c r="L70" s="213"/>
      <c r="M70" s="213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</row>
    <row r="71" ht="4.5" customHeight="1">
      <c r="A71" s="187"/>
      <c r="B71" s="187"/>
      <c r="C71" s="217"/>
      <c r="D71" s="23"/>
      <c r="E71" s="23"/>
      <c r="F71" s="23"/>
      <c r="G71" s="23"/>
      <c r="H71" s="23"/>
      <c r="I71" s="23"/>
      <c r="J71" s="23"/>
      <c r="K71" s="23"/>
      <c r="L71" s="23"/>
      <c r="M71" s="202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</row>
    <row r="72" ht="12.75" customHeight="1">
      <c r="A72" s="187"/>
      <c r="B72" s="187"/>
      <c r="C72" s="205"/>
      <c r="D72" s="248"/>
      <c r="E72" s="211"/>
      <c r="F72" s="211"/>
      <c r="G72" s="208"/>
      <c r="H72" s="211"/>
      <c r="I72" s="211"/>
      <c r="J72" s="249"/>
      <c r="K72" s="250"/>
      <c r="L72" s="211">
        <f>IF(AND(J72&gt;K72,J73&gt;K73),2,IF(J72&gt;K72,1,IF(J73&gt;K73,1,0)))</f>
        <v>0</v>
      </c>
      <c r="M72" s="211">
        <f>IF(AND(K72&gt;J72,K73&gt;J73),2,IF(K72&gt;J72,1,IF(K73&gt;J73,1,0)))</f>
        <v>0</v>
      </c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</row>
    <row r="73" ht="12.75" customHeight="1">
      <c r="A73" s="187"/>
      <c r="B73" s="187"/>
      <c r="C73" s="212"/>
      <c r="D73" s="213"/>
      <c r="E73" s="213"/>
      <c r="F73" s="213"/>
      <c r="G73" s="213"/>
      <c r="H73" s="213"/>
      <c r="I73" s="213"/>
      <c r="J73" s="251"/>
      <c r="K73" s="252"/>
      <c r="L73" s="213"/>
      <c r="M73" s="213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</row>
    <row r="74" ht="4.5" customHeight="1">
      <c r="A74" s="187"/>
      <c r="B74" s="187"/>
      <c r="C74" s="217"/>
      <c r="D74" s="23"/>
      <c r="E74" s="23"/>
      <c r="F74" s="23"/>
      <c r="G74" s="23"/>
      <c r="H74" s="23"/>
      <c r="I74" s="23"/>
      <c r="J74" s="23"/>
      <c r="K74" s="23"/>
      <c r="L74" s="23"/>
      <c r="M74" s="202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</row>
    <row r="75" ht="12.75" customHeight="1">
      <c r="A75" s="187"/>
      <c r="B75" s="187"/>
      <c r="C75" s="220" t="s">
        <v>337</v>
      </c>
      <c r="D75" s="23"/>
      <c r="E75" s="23"/>
      <c r="F75" s="23"/>
      <c r="G75" s="23"/>
      <c r="H75" s="23"/>
      <c r="I75" s="200"/>
      <c r="J75" s="221">
        <f t="shared" ref="J75:M75" si="5">SUM(J63:J73)</f>
        <v>31</v>
      </c>
      <c r="K75" s="222">
        <f t="shared" si="5"/>
        <v>21</v>
      </c>
      <c r="L75" s="221">
        <f t="shared" si="5"/>
        <v>4</v>
      </c>
      <c r="M75" s="223">
        <f t="shared" si="5"/>
        <v>2</v>
      </c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</row>
    <row r="76" ht="4.5" customHeight="1">
      <c r="A76" s="187"/>
      <c r="B76" s="187"/>
      <c r="C76" s="224"/>
      <c r="D76" s="23"/>
      <c r="E76" s="23"/>
      <c r="F76" s="23"/>
      <c r="G76" s="23"/>
      <c r="H76" s="23"/>
      <c r="I76" s="23"/>
      <c r="J76" s="23"/>
      <c r="K76" s="23"/>
      <c r="L76" s="23"/>
      <c r="M76" s="202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</row>
    <row r="77" ht="12.75" customHeight="1">
      <c r="A77" s="187"/>
      <c r="B77" s="187"/>
      <c r="C77" s="228" t="s">
        <v>338</v>
      </c>
      <c r="D77" s="23"/>
      <c r="E77" s="23"/>
      <c r="F77" s="23"/>
      <c r="G77" s="23"/>
      <c r="H77" s="23"/>
      <c r="I77" s="200"/>
      <c r="J77" s="229">
        <f t="shared" ref="J77:M77" si="6">J75+J60</f>
        <v>64</v>
      </c>
      <c r="K77" s="230">
        <f t="shared" si="6"/>
        <v>57</v>
      </c>
      <c r="L77" s="231">
        <f t="shared" si="6"/>
        <v>8</v>
      </c>
      <c r="M77" s="232">
        <f t="shared" si="6"/>
        <v>6</v>
      </c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</row>
    <row r="78" ht="6.75" customHeight="1">
      <c r="A78" s="187"/>
      <c r="B78" s="187"/>
      <c r="C78" s="233"/>
      <c r="D78" s="23"/>
      <c r="E78" s="23"/>
      <c r="F78" s="23"/>
      <c r="G78" s="23"/>
      <c r="H78" s="23"/>
      <c r="I78" s="23"/>
      <c r="J78" s="23"/>
      <c r="K78" s="23"/>
      <c r="L78" s="23"/>
      <c r="M78" s="202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</row>
    <row r="79" ht="12.75" customHeight="1">
      <c r="A79" s="187"/>
      <c r="B79" s="187"/>
      <c r="C79" s="196" t="s">
        <v>225</v>
      </c>
      <c r="D79" s="191"/>
      <c r="E79" s="191"/>
      <c r="F79" s="191"/>
      <c r="G79" s="191"/>
      <c r="H79" s="191"/>
      <c r="I79" s="191"/>
      <c r="J79" s="191"/>
      <c r="K79" s="191"/>
      <c r="L79" s="191"/>
      <c r="M79" s="192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</row>
    <row r="80" ht="12.75" customHeight="1">
      <c r="A80" s="187"/>
      <c r="B80" s="187"/>
      <c r="C80" s="193"/>
      <c r="D80" s="194"/>
      <c r="E80" s="194"/>
      <c r="F80" s="194"/>
      <c r="G80" s="194"/>
      <c r="H80" s="194"/>
      <c r="I80" s="194"/>
      <c r="J80" s="194"/>
      <c r="K80" s="194"/>
      <c r="L80" s="194"/>
      <c r="M80" s="195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</row>
    <row r="81" ht="26.25" customHeight="1">
      <c r="A81" s="187"/>
      <c r="B81" s="187"/>
      <c r="C81" s="236" t="s">
        <v>196</v>
      </c>
      <c r="D81" s="201" t="s">
        <v>197</v>
      </c>
      <c r="E81" s="199" t="s">
        <v>241</v>
      </c>
      <c r="F81" s="200"/>
      <c r="G81" s="198" t="s">
        <v>198</v>
      </c>
      <c r="H81" s="199" t="s">
        <v>230</v>
      </c>
      <c r="I81" s="200"/>
      <c r="J81" s="237"/>
      <c r="K81" s="200"/>
      <c r="L81" s="201"/>
      <c r="M81" s="202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</row>
    <row r="82" ht="12.75" customHeight="1">
      <c r="A82" s="187"/>
      <c r="B82" s="187"/>
      <c r="C82" s="203"/>
      <c r="M82" s="204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</row>
    <row r="83" ht="12.75" customHeight="1">
      <c r="A83" s="187"/>
      <c r="B83" s="187"/>
      <c r="C83" s="205" t="s">
        <v>201</v>
      </c>
      <c r="D83" s="206" t="s">
        <v>209</v>
      </c>
      <c r="E83" s="207" t="s">
        <v>341</v>
      </c>
      <c r="F83" s="207" t="s">
        <v>144</v>
      </c>
      <c r="G83" s="208" t="s">
        <v>198</v>
      </c>
      <c r="H83" s="207" t="s">
        <v>139</v>
      </c>
      <c r="I83" s="207" t="s">
        <v>145</v>
      </c>
      <c r="J83" s="209">
        <v>6.0</v>
      </c>
      <c r="K83" s="210">
        <v>3.0</v>
      </c>
      <c r="L83" s="211">
        <f>IF(AND(J83&gt;K83,J84&gt;K84),2,IF(J83&gt;K83,1,IF(J84&gt;K84,1,0)))</f>
        <v>2</v>
      </c>
      <c r="M83" s="211">
        <f>IF(AND(K83&gt;J83,K84&gt;J84),2,IF(K83&gt;J83,1,IF(K84&gt;J84,1,0)))</f>
        <v>0</v>
      </c>
      <c r="N83" s="245" t="s">
        <v>342</v>
      </c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</row>
    <row r="84" ht="12.75" customHeight="1">
      <c r="A84" s="187"/>
      <c r="B84" s="187"/>
      <c r="C84" s="212"/>
      <c r="D84" s="213"/>
      <c r="E84" s="213"/>
      <c r="F84" s="213"/>
      <c r="G84" s="213"/>
      <c r="H84" s="213"/>
      <c r="I84" s="213"/>
      <c r="J84" s="214">
        <v>7.0</v>
      </c>
      <c r="K84" s="215">
        <v>6.0</v>
      </c>
      <c r="L84" s="213"/>
      <c r="M84" s="213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</row>
    <row r="85" ht="4.5" customHeight="1">
      <c r="A85" s="187"/>
      <c r="B85" s="187"/>
      <c r="C85" s="216"/>
      <c r="D85" s="23"/>
      <c r="E85" s="23"/>
      <c r="F85" s="23"/>
      <c r="G85" s="23"/>
      <c r="H85" s="23"/>
      <c r="I85" s="23"/>
      <c r="J85" s="23"/>
      <c r="K85" s="23"/>
      <c r="L85" s="23"/>
      <c r="M85" s="202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</row>
    <row r="86" ht="12.75" customHeight="1">
      <c r="A86" s="187"/>
      <c r="B86" s="187"/>
      <c r="C86" s="205" t="s">
        <v>204</v>
      </c>
      <c r="D86" s="206" t="s">
        <v>216</v>
      </c>
      <c r="E86" s="207" t="s">
        <v>64</v>
      </c>
      <c r="F86" s="207" t="s">
        <v>71</v>
      </c>
      <c r="G86" s="208" t="s">
        <v>198</v>
      </c>
      <c r="H86" s="207" t="s">
        <v>65</v>
      </c>
      <c r="I86" s="207" t="s">
        <v>72</v>
      </c>
      <c r="J86" s="209">
        <v>6.0</v>
      </c>
      <c r="K86" s="210">
        <v>3.0</v>
      </c>
      <c r="L86" s="211">
        <f>IF(AND(J86&gt;K86,J87&gt;K87),2,IF(J86&gt;K86,1,IF(J87&gt;K87,1,0)))</f>
        <v>2</v>
      </c>
      <c r="M86" s="211">
        <f>IF(AND(K86&gt;J86,K87&gt;J87),2,IF(K86&gt;J86,1,IF(K87&gt;J87,1,0)))</f>
        <v>0</v>
      </c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</row>
    <row r="87" ht="12.75" customHeight="1">
      <c r="A87" s="187"/>
      <c r="B87" s="187"/>
      <c r="C87" s="212"/>
      <c r="D87" s="213"/>
      <c r="E87" s="213"/>
      <c r="F87" s="213"/>
      <c r="G87" s="213"/>
      <c r="H87" s="213"/>
      <c r="I87" s="213"/>
      <c r="J87" s="214">
        <v>6.0</v>
      </c>
      <c r="K87" s="215">
        <v>1.0</v>
      </c>
      <c r="L87" s="213"/>
      <c r="M87" s="213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</row>
    <row r="88" ht="4.5" customHeight="1">
      <c r="A88" s="187"/>
      <c r="B88" s="187"/>
      <c r="C88" s="217"/>
      <c r="D88" s="23"/>
      <c r="E88" s="23"/>
      <c r="F88" s="23"/>
      <c r="G88" s="23"/>
      <c r="H88" s="23"/>
      <c r="I88" s="23"/>
      <c r="J88" s="23"/>
      <c r="K88" s="23"/>
      <c r="L88" s="23"/>
      <c r="M88" s="202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</row>
    <row r="89" ht="12.75" customHeight="1">
      <c r="A89" s="187"/>
      <c r="B89" s="187"/>
      <c r="C89" s="205" t="s">
        <v>206</v>
      </c>
      <c r="D89" s="206" t="s">
        <v>212</v>
      </c>
      <c r="E89" s="207" t="s">
        <v>9</v>
      </c>
      <c r="F89" s="207" t="s">
        <v>50</v>
      </c>
      <c r="G89" s="208" t="s">
        <v>198</v>
      </c>
      <c r="H89" s="207" t="s">
        <v>44</v>
      </c>
      <c r="I89" s="207" t="s">
        <v>51</v>
      </c>
      <c r="J89" s="209">
        <v>6.0</v>
      </c>
      <c r="K89" s="210">
        <v>3.0</v>
      </c>
      <c r="L89" s="211">
        <f>IF(AND(J89&gt;K89,J90&gt;K90),2,IF(J89&gt;K89,1,IF(J90&gt;K90,1,0)))</f>
        <v>2</v>
      </c>
      <c r="M89" s="211">
        <f>IF(AND(K89&gt;J89,K90&gt;J90),2,IF(K89&gt;J89,1,IF(K90&gt;J90,1,0)))</f>
        <v>0</v>
      </c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</row>
    <row r="90" ht="12.75" customHeight="1">
      <c r="A90" s="187"/>
      <c r="B90" s="187"/>
      <c r="C90" s="212"/>
      <c r="D90" s="213"/>
      <c r="E90" s="213"/>
      <c r="F90" s="213"/>
      <c r="G90" s="213"/>
      <c r="H90" s="213"/>
      <c r="I90" s="213"/>
      <c r="J90" s="214">
        <v>7.0</v>
      </c>
      <c r="K90" s="215">
        <v>5.0</v>
      </c>
      <c r="L90" s="213"/>
      <c r="M90" s="213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</row>
    <row r="91" ht="4.5" customHeight="1">
      <c r="A91" s="187"/>
      <c r="B91" s="187"/>
      <c r="C91" s="217"/>
      <c r="D91" s="23"/>
      <c r="E91" s="23"/>
      <c r="F91" s="23"/>
      <c r="G91" s="23"/>
      <c r="H91" s="23"/>
      <c r="I91" s="23"/>
      <c r="J91" s="23"/>
      <c r="K91" s="23"/>
      <c r="L91" s="23"/>
      <c r="M91" s="202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</row>
    <row r="92" ht="12.75" customHeight="1">
      <c r="A92" s="187"/>
      <c r="B92" s="187"/>
      <c r="C92" s="218" t="s">
        <v>343</v>
      </c>
      <c r="D92" s="235" t="s">
        <v>207</v>
      </c>
      <c r="E92" s="207" t="s">
        <v>17</v>
      </c>
      <c r="F92" s="207" t="s">
        <v>31</v>
      </c>
      <c r="G92" s="219" t="s">
        <v>198</v>
      </c>
      <c r="H92" s="207" t="s">
        <v>32</v>
      </c>
      <c r="I92" s="207" t="s">
        <v>344</v>
      </c>
      <c r="J92" s="209">
        <v>3.0</v>
      </c>
      <c r="K92" s="210">
        <v>6.0</v>
      </c>
      <c r="L92" s="211">
        <f>IF(AND(J92&gt;K92,J93&gt;K93),2,IF(J92&gt;K92,1,IF(J93&gt;K93,1,0)))</f>
        <v>1</v>
      </c>
      <c r="M92" s="211">
        <f>IF(AND(K92&gt;J92,K93&gt;J93),2,IF(K92&gt;J92,1,IF(K93&gt;J93,1,0)))</f>
        <v>1</v>
      </c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</row>
    <row r="93" ht="12.75" customHeight="1">
      <c r="A93" s="187"/>
      <c r="B93" s="187"/>
      <c r="C93" s="212"/>
      <c r="D93" s="213"/>
      <c r="E93" s="213"/>
      <c r="F93" s="213"/>
      <c r="G93" s="213"/>
      <c r="H93" s="213"/>
      <c r="I93" s="213"/>
      <c r="J93" s="214">
        <v>6.0</v>
      </c>
      <c r="K93" s="215">
        <v>2.0</v>
      </c>
      <c r="L93" s="213"/>
      <c r="M93" s="213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</row>
    <row r="94" ht="4.5" customHeight="1">
      <c r="A94" s="187"/>
      <c r="B94" s="187"/>
      <c r="C94" s="253"/>
      <c r="D94" s="254"/>
      <c r="E94" s="254"/>
      <c r="F94" s="254"/>
      <c r="G94" s="254"/>
      <c r="H94" s="254"/>
      <c r="I94" s="254"/>
      <c r="J94" s="254"/>
      <c r="K94" s="254"/>
      <c r="L94" s="254"/>
      <c r="M94" s="255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</row>
    <row r="95" ht="12.75" customHeight="1">
      <c r="A95" s="187"/>
      <c r="B95" s="187"/>
      <c r="C95" s="220" t="s">
        <v>336</v>
      </c>
      <c r="D95" s="23"/>
      <c r="E95" s="23"/>
      <c r="F95" s="23"/>
      <c r="G95" s="23"/>
      <c r="H95" s="23"/>
      <c r="I95" s="200"/>
      <c r="J95" s="221">
        <f t="shared" ref="J95:M95" si="7">SUM(J83:J93)</f>
        <v>47</v>
      </c>
      <c r="K95" s="222">
        <f t="shared" si="7"/>
        <v>29</v>
      </c>
      <c r="L95" s="221">
        <f t="shared" si="7"/>
        <v>7</v>
      </c>
      <c r="M95" s="223">
        <f t="shared" si="7"/>
        <v>1</v>
      </c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</row>
    <row r="96" ht="4.5" customHeight="1">
      <c r="A96" s="187"/>
      <c r="B96" s="187"/>
      <c r="C96" s="224"/>
      <c r="D96" s="23"/>
      <c r="E96" s="23"/>
      <c r="F96" s="23"/>
      <c r="G96" s="23"/>
      <c r="H96" s="23"/>
      <c r="I96" s="23"/>
      <c r="J96" s="23"/>
      <c r="K96" s="23"/>
      <c r="L96" s="23"/>
      <c r="M96" s="202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</row>
    <row r="97" ht="12.75" customHeight="1">
      <c r="A97" s="187"/>
      <c r="B97" s="187"/>
      <c r="C97" s="225"/>
      <c r="D97" s="23"/>
      <c r="E97" s="23"/>
      <c r="F97" s="23"/>
      <c r="G97" s="23"/>
      <c r="H97" s="23"/>
      <c r="I97" s="23"/>
      <c r="J97" s="23"/>
      <c r="K97" s="23"/>
      <c r="L97" s="23"/>
      <c r="M97" s="202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</row>
    <row r="98" ht="12.75" customHeight="1">
      <c r="A98" s="187"/>
      <c r="B98" s="187"/>
      <c r="C98" s="205" t="s">
        <v>223</v>
      </c>
      <c r="D98" s="206" t="s">
        <v>214</v>
      </c>
      <c r="E98" s="207" t="s">
        <v>77</v>
      </c>
      <c r="F98" s="207" t="s">
        <v>91</v>
      </c>
      <c r="G98" s="208" t="s">
        <v>198</v>
      </c>
      <c r="H98" s="207" t="s">
        <v>85</v>
      </c>
      <c r="I98" s="207" t="s">
        <v>92</v>
      </c>
      <c r="J98" s="209">
        <v>1.0</v>
      </c>
      <c r="K98" s="210">
        <v>6.0</v>
      </c>
      <c r="L98" s="211">
        <f>IF(AND(J98&gt;K98,J99&gt;K99),2,IF(J98&gt;K98,1,IF(J99&gt;K99,1,0)))</f>
        <v>1</v>
      </c>
      <c r="M98" s="211">
        <f>IF(AND(K98&gt;J98,K99&gt;J99),2,IF(K98&gt;J98,1,IF(K99&gt;J99,1,0)))</f>
        <v>1</v>
      </c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</row>
    <row r="99" ht="12.75" customHeight="1">
      <c r="A99" s="187"/>
      <c r="B99" s="187"/>
      <c r="C99" s="212"/>
      <c r="D99" s="213"/>
      <c r="E99" s="213"/>
      <c r="F99" s="213"/>
      <c r="G99" s="213"/>
      <c r="H99" s="213"/>
      <c r="I99" s="213"/>
      <c r="J99" s="214">
        <v>6.0</v>
      </c>
      <c r="K99" s="215">
        <v>4.0</v>
      </c>
      <c r="L99" s="213"/>
      <c r="M99" s="213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</row>
    <row r="100" ht="4.5" customHeight="1">
      <c r="A100" s="187"/>
      <c r="B100" s="187"/>
      <c r="C100" s="216"/>
      <c r="D100" s="23"/>
      <c r="E100" s="23"/>
      <c r="F100" s="23"/>
      <c r="G100" s="23"/>
      <c r="H100" s="23"/>
      <c r="I100" s="23"/>
      <c r="J100" s="23"/>
      <c r="K100" s="23"/>
      <c r="L100" s="23"/>
      <c r="M100" s="202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</row>
    <row r="101" ht="12.75" customHeight="1">
      <c r="A101" s="187"/>
      <c r="B101" s="187"/>
      <c r="C101" s="218" t="s">
        <v>213</v>
      </c>
      <c r="D101" s="206" t="s">
        <v>205</v>
      </c>
      <c r="E101" s="207" t="s">
        <v>115</v>
      </c>
      <c r="F101" s="207" t="s">
        <v>120</v>
      </c>
      <c r="G101" s="208" t="s">
        <v>198</v>
      </c>
      <c r="H101" s="207" t="s">
        <v>345</v>
      </c>
      <c r="I101" s="207" t="s">
        <v>346</v>
      </c>
      <c r="J101" s="209">
        <v>6.0</v>
      </c>
      <c r="K101" s="210">
        <v>3.0</v>
      </c>
      <c r="L101" s="211">
        <f>IF(AND(J101&gt;K101,J102&gt;K102),2,IF(J101&gt;K101,1,IF(J102&gt;K102,1,0)))</f>
        <v>2</v>
      </c>
      <c r="M101" s="211">
        <f>IF(AND(K101&gt;J101,K102&gt;J102),2,IF(K101&gt;J101,1,IF(K102&gt;J102,1,0)))</f>
        <v>0</v>
      </c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</row>
    <row r="102" ht="12.75" customHeight="1">
      <c r="A102" s="187"/>
      <c r="B102" s="187"/>
      <c r="C102" s="212"/>
      <c r="D102" s="213"/>
      <c r="E102" s="213"/>
      <c r="F102" s="213"/>
      <c r="G102" s="213"/>
      <c r="H102" s="213"/>
      <c r="I102" s="213"/>
      <c r="J102" s="214">
        <v>6.0</v>
      </c>
      <c r="K102" s="215">
        <v>2.0</v>
      </c>
      <c r="L102" s="213"/>
      <c r="M102" s="213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</row>
    <row r="103" ht="4.5" customHeight="1">
      <c r="A103" s="187"/>
      <c r="B103" s="187"/>
      <c r="C103" s="217"/>
      <c r="D103" s="23"/>
      <c r="E103" s="23"/>
      <c r="F103" s="23"/>
      <c r="G103" s="23"/>
      <c r="H103" s="23"/>
      <c r="I103" s="23"/>
      <c r="J103" s="23"/>
      <c r="K103" s="23"/>
      <c r="L103" s="23"/>
      <c r="M103" s="202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</row>
    <row r="104" ht="12.75" customHeight="1">
      <c r="A104" s="187"/>
      <c r="B104" s="187"/>
      <c r="C104" s="218" t="s">
        <v>208</v>
      </c>
      <c r="D104" s="206" t="s">
        <v>202</v>
      </c>
      <c r="E104" s="207" t="s">
        <v>347</v>
      </c>
      <c r="F104" s="207" t="s">
        <v>110</v>
      </c>
      <c r="G104" s="208" t="s">
        <v>198</v>
      </c>
      <c r="H104" s="207" t="s">
        <v>105</v>
      </c>
      <c r="I104" s="207" t="s">
        <v>111</v>
      </c>
      <c r="J104" s="209">
        <v>3.0</v>
      </c>
      <c r="K104" s="210">
        <v>6.0</v>
      </c>
      <c r="L104" s="211">
        <f>IF(AND(J104&gt;K104,J105&gt;K105),2,IF(J104&gt;K104,1,IF(J105&gt;K105,1,0)))</f>
        <v>1</v>
      </c>
      <c r="M104" s="211">
        <f>IF(AND(K104&gt;J104,K105&gt;J105),2,IF(K104&gt;J104,1,IF(K105&gt;J105,1,0)))</f>
        <v>1</v>
      </c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</row>
    <row r="105" ht="12.75" customHeight="1">
      <c r="A105" s="187"/>
      <c r="B105" s="187"/>
      <c r="C105" s="212"/>
      <c r="D105" s="213"/>
      <c r="E105" s="213"/>
      <c r="F105" s="213"/>
      <c r="G105" s="213"/>
      <c r="H105" s="213"/>
      <c r="I105" s="213"/>
      <c r="J105" s="214">
        <v>6.0</v>
      </c>
      <c r="K105" s="215">
        <v>3.0</v>
      </c>
      <c r="L105" s="213"/>
      <c r="M105" s="213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</row>
    <row r="106" ht="4.5" customHeight="1">
      <c r="A106" s="187"/>
      <c r="B106" s="187"/>
      <c r="C106" s="217"/>
      <c r="D106" s="23"/>
      <c r="E106" s="23"/>
      <c r="F106" s="23"/>
      <c r="G106" s="23"/>
      <c r="H106" s="23"/>
      <c r="I106" s="23"/>
      <c r="J106" s="23"/>
      <c r="K106" s="23"/>
      <c r="L106" s="23"/>
      <c r="M106" s="202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</row>
    <row r="107" ht="12.75" customHeight="1">
      <c r="A107" s="187"/>
      <c r="B107" s="187"/>
      <c r="C107" s="205"/>
      <c r="D107" s="248"/>
      <c r="E107" s="211"/>
      <c r="F107" s="211"/>
      <c r="G107" s="208"/>
      <c r="H107" s="211"/>
      <c r="I107" s="211"/>
      <c r="J107" s="249"/>
      <c r="K107" s="250"/>
      <c r="L107" s="211">
        <f>IF(AND(J107&gt;K107,J108&gt;K108),2,IF(J107&gt;K107,1,IF(J108&gt;K108,1,0)))</f>
        <v>0</v>
      </c>
      <c r="M107" s="211">
        <f>IF(AND(K107&gt;J107,K108&gt;J108),2,IF(K107&gt;J107,1,IF(K108&gt;J108,1,0)))</f>
        <v>0</v>
      </c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</row>
    <row r="108" ht="12.75" customHeight="1">
      <c r="A108" s="187"/>
      <c r="B108" s="187"/>
      <c r="C108" s="212"/>
      <c r="D108" s="213"/>
      <c r="E108" s="213"/>
      <c r="F108" s="213"/>
      <c r="G108" s="213"/>
      <c r="H108" s="213"/>
      <c r="I108" s="213"/>
      <c r="J108" s="251"/>
      <c r="K108" s="252"/>
      <c r="L108" s="213"/>
      <c r="M108" s="213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</row>
    <row r="109" ht="4.5" customHeight="1">
      <c r="A109" s="187"/>
      <c r="B109" s="187"/>
      <c r="C109" s="217"/>
      <c r="D109" s="23"/>
      <c r="E109" s="23"/>
      <c r="F109" s="23"/>
      <c r="G109" s="23"/>
      <c r="H109" s="23"/>
      <c r="I109" s="23"/>
      <c r="J109" s="23"/>
      <c r="K109" s="23"/>
      <c r="L109" s="23"/>
      <c r="M109" s="202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</row>
    <row r="110" ht="12.75" customHeight="1">
      <c r="A110" s="187"/>
      <c r="B110" s="187"/>
      <c r="C110" s="220" t="s">
        <v>337</v>
      </c>
      <c r="D110" s="23"/>
      <c r="E110" s="23"/>
      <c r="F110" s="23"/>
      <c r="G110" s="23"/>
      <c r="H110" s="23"/>
      <c r="I110" s="200"/>
      <c r="J110" s="221">
        <f t="shared" ref="J110:M110" si="8">SUM(J98:J108)</f>
        <v>28</v>
      </c>
      <c r="K110" s="222">
        <f t="shared" si="8"/>
        <v>24</v>
      </c>
      <c r="L110" s="221">
        <f t="shared" si="8"/>
        <v>4</v>
      </c>
      <c r="M110" s="223">
        <f t="shared" si="8"/>
        <v>2</v>
      </c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</row>
    <row r="111" ht="4.5" customHeight="1">
      <c r="A111" s="187"/>
      <c r="B111" s="187"/>
      <c r="C111" s="224"/>
      <c r="D111" s="23"/>
      <c r="E111" s="23"/>
      <c r="F111" s="23"/>
      <c r="G111" s="23"/>
      <c r="H111" s="23"/>
      <c r="I111" s="23"/>
      <c r="J111" s="23"/>
      <c r="K111" s="23"/>
      <c r="L111" s="23"/>
      <c r="M111" s="202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</row>
    <row r="112" ht="12.75" customHeight="1">
      <c r="A112" s="187"/>
      <c r="B112" s="187"/>
      <c r="C112" s="228" t="s">
        <v>338</v>
      </c>
      <c r="D112" s="23"/>
      <c r="E112" s="23"/>
      <c r="F112" s="23"/>
      <c r="G112" s="23"/>
      <c r="H112" s="23"/>
      <c r="I112" s="200"/>
      <c r="J112" s="229">
        <f t="shared" ref="J112:M112" si="9">J110+J95</f>
        <v>75</v>
      </c>
      <c r="K112" s="230">
        <f t="shared" si="9"/>
        <v>53</v>
      </c>
      <c r="L112" s="231">
        <f t="shared" si="9"/>
        <v>11</v>
      </c>
      <c r="M112" s="232">
        <f t="shared" si="9"/>
        <v>3</v>
      </c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</row>
    <row r="113" ht="6.75" customHeight="1">
      <c r="A113" s="187"/>
      <c r="B113" s="187"/>
      <c r="C113" s="239"/>
      <c r="D113" s="240"/>
      <c r="E113" s="240"/>
      <c r="F113" s="240"/>
      <c r="G113" s="240"/>
      <c r="H113" s="240"/>
      <c r="I113" s="240"/>
      <c r="J113" s="240"/>
      <c r="K113" s="240"/>
      <c r="L113" s="240"/>
      <c r="M113" s="241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</row>
    <row r="114" ht="12.75" customHeight="1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</row>
    <row r="115" ht="12.75" customHeight="1">
      <c r="A115" s="18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</row>
    <row r="116" ht="12.75" customHeight="1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</row>
    <row r="117" ht="12.75" customHeight="1">
      <c r="A117" s="18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</row>
    <row r="118" ht="12.75" customHeight="1">
      <c r="A118" s="18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</row>
    <row r="119" ht="12.75" customHeight="1">
      <c r="A119" s="18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</row>
    <row r="120" ht="12.75" customHeight="1">
      <c r="A120" s="18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</row>
    <row r="121" ht="12.75" customHeight="1">
      <c r="A121" s="187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</row>
    <row r="122" ht="12.75" customHeight="1">
      <c r="A122" s="18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</row>
    <row r="123" ht="12.75" customHeight="1">
      <c r="A123" s="187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</row>
    <row r="124" ht="12.75" customHeight="1">
      <c r="A124" s="187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</row>
    <row r="125" ht="12.75" customHeight="1">
      <c r="A125" s="18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</row>
    <row r="126" ht="12.75" customHeight="1">
      <c r="A126" s="18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</row>
    <row r="127" ht="12.75" customHeight="1">
      <c r="A127" s="187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</row>
    <row r="128" ht="12.75" customHeight="1">
      <c r="A128" s="187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</row>
    <row r="129" ht="12.75" customHeight="1">
      <c r="A129" s="18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</row>
    <row r="130" ht="12.75" customHeight="1">
      <c r="A130" s="18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</row>
    <row r="131" ht="12.75" customHeight="1">
      <c r="A131" s="18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</row>
    <row r="132" ht="12.75" customHeight="1">
      <c r="A132" s="187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</row>
    <row r="133" ht="12.75" customHeight="1">
      <c r="A133" s="18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</row>
    <row r="134" ht="12.75" customHeight="1">
      <c r="A134" s="18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</row>
    <row r="135" ht="12.75" customHeight="1">
      <c r="A135" s="18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</row>
    <row r="136" ht="12.75" customHeight="1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</row>
    <row r="137" ht="12.75" customHeight="1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</row>
    <row r="138" ht="12.75" customHeight="1">
      <c r="A138" s="187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</row>
    <row r="139" ht="12.75" customHeight="1">
      <c r="A139" s="18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</row>
    <row r="140" ht="12.75" customHeight="1">
      <c r="A140" s="18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</row>
    <row r="141" ht="12.75" customHeight="1">
      <c r="A141" s="18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</row>
    <row r="142" ht="12.75" customHeight="1">
      <c r="A142" s="187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</row>
    <row r="143" ht="12.75" customHeight="1">
      <c r="A143" s="187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</row>
    <row r="144" ht="12.75" customHeight="1">
      <c r="A144" s="187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</row>
    <row r="145" ht="12.75" customHeight="1">
      <c r="A145" s="187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</row>
    <row r="146" ht="12.75" customHeight="1">
      <c r="A146" s="187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</row>
    <row r="147" ht="12.75" customHeight="1">
      <c r="A147" s="187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</row>
    <row r="148" ht="12.75" customHeight="1">
      <c r="A148" s="187"/>
      <c r="B148" s="187"/>
      <c r="C148" s="187"/>
      <c r="D148" s="187"/>
      <c r="E148" s="187"/>
      <c r="F148" s="187" t="s">
        <v>227</v>
      </c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</row>
    <row r="149" ht="12.75" customHeight="1">
      <c r="A149" s="187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</row>
    <row r="150" ht="12.75" customHeight="1">
      <c r="A150" s="187"/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</row>
    <row r="151" ht="12.75" customHeight="1">
      <c r="A151" s="187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</row>
    <row r="152" ht="12.75" customHeight="1">
      <c r="A152" s="187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</row>
    <row r="153" ht="12.75" customHeight="1">
      <c r="A153" s="187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</row>
    <row r="154" ht="12.75" customHeight="1">
      <c r="A154" s="187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</row>
    <row r="155" ht="12.75" customHeight="1">
      <c r="A155" s="187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</row>
    <row r="156" ht="12.75" customHeight="1">
      <c r="A156" s="187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</row>
    <row r="157" ht="12.75" customHeight="1">
      <c r="A157" s="187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</row>
    <row r="158" ht="12.75" customHeight="1">
      <c r="A158" s="187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</row>
    <row r="159" ht="12.75" customHeight="1">
      <c r="A159" s="187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</row>
    <row r="160" ht="12.75" customHeight="1">
      <c r="A160" s="187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</row>
    <row r="161" ht="12.75" customHeight="1">
      <c r="A161" s="187"/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</row>
    <row r="162" ht="12.75" customHeight="1">
      <c r="A162" s="187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</row>
    <row r="163" ht="12.75" customHeight="1">
      <c r="A163" s="187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</row>
    <row r="164" ht="12.75" customHeight="1">
      <c r="A164" s="187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</row>
    <row r="165" ht="12.75" customHeight="1">
      <c r="A165" s="187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</row>
    <row r="166" ht="12.75" customHeight="1">
      <c r="A166" s="187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</row>
    <row r="167" ht="12.75" customHeight="1">
      <c r="A167" s="187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</row>
    <row r="168" ht="12.75" customHeight="1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</row>
    <row r="169" ht="12.75" customHeight="1">
      <c r="A169" s="187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</row>
    <row r="170" ht="12.75" customHeight="1">
      <c r="A170" s="187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</row>
    <row r="171" ht="12.75" customHeight="1">
      <c r="A171" s="187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</row>
    <row r="172" ht="12.75" customHeight="1">
      <c r="A172" s="187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</row>
    <row r="173" ht="12.75" customHeight="1">
      <c r="A173" s="18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</row>
    <row r="174" ht="12.75" customHeight="1">
      <c r="A174" s="187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</row>
    <row r="175" ht="12.75" customHeight="1">
      <c r="A175" s="187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</row>
    <row r="176" ht="12.75" customHeight="1">
      <c r="A176" s="187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</row>
    <row r="177" ht="12.75" customHeight="1">
      <c r="A177" s="187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</row>
    <row r="178" ht="12.75" customHeight="1">
      <c r="A178" s="187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</row>
    <row r="179" ht="12.75" customHeight="1">
      <c r="A179" s="187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</row>
    <row r="180" ht="12.75" customHeight="1">
      <c r="A180" s="187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</row>
    <row r="181" ht="12.75" customHeight="1">
      <c r="A181" s="187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</row>
    <row r="182" ht="12.75" customHeight="1">
      <c r="A182" s="187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</row>
    <row r="183" ht="12.75" customHeight="1">
      <c r="A183" s="187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</row>
    <row r="184" ht="12.75" customHeight="1">
      <c r="A184" s="187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</row>
    <row r="185" ht="12.75" customHeight="1">
      <c r="A185" s="187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</row>
    <row r="186" ht="12.75" customHeight="1">
      <c r="A186" s="187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</row>
    <row r="187" ht="12.75" customHeight="1">
      <c r="A187" s="187"/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</row>
    <row r="188" ht="12.75" customHeight="1">
      <c r="A188" s="187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</row>
    <row r="189" ht="12.75" customHeight="1">
      <c r="A189" s="187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</row>
    <row r="190" ht="12.75" customHeight="1">
      <c r="A190" s="187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</row>
    <row r="191" ht="12.75" customHeight="1">
      <c r="A191" s="187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</row>
    <row r="192" ht="12.75" customHeight="1">
      <c r="A192" s="187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</row>
    <row r="193" ht="12.75" customHeight="1">
      <c r="A193" s="187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</row>
    <row r="194" ht="12.75" customHeight="1">
      <c r="A194" s="187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</row>
    <row r="195" ht="12.75" customHeight="1">
      <c r="A195" s="187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</row>
    <row r="196" ht="12.75" customHeight="1">
      <c r="A196" s="187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</row>
    <row r="197" ht="12.75" customHeight="1">
      <c r="A197" s="187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</row>
    <row r="198" ht="12.75" customHeight="1">
      <c r="A198" s="187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</row>
    <row r="199" ht="12.75" customHeight="1">
      <c r="A199" s="187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</row>
    <row r="200" ht="12.75" customHeight="1">
      <c r="A200" s="187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</row>
    <row r="201" ht="12.75" customHeight="1">
      <c r="A201" s="187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</row>
    <row r="202" ht="12.75" customHeight="1">
      <c r="A202" s="187"/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</row>
    <row r="203" ht="12.75" customHeight="1">
      <c r="A203" s="187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</row>
    <row r="204" ht="12.75" customHeight="1">
      <c r="A204" s="187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</row>
    <row r="205" ht="12.75" customHeight="1">
      <c r="A205" s="187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</row>
    <row r="206" ht="12.75" customHeight="1">
      <c r="A206" s="187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</row>
    <row r="207" ht="12.75" customHeight="1">
      <c r="A207" s="187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</row>
    <row r="208" ht="12.75" customHeight="1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</row>
    <row r="209" ht="12.75" customHeight="1">
      <c r="A209" s="187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</row>
    <row r="210" ht="12.75" customHeight="1">
      <c r="A210" s="187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</row>
    <row r="211" ht="12.75" customHeight="1">
      <c r="A211" s="187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</row>
    <row r="212" ht="12.75" customHeight="1">
      <c r="A212" s="187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</row>
    <row r="213" ht="12.75" customHeight="1">
      <c r="A213" s="187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</row>
    <row r="214" ht="12.75" customHeight="1">
      <c r="A214" s="187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</row>
    <row r="215" ht="12.75" customHeight="1">
      <c r="A215" s="187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</row>
    <row r="216" ht="12.75" customHeight="1">
      <c r="A216" s="187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</row>
    <row r="217" ht="12.75" customHeight="1">
      <c r="A217" s="187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</row>
    <row r="218" ht="12.75" customHeight="1">
      <c r="A218" s="187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</row>
    <row r="219" ht="12.75" customHeight="1">
      <c r="A219" s="187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</row>
    <row r="220" ht="12.75" customHeight="1">
      <c r="A220" s="187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</row>
    <row r="221" ht="12.75" customHeight="1">
      <c r="A221" s="187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</row>
    <row r="222" ht="12.75" customHeight="1">
      <c r="A222" s="187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</row>
    <row r="223" ht="12.75" customHeight="1">
      <c r="A223" s="187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</row>
    <row r="224" ht="12.75" customHeight="1">
      <c r="A224" s="187"/>
      <c r="B224" s="187"/>
      <c r="C224" s="187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</row>
    <row r="225" ht="12.75" customHeight="1">
      <c r="A225" s="187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</row>
    <row r="226" ht="12.75" customHeight="1">
      <c r="A226" s="187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</row>
    <row r="227" ht="12.75" customHeight="1">
      <c r="A227" s="187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</row>
    <row r="228" ht="12.75" customHeight="1">
      <c r="A228" s="187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</row>
    <row r="229" ht="12.75" customHeight="1">
      <c r="A229" s="187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</row>
    <row r="230" ht="12.75" customHeight="1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</row>
    <row r="231" ht="12.75" customHeight="1">
      <c r="A231" s="187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</row>
    <row r="232" ht="12.75" customHeight="1">
      <c r="A232" s="187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</row>
    <row r="233" ht="12.75" customHeight="1">
      <c r="A233" s="187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</row>
    <row r="234" ht="12.75" customHeight="1">
      <c r="A234" s="187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</row>
    <row r="235" ht="12.75" customHeight="1">
      <c r="A235" s="187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</row>
    <row r="236" ht="12.75" customHeight="1">
      <c r="A236" s="187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</row>
    <row r="237" ht="12.75" customHeight="1">
      <c r="A237" s="187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</row>
    <row r="238" ht="12.75" customHeight="1">
      <c r="A238" s="187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</row>
    <row r="239" ht="12.75" customHeight="1">
      <c r="A239" s="187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</row>
    <row r="240" ht="12.75" customHeight="1">
      <c r="A240" s="187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</row>
    <row r="241" ht="12.75" customHeight="1">
      <c r="A241" s="187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</row>
    <row r="242" ht="12.75" customHeight="1">
      <c r="A242" s="187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</row>
    <row r="243" ht="12.75" customHeight="1">
      <c r="A243" s="187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</row>
    <row r="244" ht="12.75" customHeight="1">
      <c r="A244" s="187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</row>
    <row r="245" ht="12.75" customHeight="1">
      <c r="A245" s="187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</row>
    <row r="246" ht="12.75" customHeight="1">
      <c r="A246" s="187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</row>
    <row r="247" ht="12.75" customHeight="1">
      <c r="A247" s="187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</row>
    <row r="248" ht="12.75" customHeight="1">
      <c r="A248" s="187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</row>
    <row r="249" ht="12.75" customHeight="1">
      <c r="A249" s="187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</row>
    <row r="250" ht="12.75" customHeight="1">
      <c r="A250" s="187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</row>
    <row r="251" ht="12.75" customHeight="1">
      <c r="A251" s="187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</row>
    <row r="252" ht="12.75" customHeight="1">
      <c r="A252" s="187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</row>
    <row r="253" ht="12.75" customHeight="1">
      <c r="A253" s="187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</row>
    <row r="254" ht="12.75" customHeight="1">
      <c r="A254" s="187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</row>
    <row r="255" ht="12.75" customHeight="1">
      <c r="A255" s="187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</row>
    <row r="256" ht="12.75" customHeight="1">
      <c r="A256" s="187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</row>
    <row r="257" ht="12.75" customHeight="1">
      <c r="A257" s="187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</row>
    <row r="258" ht="12.75" customHeight="1">
      <c r="A258" s="187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</row>
    <row r="259" ht="12.75" customHeight="1">
      <c r="A259" s="187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</row>
    <row r="260" ht="12.75" customHeight="1">
      <c r="A260" s="187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</row>
    <row r="261" ht="12.75" customHeight="1">
      <c r="A261" s="187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</row>
    <row r="262" ht="12.75" customHeight="1">
      <c r="A262" s="187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</row>
    <row r="263" ht="12.75" customHeight="1">
      <c r="A263" s="187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</row>
    <row r="264" ht="12.75" customHeight="1">
      <c r="A264" s="187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</row>
    <row r="265" ht="12.75" customHeight="1">
      <c r="A265" s="187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</row>
    <row r="266" ht="12.75" customHeight="1">
      <c r="A266" s="187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</row>
    <row r="267" ht="12.75" customHeight="1">
      <c r="A267" s="187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</row>
    <row r="268" ht="12.75" customHeight="1">
      <c r="A268" s="187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</row>
    <row r="269" ht="12.75" customHeight="1">
      <c r="A269" s="187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</row>
    <row r="270" ht="12.75" customHeight="1">
      <c r="A270" s="187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</row>
    <row r="271" ht="12.75" customHeight="1">
      <c r="A271" s="187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</row>
    <row r="272" ht="12.75" customHeight="1">
      <c r="A272" s="187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</row>
    <row r="273" ht="12.75" customHeight="1">
      <c r="A273" s="187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</row>
    <row r="274" ht="12.75" customHeight="1">
      <c r="A274" s="187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</row>
    <row r="275" ht="12.75" customHeight="1">
      <c r="A275" s="187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</row>
    <row r="276" ht="12.75" customHeight="1">
      <c r="A276" s="187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</row>
    <row r="277" ht="12.75" customHeight="1">
      <c r="A277" s="187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</row>
    <row r="278" ht="12.75" customHeight="1">
      <c r="A278" s="187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</row>
    <row r="279" ht="12.75" customHeight="1">
      <c r="A279" s="187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</row>
    <row r="280" ht="12.75" customHeight="1">
      <c r="A280" s="187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</row>
    <row r="281" ht="12.75" customHeight="1">
      <c r="A281" s="187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</row>
    <row r="282" ht="12.75" customHeight="1">
      <c r="A282" s="187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</row>
    <row r="283" ht="12.75" customHeight="1">
      <c r="A283" s="187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</row>
    <row r="284" ht="12.75" customHeight="1">
      <c r="A284" s="187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</row>
    <row r="285" ht="12.75" customHeight="1">
      <c r="A285" s="187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</row>
    <row r="286" ht="12.75" customHeight="1">
      <c r="A286" s="187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</row>
    <row r="287" ht="12.75" customHeight="1">
      <c r="A287" s="187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</row>
    <row r="288" ht="12.75" customHeight="1">
      <c r="A288" s="187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</row>
    <row r="289" ht="12.75" customHeight="1">
      <c r="A289" s="187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</row>
    <row r="290" ht="12.75" customHeight="1">
      <c r="A290" s="187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</row>
    <row r="291" ht="12.75" customHeight="1">
      <c r="A291" s="187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</row>
    <row r="292" ht="12.75" customHeight="1">
      <c r="A292" s="187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</row>
    <row r="293" ht="12.75" customHeight="1">
      <c r="A293" s="187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</row>
    <row r="294" ht="12.75" customHeight="1">
      <c r="A294" s="187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</row>
    <row r="295" ht="12.75" customHeight="1">
      <c r="A295" s="187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</row>
    <row r="296" ht="12.75" customHeight="1">
      <c r="A296" s="187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</row>
    <row r="297" ht="12.75" customHeight="1">
      <c r="A297" s="187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</row>
    <row r="298" ht="12.75" customHeight="1">
      <c r="A298" s="187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</row>
    <row r="299" ht="12.75" customHeight="1">
      <c r="A299" s="187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</row>
    <row r="300" ht="12.75" customHeight="1">
      <c r="A300" s="187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</row>
    <row r="301" ht="12.75" customHeight="1">
      <c r="A301" s="187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</row>
    <row r="302" ht="12.75" customHeight="1">
      <c r="A302" s="187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</row>
    <row r="303" ht="12.75" customHeight="1">
      <c r="A303" s="187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</row>
    <row r="304" ht="12.75" customHeight="1">
      <c r="A304" s="187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</row>
    <row r="305" ht="12.75" customHeight="1">
      <c r="A305" s="187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</row>
    <row r="306" ht="12.75" customHeight="1">
      <c r="A306" s="187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</row>
    <row r="307" ht="12.75" customHeight="1">
      <c r="A307" s="187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</row>
    <row r="308" ht="12.75" customHeight="1">
      <c r="A308" s="187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</row>
    <row r="309" ht="12.75" customHeight="1">
      <c r="A309" s="187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</row>
    <row r="310" ht="12.75" customHeight="1">
      <c r="A310" s="187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</row>
    <row r="311" ht="12.75" customHeight="1">
      <c r="A311" s="187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</row>
    <row r="312" ht="12.75" customHeight="1">
      <c r="A312" s="187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</row>
    <row r="313" ht="12.75" customHeight="1">
      <c r="A313" s="187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</row>
    <row r="314" ht="12.75" customHeight="1">
      <c r="A314" s="187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</row>
    <row r="315" ht="12.75" customHeight="1">
      <c r="A315" s="187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</row>
    <row r="316" ht="12.75" customHeight="1">
      <c r="A316" s="187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</row>
    <row r="317" ht="12.75" customHeight="1">
      <c r="A317" s="187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</row>
    <row r="318" ht="12.75" customHeight="1">
      <c r="A318" s="187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</row>
    <row r="319" ht="12.75" customHeight="1">
      <c r="A319" s="187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</row>
    <row r="320" ht="12.75" customHeight="1">
      <c r="A320" s="187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</row>
    <row r="321" ht="12.75" customHeight="1">
      <c r="A321" s="187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</row>
    <row r="322" ht="12.75" customHeight="1">
      <c r="A322" s="187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</row>
    <row r="323" ht="12.75" customHeight="1">
      <c r="A323" s="187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</row>
    <row r="324" ht="12.75" customHeight="1">
      <c r="A324" s="187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</row>
    <row r="325" ht="12.75" customHeight="1">
      <c r="A325" s="187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</row>
    <row r="326" ht="12.75" customHeight="1">
      <c r="A326" s="187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</row>
    <row r="327" ht="12.75" customHeight="1">
      <c r="A327" s="187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</row>
    <row r="328" ht="12.75" customHeight="1">
      <c r="A328" s="187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</row>
    <row r="329" ht="12.75" customHeight="1">
      <c r="A329" s="187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</row>
    <row r="330" ht="12.75" customHeight="1">
      <c r="A330" s="187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</row>
    <row r="331" ht="12.75" customHeight="1">
      <c r="A331" s="187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</row>
    <row r="332" ht="12.75" customHeight="1">
      <c r="A332" s="187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</row>
    <row r="333" ht="12.75" customHeight="1">
      <c r="A333" s="187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</row>
    <row r="334" ht="12.75" customHeight="1">
      <c r="A334" s="187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</row>
    <row r="335" ht="12.75" customHeight="1">
      <c r="A335" s="187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</row>
    <row r="336" ht="12.75" customHeight="1">
      <c r="A336" s="187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</row>
    <row r="337" ht="12.75" customHeight="1">
      <c r="A337" s="187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</row>
    <row r="338" ht="12.75" customHeight="1">
      <c r="A338" s="187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</row>
    <row r="339" ht="12.75" customHeight="1">
      <c r="A339" s="187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</row>
    <row r="340" ht="12.75" customHeight="1">
      <c r="A340" s="187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</row>
    <row r="341" ht="12.75" customHeight="1">
      <c r="A341" s="187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</row>
    <row r="342" ht="12.75" customHeight="1">
      <c r="A342" s="187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</row>
    <row r="343" ht="12.75" customHeight="1">
      <c r="A343" s="187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</row>
    <row r="344" ht="12.75" customHeight="1">
      <c r="A344" s="187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</row>
    <row r="345" ht="12.75" customHeight="1">
      <c r="A345" s="187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</row>
    <row r="346" ht="12.75" customHeight="1">
      <c r="A346" s="187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</row>
    <row r="347" ht="12.75" customHeight="1">
      <c r="A347" s="187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</row>
    <row r="348" ht="12.75" customHeight="1">
      <c r="A348" s="187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</row>
    <row r="349" ht="12.75" customHeight="1">
      <c r="A349" s="187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</row>
    <row r="350" ht="12.75" customHeight="1">
      <c r="A350" s="187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</row>
    <row r="351" ht="12.75" customHeight="1">
      <c r="A351" s="187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</row>
    <row r="352" ht="12.75" customHeight="1">
      <c r="A352" s="187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</row>
    <row r="353" ht="12.75" customHeight="1">
      <c r="A353" s="187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</row>
    <row r="354" ht="12.75" customHeight="1">
      <c r="A354" s="187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</row>
    <row r="355" ht="12.75" customHeight="1">
      <c r="A355" s="187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</row>
    <row r="356" ht="12.75" customHeight="1">
      <c r="A356" s="187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</row>
    <row r="357" ht="12.75" customHeight="1">
      <c r="A357" s="187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</row>
    <row r="358" ht="12.75" customHeight="1">
      <c r="A358" s="187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</row>
    <row r="359" ht="12.75" customHeight="1">
      <c r="A359" s="187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</row>
    <row r="360" ht="12.75" customHeight="1">
      <c r="A360" s="187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</row>
    <row r="361" ht="12.75" customHeight="1">
      <c r="A361" s="187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</row>
    <row r="362" ht="12.75" customHeight="1">
      <c r="A362" s="187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</row>
    <row r="363" ht="12.75" customHeight="1">
      <c r="A363" s="187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</row>
    <row r="364" ht="12.75" customHeight="1">
      <c r="A364" s="187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</row>
    <row r="365" ht="12.75" customHeight="1">
      <c r="A365" s="187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</row>
    <row r="366" ht="12.75" customHeight="1">
      <c r="A366" s="187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</row>
    <row r="367" ht="12.75" customHeight="1">
      <c r="A367" s="187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</row>
    <row r="368" ht="12.75" customHeight="1">
      <c r="A368" s="187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</row>
    <row r="369" ht="12.75" customHeight="1">
      <c r="A369" s="187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</row>
    <row r="370" ht="12.75" customHeight="1">
      <c r="A370" s="187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</row>
    <row r="371" ht="12.75" customHeight="1">
      <c r="A371" s="187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</row>
    <row r="372" ht="12.75" customHeight="1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</row>
    <row r="373" ht="12.75" customHeight="1">
      <c r="A373" s="187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</row>
    <row r="374" ht="12.75" customHeight="1">
      <c r="A374" s="187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</row>
    <row r="375" ht="12.75" customHeight="1">
      <c r="A375" s="187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</row>
    <row r="376" ht="12.75" customHeight="1">
      <c r="A376" s="187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</row>
    <row r="377" ht="12.75" customHeight="1">
      <c r="A377" s="187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</row>
    <row r="378" ht="12.75" customHeight="1">
      <c r="A378" s="187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</row>
    <row r="379" ht="12.75" customHeight="1">
      <c r="A379" s="187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</row>
    <row r="380" ht="12.75" customHeight="1">
      <c r="A380" s="187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</row>
    <row r="381" ht="12.75" customHeight="1">
      <c r="A381" s="187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</row>
    <row r="382" ht="12.75" customHeight="1">
      <c r="A382" s="187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</row>
    <row r="383" ht="12.75" customHeight="1">
      <c r="A383" s="187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</row>
    <row r="384" ht="12.75" customHeight="1">
      <c r="A384" s="187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</row>
    <row r="385" ht="12.75" customHeight="1">
      <c r="A385" s="187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</row>
    <row r="386" ht="12.75" customHeight="1">
      <c r="A386" s="187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</row>
    <row r="387" ht="12.75" customHeight="1">
      <c r="A387" s="187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</row>
    <row r="388" ht="12.75" customHeight="1">
      <c r="A388" s="187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</row>
    <row r="389" ht="12.75" customHeight="1">
      <c r="A389" s="187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</row>
    <row r="390" ht="12.75" customHeight="1">
      <c r="A390" s="187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</row>
    <row r="391" ht="12.75" customHeight="1">
      <c r="A391" s="187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</row>
    <row r="392" ht="12.75" customHeight="1">
      <c r="A392" s="187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</row>
    <row r="393" ht="12.75" customHeight="1">
      <c r="A393" s="187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</row>
    <row r="394" ht="12.75" customHeight="1">
      <c r="A394" s="187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</row>
    <row r="395" ht="12.75" customHeight="1">
      <c r="A395" s="187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</row>
    <row r="396" ht="12.75" customHeight="1">
      <c r="A396" s="187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</row>
    <row r="397" ht="12.75" customHeight="1">
      <c r="A397" s="187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</row>
    <row r="398" ht="12.75" customHeight="1">
      <c r="A398" s="187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</row>
    <row r="399" ht="12.75" customHeight="1">
      <c r="A399" s="187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</row>
    <row r="400" ht="12.75" customHeight="1">
      <c r="A400" s="187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</row>
    <row r="401" ht="12.75" customHeight="1">
      <c r="A401" s="187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</row>
    <row r="402" ht="12.75" customHeight="1">
      <c r="A402" s="187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</row>
    <row r="403" ht="12.75" customHeight="1">
      <c r="A403" s="187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</row>
    <row r="404" ht="12.75" customHeight="1">
      <c r="A404" s="187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</row>
    <row r="405" ht="12.75" customHeight="1">
      <c r="A405" s="187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</row>
    <row r="406" ht="12.75" customHeight="1">
      <c r="A406" s="187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</row>
    <row r="407" ht="12.75" customHeight="1">
      <c r="A407" s="187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</row>
    <row r="408" ht="12.75" customHeight="1">
      <c r="A408" s="187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</row>
    <row r="409" ht="12.75" customHeight="1">
      <c r="A409" s="187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</row>
    <row r="410" ht="12.75" customHeight="1">
      <c r="A410" s="187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</row>
    <row r="411" ht="12.75" customHeight="1">
      <c r="A411" s="187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</row>
    <row r="412" ht="12.75" customHeight="1">
      <c r="A412" s="187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</row>
    <row r="413" ht="12.75" customHeight="1">
      <c r="A413" s="187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</row>
    <row r="414" ht="12.75" customHeight="1">
      <c r="A414" s="187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</row>
    <row r="415" ht="12.75" customHeight="1">
      <c r="A415" s="187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</row>
    <row r="416" ht="12.75" customHeight="1">
      <c r="A416" s="187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</row>
    <row r="417" ht="12.75" customHeight="1">
      <c r="A417" s="187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</row>
    <row r="418" ht="12.75" customHeight="1">
      <c r="A418" s="187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</row>
    <row r="419" ht="12.75" customHeight="1">
      <c r="A419" s="187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</row>
    <row r="420" ht="12.75" customHeight="1">
      <c r="A420" s="187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</row>
    <row r="421" ht="12.75" customHeight="1">
      <c r="A421" s="187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</row>
    <row r="422" ht="12.75" customHeight="1">
      <c r="A422" s="187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</row>
    <row r="423" ht="12.75" customHeight="1">
      <c r="A423" s="187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</row>
    <row r="424" ht="12.75" customHeight="1">
      <c r="A424" s="187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</row>
    <row r="425" ht="12.75" customHeight="1">
      <c r="A425" s="187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</row>
    <row r="426" ht="12.75" customHeight="1">
      <c r="A426" s="187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</row>
    <row r="427" ht="12.75" customHeight="1">
      <c r="A427" s="187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</row>
    <row r="428" ht="12.75" customHeight="1">
      <c r="A428" s="187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</row>
    <row r="429" ht="12.75" customHeight="1">
      <c r="A429" s="187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</row>
    <row r="430" ht="12.75" customHeight="1">
      <c r="A430" s="187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</row>
    <row r="431" ht="12.75" customHeight="1">
      <c r="A431" s="187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</row>
    <row r="432" ht="12.75" customHeight="1">
      <c r="A432" s="187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</row>
    <row r="433" ht="12.75" customHeight="1">
      <c r="A433" s="187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</row>
    <row r="434" ht="12.75" customHeight="1">
      <c r="A434" s="187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</row>
    <row r="435" ht="12.75" customHeight="1">
      <c r="A435" s="187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</row>
    <row r="436" ht="12.75" customHeight="1">
      <c r="A436" s="187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</row>
    <row r="437" ht="12.75" customHeight="1">
      <c r="A437" s="187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</row>
    <row r="438" ht="12.75" customHeight="1">
      <c r="A438" s="187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</row>
    <row r="439" ht="12.75" customHeight="1">
      <c r="A439" s="187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</row>
    <row r="440" ht="12.75" customHeight="1">
      <c r="A440" s="187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</row>
    <row r="441" ht="12.75" customHeight="1">
      <c r="A441" s="187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</row>
    <row r="442" ht="12.75" customHeight="1">
      <c r="A442" s="187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</row>
    <row r="443" ht="12.75" customHeight="1">
      <c r="A443" s="187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</row>
    <row r="444" ht="12.75" customHeight="1">
      <c r="A444" s="187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</row>
    <row r="445" ht="12.75" customHeight="1">
      <c r="A445" s="187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</row>
    <row r="446" ht="12.75" customHeight="1">
      <c r="A446" s="187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</row>
    <row r="447" ht="12.75" customHeight="1">
      <c r="A447" s="187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</row>
    <row r="448" ht="12.75" customHeight="1">
      <c r="A448" s="187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</row>
    <row r="449" ht="12.75" customHeight="1">
      <c r="A449" s="187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</row>
    <row r="450" ht="12.75" customHeight="1">
      <c r="A450" s="187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</row>
    <row r="451" ht="12.75" customHeight="1">
      <c r="A451" s="187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</row>
    <row r="452" ht="12.75" customHeight="1">
      <c r="A452" s="187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</row>
    <row r="453" ht="12.75" customHeight="1">
      <c r="A453" s="187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</row>
    <row r="454" ht="12.75" customHeight="1">
      <c r="A454" s="187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</row>
    <row r="455" ht="12.75" customHeight="1">
      <c r="A455" s="187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</row>
    <row r="456" ht="12.75" customHeight="1">
      <c r="A456" s="187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</row>
    <row r="457" ht="12.75" customHeight="1">
      <c r="A457" s="187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</row>
    <row r="458" ht="12.75" customHeight="1">
      <c r="A458" s="187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</row>
    <row r="459" ht="12.75" customHeight="1">
      <c r="A459" s="187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</row>
    <row r="460" ht="12.75" customHeight="1">
      <c r="A460" s="187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</row>
    <row r="461" ht="12.75" customHeight="1">
      <c r="A461" s="187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</row>
    <row r="462" ht="12.75" customHeight="1">
      <c r="A462" s="187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</row>
    <row r="463" ht="12.75" customHeight="1">
      <c r="A463" s="187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</row>
    <row r="464" ht="12.75" customHeight="1">
      <c r="A464" s="187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</row>
    <row r="465" ht="12.75" customHeight="1">
      <c r="A465" s="187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</row>
    <row r="466" ht="12.75" customHeight="1">
      <c r="A466" s="187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</row>
    <row r="467" ht="12.75" customHeight="1">
      <c r="A467" s="187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</row>
    <row r="468" ht="12.75" customHeight="1">
      <c r="A468" s="187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</row>
    <row r="469" ht="12.75" customHeight="1">
      <c r="A469" s="187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</row>
    <row r="470" ht="12.75" customHeight="1">
      <c r="A470" s="187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</row>
    <row r="471" ht="12.75" customHeight="1">
      <c r="A471" s="187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</row>
    <row r="472" ht="12.75" customHeight="1">
      <c r="A472" s="187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</row>
    <row r="473" ht="12.75" customHeight="1">
      <c r="A473" s="187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</row>
    <row r="474" ht="12.75" customHeight="1">
      <c r="A474" s="187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</row>
    <row r="475" ht="12.75" customHeight="1">
      <c r="A475" s="187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</row>
    <row r="476" ht="12.75" customHeight="1">
      <c r="A476" s="187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</row>
    <row r="477" ht="12.75" customHeight="1">
      <c r="A477" s="187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</row>
    <row r="478" ht="12.75" customHeight="1">
      <c r="A478" s="187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</row>
    <row r="479" ht="12.75" customHeight="1">
      <c r="A479" s="187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</row>
    <row r="480" ht="12.75" customHeight="1">
      <c r="A480" s="187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</row>
    <row r="481" ht="12.75" customHeight="1">
      <c r="A481" s="187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</row>
    <row r="482" ht="12.75" customHeight="1">
      <c r="A482" s="187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</row>
    <row r="483" ht="12.75" customHeight="1">
      <c r="A483" s="187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</row>
    <row r="484" ht="12.75" customHeight="1">
      <c r="A484" s="187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</row>
    <row r="485" ht="12.75" customHeight="1">
      <c r="A485" s="187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</row>
    <row r="486" ht="12.75" customHeight="1">
      <c r="A486" s="187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</row>
    <row r="487" ht="12.75" customHeight="1">
      <c r="A487" s="187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</row>
    <row r="488" ht="12.75" customHeight="1">
      <c r="A488" s="187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</row>
    <row r="489" ht="12.75" customHeight="1">
      <c r="A489" s="187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</row>
    <row r="490" ht="12.75" customHeight="1">
      <c r="A490" s="187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</row>
    <row r="491" ht="12.75" customHeight="1">
      <c r="A491" s="187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</row>
    <row r="492" ht="12.75" customHeight="1">
      <c r="A492" s="187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</row>
    <row r="493" ht="12.75" customHeight="1">
      <c r="A493" s="187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</row>
    <row r="494" ht="12.75" customHeight="1">
      <c r="A494" s="187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</row>
    <row r="495" ht="12.75" customHeight="1">
      <c r="A495" s="187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</row>
    <row r="496" ht="12.75" customHeight="1">
      <c r="A496" s="187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</row>
    <row r="497" ht="12.75" customHeight="1">
      <c r="A497" s="187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</row>
    <row r="498" ht="12.75" customHeight="1">
      <c r="A498" s="187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</row>
    <row r="499" ht="12.75" customHeight="1">
      <c r="A499" s="187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</row>
    <row r="500" ht="12.75" customHeight="1">
      <c r="A500" s="187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</row>
    <row r="501" ht="12.75" customHeight="1">
      <c r="A501" s="187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</row>
    <row r="502" ht="12.75" customHeight="1">
      <c r="A502" s="187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</row>
    <row r="503" ht="12.75" customHeight="1">
      <c r="A503" s="187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</row>
    <row r="504" ht="12.75" customHeight="1">
      <c r="A504" s="187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</row>
    <row r="505" ht="12.75" customHeight="1">
      <c r="A505" s="187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</row>
    <row r="506" ht="12.75" customHeight="1">
      <c r="A506" s="187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</row>
    <row r="507" ht="12.75" customHeight="1">
      <c r="A507" s="187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</row>
    <row r="508" ht="12.75" customHeight="1">
      <c r="A508" s="187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</row>
    <row r="509" ht="12.75" customHeight="1">
      <c r="A509" s="187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</row>
    <row r="510" ht="12.75" customHeight="1">
      <c r="A510" s="187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</row>
    <row r="511" ht="12.75" customHeight="1">
      <c r="A511" s="187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</row>
    <row r="512" ht="12.75" customHeight="1">
      <c r="A512" s="187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</row>
    <row r="513" ht="12.75" customHeight="1">
      <c r="A513" s="187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</row>
    <row r="514" ht="12.75" customHeight="1">
      <c r="A514" s="187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</row>
    <row r="515" ht="12.75" customHeight="1">
      <c r="A515" s="187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</row>
    <row r="516" ht="12.75" customHeight="1">
      <c r="A516" s="187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</row>
    <row r="517" ht="12.75" customHeight="1">
      <c r="A517" s="187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</row>
    <row r="518" ht="12.75" customHeight="1">
      <c r="A518" s="187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</row>
    <row r="519" ht="12.75" customHeight="1">
      <c r="A519" s="187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</row>
    <row r="520" ht="12.75" customHeight="1">
      <c r="A520" s="187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</row>
    <row r="521" ht="12.75" customHeight="1">
      <c r="A521" s="187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</row>
    <row r="522" ht="12.75" customHeight="1">
      <c r="A522" s="187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</row>
    <row r="523" ht="12.75" customHeight="1">
      <c r="A523" s="187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</row>
    <row r="524" ht="12.75" customHeight="1">
      <c r="A524" s="187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</row>
    <row r="525" ht="12.75" customHeight="1">
      <c r="A525" s="187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</row>
    <row r="526" ht="12.75" customHeight="1">
      <c r="A526" s="187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</row>
    <row r="527" ht="12.75" customHeight="1">
      <c r="A527" s="187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</row>
    <row r="528" ht="12.75" customHeight="1">
      <c r="A528" s="187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</row>
    <row r="529" ht="12.75" customHeight="1">
      <c r="A529" s="187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</row>
    <row r="530" ht="12.75" customHeight="1">
      <c r="A530" s="187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</row>
    <row r="531" ht="12.75" customHeight="1">
      <c r="A531" s="187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</row>
    <row r="532" ht="12.75" customHeight="1">
      <c r="A532" s="187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</row>
    <row r="533" ht="12.75" customHeight="1">
      <c r="A533" s="187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</row>
    <row r="534" ht="12.75" customHeight="1">
      <c r="A534" s="187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</row>
    <row r="535" ht="12.75" customHeight="1">
      <c r="A535" s="187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</row>
    <row r="536" ht="12.75" customHeight="1">
      <c r="A536" s="187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</row>
    <row r="537" ht="12.75" customHeight="1">
      <c r="A537" s="187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</row>
    <row r="538" ht="12.75" customHeight="1">
      <c r="A538" s="187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</row>
    <row r="539" ht="12.75" customHeight="1">
      <c r="A539" s="187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</row>
    <row r="540" ht="12.75" customHeight="1">
      <c r="A540" s="187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</row>
    <row r="541" ht="12.75" customHeight="1">
      <c r="A541" s="187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</row>
    <row r="542" ht="12.75" customHeight="1">
      <c r="A542" s="187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</row>
    <row r="543" ht="12.75" customHeight="1">
      <c r="A543" s="187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</row>
    <row r="544" ht="12.75" customHeight="1">
      <c r="A544" s="187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</row>
    <row r="545" ht="12.75" customHeight="1">
      <c r="A545" s="187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</row>
    <row r="546" ht="12.75" customHeight="1">
      <c r="A546" s="187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</row>
    <row r="547" ht="12.75" customHeight="1">
      <c r="A547" s="187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</row>
    <row r="548" ht="12.75" customHeight="1">
      <c r="A548" s="187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</row>
    <row r="549" ht="12.75" customHeight="1">
      <c r="A549" s="187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</row>
    <row r="550" ht="12.75" customHeight="1">
      <c r="A550" s="187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</row>
    <row r="551" ht="12.75" customHeight="1">
      <c r="A551" s="187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</row>
    <row r="552" ht="12.75" customHeight="1">
      <c r="A552" s="187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</row>
    <row r="553" ht="12.75" customHeight="1">
      <c r="A553" s="187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</row>
    <row r="554" ht="12.75" customHeight="1">
      <c r="A554" s="187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</row>
    <row r="555" ht="12.75" customHeight="1">
      <c r="A555" s="187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</row>
    <row r="556" ht="12.75" customHeight="1">
      <c r="A556" s="187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</row>
    <row r="557" ht="12.75" customHeight="1">
      <c r="A557" s="187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</row>
    <row r="558" ht="12.75" customHeight="1">
      <c r="A558" s="187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</row>
    <row r="559" ht="12.75" customHeight="1">
      <c r="A559" s="187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</row>
    <row r="560" ht="12.75" customHeight="1">
      <c r="A560" s="187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</row>
    <row r="561" ht="12.75" customHeight="1">
      <c r="A561" s="187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</row>
    <row r="562" ht="12.75" customHeight="1">
      <c r="A562" s="187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</row>
    <row r="563" ht="12.75" customHeight="1">
      <c r="A563" s="187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</row>
    <row r="564" ht="12.75" customHeight="1">
      <c r="A564" s="187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</row>
    <row r="565" ht="12.75" customHeight="1">
      <c r="A565" s="187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</row>
    <row r="566" ht="12.75" customHeight="1">
      <c r="A566" s="187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</row>
    <row r="567" ht="12.75" customHeight="1">
      <c r="A567" s="187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</row>
    <row r="568" ht="12.75" customHeight="1">
      <c r="A568" s="187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</row>
    <row r="569" ht="12.75" customHeight="1">
      <c r="A569" s="187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</row>
    <row r="570" ht="12.75" customHeight="1">
      <c r="A570" s="187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</row>
    <row r="571" ht="12.75" customHeight="1">
      <c r="A571" s="187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</row>
    <row r="572" ht="12.75" customHeight="1">
      <c r="A572" s="187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</row>
    <row r="573" ht="12.75" customHeight="1">
      <c r="A573" s="187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</row>
    <row r="574" ht="12.75" customHeight="1">
      <c r="A574" s="187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</row>
    <row r="575" ht="12.75" customHeight="1">
      <c r="A575" s="187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</row>
    <row r="576" ht="12.75" customHeight="1">
      <c r="A576" s="187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</row>
    <row r="577" ht="12.75" customHeight="1">
      <c r="A577" s="187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</row>
    <row r="578" ht="12.75" customHeight="1">
      <c r="A578" s="187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</row>
    <row r="579" ht="12.75" customHeight="1">
      <c r="A579" s="187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</row>
    <row r="580" ht="12.75" customHeight="1">
      <c r="A580" s="187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</row>
    <row r="581" ht="12.75" customHeight="1">
      <c r="A581" s="187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</row>
    <row r="582" ht="12.75" customHeight="1">
      <c r="A582" s="187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</row>
    <row r="583" ht="12.75" customHeight="1">
      <c r="A583" s="187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</row>
    <row r="584" ht="12.75" customHeight="1">
      <c r="A584" s="187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</row>
    <row r="585" ht="12.75" customHeight="1">
      <c r="A585" s="187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</row>
    <row r="586" ht="12.75" customHeight="1">
      <c r="A586" s="187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</row>
    <row r="587" ht="12.75" customHeight="1">
      <c r="A587" s="187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</row>
    <row r="588" ht="12.75" customHeight="1">
      <c r="A588" s="187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</row>
    <row r="589" ht="12.75" customHeight="1">
      <c r="A589" s="187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</row>
    <row r="590" ht="12.75" customHeight="1">
      <c r="A590" s="187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</row>
    <row r="591" ht="12.75" customHeight="1">
      <c r="A591" s="187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</row>
    <row r="592" ht="12.75" customHeight="1">
      <c r="A592" s="187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</row>
    <row r="593" ht="12.75" customHeight="1">
      <c r="A593" s="187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</row>
    <row r="594" ht="12.75" customHeight="1">
      <c r="A594" s="187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</row>
    <row r="595" ht="12.75" customHeight="1">
      <c r="A595" s="187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</row>
    <row r="596" ht="12.75" customHeight="1">
      <c r="A596" s="187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</row>
    <row r="597" ht="12.75" customHeight="1">
      <c r="A597" s="187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</row>
    <row r="598" ht="12.75" customHeight="1">
      <c r="A598" s="187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</row>
    <row r="599" ht="12.75" customHeight="1">
      <c r="A599" s="187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</row>
    <row r="600" ht="12.75" customHeight="1">
      <c r="A600" s="187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</row>
    <row r="601" ht="12.75" customHeight="1">
      <c r="A601" s="187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</row>
    <row r="602" ht="12.75" customHeight="1">
      <c r="A602" s="187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</row>
    <row r="603" ht="12.75" customHeight="1">
      <c r="A603" s="187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</row>
    <row r="604" ht="12.75" customHeight="1">
      <c r="A604" s="187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</row>
    <row r="605" ht="12.75" customHeight="1">
      <c r="A605" s="187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</row>
    <row r="606" ht="12.75" customHeight="1">
      <c r="A606" s="187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</row>
    <row r="607" ht="12.75" customHeight="1">
      <c r="A607" s="187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</row>
    <row r="608" ht="12.75" customHeight="1">
      <c r="A608" s="187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</row>
    <row r="609" ht="12.75" customHeight="1">
      <c r="A609" s="187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</row>
    <row r="610" ht="12.75" customHeight="1">
      <c r="A610" s="187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</row>
    <row r="611" ht="12.75" customHeight="1">
      <c r="A611" s="187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</row>
    <row r="612" ht="12.75" customHeight="1">
      <c r="A612" s="187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</row>
    <row r="613" ht="12.75" customHeight="1">
      <c r="A613" s="187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</row>
    <row r="614" ht="12.75" customHeight="1">
      <c r="A614" s="187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</row>
    <row r="615" ht="12.75" customHeight="1">
      <c r="A615" s="187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</row>
    <row r="616" ht="12.75" customHeight="1">
      <c r="A616" s="187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</row>
    <row r="617" ht="12.75" customHeight="1">
      <c r="A617" s="187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</row>
    <row r="618" ht="12.75" customHeight="1">
      <c r="A618" s="187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</row>
    <row r="619" ht="12.75" customHeight="1">
      <c r="A619" s="187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</row>
    <row r="620" ht="12.75" customHeight="1">
      <c r="A620" s="187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</row>
    <row r="621" ht="12.75" customHeight="1">
      <c r="A621" s="187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</row>
    <row r="622" ht="12.75" customHeight="1">
      <c r="A622" s="187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</row>
    <row r="623" ht="12.75" customHeight="1">
      <c r="A623" s="187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</row>
    <row r="624" ht="12.75" customHeight="1">
      <c r="A624" s="187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</row>
    <row r="625" ht="12.75" customHeight="1">
      <c r="A625" s="187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</row>
    <row r="626" ht="12.75" customHeight="1">
      <c r="A626" s="187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</row>
    <row r="627" ht="12.75" customHeight="1">
      <c r="A627" s="187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</row>
    <row r="628" ht="12.75" customHeight="1">
      <c r="A628" s="187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</row>
    <row r="629" ht="12.75" customHeight="1">
      <c r="A629" s="187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</row>
    <row r="630" ht="12.75" customHeight="1">
      <c r="A630" s="187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</row>
    <row r="631" ht="12.75" customHeight="1">
      <c r="A631" s="187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</row>
    <row r="632" ht="12.75" customHeight="1">
      <c r="A632" s="187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</row>
    <row r="633" ht="12.75" customHeight="1">
      <c r="A633" s="187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</row>
    <row r="634" ht="12.75" customHeight="1">
      <c r="A634" s="187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</row>
    <row r="635" ht="12.75" customHeight="1">
      <c r="A635" s="187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</row>
    <row r="636" ht="12.75" customHeight="1">
      <c r="A636" s="187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</row>
    <row r="637" ht="12.75" customHeight="1">
      <c r="A637" s="187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</row>
    <row r="638" ht="12.75" customHeight="1">
      <c r="A638" s="187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</row>
    <row r="639" ht="12.75" customHeight="1">
      <c r="A639" s="187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</row>
    <row r="640" ht="12.75" customHeight="1">
      <c r="A640" s="187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</row>
    <row r="641" ht="12.75" customHeight="1">
      <c r="A641" s="187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</row>
    <row r="642" ht="12.75" customHeight="1">
      <c r="A642" s="187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</row>
    <row r="643" ht="12.75" customHeight="1">
      <c r="A643" s="187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</row>
    <row r="644" ht="12.75" customHeight="1">
      <c r="A644" s="187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</row>
    <row r="645" ht="12.75" customHeight="1">
      <c r="A645" s="187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</row>
    <row r="646" ht="12.75" customHeight="1">
      <c r="A646" s="187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</row>
    <row r="647" ht="12.75" customHeight="1">
      <c r="A647" s="187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</row>
    <row r="648" ht="12.75" customHeight="1">
      <c r="A648" s="187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</row>
    <row r="649" ht="12.75" customHeight="1">
      <c r="A649" s="187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</row>
    <row r="650" ht="12.75" customHeight="1">
      <c r="A650" s="187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</row>
    <row r="651" ht="12.75" customHeight="1">
      <c r="A651" s="187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</row>
    <row r="652" ht="12.75" customHeight="1">
      <c r="A652" s="187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</row>
    <row r="653" ht="12.75" customHeight="1">
      <c r="A653" s="187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</row>
    <row r="654" ht="12.75" customHeight="1">
      <c r="A654" s="187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</row>
    <row r="655" ht="12.75" customHeight="1">
      <c r="A655" s="187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</row>
    <row r="656" ht="12.75" customHeight="1">
      <c r="A656" s="187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</row>
    <row r="657" ht="12.75" customHeight="1">
      <c r="A657" s="187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</row>
    <row r="658" ht="12.75" customHeight="1">
      <c r="A658" s="187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</row>
    <row r="659" ht="12.75" customHeight="1">
      <c r="A659" s="187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</row>
    <row r="660" ht="12.75" customHeight="1">
      <c r="A660" s="187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</row>
    <row r="661" ht="12.75" customHeight="1">
      <c r="A661" s="187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</row>
    <row r="662" ht="12.75" customHeight="1">
      <c r="A662" s="187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</row>
    <row r="663" ht="12.75" customHeight="1">
      <c r="A663" s="187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</row>
    <row r="664" ht="12.75" customHeight="1">
      <c r="A664" s="187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</row>
    <row r="665" ht="12.75" customHeight="1">
      <c r="A665" s="187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</row>
    <row r="666" ht="12.75" customHeight="1">
      <c r="A666" s="187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</row>
    <row r="667" ht="12.75" customHeight="1">
      <c r="A667" s="187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</row>
    <row r="668" ht="12.75" customHeight="1">
      <c r="A668" s="187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</row>
    <row r="669" ht="12.75" customHeight="1">
      <c r="A669" s="187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</row>
    <row r="670" ht="12.75" customHeight="1">
      <c r="A670" s="187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</row>
    <row r="671" ht="12.75" customHeight="1">
      <c r="A671" s="187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</row>
    <row r="672" ht="12.75" customHeight="1">
      <c r="A672" s="187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</row>
    <row r="673" ht="12.75" customHeight="1">
      <c r="A673" s="187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</row>
    <row r="674" ht="12.75" customHeight="1">
      <c r="A674" s="187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</row>
    <row r="675" ht="12.75" customHeight="1">
      <c r="A675" s="187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</row>
    <row r="676" ht="12.75" customHeight="1">
      <c r="A676" s="187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</row>
    <row r="677" ht="12.75" customHeight="1">
      <c r="A677" s="187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</row>
    <row r="678" ht="12.75" customHeight="1">
      <c r="A678" s="187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</row>
    <row r="679" ht="12.75" customHeight="1">
      <c r="A679" s="187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</row>
    <row r="680" ht="12.75" customHeight="1">
      <c r="A680" s="187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</row>
    <row r="681" ht="12.75" customHeight="1">
      <c r="A681" s="187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</row>
    <row r="682" ht="12.75" customHeight="1">
      <c r="A682" s="187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</row>
    <row r="683" ht="12.75" customHeight="1">
      <c r="A683" s="187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</row>
    <row r="684" ht="12.75" customHeight="1">
      <c r="A684" s="187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</row>
    <row r="685" ht="12.75" customHeight="1">
      <c r="A685" s="187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</row>
    <row r="686" ht="12.75" customHeight="1">
      <c r="A686" s="187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</row>
    <row r="687" ht="12.75" customHeight="1">
      <c r="A687" s="187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</row>
    <row r="688" ht="12.75" customHeight="1">
      <c r="A688" s="187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</row>
    <row r="689" ht="12.75" customHeight="1">
      <c r="A689" s="187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</row>
    <row r="690" ht="12.75" customHeight="1">
      <c r="A690" s="187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</row>
    <row r="691" ht="12.75" customHeight="1">
      <c r="A691" s="187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</row>
    <row r="692" ht="12.75" customHeight="1">
      <c r="A692" s="187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</row>
    <row r="693" ht="12.75" customHeight="1">
      <c r="A693" s="187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</row>
    <row r="694" ht="12.75" customHeight="1">
      <c r="A694" s="187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</row>
    <row r="695" ht="12.75" customHeight="1">
      <c r="A695" s="187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</row>
    <row r="696" ht="12.75" customHeight="1">
      <c r="A696" s="187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</row>
    <row r="697" ht="12.75" customHeight="1">
      <c r="A697" s="187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</row>
    <row r="698" ht="12.75" customHeight="1">
      <c r="A698" s="187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</row>
    <row r="699" ht="12.75" customHeight="1">
      <c r="A699" s="187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</row>
    <row r="700" ht="12.75" customHeight="1">
      <c r="A700" s="187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</row>
    <row r="701" ht="12.75" customHeight="1">
      <c r="A701" s="187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</row>
    <row r="702" ht="12.75" customHeight="1">
      <c r="A702" s="187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</row>
    <row r="703" ht="12.75" customHeight="1">
      <c r="A703" s="187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</row>
    <row r="704" ht="12.75" customHeight="1">
      <c r="A704" s="187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</row>
    <row r="705" ht="12.75" customHeight="1">
      <c r="A705" s="187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</row>
    <row r="706" ht="12.75" customHeight="1">
      <c r="A706" s="187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</row>
    <row r="707" ht="12.75" customHeight="1">
      <c r="A707" s="187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</row>
    <row r="708" ht="12.75" customHeight="1">
      <c r="A708" s="187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</row>
    <row r="709" ht="12.75" customHeight="1">
      <c r="A709" s="187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</row>
    <row r="710" ht="12.75" customHeight="1">
      <c r="A710" s="187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</row>
    <row r="711" ht="12.75" customHeight="1">
      <c r="A711" s="187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</row>
    <row r="712" ht="12.75" customHeight="1">
      <c r="A712" s="187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</row>
    <row r="713" ht="12.75" customHeight="1">
      <c r="A713" s="187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</row>
    <row r="714" ht="12.75" customHeight="1">
      <c r="A714" s="187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</row>
    <row r="715" ht="12.75" customHeight="1">
      <c r="A715" s="187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</row>
    <row r="716" ht="12.75" customHeight="1">
      <c r="A716" s="187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</row>
    <row r="717" ht="12.75" customHeight="1">
      <c r="A717" s="187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</row>
    <row r="718" ht="12.75" customHeight="1">
      <c r="A718" s="187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</row>
    <row r="719" ht="12.75" customHeight="1">
      <c r="A719" s="187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</row>
    <row r="720" ht="12.75" customHeight="1">
      <c r="A720" s="187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</row>
    <row r="721" ht="12.75" customHeight="1">
      <c r="A721" s="187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</row>
    <row r="722" ht="12.75" customHeight="1">
      <c r="A722" s="187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</row>
    <row r="723" ht="12.75" customHeight="1">
      <c r="A723" s="187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</row>
    <row r="724" ht="12.75" customHeight="1">
      <c r="A724" s="187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</row>
    <row r="725" ht="12.75" customHeight="1">
      <c r="A725" s="187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</row>
    <row r="726" ht="12.75" customHeight="1">
      <c r="A726" s="187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</row>
    <row r="727" ht="12.75" customHeight="1">
      <c r="A727" s="187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</row>
    <row r="728" ht="12.75" customHeight="1">
      <c r="A728" s="187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</row>
    <row r="729" ht="12.75" customHeight="1">
      <c r="A729" s="187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</row>
    <row r="730" ht="12.75" customHeight="1">
      <c r="A730" s="187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</row>
    <row r="731" ht="12.75" customHeight="1">
      <c r="A731" s="187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</row>
    <row r="732" ht="12.75" customHeight="1">
      <c r="A732" s="187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</row>
    <row r="733" ht="12.75" customHeight="1">
      <c r="A733" s="187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</row>
    <row r="734" ht="12.75" customHeight="1">
      <c r="A734" s="187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</row>
    <row r="735" ht="12.75" customHeight="1">
      <c r="A735" s="187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</row>
    <row r="736" ht="12.75" customHeight="1">
      <c r="A736" s="187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</row>
    <row r="737" ht="12.75" customHeight="1">
      <c r="A737" s="187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</row>
    <row r="738" ht="12.75" customHeight="1">
      <c r="A738" s="187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</row>
    <row r="739" ht="12.75" customHeight="1">
      <c r="A739" s="187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</row>
    <row r="740" ht="12.75" customHeight="1">
      <c r="A740" s="187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</row>
    <row r="741" ht="12.75" customHeight="1">
      <c r="A741" s="187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</row>
    <row r="742" ht="12.75" customHeight="1">
      <c r="A742" s="187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</row>
    <row r="743" ht="12.75" customHeight="1">
      <c r="A743" s="187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</row>
    <row r="744" ht="12.75" customHeight="1">
      <c r="A744" s="187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</row>
    <row r="745" ht="12.75" customHeight="1">
      <c r="A745" s="187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</row>
    <row r="746" ht="12.75" customHeight="1">
      <c r="A746" s="187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</row>
    <row r="747" ht="12.75" customHeight="1">
      <c r="A747" s="187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</row>
    <row r="748" ht="12.75" customHeight="1">
      <c r="A748" s="187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</row>
    <row r="749" ht="12.75" customHeight="1">
      <c r="A749" s="187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</row>
    <row r="750" ht="12.75" customHeight="1">
      <c r="A750" s="187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</row>
    <row r="751" ht="12.75" customHeight="1">
      <c r="A751" s="187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</row>
    <row r="752" ht="12.75" customHeight="1">
      <c r="A752" s="187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</row>
    <row r="753" ht="12.75" customHeight="1">
      <c r="A753" s="187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</row>
    <row r="754" ht="12.75" customHeight="1">
      <c r="A754" s="187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</row>
    <row r="755" ht="12.75" customHeight="1">
      <c r="A755" s="187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</row>
    <row r="756" ht="12.75" customHeight="1">
      <c r="A756" s="187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</row>
    <row r="757" ht="12.75" customHeight="1">
      <c r="A757" s="187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</row>
    <row r="758" ht="12.75" customHeight="1">
      <c r="A758" s="187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</row>
    <row r="759" ht="12.75" customHeight="1">
      <c r="A759" s="187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</row>
    <row r="760" ht="12.75" customHeight="1">
      <c r="A760" s="187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</row>
    <row r="761" ht="12.75" customHeight="1">
      <c r="A761" s="187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</row>
    <row r="762" ht="12.75" customHeight="1">
      <c r="A762" s="187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</row>
    <row r="763" ht="12.75" customHeight="1">
      <c r="A763" s="187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</row>
    <row r="764" ht="12.75" customHeight="1">
      <c r="A764" s="187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</row>
    <row r="765" ht="12.75" customHeight="1">
      <c r="A765" s="187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</row>
    <row r="766" ht="12.75" customHeight="1">
      <c r="A766" s="187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</row>
    <row r="767" ht="12.75" customHeight="1">
      <c r="A767" s="187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</row>
    <row r="768" ht="12.75" customHeight="1">
      <c r="A768" s="187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</row>
    <row r="769" ht="12.75" customHeight="1">
      <c r="A769" s="187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</row>
    <row r="770" ht="12.75" customHeight="1">
      <c r="A770" s="187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</row>
    <row r="771" ht="12.75" customHeight="1">
      <c r="A771" s="187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</row>
    <row r="772" ht="12.75" customHeight="1">
      <c r="A772" s="187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</row>
    <row r="773" ht="12.75" customHeight="1">
      <c r="A773" s="187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</row>
    <row r="774" ht="12.75" customHeight="1">
      <c r="A774" s="187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</row>
    <row r="775" ht="12.75" customHeight="1">
      <c r="A775" s="187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</row>
    <row r="776" ht="12.75" customHeight="1">
      <c r="A776" s="187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</row>
    <row r="777" ht="12.75" customHeight="1">
      <c r="A777" s="187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</row>
    <row r="778" ht="12.75" customHeight="1">
      <c r="A778" s="187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</row>
    <row r="779" ht="12.75" customHeight="1">
      <c r="A779" s="187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</row>
    <row r="780" ht="12.75" customHeight="1">
      <c r="A780" s="187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</row>
    <row r="781" ht="12.75" customHeight="1">
      <c r="A781" s="187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</row>
    <row r="782" ht="12.75" customHeight="1">
      <c r="A782" s="187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</row>
    <row r="783" ht="12.75" customHeight="1">
      <c r="A783" s="187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</row>
    <row r="784" ht="12.75" customHeight="1">
      <c r="A784" s="187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</row>
    <row r="785" ht="12.75" customHeight="1">
      <c r="A785" s="187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</row>
    <row r="786" ht="12.75" customHeight="1">
      <c r="A786" s="187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</row>
    <row r="787" ht="12.75" customHeight="1">
      <c r="A787" s="187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</row>
    <row r="788" ht="12.75" customHeight="1">
      <c r="A788" s="187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</row>
    <row r="789" ht="12.75" customHeight="1">
      <c r="A789" s="187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</row>
    <row r="790" ht="12.75" customHeight="1">
      <c r="A790" s="187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</row>
    <row r="791" ht="12.75" customHeight="1">
      <c r="A791" s="187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</row>
    <row r="792" ht="12.75" customHeight="1">
      <c r="A792" s="187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</row>
    <row r="793" ht="12.75" customHeight="1">
      <c r="A793" s="187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</row>
    <row r="794" ht="12.75" customHeight="1">
      <c r="A794" s="187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</row>
    <row r="795" ht="12.75" customHeight="1">
      <c r="A795" s="187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</row>
    <row r="796" ht="12.75" customHeight="1">
      <c r="A796" s="187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</row>
    <row r="797" ht="12.75" customHeight="1">
      <c r="A797" s="187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</row>
    <row r="798" ht="12.75" customHeight="1">
      <c r="A798" s="187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</row>
    <row r="799" ht="12.75" customHeight="1">
      <c r="A799" s="187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</row>
    <row r="800" ht="12.75" customHeight="1">
      <c r="A800" s="187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</row>
    <row r="801" ht="12.75" customHeight="1">
      <c r="A801" s="187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</row>
    <row r="802" ht="12.75" customHeight="1">
      <c r="A802" s="187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</row>
    <row r="803" ht="12.75" customHeight="1">
      <c r="A803" s="187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</row>
    <row r="804" ht="12.75" customHeight="1">
      <c r="A804" s="187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</row>
    <row r="805" ht="12.75" customHeight="1">
      <c r="A805" s="187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</row>
    <row r="806" ht="12.75" customHeight="1">
      <c r="A806" s="187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</row>
    <row r="807" ht="12.75" customHeight="1">
      <c r="A807" s="187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</row>
    <row r="808" ht="12.75" customHeight="1">
      <c r="A808" s="187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</row>
    <row r="809" ht="12.75" customHeight="1">
      <c r="A809" s="187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</row>
    <row r="810" ht="12.75" customHeight="1">
      <c r="A810" s="187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</row>
    <row r="811" ht="12.75" customHeight="1">
      <c r="A811" s="187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</row>
    <row r="812" ht="12.75" customHeight="1">
      <c r="A812" s="187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</row>
    <row r="813" ht="12.75" customHeight="1">
      <c r="A813" s="187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</row>
    <row r="814" ht="12.75" customHeight="1">
      <c r="A814" s="187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</row>
    <row r="815" ht="12.75" customHeight="1">
      <c r="A815" s="187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</row>
    <row r="816" ht="12.75" customHeight="1">
      <c r="A816" s="187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</row>
    <row r="817" ht="12.75" customHeight="1">
      <c r="A817" s="187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</row>
    <row r="818" ht="12.75" customHeight="1">
      <c r="A818" s="187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</row>
    <row r="819" ht="12.75" customHeight="1">
      <c r="A819" s="187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</row>
    <row r="820" ht="12.75" customHeight="1">
      <c r="A820" s="187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</row>
    <row r="821" ht="12.75" customHeight="1">
      <c r="A821" s="187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</row>
    <row r="822" ht="12.75" customHeight="1">
      <c r="A822" s="187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</row>
    <row r="823" ht="12.75" customHeight="1">
      <c r="A823" s="187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</row>
    <row r="824" ht="12.75" customHeight="1">
      <c r="A824" s="187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</row>
    <row r="825" ht="12.75" customHeight="1">
      <c r="A825" s="187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</row>
    <row r="826" ht="12.75" customHeight="1">
      <c r="A826" s="187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</row>
    <row r="827" ht="12.75" customHeight="1">
      <c r="A827" s="187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</row>
    <row r="828" ht="12.75" customHeight="1">
      <c r="A828" s="187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</row>
    <row r="829" ht="12.75" customHeight="1">
      <c r="A829" s="187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</row>
    <row r="830" ht="12.75" customHeight="1">
      <c r="A830" s="187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</row>
    <row r="831" ht="12.75" customHeight="1">
      <c r="A831" s="187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</row>
    <row r="832" ht="12.75" customHeight="1">
      <c r="A832" s="187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</row>
    <row r="833" ht="12.75" customHeight="1">
      <c r="A833" s="187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</row>
    <row r="834" ht="12.75" customHeight="1">
      <c r="A834" s="187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</row>
    <row r="835" ht="12.75" customHeight="1">
      <c r="A835" s="187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</row>
    <row r="836" ht="12.75" customHeight="1">
      <c r="A836" s="187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</row>
    <row r="837" ht="12.75" customHeight="1">
      <c r="A837" s="187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</row>
    <row r="838" ht="12.75" customHeight="1">
      <c r="A838" s="187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</row>
    <row r="839" ht="12.75" customHeight="1">
      <c r="A839" s="187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</row>
    <row r="840" ht="12.75" customHeight="1">
      <c r="A840" s="187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</row>
    <row r="841" ht="12.75" customHeight="1">
      <c r="A841" s="187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</row>
    <row r="842" ht="12.75" customHeight="1">
      <c r="A842" s="187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</row>
    <row r="843" ht="12.75" customHeight="1">
      <c r="A843" s="187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</row>
    <row r="844" ht="12.75" customHeight="1">
      <c r="A844" s="187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</row>
    <row r="845" ht="12.75" customHeight="1">
      <c r="A845" s="187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</row>
    <row r="846" ht="12.75" customHeight="1">
      <c r="A846" s="187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</row>
    <row r="847" ht="12.75" customHeight="1">
      <c r="A847" s="187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</row>
    <row r="848" ht="12.75" customHeight="1">
      <c r="A848" s="187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</row>
    <row r="849" ht="12.75" customHeight="1">
      <c r="A849" s="187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</row>
    <row r="850" ht="12.75" customHeight="1">
      <c r="A850" s="187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</row>
    <row r="851" ht="12.75" customHeight="1">
      <c r="A851" s="187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</row>
    <row r="852" ht="12.75" customHeight="1">
      <c r="A852" s="187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</row>
    <row r="853" ht="12.75" customHeight="1">
      <c r="A853" s="187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</row>
    <row r="854" ht="12.75" customHeight="1">
      <c r="A854" s="187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</row>
    <row r="855" ht="12.75" customHeight="1">
      <c r="A855" s="187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</row>
    <row r="856" ht="12.75" customHeight="1">
      <c r="A856" s="187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</row>
    <row r="857" ht="12.75" customHeight="1">
      <c r="A857" s="187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</row>
    <row r="858" ht="12.75" customHeight="1">
      <c r="A858" s="187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</row>
    <row r="859" ht="12.75" customHeight="1">
      <c r="A859" s="187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</row>
    <row r="860" ht="12.75" customHeight="1">
      <c r="A860" s="187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</row>
    <row r="861" ht="12.75" customHeight="1">
      <c r="A861" s="187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</row>
    <row r="862" ht="12.75" customHeight="1">
      <c r="A862" s="187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</row>
    <row r="863" ht="12.75" customHeight="1">
      <c r="A863" s="187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</row>
    <row r="864" ht="12.75" customHeight="1">
      <c r="A864" s="187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</row>
    <row r="865" ht="12.75" customHeight="1">
      <c r="A865" s="187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</row>
    <row r="866" ht="12.75" customHeight="1">
      <c r="A866" s="187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</row>
    <row r="867" ht="12.75" customHeight="1">
      <c r="A867" s="187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</row>
    <row r="868" ht="12.75" customHeight="1">
      <c r="A868" s="187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</row>
    <row r="869" ht="12.75" customHeight="1">
      <c r="A869" s="187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</row>
    <row r="870" ht="12.75" customHeight="1">
      <c r="A870" s="187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</row>
    <row r="871" ht="12.75" customHeight="1">
      <c r="A871" s="187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</row>
    <row r="872" ht="12.75" customHeight="1">
      <c r="A872" s="187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</row>
    <row r="873" ht="12.75" customHeight="1">
      <c r="A873" s="187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</row>
    <row r="874" ht="12.75" customHeight="1">
      <c r="A874" s="187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</row>
    <row r="875" ht="12.75" customHeight="1">
      <c r="A875" s="187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</row>
    <row r="876" ht="12.75" customHeight="1">
      <c r="A876" s="187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</row>
    <row r="877" ht="12.75" customHeight="1">
      <c r="A877" s="187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</row>
    <row r="878" ht="12.75" customHeight="1">
      <c r="A878" s="187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</row>
    <row r="879" ht="12.75" customHeight="1">
      <c r="A879" s="187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</row>
    <row r="880" ht="12.75" customHeight="1">
      <c r="A880" s="187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</row>
    <row r="881" ht="12.75" customHeight="1">
      <c r="A881" s="187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</row>
    <row r="882" ht="12.75" customHeight="1">
      <c r="A882" s="187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</row>
    <row r="883" ht="12.75" customHeight="1">
      <c r="A883" s="187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</row>
    <row r="884" ht="12.75" customHeight="1">
      <c r="A884" s="187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</row>
    <row r="885" ht="12.75" customHeight="1">
      <c r="A885" s="187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</row>
    <row r="886" ht="12.75" customHeight="1">
      <c r="A886" s="187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</row>
    <row r="887" ht="12.75" customHeight="1">
      <c r="A887" s="187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</row>
    <row r="888" ht="12.75" customHeight="1">
      <c r="A888" s="187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</row>
    <row r="889" ht="12.75" customHeight="1">
      <c r="A889" s="187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</row>
    <row r="890" ht="12.75" customHeight="1">
      <c r="A890" s="187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</row>
    <row r="891" ht="12.75" customHeight="1">
      <c r="A891" s="187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</row>
    <row r="892" ht="12.75" customHeight="1">
      <c r="A892" s="187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</row>
    <row r="893" ht="12.75" customHeight="1">
      <c r="A893" s="187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</row>
    <row r="894" ht="12.75" customHeight="1">
      <c r="A894" s="187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</row>
    <row r="895" ht="12.75" customHeight="1">
      <c r="A895" s="187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</row>
    <row r="896" ht="12.75" customHeight="1">
      <c r="A896" s="187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</row>
    <row r="897" ht="12.75" customHeight="1">
      <c r="A897" s="187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</row>
    <row r="898" ht="12.75" customHeight="1">
      <c r="A898" s="187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</row>
    <row r="899" ht="12.75" customHeight="1">
      <c r="A899" s="187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</row>
    <row r="900" ht="12.75" customHeight="1">
      <c r="A900" s="187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</row>
    <row r="901" ht="12.75" customHeight="1">
      <c r="A901" s="187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</row>
    <row r="902" ht="12.75" customHeight="1">
      <c r="A902" s="187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</row>
    <row r="903" ht="12.75" customHeight="1">
      <c r="A903" s="187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</row>
    <row r="904" ht="12.75" customHeight="1">
      <c r="A904" s="187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</row>
    <row r="905" ht="12.75" customHeight="1">
      <c r="A905" s="187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</row>
    <row r="906" ht="12.75" customHeight="1">
      <c r="A906" s="187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</row>
    <row r="907" ht="12.75" customHeight="1">
      <c r="A907" s="187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</row>
    <row r="908" ht="12.75" customHeight="1">
      <c r="A908" s="187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</row>
    <row r="909" ht="12.75" customHeight="1">
      <c r="A909" s="187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</row>
    <row r="910" ht="12.75" customHeight="1">
      <c r="A910" s="187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</row>
    <row r="911" ht="12.75" customHeight="1">
      <c r="A911" s="187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</row>
    <row r="912" ht="12.75" customHeight="1">
      <c r="A912" s="187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</row>
    <row r="913" ht="12.75" customHeight="1">
      <c r="A913" s="187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</row>
    <row r="914" ht="12.75" customHeight="1">
      <c r="A914" s="187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</row>
    <row r="915" ht="12.75" customHeight="1">
      <c r="A915" s="187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</row>
    <row r="916" ht="12.75" customHeight="1">
      <c r="A916" s="187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</row>
    <row r="917" ht="12.75" customHeight="1">
      <c r="A917" s="187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</row>
    <row r="918" ht="12.75" customHeight="1">
      <c r="A918" s="187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</row>
    <row r="919" ht="12.75" customHeight="1">
      <c r="A919" s="187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</row>
    <row r="920" ht="12.75" customHeight="1">
      <c r="A920" s="187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</row>
    <row r="921" ht="12.75" customHeight="1">
      <c r="A921" s="187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</row>
    <row r="922" ht="12.75" customHeight="1">
      <c r="A922" s="187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</row>
    <row r="923" ht="12.75" customHeight="1">
      <c r="A923" s="187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</row>
    <row r="924" ht="12.75" customHeight="1">
      <c r="A924" s="187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</row>
    <row r="925" ht="12.75" customHeight="1">
      <c r="A925" s="187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</row>
    <row r="926" ht="12.75" customHeight="1">
      <c r="A926" s="187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</row>
    <row r="927" ht="12.75" customHeight="1">
      <c r="A927" s="187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</row>
    <row r="928" ht="12.75" customHeight="1">
      <c r="A928" s="187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</row>
    <row r="929" ht="12.75" customHeight="1">
      <c r="A929" s="187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</row>
    <row r="930" ht="12.75" customHeight="1">
      <c r="A930" s="187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</row>
    <row r="931" ht="12.75" customHeight="1">
      <c r="A931" s="187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</row>
    <row r="932" ht="12.75" customHeight="1">
      <c r="A932" s="187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</row>
    <row r="933" ht="12.75" customHeight="1">
      <c r="A933" s="187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</row>
    <row r="934" ht="12.75" customHeight="1">
      <c r="A934" s="187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87"/>
      <c r="V934" s="187"/>
      <c r="W934" s="187"/>
      <c r="X934" s="187"/>
      <c r="Y934" s="187"/>
      <c r="Z934" s="187"/>
    </row>
    <row r="935" ht="12.75" customHeight="1">
      <c r="A935" s="187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87"/>
      <c r="V935" s="187"/>
      <c r="W935" s="187"/>
      <c r="X935" s="187"/>
      <c r="Y935" s="187"/>
      <c r="Z935" s="187"/>
    </row>
    <row r="936" ht="12.75" customHeight="1">
      <c r="A936" s="187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87"/>
      <c r="V936" s="187"/>
      <c r="W936" s="187"/>
      <c r="X936" s="187"/>
      <c r="Y936" s="187"/>
      <c r="Z936" s="187"/>
    </row>
    <row r="937" ht="12.75" customHeight="1">
      <c r="A937" s="187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87"/>
      <c r="V937" s="187"/>
      <c r="W937" s="187"/>
      <c r="X937" s="187"/>
      <c r="Y937" s="187"/>
      <c r="Z937" s="187"/>
    </row>
    <row r="938" ht="12.75" customHeight="1">
      <c r="A938" s="187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87"/>
      <c r="V938" s="187"/>
      <c r="W938" s="187"/>
      <c r="X938" s="187"/>
      <c r="Y938" s="187"/>
      <c r="Z938" s="187"/>
    </row>
    <row r="939" ht="12.75" customHeight="1">
      <c r="A939" s="187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87"/>
      <c r="V939" s="187"/>
      <c r="W939" s="187"/>
      <c r="X939" s="187"/>
      <c r="Y939" s="187"/>
      <c r="Z939" s="187"/>
    </row>
    <row r="940" ht="12.75" customHeight="1">
      <c r="A940" s="187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87"/>
      <c r="V940" s="187"/>
      <c r="W940" s="187"/>
      <c r="X940" s="187"/>
      <c r="Y940" s="187"/>
      <c r="Z940" s="187"/>
    </row>
    <row r="941" ht="12.75" customHeight="1">
      <c r="A941" s="187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87"/>
      <c r="V941" s="187"/>
      <c r="W941" s="187"/>
      <c r="X941" s="187"/>
      <c r="Y941" s="187"/>
      <c r="Z941" s="187"/>
    </row>
    <row r="942" ht="12.75" customHeight="1">
      <c r="A942" s="187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87"/>
      <c r="V942" s="187"/>
      <c r="W942" s="187"/>
      <c r="X942" s="187"/>
      <c r="Y942" s="187"/>
      <c r="Z942" s="187"/>
    </row>
    <row r="943" ht="12.75" customHeight="1">
      <c r="A943" s="187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87"/>
      <c r="V943" s="187"/>
      <c r="W943" s="187"/>
      <c r="X943" s="187"/>
      <c r="Y943" s="187"/>
      <c r="Z943" s="187"/>
    </row>
    <row r="944" ht="12.75" customHeight="1">
      <c r="A944" s="187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87"/>
      <c r="V944" s="187"/>
      <c r="W944" s="187"/>
      <c r="X944" s="187"/>
      <c r="Y944" s="187"/>
      <c r="Z944" s="187"/>
    </row>
    <row r="945" ht="12.75" customHeight="1">
      <c r="A945" s="187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87"/>
      <c r="V945" s="187"/>
      <c r="W945" s="187"/>
      <c r="X945" s="187"/>
      <c r="Y945" s="187"/>
      <c r="Z945" s="187"/>
    </row>
    <row r="946" ht="12.75" customHeight="1">
      <c r="A946" s="187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87"/>
      <c r="V946" s="187"/>
      <c r="W946" s="187"/>
      <c r="X946" s="187"/>
      <c r="Y946" s="187"/>
      <c r="Z946" s="187"/>
    </row>
    <row r="947" ht="12.75" customHeight="1">
      <c r="A947" s="187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87"/>
      <c r="V947" s="187"/>
      <c r="W947" s="187"/>
      <c r="X947" s="187"/>
      <c r="Y947" s="187"/>
      <c r="Z947" s="187"/>
    </row>
    <row r="948" ht="12.75" customHeight="1">
      <c r="A948" s="187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87"/>
      <c r="V948" s="187"/>
      <c r="W948" s="187"/>
      <c r="X948" s="187"/>
      <c r="Y948" s="187"/>
      <c r="Z948" s="187"/>
    </row>
    <row r="949" ht="12.75" customHeight="1">
      <c r="A949" s="187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87"/>
      <c r="V949" s="187"/>
      <c r="W949" s="187"/>
      <c r="X949" s="187"/>
      <c r="Y949" s="187"/>
      <c r="Z949" s="187"/>
    </row>
    <row r="950" ht="12.75" customHeight="1">
      <c r="A950" s="187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87"/>
      <c r="V950" s="187"/>
      <c r="W950" s="187"/>
      <c r="X950" s="187"/>
      <c r="Y950" s="187"/>
      <c r="Z950" s="187"/>
    </row>
    <row r="951" ht="12.75" customHeight="1">
      <c r="A951" s="187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87"/>
      <c r="V951" s="187"/>
      <c r="W951" s="187"/>
      <c r="X951" s="187"/>
      <c r="Y951" s="187"/>
      <c r="Z951" s="187"/>
    </row>
    <row r="952" ht="12.75" customHeight="1">
      <c r="A952" s="187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87"/>
      <c r="V952" s="187"/>
      <c r="W952" s="187"/>
      <c r="X952" s="187"/>
      <c r="Y952" s="187"/>
      <c r="Z952" s="187"/>
    </row>
    <row r="953" ht="12.75" customHeight="1">
      <c r="A953" s="187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87"/>
      <c r="V953" s="187"/>
      <c r="W953" s="187"/>
      <c r="X953" s="187"/>
      <c r="Y953" s="187"/>
      <c r="Z953" s="187"/>
    </row>
    <row r="954" ht="12.75" customHeight="1">
      <c r="A954" s="187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87"/>
      <c r="V954" s="187"/>
      <c r="W954" s="187"/>
      <c r="X954" s="187"/>
      <c r="Y954" s="187"/>
      <c r="Z954" s="187"/>
    </row>
    <row r="955" ht="12.75" customHeight="1">
      <c r="A955" s="187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87"/>
      <c r="V955" s="187"/>
      <c r="W955" s="187"/>
      <c r="X955" s="187"/>
      <c r="Y955" s="187"/>
      <c r="Z955" s="187"/>
    </row>
    <row r="956" ht="12.75" customHeight="1">
      <c r="A956" s="187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87"/>
      <c r="V956" s="187"/>
      <c r="W956" s="187"/>
      <c r="X956" s="187"/>
      <c r="Y956" s="187"/>
      <c r="Z956" s="187"/>
    </row>
    <row r="957" ht="12.75" customHeight="1">
      <c r="A957" s="187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87"/>
      <c r="V957" s="187"/>
      <c r="W957" s="187"/>
      <c r="X957" s="187"/>
      <c r="Y957" s="187"/>
      <c r="Z957" s="187"/>
    </row>
    <row r="958" ht="12.75" customHeight="1">
      <c r="A958" s="187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87"/>
      <c r="V958" s="187"/>
      <c r="W958" s="187"/>
      <c r="X958" s="187"/>
      <c r="Y958" s="187"/>
      <c r="Z958" s="187"/>
    </row>
    <row r="959" ht="12.75" customHeight="1">
      <c r="A959" s="187"/>
      <c r="B959" s="187"/>
      <c r="C959" s="187"/>
      <c r="D959" s="187"/>
      <c r="E959" s="187"/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87"/>
      <c r="V959" s="187"/>
      <c r="W959" s="187"/>
      <c r="X959" s="187"/>
      <c r="Y959" s="187"/>
      <c r="Z959" s="187"/>
    </row>
    <row r="960" ht="12.75" customHeight="1">
      <c r="A960" s="187"/>
      <c r="B960" s="187"/>
      <c r="C960" s="187"/>
      <c r="D960" s="187"/>
      <c r="E960" s="187"/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87"/>
      <c r="V960" s="187"/>
      <c r="W960" s="187"/>
      <c r="X960" s="187"/>
      <c r="Y960" s="187"/>
      <c r="Z960" s="187"/>
    </row>
    <row r="961" ht="12.75" customHeight="1">
      <c r="A961" s="187"/>
      <c r="B961" s="187"/>
      <c r="C961" s="187"/>
      <c r="D961" s="187"/>
      <c r="E961" s="187"/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87"/>
      <c r="V961" s="187"/>
      <c r="W961" s="187"/>
      <c r="X961" s="187"/>
      <c r="Y961" s="187"/>
      <c r="Z961" s="187"/>
    </row>
    <row r="962" ht="12.75" customHeight="1">
      <c r="A962" s="187"/>
      <c r="B962" s="187"/>
      <c r="C962" s="187"/>
      <c r="D962" s="187"/>
      <c r="E962" s="187"/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87"/>
      <c r="V962" s="187"/>
      <c r="W962" s="187"/>
      <c r="X962" s="187"/>
      <c r="Y962" s="187"/>
      <c r="Z962" s="187"/>
    </row>
    <row r="963" ht="12.75" customHeight="1">
      <c r="A963" s="187"/>
      <c r="B963" s="187"/>
      <c r="C963" s="187"/>
      <c r="D963" s="187"/>
      <c r="E963" s="187"/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87"/>
      <c r="V963" s="187"/>
      <c r="W963" s="187"/>
      <c r="X963" s="187"/>
      <c r="Y963" s="187"/>
      <c r="Z963" s="187"/>
    </row>
    <row r="964" ht="12.75" customHeight="1">
      <c r="A964" s="187"/>
      <c r="B964" s="187"/>
      <c r="C964" s="187"/>
      <c r="D964" s="187"/>
      <c r="E964" s="187"/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87"/>
      <c r="V964" s="187"/>
      <c r="W964" s="187"/>
      <c r="X964" s="187"/>
      <c r="Y964" s="187"/>
      <c r="Z964" s="187"/>
    </row>
    <row r="965" ht="12.75" customHeight="1">
      <c r="A965" s="187"/>
      <c r="B965" s="187"/>
      <c r="C965" s="187"/>
      <c r="D965" s="187"/>
      <c r="E965" s="187"/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87"/>
      <c r="V965" s="187"/>
      <c r="W965" s="187"/>
      <c r="X965" s="187"/>
      <c r="Y965" s="187"/>
      <c r="Z965" s="187"/>
    </row>
    <row r="966" ht="12.75" customHeight="1">
      <c r="A966" s="187"/>
      <c r="B966" s="187"/>
      <c r="C966" s="187"/>
      <c r="D966" s="187"/>
      <c r="E966" s="187"/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87"/>
      <c r="V966" s="187"/>
      <c r="W966" s="187"/>
      <c r="X966" s="187"/>
      <c r="Y966" s="187"/>
      <c r="Z966" s="187"/>
    </row>
    <row r="967" ht="12.75" customHeight="1">
      <c r="A967" s="187"/>
      <c r="B967" s="187"/>
      <c r="C967" s="187"/>
      <c r="D967" s="187"/>
      <c r="E967" s="187"/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87"/>
      <c r="V967" s="187"/>
      <c r="W967" s="187"/>
      <c r="X967" s="187"/>
      <c r="Y967" s="187"/>
      <c r="Z967" s="187"/>
    </row>
    <row r="968" ht="12.75" customHeight="1">
      <c r="A968" s="187"/>
      <c r="B968" s="187"/>
      <c r="C968" s="187"/>
      <c r="D968" s="187"/>
      <c r="E968" s="187"/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87"/>
      <c r="V968" s="187"/>
      <c r="W968" s="187"/>
      <c r="X968" s="187"/>
      <c r="Y968" s="187"/>
      <c r="Z968" s="187"/>
    </row>
    <row r="969" ht="12.75" customHeight="1">
      <c r="A969" s="187"/>
      <c r="B969" s="187"/>
      <c r="C969" s="187"/>
      <c r="D969" s="187"/>
      <c r="E969" s="187"/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87"/>
      <c r="V969" s="187"/>
      <c r="W969" s="187"/>
      <c r="X969" s="187"/>
      <c r="Y969" s="187"/>
      <c r="Z969" s="187"/>
    </row>
    <row r="970" ht="12.75" customHeight="1">
      <c r="A970" s="187"/>
      <c r="B970" s="187"/>
      <c r="C970" s="187"/>
      <c r="D970" s="187"/>
      <c r="E970" s="187"/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87"/>
      <c r="V970" s="187"/>
      <c r="W970" s="187"/>
      <c r="X970" s="187"/>
      <c r="Y970" s="187"/>
      <c r="Z970" s="187"/>
    </row>
    <row r="971" ht="12.75" customHeight="1">
      <c r="A971" s="187"/>
      <c r="B971" s="187"/>
      <c r="C971" s="187"/>
      <c r="D971" s="187"/>
      <c r="E971" s="187"/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87"/>
      <c r="V971" s="187"/>
      <c r="W971" s="187"/>
      <c r="X971" s="187"/>
      <c r="Y971" s="187"/>
      <c r="Z971" s="187"/>
    </row>
    <row r="972" ht="12.75" customHeight="1">
      <c r="A972" s="187"/>
      <c r="B972" s="187"/>
      <c r="C972" s="187"/>
      <c r="D972" s="187"/>
      <c r="E972" s="187"/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87"/>
      <c r="V972" s="187"/>
      <c r="W972" s="187"/>
      <c r="X972" s="187"/>
      <c r="Y972" s="187"/>
      <c r="Z972" s="187"/>
    </row>
    <row r="973" ht="12.75" customHeight="1">
      <c r="A973" s="187"/>
      <c r="B973" s="187"/>
      <c r="C973" s="187"/>
      <c r="D973" s="187"/>
      <c r="E973" s="187"/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87"/>
      <c r="V973" s="187"/>
      <c r="W973" s="187"/>
      <c r="X973" s="187"/>
      <c r="Y973" s="187"/>
      <c r="Z973" s="187"/>
    </row>
    <row r="974" ht="12.75" customHeight="1">
      <c r="A974" s="187"/>
      <c r="B974" s="187"/>
      <c r="C974" s="187"/>
      <c r="D974" s="187"/>
      <c r="E974" s="187"/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87"/>
      <c r="V974" s="187"/>
      <c r="W974" s="187"/>
      <c r="X974" s="187"/>
      <c r="Y974" s="187"/>
      <c r="Z974" s="187"/>
    </row>
    <row r="975" ht="12.75" customHeight="1">
      <c r="A975" s="187"/>
      <c r="B975" s="187"/>
      <c r="C975" s="187"/>
      <c r="D975" s="187"/>
      <c r="E975" s="187"/>
      <c r="F975" s="187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87"/>
      <c r="V975" s="187"/>
      <c r="W975" s="187"/>
      <c r="X975" s="187"/>
      <c r="Y975" s="187"/>
      <c r="Z975" s="187"/>
    </row>
    <row r="976" ht="12.75" customHeight="1">
      <c r="A976" s="187"/>
      <c r="B976" s="187"/>
      <c r="C976" s="187"/>
      <c r="D976" s="187"/>
      <c r="E976" s="187"/>
      <c r="F976" s="187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87"/>
      <c r="V976" s="187"/>
      <c r="W976" s="187"/>
      <c r="X976" s="187"/>
      <c r="Y976" s="187"/>
      <c r="Z976" s="187"/>
    </row>
    <row r="977" ht="12.75" customHeight="1">
      <c r="A977" s="187"/>
      <c r="B977" s="187"/>
      <c r="C977" s="187"/>
      <c r="D977" s="187"/>
      <c r="E977" s="187"/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87"/>
      <c r="V977" s="187"/>
      <c r="W977" s="187"/>
      <c r="X977" s="187"/>
      <c r="Y977" s="187"/>
      <c r="Z977" s="187"/>
    </row>
    <row r="978" ht="12.75" customHeight="1">
      <c r="A978" s="187"/>
      <c r="B978" s="187"/>
      <c r="C978" s="187"/>
      <c r="D978" s="187"/>
      <c r="E978" s="187"/>
      <c r="F978" s="187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87"/>
      <c r="V978" s="187"/>
      <c r="W978" s="187"/>
      <c r="X978" s="187"/>
      <c r="Y978" s="187"/>
      <c r="Z978" s="187"/>
    </row>
    <row r="979" ht="12.75" customHeight="1">
      <c r="A979" s="187"/>
      <c r="B979" s="187"/>
      <c r="C979" s="187"/>
      <c r="D979" s="187"/>
      <c r="E979" s="187"/>
      <c r="F979" s="187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87"/>
      <c r="V979" s="187"/>
      <c r="W979" s="187"/>
      <c r="X979" s="187"/>
      <c r="Y979" s="187"/>
      <c r="Z979" s="187"/>
    </row>
    <row r="980" ht="12.75" customHeight="1">
      <c r="A980" s="187"/>
      <c r="B980" s="187"/>
      <c r="C980" s="187"/>
      <c r="D980" s="187"/>
      <c r="E980" s="187"/>
      <c r="F980" s="187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87"/>
      <c r="V980" s="187"/>
      <c r="W980" s="187"/>
      <c r="X980" s="187"/>
      <c r="Y980" s="187"/>
      <c r="Z980" s="187"/>
    </row>
    <row r="981" ht="12.75" customHeight="1">
      <c r="A981" s="187"/>
      <c r="B981" s="187"/>
      <c r="C981" s="187"/>
      <c r="D981" s="187"/>
      <c r="E981" s="187"/>
      <c r="F981" s="187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87"/>
      <c r="V981" s="187"/>
      <c r="W981" s="187"/>
      <c r="X981" s="187"/>
      <c r="Y981" s="187"/>
      <c r="Z981" s="187"/>
    </row>
    <row r="982" ht="12.75" customHeight="1">
      <c r="A982" s="187"/>
      <c r="B982" s="187"/>
      <c r="C982" s="187"/>
      <c r="D982" s="187"/>
      <c r="E982" s="187"/>
      <c r="F982" s="187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87"/>
      <c r="V982" s="187"/>
      <c r="W982" s="187"/>
      <c r="X982" s="187"/>
      <c r="Y982" s="187"/>
      <c r="Z982" s="187"/>
    </row>
    <row r="983" ht="12.75" customHeight="1">
      <c r="A983" s="187"/>
      <c r="B983" s="187"/>
      <c r="C983" s="187"/>
      <c r="D983" s="187"/>
      <c r="E983" s="187"/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87"/>
      <c r="V983" s="187"/>
      <c r="W983" s="187"/>
      <c r="X983" s="187"/>
      <c r="Y983" s="187"/>
      <c r="Z983" s="187"/>
    </row>
    <row r="984" ht="12.75" customHeight="1">
      <c r="A984" s="187"/>
      <c r="B984" s="187"/>
      <c r="C984" s="187"/>
      <c r="D984" s="187"/>
      <c r="E984" s="187"/>
      <c r="F984" s="187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87"/>
      <c r="V984" s="187"/>
      <c r="W984" s="187"/>
      <c r="X984" s="187"/>
      <c r="Y984" s="187"/>
      <c r="Z984" s="187"/>
    </row>
    <row r="985" ht="12.75" customHeight="1">
      <c r="A985" s="187"/>
      <c r="B985" s="187"/>
      <c r="C985" s="187"/>
      <c r="D985" s="187"/>
      <c r="E985" s="187"/>
      <c r="F985" s="187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87"/>
      <c r="V985" s="187"/>
      <c r="W985" s="187"/>
      <c r="X985" s="187"/>
      <c r="Y985" s="187"/>
      <c r="Z985" s="187"/>
    </row>
    <row r="986" ht="12.75" customHeight="1">
      <c r="A986" s="187"/>
      <c r="B986" s="187"/>
      <c r="C986" s="187"/>
      <c r="D986" s="187"/>
      <c r="E986" s="187"/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87"/>
      <c r="V986" s="187"/>
      <c r="W986" s="187"/>
      <c r="X986" s="187"/>
      <c r="Y986" s="187"/>
      <c r="Z986" s="187"/>
    </row>
    <row r="987" ht="12.75" customHeight="1">
      <c r="A987" s="187"/>
      <c r="B987" s="187"/>
      <c r="C987" s="187"/>
      <c r="D987" s="187"/>
      <c r="E987" s="187"/>
      <c r="F987" s="187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87"/>
      <c r="V987" s="187"/>
      <c r="W987" s="187"/>
      <c r="X987" s="187"/>
      <c r="Y987" s="187"/>
      <c r="Z987" s="187"/>
    </row>
    <row r="988" ht="12.75" customHeight="1">
      <c r="A988" s="187"/>
      <c r="B988" s="187"/>
      <c r="C988" s="187"/>
      <c r="D988" s="187"/>
      <c r="E988" s="187"/>
      <c r="F988" s="187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87"/>
      <c r="V988" s="187"/>
      <c r="W988" s="187"/>
      <c r="X988" s="187"/>
      <c r="Y988" s="187"/>
      <c r="Z988" s="187"/>
    </row>
    <row r="989" ht="12.75" customHeight="1">
      <c r="A989" s="187"/>
      <c r="B989" s="187"/>
      <c r="C989" s="187"/>
      <c r="D989" s="187"/>
      <c r="E989" s="187"/>
      <c r="F989" s="187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87"/>
      <c r="V989" s="187"/>
      <c r="W989" s="187"/>
      <c r="X989" s="187"/>
      <c r="Y989" s="187"/>
      <c r="Z989" s="187"/>
    </row>
    <row r="990" ht="12.75" customHeight="1">
      <c r="A990" s="187"/>
      <c r="B990" s="187"/>
      <c r="C990" s="187"/>
      <c r="D990" s="187"/>
      <c r="E990" s="187"/>
      <c r="F990" s="187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87"/>
      <c r="V990" s="187"/>
      <c r="W990" s="187"/>
      <c r="X990" s="187"/>
      <c r="Y990" s="187"/>
      <c r="Z990" s="187"/>
    </row>
    <row r="991" ht="12.75" customHeight="1">
      <c r="A991" s="187"/>
      <c r="B991" s="187"/>
      <c r="C991" s="187"/>
      <c r="D991" s="187"/>
      <c r="E991" s="187"/>
      <c r="F991" s="187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87"/>
      <c r="V991" s="187"/>
      <c r="W991" s="187"/>
      <c r="X991" s="187"/>
      <c r="Y991" s="187"/>
      <c r="Z991" s="187"/>
    </row>
    <row r="992" ht="12.75" customHeight="1">
      <c r="A992" s="187"/>
      <c r="B992" s="187"/>
      <c r="C992" s="187"/>
      <c r="D992" s="187"/>
      <c r="E992" s="187"/>
      <c r="F992" s="187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87"/>
      <c r="V992" s="187"/>
      <c r="W992" s="187"/>
      <c r="X992" s="187"/>
      <c r="Y992" s="187"/>
      <c r="Z992" s="187"/>
    </row>
    <row r="993" ht="12.75" customHeight="1">
      <c r="A993" s="187"/>
      <c r="B993" s="187"/>
      <c r="C993" s="187"/>
      <c r="D993" s="187"/>
      <c r="E993" s="187"/>
      <c r="F993" s="187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87"/>
      <c r="V993" s="187"/>
      <c r="W993" s="187"/>
      <c r="X993" s="187"/>
      <c r="Y993" s="187"/>
      <c r="Z993" s="187"/>
    </row>
    <row r="994" ht="12.75" customHeight="1">
      <c r="A994" s="187"/>
      <c r="B994" s="187"/>
      <c r="C994" s="187"/>
      <c r="D994" s="187"/>
      <c r="E994" s="187"/>
      <c r="F994" s="187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87"/>
      <c r="V994" s="187"/>
      <c r="W994" s="187"/>
      <c r="X994" s="187"/>
      <c r="Y994" s="187"/>
      <c r="Z994" s="187"/>
    </row>
    <row r="995" ht="12.75" customHeight="1">
      <c r="A995" s="187"/>
      <c r="B995" s="187"/>
      <c r="C995" s="187"/>
      <c r="D995" s="187"/>
      <c r="E995" s="187"/>
      <c r="F995" s="187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87"/>
      <c r="V995" s="187"/>
      <c r="W995" s="187"/>
      <c r="X995" s="187"/>
      <c r="Y995" s="187"/>
      <c r="Z995" s="187"/>
    </row>
    <row r="996" ht="12.75" customHeight="1">
      <c r="A996" s="187"/>
      <c r="B996" s="187"/>
      <c r="C996" s="187"/>
      <c r="D996" s="187"/>
      <c r="E996" s="187"/>
      <c r="F996" s="187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87"/>
      <c r="V996" s="187"/>
      <c r="W996" s="187"/>
      <c r="X996" s="187"/>
      <c r="Y996" s="187"/>
      <c r="Z996" s="187"/>
    </row>
    <row r="997" ht="12.75" customHeight="1">
      <c r="A997" s="187"/>
      <c r="B997" s="187"/>
      <c r="C997" s="187"/>
      <c r="D997" s="187"/>
      <c r="E997" s="187"/>
      <c r="F997" s="187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87"/>
      <c r="V997" s="187"/>
      <c r="W997" s="187"/>
      <c r="X997" s="187"/>
      <c r="Y997" s="187"/>
      <c r="Z997" s="187"/>
    </row>
    <row r="998" ht="12.75" customHeight="1">
      <c r="A998" s="187"/>
      <c r="B998" s="187"/>
      <c r="C998" s="187"/>
      <c r="D998" s="187"/>
      <c r="E998" s="187"/>
      <c r="F998" s="187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87"/>
      <c r="V998" s="187"/>
      <c r="W998" s="187"/>
      <c r="X998" s="187"/>
      <c r="Y998" s="187"/>
      <c r="Z998" s="187"/>
    </row>
    <row r="999" ht="12.75" customHeight="1">
      <c r="A999" s="187"/>
      <c r="B999" s="187"/>
      <c r="C999" s="187"/>
      <c r="D999" s="187"/>
      <c r="E999" s="187"/>
      <c r="F999" s="187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87"/>
      <c r="V999" s="187"/>
      <c r="W999" s="187"/>
      <c r="X999" s="187"/>
      <c r="Y999" s="187"/>
      <c r="Z999" s="187"/>
    </row>
    <row r="1000" ht="12.75" customHeight="1">
      <c r="A1000" s="187"/>
      <c r="B1000" s="187"/>
      <c r="C1000" s="187"/>
      <c r="D1000" s="187"/>
      <c r="E1000" s="187"/>
      <c r="F1000" s="187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87"/>
      <c r="V1000" s="187"/>
      <c r="W1000" s="187"/>
      <c r="X1000" s="187"/>
      <c r="Y1000" s="187"/>
      <c r="Z1000" s="187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paperSize="9" scale="6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3" width="5.63"/>
    <col customWidth="1" min="14" max="15" width="9.13"/>
    <col customWidth="1" min="16" max="26" width="8.0"/>
  </cols>
  <sheetData>
    <row r="1" ht="12.75" customHeight="1">
      <c r="A1" s="187"/>
      <c r="B1" s="187"/>
      <c r="C1" s="188" t="s">
        <v>228</v>
      </c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</row>
    <row r="2" ht="12.75" customHeight="1">
      <c r="A2" s="187"/>
      <c r="B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</row>
    <row r="3" ht="12.75" customHeight="1">
      <c r="A3" s="187"/>
      <c r="B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</row>
    <row r="4" ht="12.75" customHeight="1">
      <c r="A4" s="187"/>
      <c r="B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</row>
    <row r="5" ht="13.5" customHeight="1">
      <c r="A5" s="187"/>
      <c r="B5" s="187"/>
      <c r="C5" s="262"/>
      <c r="D5" s="262"/>
      <c r="E5" s="262"/>
      <c r="F5" s="262"/>
      <c r="G5" s="262"/>
      <c r="H5" s="262"/>
      <c r="I5" s="262"/>
      <c r="J5" s="262"/>
      <c r="K5" s="262"/>
      <c r="L5" s="262"/>
      <c r="M5" s="262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</row>
    <row r="6" ht="20.25" customHeight="1">
      <c r="A6" s="187"/>
      <c r="B6" s="187"/>
      <c r="C6" s="189" t="s">
        <v>348</v>
      </c>
      <c r="D6" s="103"/>
      <c r="E6" s="103"/>
      <c r="F6" s="103"/>
      <c r="G6" s="103"/>
      <c r="H6" s="103"/>
      <c r="I6" s="103"/>
      <c r="J6" s="103"/>
      <c r="K6" s="103"/>
      <c r="L6" s="103"/>
      <c r="M6" s="104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</row>
    <row r="7" ht="4.5" customHeight="1">
      <c r="A7" s="187"/>
      <c r="B7" s="187"/>
      <c r="C7" s="190"/>
      <c r="D7" s="191"/>
      <c r="E7" s="191"/>
      <c r="F7" s="191"/>
      <c r="G7" s="191"/>
      <c r="H7" s="191"/>
      <c r="I7" s="191"/>
      <c r="J7" s="191"/>
      <c r="K7" s="191"/>
      <c r="L7" s="191"/>
      <c r="M7" s="192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</row>
    <row r="8" ht="4.5" customHeight="1">
      <c r="A8" s="187"/>
      <c r="B8" s="187"/>
      <c r="C8" s="193"/>
      <c r="D8" s="194"/>
      <c r="E8" s="194"/>
      <c r="F8" s="194"/>
      <c r="G8" s="194"/>
      <c r="H8" s="194"/>
      <c r="I8" s="194"/>
      <c r="J8" s="194"/>
      <c r="K8" s="194"/>
      <c r="L8" s="194"/>
      <c r="M8" s="195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</row>
    <row r="9" ht="12.75" customHeight="1">
      <c r="A9" s="187"/>
      <c r="B9" s="187"/>
      <c r="C9" s="196" t="s">
        <v>195</v>
      </c>
      <c r="D9" s="191"/>
      <c r="E9" s="191"/>
      <c r="F9" s="191"/>
      <c r="G9" s="191"/>
      <c r="H9" s="191"/>
      <c r="I9" s="191"/>
      <c r="J9" s="191"/>
      <c r="K9" s="191"/>
      <c r="L9" s="191"/>
      <c r="M9" s="192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</row>
    <row r="10" ht="12.75" customHeight="1">
      <c r="A10" s="187"/>
      <c r="B10" s="187"/>
      <c r="C10" s="193"/>
      <c r="D10" s="194"/>
      <c r="E10" s="194"/>
      <c r="F10" s="194"/>
      <c r="G10" s="194"/>
      <c r="H10" s="194"/>
      <c r="I10" s="194"/>
      <c r="J10" s="194"/>
      <c r="K10" s="194"/>
      <c r="L10" s="194"/>
      <c r="M10" s="195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</row>
    <row r="11" ht="19.5" customHeight="1">
      <c r="A11" s="187"/>
      <c r="B11" s="187"/>
      <c r="C11" s="197" t="s">
        <v>196</v>
      </c>
      <c r="D11" s="198" t="s">
        <v>197</v>
      </c>
      <c r="E11" s="199" t="s">
        <v>177</v>
      </c>
      <c r="F11" s="200"/>
      <c r="G11" s="198" t="s">
        <v>198</v>
      </c>
      <c r="H11" s="199" t="s">
        <v>220</v>
      </c>
      <c r="I11" s="200"/>
      <c r="J11" s="201" t="s">
        <v>199</v>
      </c>
      <c r="K11" s="200"/>
      <c r="L11" s="201" t="s">
        <v>200</v>
      </c>
      <c r="M11" s="202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</row>
    <row r="12" ht="12.75" customHeight="1">
      <c r="A12" s="187"/>
      <c r="B12" s="187"/>
      <c r="C12" s="203"/>
      <c r="M12" s="204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</row>
    <row r="13" ht="13.5" customHeight="1">
      <c r="A13" s="187"/>
      <c r="B13" s="187"/>
      <c r="C13" s="205" t="s">
        <v>201</v>
      </c>
      <c r="D13" s="206" t="s">
        <v>207</v>
      </c>
      <c r="E13" s="207" t="s">
        <v>17</v>
      </c>
      <c r="F13" s="207" t="s">
        <v>24</v>
      </c>
      <c r="G13" s="208" t="s">
        <v>198</v>
      </c>
      <c r="H13" s="207" t="s">
        <v>27</v>
      </c>
      <c r="I13" s="207" t="s">
        <v>33</v>
      </c>
      <c r="J13" s="209">
        <v>6.0</v>
      </c>
      <c r="K13" s="210">
        <v>4.0</v>
      </c>
      <c r="L13" s="211">
        <f>IF(AND(J13&gt;K13,J14&gt;K14),2,IF(J13&gt;K13,1,IF(J14&gt;K14,1,0)))</f>
        <v>2</v>
      </c>
      <c r="M13" s="211">
        <f>IF(AND(K13&gt;J13,K14&gt;J14),2,IF(K13&gt;J13,1,IF(K14&gt;J14,1,0)))</f>
        <v>0</v>
      </c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</row>
    <row r="14" ht="12.75" customHeight="1">
      <c r="A14" s="187"/>
      <c r="B14" s="187"/>
      <c r="C14" s="212"/>
      <c r="D14" s="213"/>
      <c r="E14" s="213"/>
      <c r="F14" s="213"/>
      <c r="G14" s="213"/>
      <c r="H14" s="213"/>
      <c r="I14" s="213"/>
      <c r="J14" s="214">
        <v>6.0</v>
      </c>
      <c r="K14" s="215">
        <v>1.0</v>
      </c>
      <c r="L14" s="213"/>
      <c r="M14" s="213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</row>
    <row r="15" ht="4.5" customHeight="1">
      <c r="A15" s="187"/>
      <c r="B15" s="187"/>
      <c r="C15" s="216"/>
      <c r="D15" s="23"/>
      <c r="E15" s="23"/>
      <c r="F15" s="23"/>
      <c r="G15" s="23"/>
      <c r="H15" s="23"/>
      <c r="I15" s="23"/>
      <c r="J15" s="23"/>
      <c r="K15" s="23"/>
      <c r="L15" s="23"/>
      <c r="M15" s="202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</row>
    <row r="16" ht="12.75" customHeight="1">
      <c r="A16" s="187"/>
      <c r="B16" s="187"/>
      <c r="C16" s="205" t="s">
        <v>204</v>
      </c>
      <c r="D16" s="206" t="s">
        <v>202</v>
      </c>
      <c r="E16" s="207" t="s">
        <v>104</v>
      </c>
      <c r="F16" s="207" t="s">
        <v>110</v>
      </c>
      <c r="G16" s="208" t="s">
        <v>198</v>
      </c>
      <c r="H16" s="207" t="s">
        <v>252</v>
      </c>
      <c r="I16" s="207" t="s">
        <v>107</v>
      </c>
      <c r="J16" s="209">
        <v>0.0</v>
      </c>
      <c r="K16" s="210">
        <v>6.0</v>
      </c>
      <c r="L16" s="211">
        <f>IF(AND(J16&gt;K16,J17&gt;K17),2,IF(J16&gt;K16,1,IF(J17&gt;K17,1,0)))</f>
        <v>0</v>
      </c>
      <c r="M16" s="211">
        <f>IF(AND(K16&gt;J16,K17&gt;J17),2,IF(K16&gt;J16,1,IF(K17&gt;J17,1,0)))</f>
        <v>2</v>
      </c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</row>
    <row r="17" ht="12.75" customHeight="1">
      <c r="A17" s="187"/>
      <c r="B17" s="187"/>
      <c r="C17" s="212"/>
      <c r="D17" s="213"/>
      <c r="E17" s="213"/>
      <c r="F17" s="213"/>
      <c r="G17" s="213"/>
      <c r="H17" s="213"/>
      <c r="I17" s="213"/>
      <c r="J17" s="214">
        <v>2.0</v>
      </c>
      <c r="K17" s="215">
        <v>6.0</v>
      </c>
      <c r="L17" s="213"/>
      <c r="M17" s="213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</row>
    <row r="18" ht="4.5" customHeight="1">
      <c r="A18" s="187"/>
      <c r="B18" s="187"/>
      <c r="C18" s="217"/>
      <c r="D18" s="23"/>
      <c r="E18" s="23"/>
      <c r="F18" s="23"/>
      <c r="G18" s="23"/>
      <c r="H18" s="23"/>
      <c r="I18" s="23"/>
      <c r="J18" s="23"/>
      <c r="K18" s="23"/>
      <c r="L18" s="23"/>
      <c r="M18" s="202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</row>
    <row r="19" ht="12.75" customHeight="1">
      <c r="A19" s="187"/>
      <c r="B19" s="187"/>
      <c r="C19" s="205" t="s">
        <v>206</v>
      </c>
      <c r="D19" s="206" t="s">
        <v>205</v>
      </c>
      <c r="E19" s="207" t="s">
        <v>120</v>
      </c>
      <c r="F19" s="207" t="s">
        <v>126</v>
      </c>
      <c r="G19" s="219" t="s">
        <v>198</v>
      </c>
      <c r="H19" s="207" t="s">
        <v>123</v>
      </c>
      <c r="I19" s="207" t="s">
        <v>129</v>
      </c>
      <c r="J19" s="209">
        <v>1.0</v>
      </c>
      <c r="K19" s="210">
        <v>6.0</v>
      </c>
      <c r="L19" s="211">
        <f>IF(AND(J19&gt;K19,J20&gt;K20),2,IF(J19&gt;K19,1,IF(J20&gt;K20,1,0)))</f>
        <v>0</v>
      </c>
      <c r="M19" s="211">
        <f>IF(AND(K19&gt;J19,K20&gt;J20),2,IF(K19&gt;J19,1,IF(K20&gt;J20,1,0)))</f>
        <v>2</v>
      </c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</row>
    <row r="20" ht="12.75" customHeight="1">
      <c r="A20" s="187"/>
      <c r="B20" s="187"/>
      <c r="C20" s="212"/>
      <c r="D20" s="213"/>
      <c r="E20" s="213"/>
      <c r="F20" s="213"/>
      <c r="G20" s="213"/>
      <c r="H20" s="213"/>
      <c r="I20" s="213"/>
      <c r="J20" s="214">
        <v>6.0</v>
      </c>
      <c r="K20" s="215">
        <v>7.0</v>
      </c>
      <c r="L20" s="213"/>
      <c r="M20" s="213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</row>
    <row r="21" ht="4.5" customHeight="1">
      <c r="A21" s="187"/>
      <c r="B21" s="187"/>
      <c r="C21" s="217"/>
      <c r="D21" s="23"/>
      <c r="E21" s="23"/>
      <c r="F21" s="23"/>
      <c r="G21" s="23"/>
      <c r="H21" s="23"/>
      <c r="I21" s="23"/>
      <c r="J21" s="23"/>
      <c r="K21" s="23"/>
      <c r="L21" s="23"/>
      <c r="M21" s="202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</row>
    <row r="22" ht="12.75" customHeight="1">
      <c r="A22" s="187"/>
      <c r="B22" s="187"/>
      <c r="C22" s="205" t="s">
        <v>204</v>
      </c>
      <c r="D22" s="235" t="s">
        <v>209</v>
      </c>
      <c r="E22" s="207" t="s">
        <v>132</v>
      </c>
      <c r="F22" s="207" t="s">
        <v>138</v>
      </c>
      <c r="G22" s="219" t="s">
        <v>198</v>
      </c>
      <c r="H22" s="207" t="s">
        <v>270</v>
      </c>
      <c r="I22" s="207" t="s">
        <v>141</v>
      </c>
      <c r="J22" s="209">
        <v>6.0</v>
      </c>
      <c r="K22" s="210">
        <v>3.0</v>
      </c>
      <c r="L22" s="211">
        <f>IF(AND(J22&gt;K22,J23&gt;K23),2,IF(J22&gt;K22,1,IF(J23&gt;K23,1,0)))</f>
        <v>1</v>
      </c>
      <c r="M22" s="211">
        <f>IF(AND(K22&gt;J22,K23&gt;J23),2,IF(K22&gt;J22,1,IF(K23&gt;J23,1,0)))</f>
        <v>1</v>
      </c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</row>
    <row r="23" ht="12.75" customHeight="1">
      <c r="A23" s="187"/>
      <c r="B23" s="187"/>
      <c r="C23" s="212"/>
      <c r="D23" s="213"/>
      <c r="E23" s="213"/>
      <c r="F23" s="213"/>
      <c r="G23" s="213"/>
      <c r="H23" s="213"/>
      <c r="I23" s="213"/>
      <c r="J23" s="214">
        <v>6.0</v>
      </c>
      <c r="K23" s="215">
        <v>7.0</v>
      </c>
      <c r="L23" s="213"/>
      <c r="M23" s="213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</row>
    <row r="24" ht="4.5" customHeight="1">
      <c r="A24" s="187"/>
      <c r="B24" s="187"/>
      <c r="C24" s="217"/>
      <c r="D24" s="23"/>
      <c r="E24" s="23"/>
      <c r="F24" s="23"/>
      <c r="G24" s="23"/>
      <c r="H24" s="23"/>
      <c r="I24" s="23"/>
      <c r="J24" s="23"/>
      <c r="K24" s="23"/>
      <c r="L24" s="23"/>
      <c r="M24" s="202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</row>
    <row r="25" ht="12.75" customHeight="1">
      <c r="A25" s="187"/>
      <c r="B25" s="187"/>
      <c r="C25" s="220" t="s">
        <v>349</v>
      </c>
      <c r="D25" s="23"/>
      <c r="E25" s="23"/>
      <c r="F25" s="23"/>
      <c r="G25" s="23"/>
      <c r="H25" s="23"/>
      <c r="I25" s="200"/>
      <c r="J25" s="221">
        <f t="shared" ref="J25:M25" si="1">SUM(J13:J23)</f>
        <v>33</v>
      </c>
      <c r="K25" s="222">
        <f t="shared" si="1"/>
        <v>40</v>
      </c>
      <c r="L25" s="221">
        <f t="shared" si="1"/>
        <v>3</v>
      </c>
      <c r="M25" s="223">
        <f t="shared" si="1"/>
        <v>5</v>
      </c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</row>
    <row r="26" ht="4.5" customHeight="1">
      <c r="A26" s="187"/>
      <c r="B26" s="187"/>
      <c r="C26" s="224"/>
      <c r="D26" s="23"/>
      <c r="E26" s="23"/>
      <c r="F26" s="23"/>
      <c r="G26" s="23"/>
      <c r="H26" s="23"/>
      <c r="I26" s="23"/>
      <c r="J26" s="23"/>
      <c r="K26" s="23"/>
      <c r="L26" s="23"/>
      <c r="M26" s="202"/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</row>
    <row r="27" ht="12.75" customHeight="1">
      <c r="A27" s="187"/>
      <c r="B27" s="187"/>
      <c r="C27" s="225"/>
      <c r="D27" s="23"/>
      <c r="E27" s="23"/>
      <c r="F27" s="23"/>
      <c r="G27" s="23"/>
      <c r="H27" s="23"/>
      <c r="I27" s="23"/>
      <c r="J27" s="23"/>
      <c r="K27" s="23"/>
      <c r="L27" s="23"/>
      <c r="M27" s="202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</row>
    <row r="28" ht="12.75" customHeight="1">
      <c r="A28" s="187"/>
      <c r="B28" s="187"/>
      <c r="C28" s="218" t="s">
        <v>211</v>
      </c>
      <c r="D28" s="206" t="s">
        <v>216</v>
      </c>
      <c r="E28" s="207" t="s">
        <v>57</v>
      </c>
      <c r="F28" s="207" t="s">
        <v>64</v>
      </c>
      <c r="G28" s="208" t="s">
        <v>198</v>
      </c>
      <c r="H28" s="207" t="s">
        <v>251</v>
      </c>
      <c r="I28" s="207" t="s">
        <v>74</v>
      </c>
      <c r="J28" s="209">
        <v>7.0</v>
      </c>
      <c r="K28" s="210">
        <v>5.0</v>
      </c>
      <c r="L28" s="211">
        <f>IF(AND(J28&gt;K28,J29&gt;K29),2,IF(J28&gt;K28,1,IF(J29&gt;K29,1,0)))</f>
        <v>1</v>
      </c>
      <c r="M28" s="211">
        <f>IF(AND(K28&gt;J28,K29&gt;J29),2,IF(K28&gt;J28,1,IF(K29&gt;J29,1,0)))</f>
        <v>1</v>
      </c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</row>
    <row r="29" ht="12.75" customHeight="1">
      <c r="A29" s="187"/>
      <c r="B29" s="187"/>
      <c r="C29" s="212"/>
      <c r="D29" s="213"/>
      <c r="E29" s="213"/>
      <c r="F29" s="213"/>
      <c r="G29" s="213"/>
      <c r="H29" s="213"/>
      <c r="I29" s="213"/>
      <c r="J29" s="214">
        <v>3.0</v>
      </c>
      <c r="K29" s="215">
        <v>6.0</v>
      </c>
      <c r="L29" s="213"/>
      <c r="M29" s="213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</row>
    <row r="30" ht="4.5" customHeight="1">
      <c r="A30" s="187"/>
      <c r="B30" s="187"/>
      <c r="C30" s="216"/>
      <c r="D30" s="23"/>
      <c r="E30" s="23"/>
      <c r="F30" s="23"/>
      <c r="G30" s="23"/>
      <c r="H30" s="23"/>
      <c r="I30" s="23"/>
      <c r="J30" s="23"/>
      <c r="K30" s="23"/>
      <c r="L30" s="23"/>
      <c r="M30" s="202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</row>
    <row r="31" ht="12.75" customHeight="1">
      <c r="A31" s="226"/>
      <c r="B31" s="187"/>
      <c r="C31" s="218" t="s">
        <v>213</v>
      </c>
      <c r="D31" s="206" t="s">
        <v>214</v>
      </c>
      <c r="E31" s="207" t="s">
        <v>77</v>
      </c>
      <c r="F31" s="207" t="s">
        <v>84</v>
      </c>
      <c r="G31" s="208" t="s">
        <v>198</v>
      </c>
      <c r="H31" s="207" t="s">
        <v>80</v>
      </c>
      <c r="I31" s="207" t="s">
        <v>94</v>
      </c>
      <c r="J31" s="209">
        <v>0.0</v>
      </c>
      <c r="K31" s="210">
        <v>6.0</v>
      </c>
      <c r="L31" s="211">
        <f>IF(AND(J31&gt;K31,J32&gt;K32),2,IF(J31&gt;K31,1,IF(J32&gt;K32,1,0)))</f>
        <v>1</v>
      </c>
      <c r="M31" s="211">
        <f>IF(AND(K31&gt;J31,K32&gt;J32),2,IF(K31&gt;J31,1,IF(K32&gt;J32,1,0)))</f>
        <v>1</v>
      </c>
      <c r="N31" s="245" t="s">
        <v>292</v>
      </c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</row>
    <row r="32" ht="12.75" customHeight="1">
      <c r="A32" s="226"/>
      <c r="B32" s="187"/>
      <c r="C32" s="212"/>
      <c r="D32" s="213"/>
      <c r="E32" s="213"/>
      <c r="F32" s="213"/>
      <c r="G32" s="213"/>
      <c r="H32" s="213"/>
      <c r="I32" s="213"/>
      <c r="J32" s="214">
        <v>6.0</v>
      </c>
      <c r="K32" s="215">
        <v>4.0</v>
      </c>
      <c r="L32" s="213"/>
      <c r="M32" s="213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</row>
    <row r="33" ht="4.5" customHeight="1">
      <c r="A33" s="187"/>
      <c r="B33" s="187"/>
      <c r="C33" s="217"/>
      <c r="D33" s="23"/>
      <c r="E33" s="23"/>
      <c r="F33" s="23"/>
      <c r="G33" s="23"/>
      <c r="H33" s="23"/>
      <c r="I33" s="23"/>
      <c r="J33" s="23"/>
      <c r="K33" s="23"/>
      <c r="L33" s="23"/>
      <c r="M33" s="202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</row>
    <row r="34" ht="12.75" customHeight="1">
      <c r="A34" s="187"/>
      <c r="B34" s="187"/>
      <c r="C34" s="218" t="s">
        <v>208</v>
      </c>
      <c r="D34" s="206" t="s">
        <v>212</v>
      </c>
      <c r="E34" s="207" t="s">
        <v>37</v>
      </c>
      <c r="F34" s="207" t="s">
        <v>9</v>
      </c>
      <c r="G34" s="208" t="s">
        <v>198</v>
      </c>
      <c r="H34" s="207" t="s">
        <v>40</v>
      </c>
      <c r="I34" s="207" t="s">
        <v>46</v>
      </c>
      <c r="J34" s="209">
        <v>2.0</v>
      </c>
      <c r="K34" s="210">
        <v>6.0</v>
      </c>
      <c r="L34" s="211">
        <f>IF(AND(J34&gt;K34,J35&gt;K35),2,IF(J34&gt;K34,1,IF(J35&gt;K35,1,0)))</f>
        <v>1</v>
      </c>
      <c r="M34" s="211">
        <f>IF(AND(K34&gt;J34,K35&gt;J35),2,IF(K34&gt;J34,1,IF(K35&gt;J35,1,0)))</f>
        <v>1</v>
      </c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</row>
    <row r="35" ht="12.75" customHeight="1">
      <c r="A35" s="187"/>
      <c r="B35" s="187"/>
      <c r="C35" s="212"/>
      <c r="D35" s="213"/>
      <c r="E35" s="213"/>
      <c r="F35" s="213"/>
      <c r="G35" s="213"/>
      <c r="H35" s="213"/>
      <c r="I35" s="213"/>
      <c r="J35" s="214">
        <v>6.0</v>
      </c>
      <c r="K35" s="215">
        <v>4.0</v>
      </c>
      <c r="L35" s="213"/>
      <c r="M35" s="213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</row>
    <row r="36" ht="4.5" customHeight="1">
      <c r="A36" s="187"/>
      <c r="B36" s="187"/>
      <c r="C36" s="217"/>
      <c r="D36" s="23"/>
      <c r="E36" s="23"/>
      <c r="F36" s="23"/>
      <c r="G36" s="23"/>
      <c r="H36" s="23"/>
      <c r="I36" s="23"/>
      <c r="J36" s="23"/>
      <c r="K36" s="23"/>
      <c r="L36" s="23"/>
      <c r="M36" s="202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</row>
    <row r="37" ht="12.75" customHeight="1">
      <c r="A37" s="187"/>
      <c r="B37" s="187"/>
      <c r="C37" s="205" t="s">
        <v>237</v>
      </c>
      <c r="D37" s="248"/>
      <c r="E37" s="211"/>
      <c r="F37" s="211"/>
      <c r="G37" s="208"/>
      <c r="H37" s="211"/>
      <c r="I37" s="211"/>
      <c r="J37" s="249"/>
      <c r="K37" s="250"/>
      <c r="L37" s="211">
        <f>IF(AND(J37&gt;K37,J38&gt;K38),2,IF(J37&gt;K37,1,IF(J38&gt;K38,1,0)))</f>
        <v>0</v>
      </c>
      <c r="M37" s="211">
        <f>IF(AND(K37&gt;J37,K38&gt;J38),2,IF(K37&gt;J37,1,IF(K38&gt;J38,1,0)))</f>
        <v>0</v>
      </c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</row>
    <row r="38" ht="12.75" customHeight="1">
      <c r="A38" s="187"/>
      <c r="B38" s="187"/>
      <c r="C38" s="212"/>
      <c r="D38" s="213"/>
      <c r="E38" s="213"/>
      <c r="F38" s="213"/>
      <c r="G38" s="213"/>
      <c r="H38" s="213"/>
      <c r="I38" s="213"/>
      <c r="J38" s="251"/>
      <c r="K38" s="252"/>
      <c r="L38" s="213"/>
      <c r="M38" s="213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</row>
    <row r="39" ht="4.5" customHeight="1">
      <c r="A39" s="187"/>
      <c r="B39" s="187"/>
      <c r="C39" s="217"/>
      <c r="D39" s="23"/>
      <c r="E39" s="23"/>
      <c r="F39" s="23"/>
      <c r="G39" s="23"/>
      <c r="H39" s="23"/>
      <c r="I39" s="23"/>
      <c r="J39" s="23"/>
      <c r="K39" s="23"/>
      <c r="L39" s="23"/>
      <c r="M39" s="202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</row>
    <row r="40" ht="12.75" customHeight="1">
      <c r="A40" s="187"/>
      <c r="B40" s="187"/>
      <c r="C40" s="220" t="s">
        <v>350</v>
      </c>
      <c r="D40" s="23"/>
      <c r="E40" s="23"/>
      <c r="F40" s="23"/>
      <c r="G40" s="23"/>
      <c r="H40" s="23"/>
      <c r="I40" s="200"/>
      <c r="J40" s="221">
        <f t="shared" ref="J40:M40" si="2">SUM(J28:J38)</f>
        <v>24</v>
      </c>
      <c r="K40" s="222">
        <f t="shared" si="2"/>
        <v>31</v>
      </c>
      <c r="L40" s="221">
        <f t="shared" si="2"/>
        <v>3</v>
      </c>
      <c r="M40" s="223">
        <f t="shared" si="2"/>
        <v>3</v>
      </c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</row>
    <row r="41" ht="4.5" customHeight="1">
      <c r="A41" s="187"/>
      <c r="B41" s="187"/>
      <c r="C41" s="224"/>
      <c r="D41" s="23"/>
      <c r="E41" s="23"/>
      <c r="F41" s="23"/>
      <c r="G41" s="23"/>
      <c r="H41" s="23"/>
      <c r="I41" s="23"/>
      <c r="J41" s="23"/>
      <c r="K41" s="23"/>
      <c r="L41" s="23"/>
      <c r="M41" s="202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</row>
    <row r="42" ht="12.75" customHeight="1">
      <c r="A42" s="187"/>
      <c r="B42" s="187"/>
      <c r="C42" s="228" t="s">
        <v>351</v>
      </c>
      <c r="D42" s="23"/>
      <c r="E42" s="23"/>
      <c r="F42" s="23"/>
      <c r="G42" s="23"/>
      <c r="H42" s="23"/>
      <c r="I42" s="200"/>
      <c r="J42" s="229">
        <f t="shared" ref="J42:M42" si="3">J40+J25</f>
        <v>57</v>
      </c>
      <c r="K42" s="230">
        <f t="shared" si="3"/>
        <v>71</v>
      </c>
      <c r="L42" s="231">
        <f t="shared" si="3"/>
        <v>6</v>
      </c>
      <c r="M42" s="232">
        <f t="shared" si="3"/>
        <v>8</v>
      </c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</row>
    <row r="43" ht="6.75" customHeight="1">
      <c r="A43" s="187"/>
      <c r="B43" s="187"/>
      <c r="C43" s="233"/>
      <c r="D43" s="23"/>
      <c r="E43" s="23"/>
      <c r="F43" s="23"/>
      <c r="G43" s="23"/>
      <c r="H43" s="23"/>
      <c r="I43" s="23"/>
      <c r="J43" s="23"/>
      <c r="K43" s="23"/>
      <c r="L43" s="23"/>
      <c r="M43" s="202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</row>
    <row r="44" ht="7.5" customHeight="1">
      <c r="A44" s="187"/>
      <c r="B44" s="187"/>
      <c r="C44" s="196" t="s">
        <v>219</v>
      </c>
      <c r="D44" s="191"/>
      <c r="E44" s="191"/>
      <c r="F44" s="191"/>
      <c r="G44" s="191"/>
      <c r="H44" s="191"/>
      <c r="I44" s="191"/>
      <c r="J44" s="191"/>
      <c r="K44" s="191"/>
      <c r="L44" s="191"/>
      <c r="M44" s="192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</row>
    <row r="45" ht="12.75" customHeight="1">
      <c r="A45" s="187"/>
      <c r="B45" s="187"/>
      <c r="C45" s="193"/>
      <c r="D45" s="194"/>
      <c r="E45" s="194"/>
      <c r="F45" s="194"/>
      <c r="G45" s="194"/>
      <c r="H45" s="194"/>
      <c r="I45" s="194"/>
      <c r="J45" s="194"/>
      <c r="K45" s="194"/>
      <c r="L45" s="194"/>
      <c r="M45" s="195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</row>
    <row r="46" ht="26.25" customHeight="1">
      <c r="A46" s="187"/>
      <c r="B46" s="187"/>
      <c r="C46" s="197" t="s">
        <v>196</v>
      </c>
      <c r="D46" s="198" t="s">
        <v>197</v>
      </c>
      <c r="E46" s="199" t="s">
        <v>180</v>
      </c>
      <c r="F46" s="200"/>
      <c r="G46" s="198"/>
      <c r="H46" s="199" t="s">
        <v>181</v>
      </c>
      <c r="I46" s="200"/>
      <c r="J46" s="201" t="s">
        <v>199</v>
      </c>
      <c r="K46" s="200"/>
      <c r="L46" s="201" t="s">
        <v>200</v>
      </c>
      <c r="M46" s="202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</row>
    <row r="47" ht="12.75" customHeight="1">
      <c r="A47" s="187"/>
      <c r="B47" s="187"/>
      <c r="C47" s="234"/>
      <c r="D47" s="23"/>
      <c r="E47" s="23"/>
      <c r="F47" s="23"/>
      <c r="G47" s="23"/>
      <c r="H47" s="23"/>
      <c r="I47" s="23"/>
      <c r="J47" s="23"/>
      <c r="K47" s="23"/>
      <c r="L47" s="23"/>
      <c r="M47" s="202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</row>
    <row r="48" ht="12.75" customHeight="1">
      <c r="A48" s="187"/>
      <c r="B48" s="187"/>
      <c r="C48" s="205" t="s">
        <v>201</v>
      </c>
      <c r="D48" s="206" t="s">
        <v>207</v>
      </c>
      <c r="E48" s="207" t="s">
        <v>18</v>
      </c>
      <c r="F48" s="207" t="s">
        <v>32</v>
      </c>
      <c r="G48" s="208" t="s">
        <v>198</v>
      </c>
      <c r="H48" s="207" t="s">
        <v>26</v>
      </c>
      <c r="I48" s="207" t="s">
        <v>11</v>
      </c>
      <c r="J48" s="209">
        <v>6.0</v>
      </c>
      <c r="K48" s="210">
        <v>1.0</v>
      </c>
      <c r="L48" s="211">
        <f>IF(AND(J48&gt;K48,J49&gt;K49),2,IF(J48&gt;K48,1,IF(J49&gt;K49,1,0)))</f>
        <v>1</v>
      </c>
      <c r="M48" s="211">
        <f>IF(AND(K48&gt;J48,K49&gt;J49),2,IF(K48&gt;J48,1,IF(K49&gt;J49,1,0)))</f>
        <v>1</v>
      </c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</row>
    <row r="49" ht="12.75" customHeight="1">
      <c r="A49" s="187"/>
      <c r="B49" s="187"/>
      <c r="C49" s="212"/>
      <c r="D49" s="213"/>
      <c r="E49" s="213"/>
      <c r="F49" s="213"/>
      <c r="G49" s="213"/>
      <c r="H49" s="213"/>
      <c r="I49" s="213"/>
      <c r="J49" s="214">
        <v>2.0</v>
      </c>
      <c r="K49" s="215">
        <v>6.0</v>
      </c>
      <c r="L49" s="213"/>
      <c r="M49" s="213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 ht="4.5" customHeight="1">
      <c r="A50" s="187"/>
      <c r="B50" s="187"/>
      <c r="C50" s="216"/>
      <c r="D50" s="23"/>
      <c r="E50" s="23"/>
      <c r="F50" s="23"/>
      <c r="G50" s="23"/>
      <c r="H50" s="23"/>
      <c r="I50" s="23"/>
      <c r="J50" s="23"/>
      <c r="K50" s="23"/>
      <c r="L50" s="23"/>
      <c r="M50" s="202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 ht="12.75" customHeight="1">
      <c r="A51" s="187"/>
      <c r="B51" s="187"/>
      <c r="C51" s="205" t="s">
        <v>204</v>
      </c>
      <c r="D51" s="206" t="s">
        <v>212</v>
      </c>
      <c r="E51" s="207" t="s">
        <v>38</v>
      </c>
      <c r="F51" s="207" t="s">
        <v>44</v>
      </c>
      <c r="G51" s="208" t="s">
        <v>198</v>
      </c>
      <c r="H51" s="207" t="s">
        <v>39</v>
      </c>
      <c r="I51" s="207" t="s">
        <v>52</v>
      </c>
      <c r="J51" s="209">
        <v>0.0</v>
      </c>
      <c r="K51" s="210">
        <v>6.0</v>
      </c>
      <c r="L51" s="211">
        <f>IF(AND(J51&gt;K51,J52&gt;K52),2,IF(J51&gt;K51,1,IF(J52&gt;K52,1,0)))</f>
        <v>0</v>
      </c>
      <c r="M51" s="211">
        <f>IF(AND(K51&gt;J51,K52&gt;J52),2,IF(K51&gt;J51,1,IF(K52&gt;J52,1,0)))</f>
        <v>2</v>
      </c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 ht="12.75" customHeight="1">
      <c r="A52" s="187"/>
      <c r="B52" s="187"/>
      <c r="C52" s="212"/>
      <c r="D52" s="213"/>
      <c r="E52" s="213"/>
      <c r="F52" s="213"/>
      <c r="G52" s="213"/>
      <c r="H52" s="213"/>
      <c r="I52" s="213"/>
      <c r="J52" s="214">
        <v>0.0</v>
      </c>
      <c r="K52" s="215">
        <v>6.0</v>
      </c>
      <c r="L52" s="213"/>
      <c r="M52" s="213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 ht="4.5" customHeight="1">
      <c r="A53" s="187"/>
      <c r="B53" s="187"/>
      <c r="C53" s="217"/>
      <c r="D53" s="23"/>
      <c r="E53" s="23"/>
      <c r="F53" s="23"/>
      <c r="G53" s="23"/>
      <c r="H53" s="23"/>
      <c r="I53" s="23"/>
      <c r="J53" s="23"/>
      <c r="K53" s="23"/>
      <c r="L53" s="23"/>
      <c r="M53" s="202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  <row r="54" ht="12.75" customHeight="1">
      <c r="A54" s="187"/>
      <c r="B54" s="187"/>
      <c r="C54" s="205" t="s">
        <v>206</v>
      </c>
      <c r="D54" s="206" t="s">
        <v>205</v>
      </c>
      <c r="E54" s="207" t="s">
        <v>352</v>
      </c>
      <c r="F54" s="207" t="s">
        <v>353</v>
      </c>
      <c r="G54" s="208" t="s">
        <v>198</v>
      </c>
      <c r="H54" s="207" t="s">
        <v>117</v>
      </c>
      <c r="I54" s="207" t="s">
        <v>122</v>
      </c>
      <c r="J54" s="209">
        <v>2.0</v>
      </c>
      <c r="K54" s="210">
        <v>6.0</v>
      </c>
      <c r="L54" s="211">
        <f>IF(AND(J54&gt;K54,J55&gt;K55),2,IF(J54&gt;K54,1,IF(J55&gt;K55,1,0)))</f>
        <v>0</v>
      </c>
      <c r="M54" s="211">
        <f>IF(AND(K54&gt;J54,K55&gt;J55),2,IF(K54&gt;J54,1,IF(K55&gt;J55,1,0)))</f>
        <v>2</v>
      </c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</row>
    <row r="55" ht="12.75" customHeight="1">
      <c r="A55" s="187"/>
      <c r="B55" s="187"/>
      <c r="C55" s="212"/>
      <c r="D55" s="213"/>
      <c r="E55" s="213"/>
      <c r="F55" s="213"/>
      <c r="G55" s="213"/>
      <c r="H55" s="213"/>
      <c r="I55" s="213"/>
      <c r="J55" s="214">
        <v>6.0</v>
      </c>
      <c r="K55" s="215">
        <v>7.0</v>
      </c>
      <c r="L55" s="213"/>
      <c r="M55" s="213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</row>
    <row r="56" ht="4.5" customHeight="1">
      <c r="A56" s="187"/>
      <c r="B56" s="187"/>
      <c r="C56" s="217"/>
      <c r="D56" s="23"/>
      <c r="E56" s="23"/>
      <c r="F56" s="23"/>
      <c r="G56" s="23"/>
      <c r="H56" s="23"/>
      <c r="I56" s="23"/>
      <c r="J56" s="23"/>
      <c r="K56" s="23"/>
      <c r="L56" s="23"/>
      <c r="M56" s="202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</row>
    <row r="57" ht="12.75" customHeight="1">
      <c r="A57" s="187"/>
      <c r="B57" s="187"/>
      <c r="C57" s="205" t="s">
        <v>354</v>
      </c>
      <c r="D57" s="248"/>
      <c r="E57" s="211"/>
      <c r="F57" s="211"/>
      <c r="G57" s="208"/>
      <c r="H57" s="211"/>
      <c r="I57" s="211"/>
      <c r="J57" s="249"/>
      <c r="K57" s="250"/>
      <c r="L57" s="211">
        <f>IF(AND(J57&gt;K57,J58&gt;K58),2,IF(J57&gt;K57,1,IF(J58&gt;K58,1,0)))</f>
        <v>0</v>
      </c>
      <c r="M57" s="211">
        <f>IF(AND(K57&gt;J57,K58&gt;J58),2,IF(K57&gt;J57,1,IF(K58&gt;J58,1,0)))</f>
        <v>0</v>
      </c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</row>
    <row r="58" ht="12.75" customHeight="1">
      <c r="A58" s="187"/>
      <c r="B58" s="187"/>
      <c r="C58" s="212"/>
      <c r="D58" s="213"/>
      <c r="E58" s="213"/>
      <c r="F58" s="213"/>
      <c r="G58" s="213"/>
      <c r="H58" s="213"/>
      <c r="I58" s="213"/>
      <c r="J58" s="251"/>
      <c r="K58" s="252"/>
      <c r="L58" s="213"/>
      <c r="M58" s="213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</row>
    <row r="59" ht="4.5" customHeight="1">
      <c r="A59" s="187"/>
      <c r="B59" s="187"/>
      <c r="C59" s="253"/>
      <c r="D59" s="254"/>
      <c r="E59" s="254"/>
      <c r="F59" s="254"/>
      <c r="G59" s="254"/>
      <c r="H59" s="254"/>
      <c r="I59" s="254"/>
      <c r="J59" s="254"/>
      <c r="K59" s="254"/>
      <c r="L59" s="254"/>
      <c r="M59" s="255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</row>
    <row r="60" ht="12.75" customHeight="1">
      <c r="A60" s="187"/>
      <c r="B60" s="187"/>
      <c r="C60" s="220" t="s">
        <v>349</v>
      </c>
      <c r="D60" s="23"/>
      <c r="E60" s="23"/>
      <c r="F60" s="23"/>
      <c r="G60" s="23"/>
      <c r="H60" s="23"/>
      <c r="I60" s="200"/>
      <c r="J60" s="221">
        <f t="shared" ref="J60:M60" si="4">SUM(J48:J58)</f>
        <v>16</v>
      </c>
      <c r="K60" s="222">
        <f t="shared" si="4"/>
        <v>32</v>
      </c>
      <c r="L60" s="221">
        <f t="shared" si="4"/>
        <v>1</v>
      </c>
      <c r="M60" s="223">
        <f t="shared" si="4"/>
        <v>5</v>
      </c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</row>
    <row r="61" ht="4.5" customHeight="1">
      <c r="A61" s="187"/>
      <c r="B61" s="187"/>
      <c r="C61" s="224"/>
      <c r="D61" s="23"/>
      <c r="E61" s="23"/>
      <c r="F61" s="23"/>
      <c r="G61" s="23"/>
      <c r="H61" s="23"/>
      <c r="I61" s="23"/>
      <c r="J61" s="23"/>
      <c r="K61" s="23"/>
      <c r="L61" s="23"/>
      <c r="M61" s="202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</row>
    <row r="62" ht="12.75" customHeight="1">
      <c r="A62" s="187"/>
      <c r="B62" s="187"/>
      <c r="C62" s="225"/>
      <c r="D62" s="23"/>
      <c r="E62" s="23"/>
      <c r="F62" s="23"/>
      <c r="G62" s="23"/>
      <c r="H62" s="23"/>
      <c r="I62" s="23"/>
      <c r="J62" s="23"/>
      <c r="K62" s="23"/>
      <c r="L62" s="23"/>
      <c r="M62" s="202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</row>
    <row r="63" ht="12.75" customHeight="1">
      <c r="A63" s="187"/>
      <c r="B63" s="187"/>
      <c r="C63" s="218" t="s">
        <v>211</v>
      </c>
      <c r="D63" s="206" t="s">
        <v>216</v>
      </c>
      <c r="E63" s="207" t="s">
        <v>58</v>
      </c>
      <c r="F63" s="207" t="s">
        <v>72</v>
      </c>
      <c r="G63" s="208" t="s">
        <v>198</v>
      </c>
      <c r="H63" s="207" t="s">
        <v>66</v>
      </c>
      <c r="I63" s="207" t="s">
        <v>59</v>
      </c>
      <c r="J63" s="209">
        <v>5.0</v>
      </c>
      <c r="K63" s="210">
        <v>7.0</v>
      </c>
      <c r="L63" s="211">
        <f>IF(AND(J63&gt;K63,J64&gt;K64),2,IF(J63&gt;K63,1,IF(J64&gt;K64,1,0)))</f>
        <v>0</v>
      </c>
      <c r="M63" s="211">
        <f>IF(AND(K63&gt;J63,K64&gt;J64),2,IF(K63&gt;J63,1,IF(K64&gt;J64,1,0)))</f>
        <v>2</v>
      </c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</row>
    <row r="64" ht="12.75" customHeight="1">
      <c r="A64" s="187"/>
      <c r="B64" s="187"/>
      <c r="C64" s="212"/>
      <c r="D64" s="213"/>
      <c r="E64" s="213"/>
      <c r="F64" s="213"/>
      <c r="G64" s="213"/>
      <c r="H64" s="213"/>
      <c r="I64" s="213"/>
      <c r="J64" s="214">
        <v>1.0</v>
      </c>
      <c r="K64" s="215">
        <v>6.0</v>
      </c>
      <c r="L64" s="213"/>
      <c r="M64" s="213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</row>
    <row r="65" ht="4.5" customHeight="1">
      <c r="A65" s="187"/>
      <c r="B65" s="187"/>
      <c r="C65" s="216"/>
      <c r="D65" s="23"/>
      <c r="E65" s="23"/>
      <c r="F65" s="23"/>
      <c r="G65" s="23"/>
      <c r="H65" s="23"/>
      <c r="I65" s="23"/>
      <c r="J65" s="23"/>
      <c r="K65" s="23"/>
      <c r="L65" s="23"/>
      <c r="M65" s="202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</row>
    <row r="66" ht="12.75" customHeight="1">
      <c r="A66" s="187"/>
      <c r="B66" s="187"/>
      <c r="C66" s="218" t="s">
        <v>213</v>
      </c>
      <c r="D66" s="206" t="s">
        <v>214</v>
      </c>
      <c r="E66" s="207" t="s">
        <v>78</v>
      </c>
      <c r="F66" s="207" t="s">
        <v>85</v>
      </c>
      <c r="G66" s="208" t="s">
        <v>198</v>
      </c>
      <c r="H66" s="207" t="s">
        <v>79</v>
      </c>
      <c r="I66" s="207" t="s">
        <v>86</v>
      </c>
      <c r="J66" s="209">
        <v>3.0</v>
      </c>
      <c r="K66" s="210">
        <v>6.0</v>
      </c>
      <c r="L66" s="211">
        <f>IF(AND(J66&gt;K66,J67&gt;K67),2,IF(J66&gt;K66,1,IF(J67&gt;K67,1,0)))</f>
        <v>0</v>
      </c>
      <c r="M66" s="211">
        <f>IF(AND(K66&gt;J66,K67&gt;J67),2,IF(K66&gt;J66,1,IF(K67&gt;J67,1,0)))</f>
        <v>2</v>
      </c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</row>
    <row r="67" ht="12.75" customHeight="1">
      <c r="A67" s="187"/>
      <c r="B67" s="187"/>
      <c r="C67" s="212"/>
      <c r="D67" s="213"/>
      <c r="E67" s="213"/>
      <c r="F67" s="213"/>
      <c r="G67" s="213"/>
      <c r="H67" s="213"/>
      <c r="I67" s="213"/>
      <c r="J67" s="214">
        <v>3.0</v>
      </c>
      <c r="K67" s="215">
        <v>6.0</v>
      </c>
      <c r="L67" s="213"/>
      <c r="M67" s="213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</row>
    <row r="68" ht="4.5" customHeight="1">
      <c r="A68" s="187"/>
      <c r="B68" s="187"/>
      <c r="C68" s="217"/>
      <c r="D68" s="23"/>
      <c r="E68" s="23"/>
      <c r="F68" s="23"/>
      <c r="G68" s="23"/>
      <c r="H68" s="23"/>
      <c r="I68" s="23"/>
      <c r="J68" s="23"/>
      <c r="K68" s="23"/>
      <c r="L68" s="23"/>
      <c r="M68" s="202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</row>
    <row r="69" ht="12.75" customHeight="1">
      <c r="A69" s="187"/>
      <c r="B69" s="187"/>
      <c r="C69" s="218" t="s">
        <v>213</v>
      </c>
      <c r="D69" s="206" t="s">
        <v>209</v>
      </c>
      <c r="E69" s="207" t="s">
        <v>133</v>
      </c>
      <c r="F69" s="207" t="s">
        <v>139</v>
      </c>
      <c r="G69" s="208" t="s">
        <v>198</v>
      </c>
      <c r="H69" s="207" t="s">
        <v>134</v>
      </c>
      <c r="I69" s="207" t="s">
        <v>140</v>
      </c>
      <c r="J69" s="209">
        <v>2.0</v>
      </c>
      <c r="K69" s="210">
        <v>6.0</v>
      </c>
      <c r="L69" s="211">
        <f>IF(AND(J69&gt;K69,J70&gt;K70),2,IF(J69&gt;K69,1,IF(J70&gt;K70,1,0)))</f>
        <v>0</v>
      </c>
      <c r="M69" s="211">
        <f>IF(AND(K69&gt;J69,K70&gt;J70),2,IF(K69&gt;J69,1,IF(K70&gt;J70,1,0)))</f>
        <v>2</v>
      </c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</row>
    <row r="70" ht="12.75" customHeight="1">
      <c r="A70" s="187"/>
      <c r="B70" s="187"/>
      <c r="C70" s="212"/>
      <c r="D70" s="213"/>
      <c r="E70" s="213"/>
      <c r="F70" s="213"/>
      <c r="G70" s="213"/>
      <c r="H70" s="213"/>
      <c r="I70" s="213"/>
      <c r="J70" s="214">
        <v>3.0</v>
      </c>
      <c r="K70" s="215">
        <v>6.0</v>
      </c>
      <c r="L70" s="213"/>
      <c r="M70" s="213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</row>
    <row r="71" ht="4.5" customHeight="1">
      <c r="A71" s="187"/>
      <c r="B71" s="187"/>
      <c r="C71" s="217"/>
      <c r="D71" s="23"/>
      <c r="E71" s="23"/>
      <c r="F71" s="23"/>
      <c r="G71" s="23"/>
      <c r="H71" s="23"/>
      <c r="I71" s="23"/>
      <c r="J71" s="23"/>
      <c r="K71" s="23"/>
      <c r="L71" s="23"/>
      <c r="M71" s="202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</row>
    <row r="72" ht="12.75" customHeight="1">
      <c r="A72" s="187"/>
      <c r="B72" s="187"/>
      <c r="C72" s="218" t="s">
        <v>208</v>
      </c>
      <c r="D72" s="235" t="s">
        <v>202</v>
      </c>
      <c r="E72" s="207" t="s">
        <v>99</v>
      </c>
      <c r="F72" s="207" t="s">
        <v>355</v>
      </c>
      <c r="G72" s="219" t="s">
        <v>198</v>
      </c>
      <c r="H72" s="207" t="s">
        <v>100</v>
      </c>
      <c r="I72" s="207" t="s">
        <v>356</v>
      </c>
      <c r="J72" s="209">
        <v>0.0</v>
      </c>
      <c r="K72" s="210">
        <v>6.0</v>
      </c>
      <c r="L72" s="211">
        <f>IF(AND(J72&gt;K72,J73&gt;K73),2,IF(J72&gt;K72,1,IF(J73&gt;K73,1,0)))</f>
        <v>0</v>
      </c>
      <c r="M72" s="211">
        <f>IF(AND(K72&gt;J72,K73&gt;J73),2,IF(K72&gt;J72,1,IF(K73&gt;J73,1,0)))</f>
        <v>2</v>
      </c>
      <c r="N72" s="245" t="s">
        <v>292</v>
      </c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</row>
    <row r="73" ht="12.75" customHeight="1">
      <c r="A73" s="187"/>
      <c r="B73" s="187"/>
      <c r="C73" s="212"/>
      <c r="D73" s="213"/>
      <c r="E73" s="213"/>
      <c r="F73" s="213"/>
      <c r="G73" s="213"/>
      <c r="H73" s="213"/>
      <c r="I73" s="213"/>
      <c r="J73" s="214">
        <v>0.0</v>
      </c>
      <c r="K73" s="215">
        <v>6.0</v>
      </c>
      <c r="L73" s="213"/>
      <c r="M73" s="213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</row>
    <row r="74" ht="4.5" customHeight="1">
      <c r="A74" s="187"/>
      <c r="B74" s="187"/>
      <c r="C74" s="217"/>
      <c r="D74" s="23"/>
      <c r="E74" s="23"/>
      <c r="F74" s="23"/>
      <c r="G74" s="23"/>
      <c r="H74" s="23"/>
      <c r="I74" s="23"/>
      <c r="J74" s="23"/>
      <c r="K74" s="23"/>
      <c r="L74" s="23"/>
      <c r="M74" s="202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</row>
    <row r="75" ht="12.75" customHeight="1">
      <c r="A75" s="187"/>
      <c r="B75" s="187"/>
      <c r="C75" s="220" t="s">
        <v>350</v>
      </c>
      <c r="D75" s="23"/>
      <c r="E75" s="23"/>
      <c r="F75" s="23"/>
      <c r="G75" s="23"/>
      <c r="H75" s="23"/>
      <c r="I75" s="200"/>
      <c r="J75" s="221">
        <f t="shared" ref="J75:M75" si="5">SUM(J63:J73)</f>
        <v>17</v>
      </c>
      <c r="K75" s="222">
        <f t="shared" si="5"/>
        <v>49</v>
      </c>
      <c r="L75" s="221">
        <f t="shared" si="5"/>
        <v>0</v>
      </c>
      <c r="M75" s="223">
        <f t="shared" si="5"/>
        <v>8</v>
      </c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</row>
    <row r="76" ht="4.5" customHeight="1">
      <c r="A76" s="187"/>
      <c r="B76" s="187"/>
      <c r="C76" s="224"/>
      <c r="D76" s="23"/>
      <c r="E76" s="23"/>
      <c r="F76" s="23"/>
      <c r="G76" s="23"/>
      <c r="H76" s="23"/>
      <c r="I76" s="23"/>
      <c r="J76" s="23"/>
      <c r="K76" s="23"/>
      <c r="L76" s="23"/>
      <c r="M76" s="202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</row>
    <row r="77" ht="12.75" customHeight="1">
      <c r="A77" s="187"/>
      <c r="B77" s="187"/>
      <c r="C77" s="228" t="s">
        <v>351</v>
      </c>
      <c r="D77" s="23"/>
      <c r="E77" s="23"/>
      <c r="F77" s="23"/>
      <c r="G77" s="23"/>
      <c r="H77" s="23"/>
      <c r="I77" s="200"/>
      <c r="J77" s="229">
        <f t="shared" ref="J77:M77" si="6">J75+J60</f>
        <v>33</v>
      </c>
      <c r="K77" s="230">
        <f t="shared" si="6"/>
        <v>81</v>
      </c>
      <c r="L77" s="231">
        <f t="shared" si="6"/>
        <v>1</v>
      </c>
      <c r="M77" s="232">
        <f t="shared" si="6"/>
        <v>13</v>
      </c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</row>
    <row r="78" ht="6.75" customHeight="1">
      <c r="A78" s="187"/>
      <c r="B78" s="187"/>
      <c r="C78" s="233"/>
      <c r="D78" s="23"/>
      <c r="E78" s="23"/>
      <c r="F78" s="23"/>
      <c r="G78" s="23"/>
      <c r="H78" s="23"/>
      <c r="I78" s="23"/>
      <c r="J78" s="23"/>
      <c r="K78" s="23"/>
      <c r="L78" s="23"/>
      <c r="M78" s="202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</row>
    <row r="79" ht="12.75" customHeight="1">
      <c r="A79" s="187"/>
      <c r="B79" s="187"/>
      <c r="C79" s="196" t="s">
        <v>225</v>
      </c>
      <c r="D79" s="191"/>
      <c r="E79" s="191"/>
      <c r="F79" s="191"/>
      <c r="G79" s="191"/>
      <c r="H79" s="191"/>
      <c r="I79" s="191"/>
      <c r="J79" s="191"/>
      <c r="K79" s="191"/>
      <c r="L79" s="191"/>
      <c r="M79" s="192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</row>
    <row r="80" ht="12.75" customHeight="1">
      <c r="A80" s="187"/>
      <c r="B80" s="187"/>
      <c r="C80" s="193"/>
      <c r="D80" s="194"/>
      <c r="E80" s="194"/>
      <c r="F80" s="194"/>
      <c r="G80" s="194"/>
      <c r="H80" s="194"/>
      <c r="I80" s="194"/>
      <c r="J80" s="194"/>
      <c r="K80" s="194"/>
      <c r="L80" s="194"/>
      <c r="M80" s="195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</row>
    <row r="81" ht="26.25" customHeight="1">
      <c r="A81" s="187"/>
      <c r="B81" s="187"/>
      <c r="C81" s="236" t="s">
        <v>196</v>
      </c>
      <c r="D81" s="201" t="s">
        <v>197</v>
      </c>
      <c r="E81" s="199" t="s">
        <v>183</v>
      </c>
      <c r="F81" s="200"/>
      <c r="G81" s="198" t="s">
        <v>198</v>
      </c>
      <c r="H81" s="199" t="s">
        <v>184</v>
      </c>
      <c r="I81" s="200"/>
      <c r="J81" s="237"/>
      <c r="K81" s="200"/>
      <c r="L81" s="201"/>
      <c r="M81" s="202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</row>
    <row r="82" ht="12.75" customHeight="1">
      <c r="A82" s="187"/>
      <c r="B82" s="187"/>
      <c r="C82" s="203"/>
      <c r="M82" s="204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</row>
    <row r="83" ht="12.75" customHeight="1">
      <c r="A83" s="187"/>
      <c r="B83" s="187"/>
      <c r="C83" s="205" t="s">
        <v>201</v>
      </c>
      <c r="D83" s="206" t="s">
        <v>207</v>
      </c>
      <c r="E83" s="207" t="s">
        <v>21</v>
      </c>
      <c r="F83" s="207" t="s">
        <v>28</v>
      </c>
      <c r="G83" s="208" t="s">
        <v>198</v>
      </c>
      <c r="H83" s="207" t="s">
        <v>22</v>
      </c>
      <c r="I83" s="207" t="s">
        <v>35</v>
      </c>
      <c r="J83" s="209">
        <v>6.0</v>
      </c>
      <c r="K83" s="210">
        <v>4.0</v>
      </c>
      <c r="L83" s="211">
        <f>IF(AND(J83&gt;K83,J84&gt;K84),2,IF(J83&gt;K83,1,IF(J84&gt;K84,1,0)))</f>
        <v>2</v>
      </c>
      <c r="M83" s="211">
        <f>IF(AND(K83&gt;J83,K84&gt;J84),2,IF(K83&gt;J83,1,IF(K84&gt;J84,1,0)))</f>
        <v>0</v>
      </c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</row>
    <row r="84" ht="12.75" customHeight="1">
      <c r="A84" s="187"/>
      <c r="B84" s="187"/>
      <c r="C84" s="212"/>
      <c r="D84" s="213"/>
      <c r="E84" s="213"/>
      <c r="F84" s="213"/>
      <c r="G84" s="213"/>
      <c r="H84" s="213"/>
      <c r="I84" s="213"/>
      <c r="J84" s="214">
        <v>6.0</v>
      </c>
      <c r="K84" s="215">
        <v>2.0</v>
      </c>
      <c r="L84" s="213"/>
      <c r="M84" s="213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</row>
    <row r="85" ht="4.5" customHeight="1">
      <c r="A85" s="187"/>
      <c r="B85" s="187"/>
      <c r="C85" s="216"/>
      <c r="D85" s="23"/>
      <c r="E85" s="23"/>
      <c r="F85" s="23"/>
      <c r="G85" s="23"/>
      <c r="H85" s="23"/>
      <c r="I85" s="23"/>
      <c r="J85" s="23"/>
      <c r="K85" s="23"/>
      <c r="L85" s="23"/>
      <c r="M85" s="202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</row>
    <row r="86" ht="12.75" customHeight="1">
      <c r="A86" s="187"/>
      <c r="B86" s="187"/>
      <c r="C86" s="205" t="s">
        <v>204</v>
      </c>
      <c r="D86" s="206" t="s">
        <v>212</v>
      </c>
      <c r="E86" s="207" t="s">
        <v>41</v>
      </c>
      <c r="F86" s="207" t="s">
        <v>47</v>
      </c>
      <c r="G86" s="208" t="s">
        <v>198</v>
      </c>
      <c r="H86" s="207" t="s">
        <v>42</v>
      </c>
      <c r="I86" s="207" t="s">
        <v>48</v>
      </c>
      <c r="J86" s="209">
        <v>6.0</v>
      </c>
      <c r="K86" s="210">
        <v>3.0</v>
      </c>
      <c r="L86" s="211">
        <f>IF(AND(J86&gt;K86,J87&gt;K87),2,IF(J86&gt;K86,1,IF(J87&gt;K87,1,0)))</f>
        <v>1</v>
      </c>
      <c r="M86" s="211">
        <f>IF(AND(K86&gt;J86,K87&gt;J87),2,IF(K86&gt;J86,1,IF(K87&gt;J87,1,0)))</f>
        <v>1</v>
      </c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</row>
    <row r="87" ht="12.75" customHeight="1">
      <c r="A87" s="187"/>
      <c r="B87" s="187"/>
      <c r="C87" s="212"/>
      <c r="D87" s="213"/>
      <c r="E87" s="213"/>
      <c r="F87" s="213"/>
      <c r="G87" s="213"/>
      <c r="H87" s="213"/>
      <c r="I87" s="213"/>
      <c r="J87" s="214">
        <v>1.0</v>
      </c>
      <c r="K87" s="215">
        <v>6.0</v>
      </c>
      <c r="L87" s="213"/>
      <c r="M87" s="213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</row>
    <row r="88" ht="4.5" customHeight="1">
      <c r="A88" s="187"/>
      <c r="B88" s="187"/>
      <c r="C88" s="217"/>
      <c r="D88" s="23"/>
      <c r="E88" s="23"/>
      <c r="F88" s="23"/>
      <c r="G88" s="23"/>
      <c r="H88" s="23"/>
      <c r="I88" s="23"/>
      <c r="J88" s="23"/>
      <c r="K88" s="23"/>
      <c r="L88" s="23"/>
      <c r="M88" s="202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</row>
    <row r="89" ht="12.75" customHeight="1">
      <c r="A89" s="187"/>
      <c r="B89" s="187"/>
      <c r="C89" s="205" t="s">
        <v>206</v>
      </c>
      <c r="D89" s="206" t="s">
        <v>205</v>
      </c>
      <c r="E89" s="207" t="s">
        <v>124</v>
      </c>
      <c r="F89" s="207" t="s">
        <v>130</v>
      </c>
      <c r="G89" s="208" t="s">
        <v>198</v>
      </c>
      <c r="H89" s="207" t="s">
        <v>14</v>
      </c>
      <c r="I89" s="207" t="s">
        <v>357</v>
      </c>
      <c r="J89" s="209">
        <v>4.0</v>
      </c>
      <c r="K89" s="210">
        <v>6.0</v>
      </c>
      <c r="L89" s="211">
        <f>IF(AND(J89&gt;K89,J90&gt;K90),2,IF(J89&gt;K89,1,IF(J90&gt;K90,1,0)))</f>
        <v>0</v>
      </c>
      <c r="M89" s="211">
        <f>IF(AND(K89&gt;J89,K90&gt;J90),2,IF(K89&gt;J89,1,IF(K90&gt;J90,1,0)))</f>
        <v>2</v>
      </c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</row>
    <row r="90" ht="12.75" customHeight="1">
      <c r="A90" s="187"/>
      <c r="B90" s="187"/>
      <c r="C90" s="212"/>
      <c r="D90" s="213"/>
      <c r="E90" s="213"/>
      <c r="F90" s="213"/>
      <c r="G90" s="213"/>
      <c r="H90" s="213"/>
      <c r="I90" s="213"/>
      <c r="J90" s="214">
        <v>2.0</v>
      </c>
      <c r="K90" s="215">
        <v>6.0</v>
      </c>
      <c r="L90" s="213"/>
      <c r="M90" s="213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</row>
    <row r="91" ht="4.5" customHeight="1">
      <c r="A91" s="187"/>
      <c r="B91" s="187"/>
      <c r="C91" s="217"/>
      <c r="D91" s="23"/>
      <c r="E91" s="23"/>
      <c r="F91" s="23"/>
      <c r="G91" s="23"/>
      <c r="H91" s="23"/>
      <c r="I91" s="23"/>
      <c r="J91" s="23"/>
      <c r="K91" s="23"/>
      <c r="L91" s="23"/>
      <c r="M91" s="202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</row>
    <row r="92" ht="12.75" customHeight="1">
      <c r="A92" s="187"/>
      <c r="B92" s="187"/>
      <c r="C92" s="205" t="s">
        <v>201</v>
      </c>
      <c r="D92" s="257" t="s">
        <v>202</v>
      </c>
      <c r="E92" s="207" t="s">
        <v>108</v>
      </c>
      <c r="F92" s="207" t="s">
        <v>113</v>
      </c>
      <c r="G92" s="219" t="s">
        <v>198</v>
      </c>
      <c r="H92" s="207" t="s">
        <v>103</v>
      </c>
      <c r="I92" s="207" t="s">
        <v>114</v>
      </c>
      <c r="J92" s="209">
        <v>2.0</v>
      </c>
      <c r="K92" s="210">
        <v>6.0</v>
      </c>
      <c r="L92" s="211">
        <f>IF(AND(J92&gt;K92,J93&gt;K93),2,IF(J92&gt;K92,1,IF(J93&gt;K93,1,0)))</f>
        <v>0</v>
      </c>
      <c r="M92" s="211">
        <f>IF(AND(K92&gt;J92,K93&gt;J93),2,IF(K92&gt;J92,1,IF(K93&gt;J93,1,0)))</f>
        <v>2</v>
      </c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</row>
    <row r="93" ht="12.75" customHeight="1">
      <c r="A93" s="187"/>
      <c r="B93" s="187"/>
      <c r="C93" s="212"/>
      <c r="D93" s="213"/>
      <c r="E93" s="213"/>
      <c r="F93" s="213"/>
      <c r="G93" s="213"/>
      <c r="H93" s="213"/>
      <c r="I93" s="213"/>
      <c r="J93" s="214">
        <v>1.0</v>
      </c>
      <c r="K93" s="215">
        <v>6.0</v>
      </c>
      <c r="L93" s="213"/>
      <c r="M93" s="213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</row>
    <row r="94" ht="4.5" customHeight="1">
      <c r="A94" s="187"/>
      <c r="B94" s="187"/>
      <c r="C94" s="253"/>
      <c r="D94" s="254"/>
      <c r="E94" s="254"/>
      <c r="F94" s="254"/>
      <c r="G94" s="254"/>
      <c r="H94" s="254"/>
      <c r="I94" s="254"/>
      <c r="J94" s="254"/>
      <c r="K94" s="254"/>
      <c r="L94" s="254"/>
      <c r="M94" s="255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</row>
    <row r="95" ht="12.75" customHeight="1">
      <c r="A95" s="187"/>
      <c r="B95" s="187"/>
      <c r="C95" s="220" t="s">
        <v>349</v>
      </c>
      <c r="D95" s="23"/>
      <c r="E95" s="23"/>
      <c r="F95" s="23"/>
      <c r="G95" s="23"/>
      <c r="H95" s="23"/>
      <c r="I95" s="200"/>
      <c r="J95" s="221">
        <f t="shared" ref="J95:M95" si="7">SUM(J83:J93)</f>
        <v>28</v>
      </c>
      <c r="K95" s="222">
        <f t="shared" si="7"/>
        <v>39</v>
      </c>
      <c r="L95" s="221">
        <f t="shared" si="7"/>
        <v>3</v>
      </c>
      <c r="M95" s="223">
        <f t="shared" si="7"/>
        <v>5</v>
      </c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</row>
    <row r="96" ht="4.5" customHeight="1">
      <c r="A96" s="187"/>
      <c r="B96" s="187"/>
      <c r="C96" s="224"/>
      <c r="D96" s="23"/>
      <c r="E96" s="23"/>
      <c r="F96" s="23"/>
      <c r="G96" s="23"/>
      <c r="H96" s="23"/>
      <c r="I96" s="23"/>
      <c r="J96" s="23"/>
      <c r="K96" s="23"/>
      <c r="L96" s="23"/>
      <c r="M96" s="202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</row>
    <row r="97" ht="12.75" customHeight="1">
      <c r="A97" s="187"/>
      <c r="B97" s="187"/>
      <c r="C97" s="225"/>
      <c r="D97" s="23"/>
      <c r="E97" s="23"/>
      <c r="F97" s="23"/>
      <c r="G97" s="23"/>
      <c r="H97" s="23"/>
      <c r="I97" s="23"/>
      <c r="J97" s="23"/>
      <c r="K97" s="23"/>
      <c r="L97" s="23"/>
      <c r="M97" s="202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</row>
    <row r="98" ht="12.75" customHeight="1">
      <c r="A98" s="187"/>
      <c r="B98" s="187"/>
      <c r="C98" s="218" t="s">
        <v>211</v>
      </c>
      <c r="D98" s="206" t="s">
        <v>214</v>
      </c>
      <c r="E98" s="207" t="s">
        <v>88</v>
      </c>
      <c r="F98" s="207" t="s">
        <v>358</v>
      </c>
      <c r="G98" s="208" t="s">
        <v>198</v>
      </c>
      <c r="H98" s="207" t="s">
        <v>89</v>
      </c>
      <c r="I98" s="207" t="s">
        <v>96</v>
      </c>
      <c r="J98" s="209">
        <v>1.0</v>
      </c>
      <c r="K98" s="210">
        <v>6.0</v>
      </c>
      <c r="L98" s="211">
        <f>IF(AND(J98&gt;K98,J99&gt;K99),2,IF(J98&gt;K98,1,IF(J99&gt;K99,1,0)))</f>
        <v>0</v>
      </c>
      <c r="M98" s="211">
        <f>IF(AND(K98&gt;J98,K99&gt;J99),2,IF(K98&gt;J98,1,IF(K99&gt;J99,1,0)))</f>
        <v>2</v>
      </c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</row>
    <row r="99" ht="12.75" customHeight="1">
      <c r="A99" s="187"/>
      <c r="B99" s="187"/>
      <c r="C99" s="212"/>
      <c r="D99" s="213"/>
      <c r="E99" s="213"/>
      <c r="F99" s="213"/>
      <c r="G99" s="213"/>
      <c r="H99" s="213"/>
      <c r="I99" s="213"/>
      <c r="J99" s="214">
        <v>5.0</v>
      </c>
      <c r="K99" s="215">
        <v>7.0</v>
      </c>
      <c r="L99" s="213"/>
      <c r="M99" s="213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</row>
    <row r="100" ht="4.5" customHeight="1">
      <c r="A100" s="187"/>
      <c r="B100" s="187"/>
      <c r="C100" s="216"/>
      <c r="D100" s="23"/>
      <c r="E100" s="23"/>
      <c r="F100" s="23"/>
      <c r="G100" s="23"/>
      <c r="H100" s="23"/>
      <c r="I100" s="23"/>
      <c r="J100" s="23"/>
      <c r="K100" s="23"/>
      <c r="L100" s="23"/>
      <c r="M100" s="202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</row>
    <row r="101" ht="12.75" customHeight="1">
      <c r="A101" s="187"/>
      <c r="B101" s="187"/>
      <c r="C101" s="218" t="s">
        <v>213</v>
      </c>
      <c r="D101" s="206" t="s">
        <v>216</v>
      </c>
      <c r="E101" s="207" t="s">
        <v>61</v>
      </c>
      <c r="F101" s="207" t="s">
        <v>68</v>
      </c>
      <c r="G101" s="208" t="s">
        <v>198</v>
      </c>
      <c r="H101" s="207" t="s">
        <v>62</v>
      </c>
      <c r="I101" s="207" t="s">
        <v>69</v>
      </c>
      <c r="J101" s="209">
        <v>7.0</v>
      </c>
      <c r="K101" s="210">
        <v>6.0</v>
      </c>
      <c r="L101" s="211">
        <f>IF(AND(J101&gt;K101,J102&gt;K102),2,IF(J101&gt;K101,1,IF(J102&gt;K102,1,0)))</f>
        <v>2</v>
      </c>
      <c r="M101" s="211">
        <f>IF(AND(K101&gt;J101,K102&gt;J102),2,IF(K101&gt;J101,1,IF(K102&gt;J102,1,0)))</f>
        <v>0</v>
      </c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</row>
    <row r="102" ht="12.75" customHeight="1">
      <c r="A102" s="187"/>
      <c r="B102" s="187"/>
      <c r="C102" s="212"/>
      <c r="D102" s="213"/>
      <c r="E102" s="213"/>
      <c r="F102" s="213"/>
      <c r="G102" s="213"/>
      <c r="H102" s="213"/>
      <c r="I102" s="213"/>
      <c r="J102" s="214">
        <v>6.0</v>
      </c>
      <c r="K102" s="215">
        <v>4.0</v>
      </c>
      <c r="L102" s="213"/>
      <c r="M102" s="213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</row>
    <row r="103" ht="4.5" customHeight="1">
      <c r="A103" s="187"/>
      <c r="B103" s="187"/>
      <c r="C103" s="217"/>
      <c r="D103" s="23"/>
      <c r="E103" s="23"/>
      <c r="F103" s="23"/>
      <c r="G103" s="23"/>
      <c r="H103" s="23"/>
      <c r="I103" s="23"/>
      <c r="J103" s="23"/>
      <c r="K103" s="23"/>
      <c r="L103" s="23"/>
      <c r="M103" s="202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</row>
    <row r="104" ht="12.75" customHeight="1">
      <c r="A104" s="187"/>
      <c r="B104" s="187"/>
      <c r="C104" s="218" t="s">
        <v>208</v>
      </c>
      <c r="D104" s="206" t="s">
        <v>209</v>
      </c>
      <c r="E104" s="207" t="s">
        <v>142</v>
      </c>
      <c r="F104" s="207" t="s">
        <v>222</v>
      </c>
      <c r="G104" s="208" t="s">
        <v>198</v>
      </c>
      <c r="H104" s="207" t="s">
        <v>137</v>
      </c>
      <c r="I104" s="207" t="s">
        <v>143</v>
      </c>
      <c r="J104" s="209">
        <v>1.0</v>
      </c>
      <c r="K104" s="210">
        <v>6.0</v>
      </c>
      <c r="L104" s="211">
        <f>IF(AND(J104&gt;K104,J105&gt;K105),2,IF(J104&gt;K104,1,IF(J105&gt;K105,1,0)))</f>
        <v>0</v>
      </c>
      <c r="M104" s="211">
        <f>IF(AND(K104&gt;J104,K105&gt;J105),2,IF(K104&gt;J104,1,IF(K105&gt;J105,1,0)))</f>
        <v>2</v>
      </c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</row>
    <row r="105" ht="12.75" customHeight="1">
      <c r="A105" s="187"/>
      <c r="B105" s="187"/>
      <c r="C105" s="212"/>
      <c r="D105" s="213"/>
      <c r="E105" s="213"/>
      <c r="F105" s="213"/>
      <c r="G105" s="213"/>
      <c r="H105" s="213"/>
      <c r="I105" s="213"/>
      <c r="J105" s="214">
        <v>3.0</v>
      </c>
      <c r="K105" s="215">
        <v>6.0</v>
      </c>
      <c r="L105" s="213"/>
      <c r="M105" s="213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</row>
    <row r="106" ht="4.5" customHeight="1">
      <c r="A106" s="187"/>
      <c r="B106" s="187"/>
      <c r="C106" s="217"/>
      <c r="D106" s="23"/>
      <c r="E106" s="23"/>
      <c r="F106" s="23"/>
      <c r="G106" s="23"/>
      <c r="H106" s="23"/>
      <c r="I106" s="23"/>
      <c r="J106" s="23"/>
      <c r="K106" s="23"/>
      <c r="L106" s="23"/>
      <c r="M106" s="202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</row>
    <row r="107" ht="12.75" customHeight="1">
      <c r="A107" s="187"/>
      <c r="B107" s="187"/>
      <c r="C107" s="205"/>
      <c r="D107" s="248"/>
      <c r="E107" s="211"/>
      <c r="F107" s="211"/>
      <c r="G107" s="208"/>
      <c r="H107" s="211"/>
      <c r="I107" s="211"/>
      <c r="J107" s="249"/>
      <c r="K107" s="250"/>
      <c r="L107" s="211">
        <f>IF(AND(J107&gt;K107,J108&gt;K108),2,IF(J107&gt;K107,1,IF(J108&gt;K108,1,0)))</f>
        <v>0</v>
      </c>
      <c r="M107" s="211">
        <f>IF(AND(K107&gt;J107,K108&gt;J108),2,IF(K107&gt;J107,1,IF(K108&gt;J108,1,0)))</f>
        <v>0</v>
      </c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</row>
    <row r="108" ht="12.75" customHeight="1">
      <c r="A108" s="187"/>
      <c r="B108" s="187"/>
      <c r="C108" s="212"/>
      <c r="D108" s="213"/>
      <c r="E108" s="213"/>
      <c r="F108" s="213"/>
      <c r="G108" s="213"/>
      <c r="H108" s="213"/>
      <c r="I108" s="213"/>
      <c r="J108" s="251"/>
      <c r="K108" s="252"/>
      <c r="L108" s="213"/>
      <c r="M108" s="213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</row>
    <row r="109" ht="4.5" customHeight="1">
      <c r="A109" s="187"/>
      <c r="B109" s="187"/>
      <c r="C109" s="217"/>
      <c r="D109" s="23"/>
      <c r="E109" s="23"/>
      <c r="F109" s="23"/>
      <c r="G109" s="23"/>
      <c r="H109" s="23"/>
      <c r="I109" s="23"/>
      <c r="J109" s="23"/>
      <c r="K109" s="23"/>
      <c r="L109" s="23"/>
      <c r="M109" s="202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</row>
    <row r="110" ht="12.75" customHeight="1">
      <c r="A110" s="187"/>
      <c r="B110" s="187"/>
      <c r="C110" s="220" t="s">
        <v>350</v>
      </c>
      <c r="D110" s="23"/>
      <c r="E110" s="23"/>
      <c r="F110" s="23"/>
      <c r="G110" s="23"/>
      <c r="H110" s="23"/>
      <c r="I110" s="200"/>
      <c r="J110" s="221">
        <f t="shared" ref="J110:M110" si="8">SUM(J98:J108)</f>
        <v>23</v>
      </c>
      <c r="K110" s="222">
        <f t="shared" si="8"/>
        <v>35</v>
      </c>
      <c r="L110" s="221">
        <f t="shared" si="8"/>
        <v>2</v>
      </c>
      <c r="M110" s="223">
        <f t="shared" si="8"/>
        <v>4</v>
      </c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</row>
    <row r="111" ht="4.5" customHeight="1">
      <c r="A111" s="187"/>
      <c r="B111" s="187"/>
      <c r="C111" s="224"/>
      <c r="D111" s="23"/>
      <c r="E111" s="23"/>
      <c r="F111" s="23"/>
      <c r="G111" s="23"/>
      <c r="H111" s="23"/>
      <c r="I111" s="23"/>
      <c r="J111" s="23"/>
      <c r="K111" s="23"/>
      <c r="L111" s="23"/>
      <c r="M111" s="202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</row>
    <row r="112" ht="12.75" customHeight="1">
      <c r="A112" s="187"/>
      <c r="B112" s="187"/>
      <c r="C112" s="228" t="s">
        <v>351</v>
      </c>
      <c r="D112" s="23"/>
      <c r="E112" s="23"/>
      <c r="F112" s="23"/>
      <c r="G112" s="23"/>
      <c r="H112" s="23"/>
      <c r="I112" s="200"/>
      <c r="J112" s="229">
        <f t="shared" ref="J112:M112" si="9">J110+J95</f>
        <v>51</v>
      </c>
      <c r="K112" s="230">
        <f t="shared" si="9"/>
        <v>74</v>
      </c>
      <c r="L112" s="231">
        <f t="shared" si="9"/>
        <v>5</v>
      </c>
      <c r="M112" s="232">
        <f t="shared" si="9"/>
        <v>9</v>
      </c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</row>
    <row r="113" ht="6.75" customHeight="1">
      <c r="A113" s="187"/>
      <c r="B113" s="187"/>
      <c r="C113" s="239"/>
      <c r="D113" s="240"/>
      <c r="E113" s="240"/>
      <c r="F113" s="240"/>
      <c r="G113" s="240"/>
      <c r="H113" s="240"/>
      <c r="I113" s="240"/>
      <c r="J113" s="240"/>
      <c r="K113" s="240"/>
      <c r="L113" s="240"/>
      <c r="M113" s="241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</row>
    <row r="114" ht="12.75" customHeight="1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</row>
    <row r="115" ht="12.75" customHeight="1">
      <c r="A115" s="18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</row>
    <row r="116" ht="12.75" customHeight="1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</row>
    <row r="117" ht="12.75" customHeight="1">
      <c r="A117" s="18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</row>
    <row r="118" ht="12.75" customHeight="1">
      <c r="A118" s="18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</row>
    <row r="119" ht="12.75" customHeight="1">
      <c r="A119" s="18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</row>
    <row r="120" ht="12.75" customHeight="1">
      <c r="A120" s="18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</row>
    <row r="121" ht="12.75" customHeight="1">
      <c r="A121" s="187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</row>
    <row r="122" ht="12.75" customHeight="1">
      <c r="A122" s="18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</row>
    <row r="123" ht="12.75" customHeight="1">
      <c r="A123" s="187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</row>
    <row r="124" ht="12.75" customHeight="1">
      <c r="A124" s="187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</row>
    <row r="125" ht="12.75" customHeight="1">
      <c r="A125" s="18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</row>
    <row r="126" ht="12.75" customHeight="1">
      <c r="A126" s="18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</row>
    <row r="127" ht="12.75" customHeight="1">
      <c r="A127" s="187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</row>
    <row r="128" ht="12.75" customHeight="1">
      <c r="A128" s="187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</row>
    <row r="129" ht="12.75" customHeight="1">
      <c r="A129" s="18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</row>
    <row r="130" ht="12.75" customHeight="1">
      <c r="A130" s="18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</row>
    <row r="131" ht="12.75" customHeight="1">
      <c r="A131" s="18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</row>
    <row r="132" ht="12.75" customHeight="1">
      <c r="A132" s="187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</row>
    <row r="133" ht="12.75" customHeight="1">
      <c r="A133" s="18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</row>
    <row r="134" ht="12.75" customHeight="1">
      <c r="A134" s="18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</row>
    <row r="135" ht="12.75" customHeight="1">
      <c r="A135" s="18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</row>
    <row r="136" ht="12.75" customHeight="1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</row>
    <row r="137" ht="12.75" customHeight="1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</row>
    <row r="138" ht="12.75" customHeight="1">
      <c r="A138" s="187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</row>
    <row r="139" ht="12.75" customHeight="1">
      <c r="A139" s="18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</row>
    <row r="140" ht="12.75" customHeight="1">
      <c r="A140" s="18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</row>
    <row r="141" ht="12.75" customHeight="1">
      <c r="A141" s="18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</row>
    <row r="142" ht="12.75" customHeight="1">
      <c r="A142" s="187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</row>
    <row r="143" ht="12.75" customHeight="1">
      <c r="A143" s="187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</row>
    <row r="144" ht="12.75" customHeight="1">
      <c r="A144" s="187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</row>
    <row r="145" ht="12.75" customHeight="1">
      <c r="A145" s="187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</row>
    <row r="146" ht="12.75" customHeight="1">
      <c r="A146" s="187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</row>
    <row r="147" ht="12.75" customHeight="1">
      <c r="A147" s="187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</row>
    <row r="148" ht="12.75" customHeight="1">
      <c r="A148" s="187"/>
      <c r="B148" s="187"/>
      <c r="C148" s="187"/>
      <c r="D148" s="187"/>
      <c r="E148" s="187"/>
      <c r="F148" s="187" t="s">
        <v>227</v>
      </c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</row>
    <row r="149" ht="12.75" customHeight="1">
      <c r="A149" s="187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</row>
    <row r="150" ht="12.75" customHeight="1">
      <c r="A150" s="187"/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</row>
    <row r="151" ht="12.75" customHeight="1">
      <c r="A151" s="187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</row>
    <row r="152" ht="12.75" customHeight="1">
      <c r="A152" s="187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</row>
    <row r="153" ht="12.75" customHeight="1">
      <c r="A153" s="187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</row>
    <row r="154" ht="12.75" customHeight="1">
      <c r="A154" s="187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</row>
    <row r="155" ht="12.75" customHeight="1">
      <c r="A155" s="187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</row>
    <row r="156" ht="12.75" customHeight="1">
      <c r="A156" s="187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</row>
    <row r="157" ht="12.75" customHeight="1">
      <c r="A157" s="187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</row>
    <row r="158" ht="12.75" customHeight="1">
      <c r="A158" s="187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</row>
    <row r="159" ht="12.75" customHeight="1">
      <c r="A159" s="187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</row>
    <row r="160" ht="12.75" customHeight="1">
      <c r="A160" s="187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</row>
    <row r="161" ht="12.75" customHeight="1">
      <c r="A161" s="187"/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</row>
    <row r="162" ht="12.75" customHeight="1">
      <c r="A162" s="187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</row>
    <row r="163" ht="12.75" customHeight="1">
      <c r="A163" s="187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</row>
    <row r="164" ht="12.75" customHeight="1">
      <c r="A164" s="187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</row>
    <row r="165" ht="12.75" customHeight="1">
      <c r="A165" s="187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</row>
    <row r="166" ht="12.75" customHeight="1">
      <c r="A166" s="187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</row>
    <row r="167" ht="12.75" customHeight="1">
      <c r="A167" s="187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</row>
    <row r="168" ht="12.75" customHeight="1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</row>
    <row r="169" ht="12.75" customHeight="1">
      <c r="A169" s="187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</row>
    <row r="170" ht="12.75" customHeight="1">
      <c r="A170" s="187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</row>
    <row r="171" ht="12.75" customHeight="1">
      <c r="A171" s="187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</row>
    <row r="172" ht="12.75" customHeight="1">
      <c r="A172" s="187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</row>
    <row r="173" ht="12.75" customHeight="1">
      <c r="A173" s="18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</row>
    <row r="174" ht="12.75" customHeight="1">
      <c r="A174" s="187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</row>
    <row r="175" ht="12.75" customHeight="1">
      <c r="A175" s="187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</row>
    <row r="176" ht="12.75" customHeight="1">
      <c r="A176" s="187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</row>
    <row r="177" ht="12.75" customHeight="1">
      <c r="A177" s="187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</row>
    <row r="178" ht="12.75" customHeight="1">
      <c r="A178" s="187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</row>
    <row r="179" ht="12.75" customHeight="1">
      <c r="A179" s="187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</row>
    <row r="180" ht="12.75" customHeight="1">
      <c r="A180" s="187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</row>
    <row r="181" ht="12.75" customHeight="1">
      <c r="A181" s="187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</row>
    <row r="182" ht="12.75" customHeight="1">
      <c r="A182" s="187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</row>
    <row r="183" ht="12.75" customHeight="1">
      <c r="A183" s="187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</row>
    <row r="184" ht="12.75" customHeight="1">
      <c r="A184" s="187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</row>
    <row r="185" ht="12.75" customHeight="1">
      <c r="A185" s="187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</row>
    <row r="186" ht="12.75" customHeight="1">
      <c r="A186" s="187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</row>
    <row r="187" ht="12.75" customHeight="1">
      <c r="A187" s="187"/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</row>
    <row r="188" ht="12.75" customHeight="1">
      <c r="A188" s="187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</row>
    <row r="189" ht="12.75" customHeight="1">
      <c r="A189" s="187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</row>
    <row r="190" ht="12.75" customHeight="1">
      <c r="A190" s="187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</row>
    <row r="191" ht="12.75" customHeight="1">
      <c r="A191" s="187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</row>
    <row r="192" ht="12.75" customHeight="1">
      <c r="A192" s="187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</row>
    <row r="193" ht="12.75" customHeight="1">
      <c r="A193" s="187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</row>
    <row r="194" ht="12.75" customHeight="1">
      <c r="A194" s="187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</row>
    <row r="195" ht="12.75" customHeight="1">
      <c r="A195" s="187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</row>
    <row r="196" ht="12.75" customHeight="1">
      <c r="A196" s="187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</row>
    <row r="197" ht="12.75" customHeight="1">
      <c r="A197" s="187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</row>
    <row r="198" ht="12.75" customHeight="1">
      <c r="A198" s="187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</row>
    <row r="199" ht="12.75" customHeight="1">
      <c r="A199" s="187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</row>
    <row r="200" ht="12.75" customHeight="1">
      <c r="A200" s="187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</row>
    <row r="201" ht="12.75" customHeight="1">
      <c r="A201" s="187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</row>
    <row r="202" ht="12.75" customHeight="1">
      <c r="A202" s="187"/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</row>
    <row r="203" ht="12.75" customHeight="1">
      <c r="A203" s="187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</row>
    <row r="204" ht="12.75" customHeight="1">
      <c r="A204" s="187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</row>
    <row r="205" ht="12.75" customHeight="1">
      <c r="A205" s="187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</row>
    <row r="206" ht="12.75" customHeight="1">
      <c r="A206" s="187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</row>
    <row r="207" ht="12.75" customHeight="1">
      <c r="A207" s="187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</row>
    <row r="208" ht="12.75" customHeight="1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</row>
    <row r="209" ht="12.75" customHeight="1">
      <c r="A209" s="187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</row>
    <row r="210" ht="12.75" customHeight="1">
      <c r="A210" s="187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</row>
    <row r="211" ht="12.75" customHeight="1">
      <c r="A211" s="187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</row>
    <row r="212" ht="12.75" customHeight="1">
      <c r="A212" s="187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</row>
    <row r="213" ht="12.75" customHeight="1">
      <c r="A213" s="187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</row>
    <row r="214" ht="12.75" customHeight="1">
      <c r="A214" s="187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</row>
    <row r="215" ht="12.75" customHeight="1">
      <c r="A215" s="187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</row>
    <row r="216" ht="12.75" customHeight="1">
      <c r="A216" s="187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</row>
    <row r="217" ht="12.75" customHeight="1">
      <c r="A217" s="187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</row>
    <row r="218" ht="12.75" customHeight="1">
      <c r="A218" s="187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</row>
    <row r="219" ht="12.75" customHeight="1">
      <c r="A219" s="187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</row>
    <row r="220" ht="12.75" customHeight="1">
      <c r="A220" s="187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</row>
    <row r="221" ht="12.75" customHeight="1">
      <c r="A221" s="187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</row>
    <row r="222" ht="12.75" customHeight="1">
      <c r="A222" s="187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</row>
    <row r="223" ht="12.75" customHeight="1">
      <c r="A223" s="187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</row>
    <row r="224" ht="12.75" customHeight="1">
      <c r="A224" s="187"/>
      <c r="B224" s="187"/>
      <c r="C224" s="187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</row>
    <row r="225" ht="12.75" customHeight="1">
      <c r="A225" s="187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</row>
    <row r="226" ht="12.75" customHeight="1">
      <c r="A226" s="187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</row>
    <row r="227" ht="12.75" customHeight="1">
      <c r="A227" s="187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</row>
    <row r="228" ht="12.75" customHeight="1">
      <c r="A228" s="187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</row>
    <row r="229" ht="12.75" customHeight="1">
      <c r="A229" s="187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</row>
    <row r="230" ht="12.75" customHeight="1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</row>
    <row r="231" ht="12.75" customHeight="1">
      <c r="A231" s="187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</row>
    <row r="232" ht="12.75" customHeight="1">
      <c r="A232" s="187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</row>
    <row r="233" ht="12.75" customHeight="1">
      <c r="A233" s="187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</row>
    <row r="234" ht="12.75" customHeight="1">
      <c r="A234" s="187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</row>
    <row r="235" ht="12.75" customHeight="1">
      <c r="A235" s="187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</row>
    <row r="236" ht="12.75" customHeight="1">
      <c r="A236" s="187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</row>
    <row r="237" ht="12.75" customHeight="1">
      <c r="A237" s="187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</row>
    <row r="238" ht="12.75" customHeight="1">
      <c r="A238" s="187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</row>
    <row r="239" ht="12.75" customHeight="1">
      <c r="A239" s="187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</row>
    <row r="240" ht="12.75" customHeight="1">
      <c r="A240" s="187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</row>
    <row r="241" ht="12.75" customHeight="1">
      <c r="A241" s="187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</row>
    <row r="242" ht="12.75" customHeight="1">
      <c r="A242" s="187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</row>
    <row r="243" ht="12.75" customHeight="1">
      <c r="A243" s="187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</row>
    <row r="244" ht="12.75" customHeight="1">
      <c r="A244" s="187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</row>
    <row r="245" ht="12.75" customHeight="1">
      <c r="A245" s="187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</row>
    <row r="246" ht="12.75" customHeight="1">
      <c r="A246" s="187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</row>
    <row r="247" ht="12.75" customHeight="1">
      <c r="A247" s="187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</row>
    <row r="248" ht="12.75" customHeight="1">
      <c r="A248" s="187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</row>
    <row r="249" ht="12.75" customHeight="1">
      <c r="A249" s="187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</row>
    <row r="250" ht="12.75" customHeight="1">
      <c r="A250" s="187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</row>
    <row r="251" ht="12.75" customHeight="1">
      <c r="A251" s="187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</row>
    <row r="252" ht="12.75" customHeight="1">
      <c r="A252" s="187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</row>
    <row r="253" ht="12.75" customHeight="1">
      <c r="A253" s="187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</row>
    <row r="254" ht="12.75" customHeight="1">
      <c r="A254" s="187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</row>
    <row r="255" ht="12.75" customHeight="1">
      <c r="A255" s="187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</row>
    <row r="256" ht="12.75" customHeight="1">
      <c r="A256" s="187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</row>
    <row r="257" ht="12.75" customHeight="1">
      <c r="A257" s="187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</row>
    <row r="258" ht="12.75" customHeight="1">
      <c r="A258" s="187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</row>
    <row r="259" ht="12.75" customHeight="1">
      <c r="A259" s="187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</row>
    <row r="260" ht="12.75" customHeight="1">
      <c r="A260" s="187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</row>
    <row r="261" ht="12.75" customHeight="1">
      <c r="A261" s="187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</row>
    <row r="262" ht="12.75" customHeight="1">
      <c r="A262" s="187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</row>
    <row r="263" ht="12.75" customHeight="1">
      <c r="A263" s="187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</row>
    <row r="264" ht="12.75" customHeight="1">
      <c r="A264" s="187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</row>
    <row r="265" ht="12.75" customHeight="1">
      <c r="A265" s="187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</row>
    <row r="266" ht="12.75" customHeight="1">
      <c r="A266" s="187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</row>
    <row r="267" ht="12.75" customHeight="1">
      <c r="A267" s="187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</row>
    <row r="268" ht="12.75" customHeight="1">
      <c r="A268" s="187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</row>
    <row r="269" ht="12.75" customHeight="1">
      <c r="A269" s="187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</row>
    <row r="270" ht="12.75" customHeight="1">
      <c r="A270" s="187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</row>
    <row r="271" ht="12.75" customHeight="1">
      <c r="A271" s="187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</row>
    <row r="272" ht="12.75" customHeight="1">
      <c r="A272" s="187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</row>
    <row r="273" ht="12.75" customHeight="1">
      <c r="A273" s="187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</row>
    <row r="274" ht="12.75" customHeight="1">
      <c r="A274" s="187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</row>
    <row r="275" ht="12.75" customHeight="1">
      <c r="A275" s="187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</row>
    <row r="276" ht="12.75" customHeight="1">
      <c r="A276" s="187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</row>
    <row r="277" ht="12.75" customHeight="1">
      <c r="A277" s="187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</row>
    <row r="278" ht="12.75" customHeight="1">
      <c r="A278" s="187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</row>
    <row r="279" ht="12.75" customHeight="1">
      <c r="A279" s="187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</row>
    <row r="280" ht="12.75" customHeight="1">
      <c r="A280" s="187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</row>
    <row r="281" ht="12.75" customHeight="1">
      <c r="A281" s="187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</row>
    <row r="282" ht="12.75" customHeight="1">
      <c r="A282" s="187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</row>
    <row r="283" ht="12.75" customHeight="1">
      <c r="A283" s="187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</row>
    <row r="284" ht="12.75" customHeight="1">
      <c r="A284" s="187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</row>
    <row r="285" ht="12.75" customHeight="1">
      <c r="A285" s="187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</row>
    <row r="286" ht="12.75" customHeight="1">
      <c r="A286" s="187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</row>
    <row r="287" ht="12.75" customHeight="1">
      <c r="A287" s="187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</row>
    <row r="288" ht="12.75" customHeight="1">
      <c r="A288" s="187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</row>
    <row r="289" ht="12.75" customHeight="1">
      <c r="A289" s="187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</row>
    <row r="290" ht="12.75" customHeight="1">
      <c r="A290" s="187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</row>
    <row r="291" ht="12.75" customHeight="1">
      <c r="A291" s="187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</row>
    <row r="292" ht="12.75" customHeight="1">
      <c r="A292" s="187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</row>
    <row r="293" ht="12.75" customHeight="1">
      <c r="A293" s="187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</row>
    <row r="294" ht="12.75" customHeight="1">
      <c r="A294" s="187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</row>
    <row r="295" ht="12.75" customHeight="1">
      <c r="A295" s="187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</row>
    <row r="296" ht="12.75" customHeight="1">
      <c r="A296" s="187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</row>
    <row r="297" ht="12.75" customHeight="1">
      <c r="A297" s="187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</row>
    <row r="298" ht="12.75" customHeight="1">
      <c r="A298" s="187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</row>
    <row r="299" ht="12.75" customHeight="1">
      <c r="A299" s="187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</row>
    <row r="300" ht="12.75" customHeight="1">
      <c r="A300" s="187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</row>
    <row r="301" ht="12.75" customHeight="1">
      <c r="A301" s="187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</row>
    <row r="302" ht="12.75" customHeight="1">
      <c r="A302" s="187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</row>
    <row r="303" ht="12.75" customHeight="1">
      <c r="A303" s="187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</row>
    <row r="304" ht="12.75" customHeight="1">
      <c r="A304" s="187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</row>
    <row r="305" ht="12.75" customHeight="1">
      <c r="A305" s="187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</row>
    <row r="306" ht="12.75" customHeight="1">
      <c r="A306" s="187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</row>
    <row r="307" ht="12.75" customHeight="1">
      <c r="A307" s="187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</row>
    <row r="308" ht="12.75" customHeight="1">
      <c r="A308" s="187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</row>
    <row r="309" ht="12.75" customHeight="1">
      <c r="A309" s="187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</row>
    <row r="310" ht="12.75" customHeight="1">
      <c r="A310" s="187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</row>
    <row r="311" ht="12.75" customHeight="1">
      <c r="A311" s="187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</row>
    <row r="312" ht="12.75" customHeight="1">
      <c r="A312" s="187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</row>
    <row r="313" ht="12.75" customHeight="1">
      <c r="A313" s="187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</row>
    <row r="314" ht="12.75" customHeight="1">
      <c r="A314" s="187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</row>
    <row r="315" ht="12.75" customHeight="1">
      <c r="A315" s="187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</row>
    <row r="316" ht="12.75" customHeight="1">
      <c r="A316" s="187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</row>
    <row r="317" ht="12.75" customHeight="1">
      <c r="A317" s="187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</row>
    <row r="318" ht="12.75" customHeight="1">
      <c r="A318" s="187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</row>
    <row r="319" ht="12.75" customHeight="1">
      <c r="A319" s="187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</row>
    <row r="320" ht="12.75" customHeight="1">
      <c r="A320" s="187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</row>
    <row r="321" ht="12.75" customHeight="1">
      <c r="A321" s="187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</row>
    <row r="322" ht="12.75" customHeight="1">
      <c r="A322" s="187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</row>
    <row r="323" ht="12.75" customHeight="1">
      <c r="A323" s="187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</row>
    <row r="324" ht="12.75" customHeight="1">
      <c r="A324" s="187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</row>
    <row r="325" ht="12.75" customHeight="1">
      <c r="A325" s="187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</row>
    <row r="326" ht="12.75" customHeight="1">
      <c r="A326" s="187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</row>
    <row r="327" ht="12.75" customHeight="1">
      <c r="A327" s="187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</row>
    <row r="328" ht="12.75" customHeight="1">
      <c r="A328" s="187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</row>
    <row r="329" ht="12.75" customHeight="1">
      <c r="A329" s="187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</row>
    <row r="330" ht="12.75" customHeight="1">
      <c r="A330" s="187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</row>
    <row r="331" ht="12.75" customHeight="1">
      <c r="A331" s="187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</row>
    <row r="332" ht="12.75" customHeight="1">
      <c r="A332" s="187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</row>
    <row r="333" ht="12.75" customHeight="1">
      <c r="A333" s="187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</row>
    <row r="334" ht="12.75" customHeight="1">
      <c r="A334" s="187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</row>
    <row r="335" ht="12.75" customHeight="1">
      <c r="A335" s="187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</row>
    <row r="336" ht="12.75" customHeight="1">
      <c r="A336" s="187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</row>
    <row r="337" ht="12.75" customHeight="1">
      <c r="A337" s="187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</row>
    <row r="338" ht="12.75" customHeight="1">
      <c r="A338" s="187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</row>
    <row r="339" ht="12.75" customHeight="1">
      <c r="A339" s="187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</row>
    <row r="340" ht="12.75" customHeight="1">
      <c r="A340" s="187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</row>
    <row r="341" ht="12.75" customHeight="1">
      <c r="A341" s="187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</row>
    <row r="342" ht="12.75" customHeight="1">
      <c r="A342" s="187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</row>
    <row r="343" ht="12.75" customHeight="1">
      <c r="A343" s="187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</row>
    <row r="344" ht="12.75" customHeight="1">
      <c r="A344" s="187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</row>
    <row r="345" ht="12.75" customHeight="1">
      <c r="A345" s="187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</row>
    <row r="346" ht="12.75" customHeight="1">
      <c r="A346" s="187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</row>
    <row r="347" ht="12.75" customHeight="1">
      <c r="A347" s="187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</row>
    <row r="348" ht="12.75" customHeight="1">
      <c r="A348" s="187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</row>
    <row r="349" ht="12.75" customHeight="1">
      <c r="A349" s="187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</row>
    <row r="350" ht="12.75" customHeight="1">
      <c r="A350" s="187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</row>
    <row r="351" ht="12.75" customHeight="1">
      <c r="A351" s="187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</row>
    <row r="352" ht="12.75" customHeight="1">
      <c r="A352" s="187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</row>
    <row r="353" ht="12.75" customHeight="1">
      <c r="A353" s="187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</row>
    <row r="354" ht="12.75" customHeight="1">
      <c r="A354" s="187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</row>
    <row r="355" ht="12.75" customHeight="1">
      <c r="A355" s="187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</row>
    <row r="356" ht="12.75" customHeight="1">
      <c r="A356" s="187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</row>
    <row r="357" ht="12.75" customHeight="1">
      <c r="A357" s="187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</row>
    <row r="358" ht="12.75" customHeight="1">
      <c r="A358" s="187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</row>
    <row r="359" ht="12.75" customHeight="1">
      <c r="A359" s="187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</row>
    <row r="360" ht="12.75" customHeight="1">
      <c r="A360" s="187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</row>
    <row r="361" ht="12.75" customHeight="1">
      <c r="A361" s="187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</row>
    <row r="362" ht="12.75" customHeight="1">
      <c r="A362" s="187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</row>
    <row r="363" ht="12.75" customHeight="1">
      <c r="A363" s="187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</row>
    <row r="364" ht="12.75" customHeight="1">
      <c r="A364" s="187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</row>
    <row r="365" ht="12.75" customHeight="1">
      <c r="A365" s="187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</row>
    <row r="366" ht="12.75" customHeight="1">
      <c r="A366" s="187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</row>
    <row r="367" ht="12.75" customHeight="1">
      <c r="A367" s="187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</row>
    <row r="368" ht="12.75" customHeight="1">
      <c r="A368" s="187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</row>
    <row r="369" ht="12.75" customHeight="1">
      <c r="A369" s="187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</row>
    <row r="370" ht="12.75" customHeight="1">
      <c r="A370" s="187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</row>
    <row r="371" ht="12.75" customHeight="1">
      <c r="A371" s="187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</row>
    <row r="372" ht="12.75" customHeight="1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</row>
    <row r="373" ht="12.75" customHeight="1">
      <c r="A373" s="187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</row>
    <row r="374" ht="12.75" customHeight="1">
      <c r="A374" s="187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</row>
    <row r="375" ht="12.75" customHeight="1">
      <c r="A375" s="187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</row>
    <row r="376" ht="12.75" customHeight="1">
      <c r="A376" s="187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</row>
    <row r="377" ht="12.75" customHeight="1">
      <c r="A377" s="187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</row>
    <row r="378" ht="12.75" customHeight="1">
      <c r="A378" s="187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</row>
    <row r="379" ht="12.75" customHeight="1">
      <c r="A379" s="187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</row>
    <row r="380" ht="12.75" customHeight="1">
      <c r="A380" s="187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</row>
    <row r="381" ht="12.75" customHeight="1">
      <c r="A381" s="187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</row>
    <row r="382" ht="12.75" customHeight="1">
      <c r="A382" s="187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</row>
    <row r="383" ht="12.75" customHeight="1">
      <c r="A383" s="187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</row>
    <row r="384" ht="12.75" customHeight="1">
      <c r="A384" s="187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</row>
    <row r="385" ht="12.75" customHeight="1">
      <c r="A385" s="187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</row>
    <row r="386" ht="12.75" customHeight="1">
      <c r="A386" s="187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</row>
    <row r="387" ht="12.75" customHeight="1">
      <c r="A387" s="187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</row>
    <row r="388" ht="12.75" customHeight="1">
      <c r="A388" s="187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</row>
    <row r="389" ht="12.75" customHeight="1">
      <c r="A389" s="187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</row>
    <row r="390" ht="12.75" customHeight="1">
      <c r="A390" s="187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</row>
    <row r="391" ht="12.75" customHeight="1">
      <c r="A391" s="187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</row>
    <row r="392" ht="12.75" customHeight="1">
      <c r="A392" s="187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</row>
    <row r="393" ht="12.75" customHeight="1">
      <c r="A393" s="187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</row>
    <row r="394" ht="12.75" customHeight="1">
      <c r="A394" s="187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</row>
    <row r="395" ht="12.75" customHeight="1">
      <c r="A395" s="187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</row>
    <row r="396" ht="12.75" customHeight="1">
      <c r="A396" s="187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</row>
    <row r="397" ht="12.75" customHeight="1">
      <c r="A397" s="187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</row>
    <row r="398" ht="12.75" customHeight="1">
      <c r="A398" s="187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</row>
    <row r="399" ht="12.75" customHeight="1">
      <c r="A399" s="187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</row>
    <row r="400" ht="12.75" customHeight="1">
      <c r="A400" s="187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</row>
    <row r="401" ht="12.75" customHeight="1">
      <c r="A401" s="187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</row>
    <row r="402" ht="12.75" customHeight="1">
      <c r="A402" s="187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</row>
    <row r="403" ht="12.75" customHeight="1">
      <c r="A403" s="187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</row>
    <row r="404" ht="12.75" customHeight="1">
      <c r="A404" s="187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</row>
    <row r="405" ht="12.75" customHeight="1">
      <c r="A405" s="187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</row>
    <row r="406" ht="12.75" customHeight="1">
      <c r="A406" s="187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</row>
    <row r="407" ht="12.75" customHeight="1">
      <c r="A407" s="187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</row>
    <row r="408" ht="12.75" customHeight="1">
      <c r="A408" s="187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</row>
    <row r="409" ht="12.75" customHeight="1">
      <c r="A409" s="187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</row>
    <row r="410" ht="12.75" customHeight="1">
      <c r="A410" s="187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</row>
    <row r="411" ht="12.75" customHeight="1">
      <c r="A411" s="187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</row>
    <row r="412" ht="12.75" customHeight="1">
      <c r="A412" s="187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</row>
    <row r="413" ht="12.75" customHeight="1">
      <c r="A413" s="187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</row>
    <row r="414" ht="12.75" customHeight="1">
      <c r="A414" s="187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</row>
    <row r="415" ht="12.75" customHeight="1">
      <c r="A415" s="187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</row>
    <row r="416" ht="12.75" customHeight="1">
      <c r="A416" s="187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</row>
    <row r="417" ht="12.75" customHeight="1">
      <c r="A417" s="187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</row>
    <row r="418" ht="12.75" customHeight="1">
      <c r="A418" s="187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</row>
    <row r="419" ht="12.75" customHeight="1">
      <c r="A419" s="187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</row>
    <row r="420" ht="12.75" customHeight="1">
      <c r="A420" s="187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</row>
    <row r="421" ht="12.75" customHeight="1">
      <c r="A421" s="187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</row>
    <row r="422" ht="12.75" customHeight="1">
      <c r="A422" s="187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</row>
    <row r="423" ht="12.75" customHeight="1">
      <c r="A423" s="187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</row>
    <row r="424" ht="12.75" customHeight="1">
      <c r="A424" s="187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</row>
    <row r="425" ht="12.75" customHeight="1">
      <c r="A425" s="187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</row>
    <row r="426" ht="12.75" customHeight="1">
      <c r="A426" s="187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</row>
    <row r="427" ht="12.75" customHeight="1">
      <c r="A427" s="187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</row>
    <row r="428" ht="12.75" customHeight="1">
      <c r="A428" s="187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</row>
    <row r="429" ht="12.75" customHeight="1">
      <c r="A429" s="187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</row>
    <row r="430" ht="12.75" customHeight="1">
      <c r="A430" s="187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</row>
    <row r="431" ht="12.75" customHeight="1">
      <c r="A431" s="187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</row>
    <row r="432" ht="12.75" customHeight="1">
      <c r="A432" s="187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</row>
    <row r="433" ht="12.75" customHeight="1">
      <c r="A433" s="187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</row>
    <row r="434" ht="12.75" customHeight="1">
      <c r="A434" s="187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</row>
    <row r="435" ht="12.75" customHeight="1">
      <c r="A435" s="187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</row>
    <row r="436" ht="12.75" customHeight="1">
      <c r="A436" s="187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</row>
    <row r="437" ht="12.75" customHeight="1">
      <c r="A437" s="187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</row>
    <row r="438" ht="12.75" customHeight="1">
      <c r="A438" s="187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</row>
    <row r="439" ht="12.75" customHeight="1">
      <c r="A439" s="187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</row>
    <row r="440" ht="12.75" customHeight="1">
      <c r="A440" s="187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</row>
    <row r="441" ht="12.75" customHeight="1">
      <c r="A441" s="187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</row>
    <row r="442" ht="12.75" customHeight="1">
      <c r="A442" s="187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</row>
    <row r="443" ht="12.75" customHeight="1">
      <c r="A443" s="187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</row>
    <row r="444" ht="12.75" customHeight="1">
      <c r="A444" s="187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</row>
    <row r="445" ht="12.75" customHeight="1">
      <c r="A445" s="187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</row>
    <row r="446" ht="12.75" customHeight="1">
      <c r="A446" s="187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</row>
    <row r="447" ht="12.75" customHeight="1">
      <c r="A447" s="187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</row>
    <row r="448" ht="12.75" customHeight="1">
      <c r="A448" s="187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</row>
    <row r="449" ht="12.75" customHeight="1">
      <c r="A449" s="187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</row>
    <row r="450" ht="12.75" customHeight="1">
      <c r="A450" s="187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</row>
    <row r="451" ht="12.75" customHeight="1">
      <c r="A451" s="187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</row>
    <row r="452" ht="12.75" customHeight="1">
      <c r="A452" s="187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</row>
    <row r="453" ht="12.75" customHeight="1">
      <c r="A453" s="187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</row>
    <row r="454" ht="12.75" customHeight="1">
      <c r="A454" s="187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</row>
    <row r="455" ht="12.75" customHeight="1">
      <c r="A455" s="187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</row>
    <row r="456" ht="12.75" customHeight="1">
      <c r="A456" s="187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</row>
    <row r="457" ht="12.75" customHeight="1">
      <c r="A457" s="187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</row>
    <row r="458" ht="12.75" customHeight="1">
      <c r="A458" s="187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</row>
    <row r="459" ht="12.75" customHeight="1">
      <c r="A459" s="187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</row>
    <row r="460" ht="12.75" customHeight="1">
      <c r="A460" s="187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</row>
    <row r="461" ht="12.75" customHeight="1">
      <c r="A461" s="187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</row>
    <row r="462" ht="12.75" customHeight="1">
      <c r="A462" s="187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</row>
    <row r="463" ht="12.75" customHeight="1">
      <c r="A463" s="187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</row>
    <row r="464" ht="12.75" customHeight="1">
      <c r="A464" s="187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</row>
    <row r="465" ht="12.75" customHeight="1">
      <c r="A465" s="187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</row>
    <row r="466" ht="12.75" customHeight="1">
      <c r="A466" s="187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</row>
    <row r="467" ht="12.75" customHeight="1">
      <c r="A467" s="187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</row>
    <row r="468" ht="12.75" customHeight="1">
      <c r="A468" s="187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</row>
    <row r="469" ht="12.75" customHeight="1">
      <c r="A469" s="187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</row>
    <row r="470" ht="12.75" customHeight="1">
      <c r="A470" s="187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</row>
    <row r="471" ht="12.75" customHeight="1">
      <c r="A471" s="187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</row>
    <row r="472" ht="12.75" customHeight="1">
      <c r="A472" s="187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</row>
    <row r="473" ht="12.75" customHeight="1">
      <c r="A473" s="187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</row>
    <row r="474" ht="12.75" customHeight="1">
      <c r="A474" s="187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</row>
    <row r="475" ht="12.75" customHeight="1">
      <c r="A475" s="187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</row>
    <row r="476" ht="12.75" customHeight="1">
      <c r="A476" s="187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</row>
    <row r="477" ht="12.75" customHeight="1">
      <c r="A477" s="187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</row>
    <row r="478" ht="12.75" customHeight="1">
      <c r="A478" s="187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</row>
    <row r="479" ht="12.75" customHeight="1">
      <c r="A479" s="187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</row>
    <row r="480" ht="12.75" customHeight="1">
      <c r="A480" s="187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</row>
    <row r="481" ht="12.75" customHeight="1">
      <c r="A481" s="187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</row>
    <row r="482" ht="12.75" customHeight="1">
      <c r="A482" s="187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</row>
    <row r="483" ht="12.75" customHeight="1">
      <c r="A483" s="187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</row>
    <row r="484" ht="12.75" customHeight="1">
      <c r="A484" s="187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</row>
    <row r="485" ht="12.75" customHeight="1">
      <c r="A485" s="187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</row>
    <row r="486" ht="12.75" customHeight="1">
      <c r="A486" s="187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</row>
    <row r="487" ht="12.75" customHeight="1">
      <c r="A487" s="187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</row>
    <row r="488" ht="12.75" customHeight="1">
      <c r="A488" s="187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</row>
    <row r="489" ht="12.75" customHeight="1">
      <c r="A489" s="187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</row>
    <row r="490" ht="12.75" customHeight="1">
      <c r="A490" s="187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</row>
    <row r="491" ht="12.75" customHeight="1">
      <c r="A491" s="187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</row>
    <row r="492" ht="12.75" customHeight="1">
      <c r="A492" s="187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</row>
    <row r="493" ht="12.75" customHeight="1">
      <c r="A493" s="187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</row>
    <row r="494" ht="12.75" customHeight="1">
      <c r="A494" s="187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</row>
    <row r="495" ht="12.75" customHeight="1">
      <c r="A495" s="187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</row>
    <row r="496" ht="12.75" customHeight="1">
      <c r="A496" s="187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</row>
    <row r="497" ht="12.75" customHeight="1">
      <c r="A497" s="187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</row>
    <row r="498" ht="12.75" customHeight="1">
      <c r="A498" s="187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</row>
    <row r="499" ht="12.75" customHeight="1">
      <c r="A499" s="187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</row>
    <row r="500" ht="12.75" customHeight="1">
      <c r="A500" s="187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</row>
    <row r="501" ht="12.75" customHeight="1">
      <c r="A501" s="187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</row>
    <row r="502" ht="12.75" customHeight="1">
      <c r="A502" s="187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</row>
    <row r="503" ht="12.75" customHeight="1">
      <c r="A503" s="187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</row>
    <row r="504" ht="12.75" customHeight="1">
      <c r="A504" s="187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</row>
    <row r="505" ht="12.75" customHeight="1">
      <c r="A505" s="187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</row>
    <row r="506" ht="12.75" customHeight="1">
      <c r="A506" s="187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</row>
    <row r="507" ht="12.75" customHeight="1">
      <c r="A507" s="187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</row>
    <row r="508" ht="12.75" customHeight="1">
      <c r="A508" s="187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</row>
    <row r="509" ht="12.75" customHeight="1">
      <c r="A509" s="187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</row>
    <row r="510" ht="12.75" customHeight="1">
      <c r="A510" s="187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</row>
    <row r="511" ht="12.75" customHeight="1">
      <c r="A511" s="187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</row>
    <row r="512" ht="12.75" customHeight="1">
      <c r="A512" s="187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</row>
    <row r="513" ht="12.75" customHeight="1">
      <c r="A513" s="187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</row>
    <row r="514" ht="12.75" customHeight="1">
      <c r="A514" s="187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</row>
    <row r="515" ht="12.75" customHeight="1">
      <c r="A515" s="187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</row>
    <row r="516" ht="12.75" customHeight="1">
      <c r="A516" s="187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</row>
    <row r="517" ht="12.75" customHeight="1">
      <c r="A517" s="187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</row>
    <row r="518" ht="12.75" customHeight="1">
      <c r="A518" s="187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</row>
    <row r="519" ht="12.75" customHeight="1">
      <c r="A519" s="187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</row>
    <row r="520" ht="12.75" customHeight="1">
      <c r="A520" s="187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</row>
    <row r="521" ht="12.75" customHeight="1">
      <c r="A521" s="187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</row>
    <row r="522" ht="12.75" customHeight="1">
      <c r="A522" s="187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</row>
    <row r="523" ht="12.75" customHeight="1">
      <c r="A523" s="187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</row>
    <row r="524" ht="12.75" customHeight="1">
      <c r="A524" s="187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</row>
    <row r="525" ht="12.75" customHeight="1">
      <c r="A525" s="187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</row>
    <row r="526" ht="12.75" customHeight="1">
      <c r="A526" s="187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</row>
    <row r="527" ht="12.75" customHeight="1">
      <c r="A527" s="187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</row>
    <row r="528" ht="12.75" customHeight="1">
      <c r="A528" s="187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</row>
    <row r="529" ht="12.75" customHeight="1">
      <c r="A529" s="187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</row>
    <row r="530" ht="12.75" customHeight="1">
      <c r="A530" s="187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</row>
    <row r="531" ht="12.75" customHeight="1">
      <c r="A531" s="187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</row>
    <row r="532" ht="12.75" customHeight="1">
      <c r="A532" s="187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</row>
    <row r="533" ht="12.75" customHeight="1">
      <c r="A533" s="187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</row>
    <row r="534" ht="12.75" customHeight="1">
      <c r="A534" s="187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</row>
    <row r="535" ht="12.75" customHeight="1">
      <c r="A535" s="187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</row>
    <row r="536" ht="12.75" customHeight="1">
      <c r="A536" s="187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</row>
    <row r="537" ht="12.75" customHeight="1">
      <c r="A537" s="187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</row>
    <row r="538" ht="12.75" customHeight="1">
      <c r="A538" s="187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</row>
    <row r="539" ht="12.75" customHeight="1">
      <c r="A539" s="187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</row>
    <row r="540" ht="12.75" customHeight="1">
      <c r="A540" s="187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</row>
    <row r="541" ht="12.75" customHeight="1">
      <c r="A541" s="187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</row>
    <row r="542" ht="12.75" customHeight="1">
      <c r="A542" s="187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</row>
    <row r="543" ht="12.75" customHeight="1">
      <c r="A543" s="187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</row>
    <row r="544" ht="12.75" customHeight="1">
      <c r="A544" s="187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</row>
    <row r="545" ht="12.75" customHeight="1">
      <c r="A545" s="187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</row>
    <row r="546" ht="12.75" customHeight="1">
      <c r="A546" s="187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</row>
    <row r="547" ht="12.75" customHeight="1">
      <c r="A547" s="187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</row>
    <row r="548" ht="12.75" customHeight="1">
      <c r="A548" s="187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</row>
    <row r="549" ht="12.75" customHeight="1">
      <c r="A549" s="187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</row>
    <row r="550" ht="12.75" customHeight="1">
      <c r="A550" s="187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</row>
    <row r="551" ht="12.75" customHeight="1">
      <c r="A551" s="187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</row>
    <row r="552" ht="12.75" customHeight="1">
      <c r="A552" s="187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</row>
    <row r="553" ht="12.75" customHeight="1">
      <c r="A553" s="187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</row>
    <row r="554" ht="12.75" customHeight="1">
      <c r="A554" s="187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</row>
    <row r="555" ht="12.75" customHeight="1">
      <c r="A555" s="187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</row>
    <row r="556" ht="12.75" customHeight="1">
      <c r="A556" s="187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</row>
    <row r="557" ht="12.75" customHeight="1">
      <c r="A557" s="187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</row>
    <row r="558" ht="12.75" customHeight="1">
      <c r="A558" s="187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</row>
    <row r="559" ht="12.75" customHeight="1">
      <c r="A559" s="187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</row>
    <row r="560" ht="12.75" customHeight="1">
      <c r="A560" s="187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</row>
    <row r="561" ht="12.75" customHeight="1">
      <c r="A561" s="187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</row>
    <row r="562" ht="12.75" customHeight="1">
      <c r="A562" s="187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</row>
    <row r="563" ht="12.75" customHeight="1">
      <c r="A563" s="187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</row>
    <row r="564" ht="12.75" customHeight="1">
      <c r="A564" s="187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</row>
    <row r="565" ht="12.75" customHeight="1">
      <c r="A565" s="187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</row>
    <row r="566" ht="12.75" customHeight="1">
      <c r="A566" s="187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</row>
    <row r="567" ht="12.75" customHeight="1">
      <c r="A567" s="187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</row>
    <row r="568" ht="12.75" customHeight="1">
      <c r="A568" s="187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</row>
    <row r="569" ht="12.75" customHeight="1">
      <c r="A569" s="187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</row>
    <row r="570" ht="12.75" customHeight="1">
      <c r="A570" s="187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</row>
    <row r="571" ht="12.75" customHeight="1">
      <c r="A571" s="187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</row>
    <row r="572" ht="12.75" customHeight="1">
      <c r="A572" s="187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</row>
    <row r="573" ht="12.75" customHeight="1">
      <c r="A573" s="187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</row>
    <row r="574" ht="12.75" customHeight="1">
      <c r="A574" s="187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</row>
    <row r="575" ht="12.75" customHeight="1">
      <c r="A575" s="187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</row>
    <row r="576" ht="12.75" customHeight="1">
      <c r="A576" s="187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</row>
    <row r="577" ht="12.75" customHeight="1">
      <c r="A577" s="187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</row>
    <row r="578" ht="12.75" customHeight="1">
      <c r="A578" s="187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</row>
    <row r="579" ht="12.75" customHeight="1">
      <c r="A579" s="187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</row>
    <row r="580" ht="12.75" customHeight="1">
      <c r="A580" s="187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</row>
    <row r="581" ht="12.75" customHeight="1">
      <c r="A581" s="187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</row>
    <row r="582" ht="12.75" customHeight="1">
      <c r="A582" s="187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</row>
    <row r="583" ht="12.75" customHeight="1">
      <c r="A583" s="187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</row>
    <row r="584" ht="12.75" customHeight="1">
      <c r="A584" s="187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</row>
    <row r="585" ht="12.75" customHeight="1">
      <c r="A585" s="187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</row>
    <row r="586" ht="12.75" customHeight="1">
      <c r="A586" s="187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</row>
    <row r="587" ht="12.75" customHeight="1">
      <c r="A587" s="187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</row>
    <row r="588" ht="12.75" customHeight="1">
      <c r="A588" s="187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</row>
    <row r="589" ht="12.75" customHeight="1">
      <c r="A589" s="187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</row>
    <row r="590" ht="12.75" customHeight="1">
      <c r="A590" s="187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</row>
    <row r="591" ht="12.75" customHeight="1">
      <c r="A591" s="187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</row>
    <row r="592" ht="12.75" customHeight="1">
      <c r="A592" s="187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</row>
    <row r="593" ht="12.75" customHeight="1">
      <c r="A593" s="187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</row>
    <row r="594" ht="12.75" customHeight="1">
      <c r="A594" s="187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</row>
    <row r="595" ht="12.75" customHeight="1">
      <c r="A595" s="187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</row>
    <row r="596" ht="12.75" customHeight="1">
      <c r="A596" s="187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</row>
    <row r="597" ht="12.75" customHeight="1">
      <c r="A597" s="187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</row>
    <row r="598" ht="12.75" customHeight="1">
      <c r="A598" s="187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</row>
    <row r="599" ht="12.75" customHeight="1">
      <c r="A599" s="187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</row>
    <row r="600" ht="12.75" customHeight="1">
      <c r="A600" s="187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</row>
    <row r="601" ht="12.75" customHeight="1">
      <c r="A601" s="187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</row>
    <row r="602" ht="12.75" customHeight="1">
      <c r="A602" s="187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</row>
    <row r="603" ht="12.75" customHeight="1">
      <c r="A603" s="187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</row>
    <row r="604" ht="12.75" customHeight="1">
      <c r="A604" s="187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</row>
    <row r="605" ht="12.75" customHeight="1">
      <c r="A605" s="187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</row>
    <row r="606" ht="12.75" customHeight="1">
      <c r="A606" s="187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</row>
    <row r="607" ht="12.75" customHeight="1">
      <c r="A607" s="187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</row>
    <row r="608" ht="12.75" customHeight="1">
      <c r="A608" s="187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</row>
    <row r="609" ht="12.75" customHeight="1">
      <c r="A609" s="187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</row>
    <row r="610" ht="12.75" customHeight="1">
      <c r="A610" s="187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</row>
    <row r="611" ht="12.75" customHeight="1">
      <c r="A611" s="187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</row>
    <row r="612" ht="12.75" customHeight="1">
      <c r="A612" s="187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</row>
    <row r="613" ht="12.75" customHeight="1">
      <c r="A613" s="187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</row>
    <row r="614" ht="12.75" customHeight="1">
      <c r="A614" s="187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</row>
    <row r="615" ht="12.75" customHeight="1">
      <c r="A615" s="187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</row>
    <row r="616" ht="12.75" customHeight="1">
      <c r="A616" s="187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</row>
    <row r="617" ht="12.75" customHeight="1">
      <c r="A617" s="187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</row>
    <row r="618" ht="12.75" customHeight="1">
      <c r="A618" s="187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</row>
    <row r="619" ht="12.75" customHeight="1">
      <c r="A619" s="187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</row>
    <row r="620" ht="12.75" customHeight="1">
      <c r="A620" s="187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</row>
    <row r="621" ht="12.75" customHeight="1">
      <c r="A621" s="187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</row>
    <row r="622" ht="12.75" customHeight="1">
      <c r="A622" s="187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</row>
    <row r="623" ht="12.75" customHeight="1">
      <c r="A623" s="187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</row>
    <row r="624" ht="12.75" customHeight="1">
      <c r="A624" s="187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</row>
    <row r="625" ht="12.75" customHeight="1">
      <c r="A625" s="187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</row>
    <row r="626" ht="12.75" customHeight="1">
      <c r="A626" s="187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</row>
    <row r="627" ht="12.75" customHeight="1">
      <c r="A627" s="187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</row>
    <row r="628" ht="12.75" customHeight="1">
      <c r="A628" s="187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</row>
    <row r="629" ht="12.75" customHeight="1">
      <c r="A629" s="187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</row>
    <row r="630" ht="12.75" customHeight="1">
      <c r="A630" s="187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</row>
    <row r="631" ht="12.75" customHeight="1">
      <c r="A631" s="187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</row>
    <row r="632" ht="12.75" customHeight="1">
      <c r="A632" s="187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</row>
    <row r="633" ht="12.75" customHeight="1">
      <c r="A633" s="187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</row>
    <row r="634" ht="12.75" customHeight="1">
      <c r="A634" s="187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</row>
    <row r="635" ht="12.75" customHeight="1">
      <c r="A635" s="187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</row>
    <row r="636" ht="12.75" customHeight="1">
      <c r="A636" s="187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</row>
    <row r="637" ht="12.75" customHeight="1">
      <c r="A637" s="187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</row>
    <row r="638" ht="12.75" customHeight="1">
      <c r="A638" s="187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</row>
    <row r="639" ht="12.75" customHeight="1">
      <c r="A639" s="187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</row>
    <row r="640" ht="12.75" customHeight="1">
      <c r="A640" s="187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</row>
    <row r="641" ht="12.75" customHeight="1">
      <c r="A641" s="187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</row>
    <row r="642" ht="12.75" customHeight="1">
      <c r="A642" s="187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</row>
    <row r="643" ht="12.75" customHeight="1">
      <c r="A643" s="187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</row>
    <row r="644" ht="12.75" customHeight="1">
      <c r="A644" s="187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</row>
    <row r="645" ht="12.75" customHeight="1">
      <c r="A645" s="187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</row>
    <row r="646" ht="12.75" customHeight="1">
      <c r="A646" s="187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</row>
    <row r="647" ht="12.75" customHeight="1">
      <c r="A647" s="187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</row>
    <row r="648" ht="12.75" customHeight="1">
      <c r="A648" s="187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</row>
    <row r="649" ht="12.75" customHeight="1">
      <c r="A649" s="187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</row>
    <row r="650" ht="12.75" customHeight="1">
      <c r="A650" s="187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</row>
    <row r="651" ht="12.75" customHeight="1">
      <c r="A651" s="187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</row>
    <row r="652" ht="12.75" customHeight="1">
      <c r="A652" s="187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</row>
    <row r="653" ht="12.75" customHeight="1">
      <c r="A653" s="187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</row>
    <row r="654" ht="12.75" customHeight="1">
      <c r="A654" s="187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</row>
    <row r="655" ht="12.75" customHeight="1">
      <c r="A655" s="187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</row>
    <row r="656" ht="12.75" customHeight="1">
      <c r="A656" s="187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</row>
    <row r="657" ht="12.75" customHeight="1">
      <c r="A657" s="187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</row>
    <row r="658" ht="12.75" customHeight="1">
      <c r="A658" s="187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</row>
    <row r="659" ht="12.75" customHeight="1">
      <c r="A659" s="187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</row>
    <row r="660" ht="12.75" customHeight="1">
      <c r="A660" s="187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</row>
    <row r="661" ht="12.75" customHeight="1">
      <c r="A661" s="187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</row>
    <row r="662" ht="12.75" customHeight="1">
      <c r="A662" s="187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</row>
    <row r="663" ht="12.75" customHeight="1">
      <c r="A663" s="187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</row>
    <row r="664" ht="12.75" customHeight="1">
      <c r="A664" s="187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</row>
    <row r="665" ht="12.75" customHeight="1">
      <c r="A665" s="187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</row>
    <row r="666" ht="12.75" customHeight="1">
      <c r="A666" s="187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</row>
    <row r="667" ht="12.75" customHeight="1">
      <c r="A667" s="187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</row>
    <row r="668" ht="12.75" customHeight="1">
      <c r="A668" s="187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</row>
    <row r="669" ht="12.75" customHeight="1">
      <c r="A669" s="187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</row>
    <row r="670" ht="12.75" customHeight="1">
      <c r="A670" s="187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</row>
    <row r="671" ht="12.75" customHeight="1">
      <c r="A671" s="187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</row>
    <row r="672" ht="12.75" customHeight="1">
      <c r="A672" s="187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</row>
    <row r="673" ht="12.75" customHeight="1">
      <c r="A673" s="187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</row>
    <row r="674" ht="12.75" customHeight="1">
      <c r="A674" s="187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</row>
    <row r="675" ht="12.75" customHeight="1">
      <c r="A675" s="187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</row>
    <row r="676" ht="12.75" customHeight="1">
      <c r="A676" s="187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</row>
    <row r="677" ht="12.75" customHeight="1">
      <c r="A677" s="187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</row>
    <row r="678" ht="12.75" customHeight="1">
      <c r="A678" s="187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</row>
    <row r="679" ht="12.75" customHeight="1">
      <c r="A679" s="187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</row>
    <row r="680" ht="12.75" customHeight="1">
      <c r="A680" s="187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</row>
    <row r="681" ht="12.75" customHeight="1">
      <c r="A681" s="187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</row>
    <row r="682" ht="12.75" customHeight="1">
      <c r="A682" s="187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</row>
    <row r="683" ht="12.75" customHeight="1">
      <c r="A683" s="187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</row>
    <row r="684" ht="12.75" customHeight="1">
      <c r="A684" s="187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</row>
    <row r="685" ht="12.75" customHeight="1">
      <c r="A685" s="187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</row>
    <row r="686" ht="12.75" customHeight="1">
      <c r="A686" s="187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</row>
    <row r="687" ht="12.75" customHeight="1">
      <c r="A687" s="187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</row>
    <row r="688" ht="12.75" customHeight="1">
      <c r="A688" s="187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</row>
    <row r="689" ht="12.75" customHeight="1">
      <c r="A689" s="187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</row>
    <row r="690" ht="12.75" customHeight="1">
      <c r="A690" s="187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</row>
    <row r="691" ht="12.75" customHeight="1">
      <c r="A691" s="187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</row>
    <row r="692" ht="12.75" customHeight="1">
      <c r="A692" s="187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</row>
    <row r="693" ht="12.75" customHeight="1">
      <c r="A693" s="187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</row>
    <row r="694" ht="12.75" customHeight="1">
      <c r="A694" s="187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</row>
    <row r="695" ht="12.75" customHeight="1">
      <c r="A695" s="187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</row>
    <row r="696" ht="12.75" customHeight="1">
      <c r="A696" s="187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</row>
    <row r="697" ht="12.75" customHeight="1">
      <c r="A697" s="187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</row>
    <row r="698" ht="12.75" customHeight="1">
      <c r="A698" s="187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</row>
    <row r="699" ht="12.75" customHeight="1">
      <c r="A699" s="187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</row>
    <row r="700" ht="12.75" customHeight="1">
      <c r="A700" s="187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</row>
    <row r="701" ht="12.75" customHeight="1">
      <c r="A701" s="187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</row>
    <row r="702" ht="12.75" customHeight="1">
      <c r="A702" s="187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</row>
    <row r="703" ht="12.75" customHeight="1">
      <c r="A703" s="187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</row>
    <row r="704" ht="12.75" customHeight="1">
      <c r="A704" s="187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</row>
    <row r="705" ht="12.75" customHeight="1">
      <c r="A705" s="187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</row>
    <row r="706" ht="12.75" customHeight="1">
      <c r="A706" s="187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</row>
    <row r="707" ht="12.75" customHeight="1">
      <c r="A707" s="187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</row>
    <row r="708" ht="12.75" customHeight="1">
      <c r="A708" s="187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</row>
    <row r="709" ht="12.75" customHeight="1">
      <c r="A709" s="187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</row>
    <row r="710" ht="12.75" customHeight="1">
      <c r="A710" s="187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</row>
    <row r="711" ht="12.75" customHeight="1">
      <c r="A711" s="187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</row>
    <row r="712" ht="12.75" customHeight="1">
      <c r="A712" s="187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</row>
    <row r="713" ht="12.75" customHeight="1">
      <c r="A713" s="187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</row>
    <row r="714" ht="12.75" customHeight="1">
      <c r="A714" s="187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</row>
    <row r="715" ht="12.75" customHeight="1">
      <c r="A715" s="187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</row>
    <row r="716" ht="12.75" customHeight="1">
      <c r="A716" s="187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</row>
    <row r="717" ht="12.75" customHeight="1">
      <c r="A717" s="187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</row>
    <row r="718" ht="12.75" customHeight="1">
      <c r="A718" s="187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</row>
    <row r="719" ht="12.75" customHeight="1">
      <c r="A719" s="187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</row>
    <row r="720" ht="12.75" customHeight="1">
      <c r="A720" s="187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</row>
    <row r="721" ht="12.75" customHeight="1">
      <c r="A721" s="187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</row>
    <row r="722" ht="12.75" customHeight="1">
      <c r="A722" s="187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</row>
    <row r="723" ht="12.75" customHeight="1">
      <c r="A723" s="187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</row>
    <row r="724" ht="12.75" customHeight="1">
      <c r="A724" s="187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</row>
    <row r="725" ht="12.75" customHeight="1">
      <c r="A725" s="187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</row>
    <row r="726" ht="12.75" customHeight="1">
      <c r="A726" s="187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</row>
    <row r="727" ht="12.75" customHeight="1">
      <c r="A727" s="187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</row>
    <row r="728" ht="12.75" customHeight="1">
      <c r="A728" s="187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</row>
    <row r="729" ht="12.75" customHeight="1">
      <c r="A729" s="187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</row>
    <row r="730" ht="12.75" customHeight="1">
      <c r="A730" s="187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</row>
    <row r="731" ht="12.75" customHeight="1">
      <c r="A731" s="187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</row>
    <row r="732" ht="12.75" customHeight="1">
      <c r="A732" s="187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</row>
    <row r="733" ht="12.75" customHeight="1">
      <c r="A733" s="187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</row>
    <row r="734" ht="12.75" customHeight="1">
      <c r="A734" s="187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</row>
    <row r="735" ht="12.75" customHeight="1">
      <c r="A735" s="187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</row>
    <row r="736" ht="12.75" customHeight="1">
      <c r="A736" s="187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</row>
    <row r="737" ht="12.75" customHeight="1">
      <c r="A737" s="187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</row>
    <row r="738" ht="12.75" customHeight="1">
      <c r="A738" s="187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</row>
    <row r="739" ht="12.75" customHeight="1">
      <c r="A739" s="187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</row>
    <row r="740" ht="12.75" customHeight="1">
      <c r="A740" s="187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</row>
    <row r="741" ht="12.75" customHeight="1">
      <c r="A741" s="187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</row>
    <row r="742" ht="12.75" customHeight="1">
      <c r="A742" s="187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</row>
    <row r="743" ht="12.75" customHeight="1">
      <c r="A743" s="187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</row>
    <row r="744" ht="12.75" customHeight="1">
      <c r="A744" s="187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</row>
    <row r="745" ht="12.75" customHeight="1">
      <c r="A745" s="187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</row>
    <row r="746" ht="12.75" customHeight="1">
      <c r="A746" s="187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</row>
    <row r="747" ht="12.75" customHeight="1">
      <c r="A747" s="187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</row>
    <row r="748" ht="12.75" customHeight="1">
      <c r="A748" s="187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</row>
    <row r="749" ht="12.75" customHeight="1">
      <c r="A749" s="187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</row>
    <row r="750" ht="12.75" customHeight="1">
      <c r="A750" s="187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</row>
    <row r="751" ht="12.75" customHeight="1">
      <c r="A751" s="187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</row>
    <row r="752" ht="12.75" customHeight="1">
      <c r="A752" s="187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</row>
    <row r="753" ht="12.75" customHeight="1">
      <c r="A753" s="187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</row>
    <row r="754" ht="12.75" customHeight="1">
      <c r="A754" s="187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</row>
    <row r="755" ht="12.75" customHeight="1">
      <c r="A755" s="187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</row>
    <row r="756" ht="12.75" customHeight="1">
      <c r="A756" s="187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</row>
    <row r="757" ht="12.75" customHeight="1">
      <c r="A757" s="187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</row>
    <row r="758" ht="12.75" customHeight="1">
      <c r="A758" s="187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</row>
    <row r="759" ht="12.75" customHeight="1">
      <c r="A759" s="187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</row>
    <row r="760" ht="12.75" customHeight="1">
      <c r="A760" s="187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</row>
    <row r="761" ht="12.75" customHeight="1">
      <c r="A761" s="187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</row>
    <row r="762" ht="12.75" customHeight="1">
      <c r="A762" s="187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</row>
    <row r="763" ht="12.75" customHeight="1">
      <c r="A763" s="187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</row>
    <row r="764" ht="12.75" customHeight="1">
      <c r="A764" s="187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</row>
    <row r="765" ht="12.75" customHeight="1">
      <c r="A765" s="187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</row>
    <row r="766" ht="12.75" customHeight="1">
      <c r="A766" s="187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</row>
    <row r="767" ht="12.75" customHeight="1">
      <c r="A767" s="187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</row>
    <row r="768" ht="12.75" customHeight="1">
      <c r="A768" s="187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</row>
    <row r="769" ht="12.75" customHeight="1">
      <c r="A769" s="187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</row>
    <row r="770" ht="12.75" customHeight="1">
      <c r="A770" s="187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</row>
    <row r="771" ht="12.75" customHeight="1">
      <c r="A771" s="187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</row>
    <row r="772" ht="12.75" customHeight="1">
      <c r="A772" s="187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</row>
    <row r="773" ht="12.75" customHeight="1">
      <c r="A773" s="187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</row>
    <row r="774" ht="12.75" customHeight="1">
      <c r="A774" s="187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</row>
    <row r="775" ht="12.75" customHeight="1">
      <c r="A775" s="187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</row>
    <row r="776" ht="12.75" customHeight="1">
      <c r="A776" s="187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</row>
    <row r="777" ht="12.75" customHeight="1">
      <c r="A777" s="187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</row>
    <row r="778" ht="12.75" customHeight="1">
      <c r="A778" s="187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</row>
    <row r="779" ht="12.75" customHeight="1">
      <c r="A779" s="187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</row>
    <row r="780" ht="12.75" customHeight="1">
      <c r="A780" s="187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</row>
    <row r="781" ht="12.75" customHeight="1">
      <c r="A781" s="187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</row>
    <row r="782" ht="12.75" customHeight="1">
      <c r="A782" s="187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</row>
    <row r="783" ht="12.75" customHeight="1">
      <c r="A783" s="187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</row>
    <row r="784" ht="12.75" customHeight="1">
      <c r="A784" s="187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</row>
    <row r="785" ht="12.75" customHeight="1">
      <c r="A785" s="187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</row>
    <row r="786" ht="12.75" customHeight="1">
      <c r="A786" s="187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</row>
    <row r="787" ht="12.75" customHeight="1">
      <c r="A787" s="187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</row>
    <row r="788" ht="12.75" customHeight="1">
      <c r="A788" s="187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</row>
    <row r="789" ht="12.75" customHeight="1">
      <c r="A789" s="187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</row>
    <row r="790" ht="12.75" customHeight="1">
      <c r="A790" s="187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</row>
    <row r="791" ht="12.75" customHeight="1">
      <c r="A791" s="187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</row>
    <row r="792" ht="12.75" customHeight="1">
      <c r="A792" s="187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</row>
    <row r="793" ht="12.75" customHeight="1">
      <c r="A793" s="187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</row>
    <row r="794" ht="12.75" customHeight="1">
      <c r="A794" s="187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</row>
    <row r="795" ht="12.75" customHeight="1">
      <c r="A795" s="187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</row>
    <row r="796" ht="12.75" customHeight="1">
      <c r="A796" s="187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</row>
    <row r="797" ht="12.75" customHeight="1">
      <c r="A797" s="187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</row>
    <row r="798" ht="12.75" customHeight="1">
      <c r="A798" s="187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</row>
    <row r="799" ht="12.75" customHeight="1">
      <c r="A799" s="187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</row>
    <row r="800" ht="12.75" customHeight="1">
      <c r="A800" s="187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</row>
    <row r="801" ht="12.75" customHeight="1">
      <c r="A801" s="187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</row>
    <row r="802" ht="12.75" customHeight="1">
      <c r="A802" s="187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</row>
    <row r="803" ht="12.75" customHeight="1">
      <c r="A803" s="187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</row>
    <row r="804" ht="12.75" customHeight="1">
      <c r="A804" s="187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</row>
    <row r="805" ht="12.75" customHeight="1">
      <c r="A805" s="187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</row>
    <row r="806" ht="12.75" customHeight="1">
      <c r="A806" s="187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</row>
    <row r="807" ht="12.75" customHeight="1">
      <c r="A807" s="187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</row>
    <row r="808" ht="12.75" customHeight="1">
      <c r="A808" s="187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</row>
    <row r="809" ht="12.75" customHeight="1">
      <c r="A809" s="187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</row>
    <row r="810" ht="12.75" customHeight="1">
      <c r="A810" s="187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</row>
    <row r="811" ht="12.75" customHeight="1">
      <c r="A811" s="187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</row>
    <row r="812" ht="12.75" customHeight="1">
      <c r="A812" s="187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</row>
    <row r="813" ht="12.75" customHeight="1">
      <c r="A813" s="187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</row>
    <row r="814" ht="12.75" customHeight="1">
      <c r="A814" s="187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</row>
    <row r="815" ht="12.75" customHeight="1">
      <c r="A815" s="187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</row>
    <row r="816" ht="12.75" customHeight="1">
      <c r="A816" s="187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</row>
    <row r="817" ht="12.75" customHeight="1">
      <c r="A817" s="187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</row>
    <row r="818" ht="12.75" customHeight="1">
      <c r="A818" s="187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</row>
    <row r="819" ht="12.75" customHeight="1">
      <c r="A819" s="187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</row>
    <row r="820" ht="12.75" customHeight="1">
      <c r="A820" s="187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</row>
    <row r="821" ht="12.75" customHeight="1">
      <c r="A821" s="187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</row>
    <row r="822" ht="12.75" customHeight="1">
      <c r="A822" s="187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</row>
    <row r="823" ht="12.75" customHeight="1">
      <c r="A823" s="187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</row>
    <row r="824" ht="12.75" customHeight="1">
      <c r="A824" s="187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</row>
    <row r="825" ht="12.75" customHeight="1">
      <c r="A825" s="187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</row>
    <row r="826" ht="12.75" customHeight="1">
      <c r="A826" s="187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</row>
    <row r="827" ht="12.75" customHeight="1">
      <c r="A827" s="187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</row>
    <row r="828" ht="12.75" customHeight="1">
      <c r="A828" s="187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</row>
    <row r="829" ht="12.75" customHeight="1">
      <c r="A829" s="187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</row>
    <row r="830" ht="12.75" customHeight="1">
      <c r="A830" s="187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</row>
    <row r="831" ht="12.75" customHeight="1">
      <c r="A831" s="187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</row>
    <row r="832" ht="12.75" customHeight="1">
      <c r="A832" s="187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</row>
    <row r="833" ht="12.75" customHeight="1">
      <c r="A833" s="187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</row>
    <row r="834" ht="12.75" customHeight="1">
      <c r="A834" s="187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</row>
    <row r="835" ht="12.75" customHeight="1">
      <c r="A835" s="187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</row>
    <row r="836" ht="12.75" customHeight="1">
      <c r="A836" s="187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</row>
    <row r="837" ht="12.75" customHeight="1">
      <c r="A837" s="187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</row>
    <row r="838" ht="12.75" customHeight="1">
      <c r="A838" s="187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</row>
    <row r="839" ht="12.75" customHeight="1">
      <c r="A839" s="187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</row>
    <row r="840" ht="12.75" customHeight="1">
      <c r="A840" s="187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</row>
    <row r="841" ht="12.75" customHeight="1">
      <c r="A841" s="187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</row>
    <row r="842" ht="12.75" customHeight="1">
      <c r="A842" s="187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</row>
    <row r="843" ht="12.75" customHeight="1">
      <c r="A843" s="187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</row>
    <row r="844" ht="12.75" customHeight="1">
      <c r="A844" s="187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</row>
    <row r="845" ht="12.75" customHeight="1">
      <c r="A845" s="187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</row>
    <row r="846" ht="12.75" customHeight="1">
      <c r="A846" s="187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</row>
    <row r="847" ht="12.75" customHeight="1">
      <c r="A847" s="187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</row>
    <row r="848" ht="12.75" customHeight="1">
      <c r="A848" s="187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</row>
    <row r="849" ht="12.75" customHeight="1">
      <c r="A849" s="187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</row>
    <row r="850" ht="12.75" customHeight="1">
      <c r="A850" s="187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</row>
    <row r="851" ht="12.75" customHeight="1">
      <c r="A851" s="187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</row>
    <row r="852" ht="12.75" customHeight="1">
      <c r="A852" s="187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</row>
    <row r="853" ht="12.75" customHeight="1">
      <c r="A853" s="187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</row>
    <row r="854" ht="12.75" customHeight="1">
      <c r="A854" s="187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</row>
    <row r="855" ht="12.75" customHeight="1">
      <c r="A855" s="187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</row>
    <row r="856" ht="12.75" customHeight="1">
      <c r="A856" s="187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</row>
    <row r="857" ht="12.75" customHeight="1">
      <c r="A857" s="187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</row>
    <row r="858" ht="12.75" customHeight="1">
      <c r="A858" s="187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</row>
    <row r="859" ht="12.75" customHeight="1">
      <c r="A859" s="187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</row>
    <row r="860" ht="12.75" customHeight="1">
      <c r="A860" s="187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</row>
    <row r="861" ht="12.75" customHeight="1">
      <c r="A861" s="187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</row>
    <row r="862" ht="12.75" customHeight="1">
      <c r="A862" s="187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</row>
    <row r="863" ht="12.75" customHeight="1">
      <c r="A863" s="187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</row>
    <row r="864" ht="12.75" customHeight="1">
      <c r="A864" s="187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</row>
    <row r="865" ht="12.75" customHeight="1">
      <c r="A865" s="187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</row>
    <row r="866" ht="12.75" customHeight="1">
      <c r="A866" s="187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</row>
    <row r="867" ht="12.75" customHeight="1">
      <c r="A867" s="187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</row>
    <row r="868" ht="12.75" customHeight="1">
      <c r="A868" s="187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</row>
    <row r="869" ht="12.75" customHeight="1">
      <c r="A869" s="187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</row>
    <row r="870" ht="12.75" customHeight="1">
      <c r="A870" s="187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</row>
    <row r="871" ht="12.75" customHeight="1">
      <c r="A871" s="187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</row>
    <row r="872" ht="12.75" customHeight="1">
      <c r="A872" s="187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</row>
    <row r="873" ht="12.75" customHeight="1">
      <c r="A873" s="187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</row>
    <row r="874" ht="12.75" customHeight="1">
      <c r="A874" s="187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</row>
    <row r="875" ht="12.75" customHeight="1">
      <c r="A875" s="187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</row>
    <row r="876" ht="12.75" customHeight="1">
      <c r="A876" s="187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</row>
    <row r="877" ht="12.75" customHeight="1">
      <c r="A877" s="187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</row>
    <row r="878" ht="12.75" customHeight="1">
      <c r="A878" s="187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</row>
    <row r="879" ht="12.75" customHeight="1">
      <c r="A879" s="187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</row>
    <row r="880" ht="12.75" customHeight="1">
      <c r="A880" s="187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</row>
    <row r="881" ht="12.75" customHeight="1">
      <c r="A881" s="187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</row>
    <row r="882" ht="12.75" customHeight="1">
      <c r="A882" s="187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</row>
    <row r="883" ht="12.75" customHeight="1">
      <c r="A883" s="187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</row>
    <row r="884" ht="12.75" customHeight="1">
      <c r="A884" s="187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</row>
    <row r="885" ht="12.75" customHeight="1">
      <c r="A885" s="187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</row>
    <row r="886" ht="12.75" customHeight="1">
      <c r="A886" s="187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</row>
    <row r="887" ht="12.75" customHeight="1">
      <c r="A887" s="187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</row>
    <row r="888" ht="12.75" customHeight="1">
      <c r="A888" s="187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</row>
    <row r="889" ht="12.75" customHeight="1">
      <c r="A889" s="187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</row>
    <row r="890" ht="12.75" customHeight="1">
      <c r="A890" s="187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</row>
    <row r="891" ht="12.75" customHeight="1">
      <c r="A891" s="187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</row>
    <row r="892" ht="12.75" customHeight="1">
      <c r="A892" s="187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</row>
    <row r="893" ht="12.75" customHeight="1">
      <c r="A893" s="187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</row>
    <row r="894" ht="12.75" customHeight="1">
      <c r="A894" s="187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</row>
    <row r="895" ht="12.75" customHeight="1">
      <c r="A895" s="187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</row>
    <row r="896" ht="12.75" customHeight="1">
      <c r="A896" s="187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</row>
    <row r="897" ht="12.75" customHeight="1">
      <c r="A897" s="187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</row>
    <row r="898" ht="12.75" customHeight="1">
      <c r="A898" s="187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</row>
    <row r="899" ht="12.75" customHeight="1">
      <c r="A899" s="187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</row>
    <row r="900" ht="12.75" customHeight="1">
      <c r="A900" s="187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</row>
    <row r="901" ht="12.75" customHeight="1">
      <c r="A901" s="187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</row>
    <row r="902" ht="12.75" customHeight="1">
      <c r="A902" s="187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</row>
    <row r="903" ht="12.75" customHeight="1">
      <c r="A903" s="187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</row>
    <row r="904" ht="12.75" customHeight="1">
      <c r="A904" s="187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</row>
    <row r="905" ht="12.75" customHeight="1">
      <c r="A905" s="187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</row>
    <row r="906" ht="12.75" customHeight="1">
      <c r="A906" s="187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</row>
    <row r="907" ht="12.75" customHeight="1">
      <c r="A907" s="187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</row>
    <row r="908" ht="12.75" customHeight="1">
      <c r="A908" s="187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</row>
    <row r="909" ht="12.75" customHeight="1">
      <c r="A909" s="187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</row>
    <row r="910" ht="12.75" customHeight="1">
      <c r="A910" s="187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</row>
    <row r="911" ht="12.75" customHeight="1">
      <c r="A911" s="187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</row>
    <row r="912" ht="12.75" customHeight="1">
      <c r="A912" s="187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</row>
    <row r="913" ht="12.75" customHeight="1">
      <c r="A913" s="187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</row>
    <row r="914" ht="12.75" customHeight="1">
      <c r="A914" s="187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</row>
    <row r="915" ht="12.75" customHeight="1">
      <c r="A915" s="187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</row>
    <row r="916" ht="12.75" customHeight="1">
      <c r="A916" s="187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</row>
    <row r="917" ht="12.75" customHeight="1">
      <c r="A917" s="187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</row>
    <row r="918" ht="12.75" customHeight="1">
      <c r="A918" s="187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</row>
    <row r="919" ht="12.75" customHeight="1">
      <c r="A919" s="187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</row>
    <row r="920" ht="12.75" customHeight="1">
      <c r="A920" s="187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</row>
    <row r="921" ht="12.75" customHeight="1">
      <c r="A921" s="187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</row>
    <row r="922" ht="12.75" customHeight="1">
      <c r="A922" s="187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</row>
    <row r="923" ht="12.75" customHeight="1">
      <c r="A923" s="187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</row>
    <row r="924" ht="12.75" customHeight="1">
      <c r="A924" s="187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</row>
    <row r="925" ht="12.75" customHeight="1">
      <c r="A925" s="187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</row>
    <row r="926" ht="12.75" customHeight="1">
      <c r="A926" s="187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</row>
    <row r="927" ht="12.75" customHeight="1">
      <c r="A927" s="187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</row>
    <row r="928" ht="12.75" customHeight="1">
      <c r="A928" s="187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</row>
    <row r="929" ht="12.75" customHeight="1">
      <c r="A929" s="187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</row>
    <row r="930" ht="12.75" customHeight="1">
      <c r="A930" s="187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</row>
    <row r="931" ht="12.75" customHeight="1">
      <c r="A931" s="187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</row>
    <row r="932" ht="12.75" customHeight="1">
      <c r="A932" s="187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</row>
    <row r="933" ht="12.75" customHeight="1">
      <c r="A933" s="187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</row>
    <row r="934" ht="12.75" customHeight="1">
      <c r="A934" s="187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87"/>
      <c r="V934" s="187"/>
      <c r="W934" s="187"/>
      <c r="X934" s="187"/>
      <c r="Y934" s="187"/>
      <c r="Z934" s="187"/>
    </row>
    <row r="935" ht="12.75" customHeight="1">
      <c r="A935" s="187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87"/>
      <c r="V935" s="187"/>
      <c r="W935" s="187"/>
      <c r="X935" s="187"/>
      <c r="Y935" s="187"/>
      <c r="Z935" s="187"/>
    </row>
    <row r="936" ht="12.75" customHeight="1">
      <c r="A936" s="187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87"/>
      <c r="V936" s="187"/>
      <c r="W936" s="187"/>
      <c r="X936" s="187"/>
      <c r="Y936" s="187"/>
      <c r="Z936" s="187"/>
    </row>
    <row r="937" ht="12.75" customHeight="1">
      <c r="A937" s="187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87"/>
      <c r="V937" s="187"/>
      <c r="W937" s="187"/>
      <c r="X937" s="187"/>
      <c r="Y937" s="187"/>
      <c r="Z937" s="187"/>
    </row>
    <row r="938" ht="12.75" customHeight="1">
      <c r="A938" s="187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87"/>
      <c r="V938" s="187"/>
      <c r="W938" s="187"/>
      <c r="X938" s="187"/>
      <c r="Y938" s="187"/>
      <c r="Z938" s="187"/>
    </row>
    <row r="939" ht="12.75" customHeight="1">
      <c r="A939" s="187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87"/>
      <c r="V939" s="187"/>
      <c r="W939" s="187"/>
      <c r="X939" s="187"/>
      <c r="Y939" s="187"/>
      <c r="Z939" s="187"/>
    </row>
    <row r="940" ht="12.75" customHeight="1">
      <c r="A940" s="187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87"/>
      <c r="V940" s="187"/>
      <c r="W940" s="187"/>
      <c r="X940" s="187"/>
      <c r="Y940" s="187"/>
      <c r="Z940" s="187"/>
    </row>
    <row r="941" ht="12.75" customHeight="1">
      <c r="A941" s="187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87"/>
      <c r="V941" s="187"/>
      <c r="W941" s="187"/>
      <c r="X941" s="187"/>
      <c r="Y941" s="187"/>
      <c r="Z941" s="187"/>
    </row>
    <row r="942" ht="12.75" customHeight="1">
      <c r="A942" s="187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87"/>
      <c r="V942" s="187"/>
      <c r="W942" s="187"/>
      <c r="X942" s="187"/>
      <c r="Y942" s="187"/>
      <c r="Z942" s="187"/>
    </row>
    <row r="943" ht="12.75" customHeight="1">
      <c r="A943" s="187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87"/>
      <c r="V943" s="187"/>
      <c r="W943" s="187"/>
      <c r="X943" s="187"/>
      <c r="Y943" s="187"/>
      <c r="Z943" s="187"/>
    </row>
    <row r="944" ht="12.75" customHeight="1">
      <c r="A944" s="187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87"/>
      <c r="V944" s="187"/>
      <c r="W944" s="187"/>
      <c r="X944" s="187"/>
      <c r="Y944" s="187"/>
      <c r="Z944" s="187"/>
    </row>
    <row r="945" ht="12.75" customHeight="1">
      <c r="A945" s="187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87"/>
      <c r="V945" s="187"/>
      <c r="W945" s="187"/>
      <c r="X945" s="187"/>
      <c r="Y945" s="187"/>
      <c r="Z945" s="187"/>
    </row>
    <row r="946" ht="12.75" customHeight="1">
      <c r="A946" s="187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87"/>
      <c r="V946" s="187"/>
      <c r="W946" s="187"/>
      <c r="X946" s="187"/>
      <c r="Y946" s="187"/>
      <c r="Z946" s="187"/>
    </row>
    <row r="947" ht="12.75" customHeight="1">
      <c r="A947" s="187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87"/>
      <c r="V947" s="187"/>
      <c r="W947" s="187"/>
      <c r="X947" s="187"/>
      <c r="Y947" s="187"/>
      <c r="Z947" s="187"/>
    </row>
    <row r="948" ht="12.75" customHeight="1">
      <c r="A948" s="187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87"/>
      <c r="V948" s="187"/>
      <c r="W948" s="187"/>
      <c r="X948" s="187"/>
      <c r="Y948" s="187"/>
      <c r="Z948" s="187"/>
    </row>
    <row r="949" ht="12.75" customHeight="1">
      <c r="A949" s="187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87"/>
      <c r="V949" s="187"/>
      <c r="W949" s="187"/>
      <c r="X949" s="187"/>
      <c r="Y949" s="187"/>
      <c r="Z949" s="187"/>
    </row>
    <row r="950" ht="12.75" customHeight="1">
      <c r="A950" s="187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87"/>
      <c r="V950" s="187"/>
      <c r="W950" s="187"/>
      <c r="X950" s="187"/>
      <c r="Y950" s="187"/>
      <c r="Z950" s="187"/>
    </row>
    <row r="951" ht="12.75" customHeight="1">
      <c r="A951" s="187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87"/>
      <c r="V951" s="187"/>
      <c r="W951" s="187"/>
      <c r="X951" s="187"/>
      <c r="Y951" s="187"/>
      <c r="Z951" s="187"/>
    </row>
    <row r="952" ht="12.75" customHeight="1">
      <c r="A952" s="187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87"/>
      <c r="V952" s="187"/>
      <c r="W952" s="187"/>
      <c r="X952" s="187"/>
      <c r="Y952" s="187"/>
      <c r="Z952" s="187"/>
    </row>
    <row r="953" ht="12.75" customHeight="1">
      <c r="A953" s="187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87"/>
      <c r="V953" s="187"/>
      <c r="W953" s="187"/>
      <c r="X953" s="187"/>
      <c r="Y953" s="187"/>
      <c r="Z953" s="187"/>
    </row>
    <row r="954" ht="12.75" customHeight="1">
      <c r="A954" s="187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87"/>
      <c r="V954" s="187"/>
      <c r="W954" s="187"/>
      <c r="X954" s="187"/>
      <c r="Y954" s="187"/>
      <c r="Z954" s="187"/>
    </row>
    <row r="955" ht="12.75" customHeight="1">
      <c r="A955" s="187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87"/>
      <c r="V955" s="187"/>
      <c r="W955" s="187"/>
      <c r="X955" s="187"/>
      <c r="Y955" s="187"/>
      <c r="Z955" s="187"/>
    </row>
    <row r="956" ht="12.75" customHeight="1">
      <c r="A956" s="187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87"/>
      <c r="V956" s="187"/>
      <c r="W956" s="187"/>
      <c r="X956" s="187"/>
      <c r="Y956" s="187"/>
      <c r="Z956" s="187"/>
    </row>
    <row r="957" ht="12.75" customHeight="1">
      <c r="A957" s="187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87"/>
      <c r="V957" s="187"/>
      <c r="W957" s="187"/>
      <c r="X957" s="187"/>
      <c r="Y957" s="187"/>
      <c r="Z957" s="187"/>
    </row>
    <row r="958" ht="12.75" customHeight="1">
      <c r="A958" s="187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87"/>
      <c r="V958" s="187"/>
      <c r="W958" s="187"/>
      <c r="X958" s="187"/>
      <c r="Y958" s="187"/>
      <c r="Z958" s="187"/>
    </row>
    <row r="959" ht="12.75" customHeight="1">
      <c r="A959" s="187"/>
      <c r="B959" s="187"/>
      <c r="C959" s="187"/>
      <c r="D959" s="187"/>
      <c r="E959" s="187"/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87"/>
      <c r="V959" s="187"/>
      <c r="W959" s="187"/>
      <c r="X959" s="187"/>
      <c r="Y959" s="187"/>
      <c r="Z959" s="187"/>
    </row>
    <row r="960" ht="12.75" customHeight="1">
      <c r="A960" s="187"/>
      <c r="B960" s="187"/>
      <c r="C960" s="187"/>
      <c r="D960" s="187"/>
      <c r="E960" s="187"/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87"/>
      <c r="V960" s="187"/>
      <c r="W960" s="187"/>
      <c r="X960" s="187"/>
      <c r="Y960" s="187"/>
      <c r="Z960" s="187"/>
    </row>
    <row r="961" ht="12.75" customHeight="1">
      <c r="A961" s="187"/>
      <c r="B961" s="187"/>
      <c r="C961" s="187"/>
      <c r="D961" s="187"/>
      <c r="E961" s="187"/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87"/>
      <c r="V961" s="187"/>
      <c r="W961" s="187"/>
      <c r="X961" s="187"/>
      <c r="Y961" s="187"/>
      <c r="Z961" s="187"/>
    </row>
    <row r="962" ht="12.75" customHeight="1">
      <c r="A962" s="187"/>
      <c r="B962" s="187"/>
      <c r="C962" s="187"/>
      <c r="D962" s="187"/>
      <c r="E962" s="187"/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87"/>
      <c r="V962" s="187"/>
      <c r="W962" s="187"/>
      <c r="X962" s="187"/>
      <c r="Y962" s="187"/>
      <c r="Z962" s="187"/>
    </row>
    <row r="963" ht="12.75" customHeight="1">
      <c r="A963" s="187"/>
      <c r="B963" s="187"/>
      <c r="C963" s="187"/>
      <c r="D963" s="187"/>
      <c r="E963" s="187"/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87"/>
      <c r="V963" s="187"/>
      <c r="W963" s="187"/>
      <c r="X963" s="187"/>
      <c r="Y963" s="187"/>
      <c r="Z963" s="187"/>
    </row>
    <row r="964" ht="12.75" customHeight="1">
      <c r="A964" s="187"/>
      <c r="B964" s="187"/>
      <c r="C964" s="187"/>
      <c r="D964" s="187"/>
      <c r="E964" s="187"/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87"/>
      <c r="V964" s="187"/>
      <c r="W964" s="187"/>
      <c r="X964" s="187"/>
      <c r="Y964" s="187"/>
      <c r="Z964" s="187"/>
    </row>
    <row r="965" ht="12.75" customHeight="1">
      <c r="A965" s="187"/>
      <c r="B965" s="187"/>
      <c r="C965" s="187"/>
      <c r="D965" s="187"/>
      <c r="E965" s="187"/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87"/>
      <c r="V965" s="187"/>
      <c r="W965" s="187"/>
      <c r="X965" s="187"/>
      <c r="Y965" s="187"/>
      <c r="Z965" s="187"/>
    </row>
    <row r="966" ht="12.75" customHeight="1">
      <c r="A966" s="187"/>
      <c r="B966" s="187"/>
      <c r="C966" s="187"/>
      <c r="D966" s="187"/>
      <c r="E966" s="187"/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87"/>
      <c r="V966" s="187"/>
      <c r="W966" s="187"/>
      <c r="X966" s="187"/>
      <c r="Y966" s="187"/>
      <c r="Z966" s="187"/>
    </row>
    <row r="967" ht="12.75" customHeight="1">
      <c r="A967" s="187"/>
      <c r="B967" s="187"/>
      <c r="C967" s="187"/>
      <c r="D967" s="187"/>
      <c r="E967" s="187"/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87"/>
      <c r="V967" s="187"/>
      <c r="W967" s="187"/>
      <c r="X967" s="187"/>
      <c r="Y967" s="187"/>
      <c r="Z967" s="187"/>
    </row>
    <row r="968" ht="12.75" customHeight="1">
      <c r="A968" s="187"/>
      <c r="B968" s="187"/>
      <c r="C968" s="187"/>
      <c r="D968" s="187"/>
      <c r="E968" s="187"/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87"/>
      <c r="V968" s="187"/>
      <c r="W968" s="187"/>
      <c r="X968" s="187"/>
      <c r="Y968" s="187"/>
      <c r="Z968" s="187"/>
    </row>
    <row r="969" ht="12.75" customHeight="1">
      <c r="A969" s="187"/>
      <c r="B969" s="187"/>
      <c r="C969" s="187"/>
      <c r="D969" s="187"/>
      <c r="E969" s="187"/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87"/>
      <c r="V969" s="187"/>
      <c r="W969" s="187"/>
      <c r="X969" s="187"/>
      <c r="Y969" s="187"/>
      <c r="Z969" s="187"/>
    </row>
    <row r="970" ht="12.75" customHeight="1">
      <c r="A970" s="187"/>
      <c r="B970" s="187"/>
      <c r="C970" s="187"/>
      <c r="D970" s="187"/>
      <c r="E970" s="187"/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87"/>
      <c r="V970" s="187"/>
      <c r="W970" s="187"/>
      <c r="X970" s="187"/>
      <c r="Y970" s="187"/>
      <c r="Z970" s="187"/>
    </row>
    <row r="971" ht="12.75" customHeight="1">
      <c r="A971" s="187"/>
      <c r="B971" s="187"/>
      <c r="C971" s="187"/>
      <c r="D971" s="187"/>
      <c r="E971" s="187"/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87"/>
      <c r="V971" s="187"/>
      <c r="W971" s="187"/>
      <c r="X971" s="187"/>
      <c r="Y971" s="187"/>
      <c r="Z971" s="187"/>
    </row>
    <row r="972" ht="12.75" customHeight="1">
      <c r="A972" s="187"/>
      <c r="B972" s="187"/>
      <c r="C972" s="187"/>
      <c r="D972" s="187"/>
      <c r="E972" s="187"/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87"/>
      <c r="V972" s="187"/>
      <c r="W972" s="187"/>
      <c r="X972" s="187"/>
      <c r="Y972" s="187"/>
      <c r="Z972" s="187"/>
    </row>
    <row r="973" ht="12.75" customHeight="1">
      <c r="A973" s="187"/>
      <c r="B973" s="187"/>
      <c r="C973" s="187"/>
      <c r="D973" s="187"/>
      <c r="E973" s="187"/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87"/>
      <c r="V973" s="187"/>
      <c r="W973" s="187"/>
      <c r="X973" s="187"/>
      <c r="Y973" s="187"/>
      <c r="Z973" s="187"/>
    </row>
    <row r="974" ht="12.75" customHeight="1">
      <c r="A974" s="187"/>
      <c r="B974" s="187"/>
      <c r="C974" s="187"/>
      <c r="D974" s="187"/>
      <c r="E974" s="187"/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87"/>
      <c r="V974" s="187"/>
      <c r="W974" s="187"/>
      <c r="X974" s="187"/>
      <c r="Y974" s="187"/>
      <c r="Z974" s="187"/>
    </row>
    <row r="975" ht="12.75" customHeight="1">
      <c r="A975" s="187"/>
      <c r="B975" s="187"/>
      <c r="C975" s="187"/>
      <c r="D975" s="187"/>
      <c r="E975" s="187"/>
      <c r="F975" s="187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87"/>
      <c r="V975" s="187"/>
      <c r="W975" s="187"/>
      <c r="X975" s="187"/>
      <c r="Y975" s="187"/>
      <c r="Z975" s="187"/>
    </row>
    <row r="976" ht="12.75" customHeight="1">
      <c r="A976" s="187"/>
      <c r="B976" s="187"/>
      <c r="C976" s="187"/>
      <c r="D976" s="187"/>
      <c r="E976" s="187"/>
      <c r="F976" s="187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87"/>
      <c r="V976" s="187"/>
      <c r="W976" s="187"/>
      <c r="X976" s="187"/>
      <c r="Y976" s="187"/>
      <c r="Z976" s="187"/>
    </row>
    <row r="977" ht="12.75" customHeight="1">
      <c r="A977" s="187"/>
      <c r="B977" s="187"/>
      <c r="C977" s="187"/>
      <c r="D977" s="187"/>
      <c r="E977" s="187"/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87"/>
      <c r="V977" s="187"/>
      <c r="W977" s="187"/>
      <c r="X977" s="187"/>
      <c r="Y977" s="187"/>
      <c r="Z977" s="187"/>
    </row>
    <row r="978" ht="12.75" customHeight="1">
      <c r="A978" s="187"/>
      <c r="B978" s="187"/>
      <c r="C978" s="187"/>
      <c r="D978" s="187"/>
      <c r="E978" s="187"/>
      <c r="F978" s="187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87"/>
      <c r="V978" s="187"/>
      <c r="W978" s="187"/>
      <c r="X978" s="187"/>
      <c r="Y978" s="187"/>
      <c r="Z978" s="187"/>
    </row>
    <row r="979" ht="12.75" customHeight="1">
      <c r="A979" s="187"/>
      <c r="B979" s="187"/>
      <c r="C979" s="187"/>
      <c r="D979" s="187"/>
      <c r="E979" s="187"/>
      <c r="F979" s="187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87"/>
      <c r="V979" s="187"/>
      <c r="W979" s="187"/>
      <c r="X979" s="187"/>
      <c r="Y979" s="187"/>
      <c r="Z979" s="187"/>
    </row>
    <row r="980" ht="12.75" customHeight="1">
      <c r="A980" s="187"/>
      <c r="B980" s="187"/>
      <c r="C980" s="187"/>
      <c r="D980" s="187"/>
      <c r="E980" s="187"/>
      <c r="F980" s="187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87"/>
      <c r="V980" s="187"/>
      <c r="W980" s="187"/>
      <c r="X980" s="187"/>
      <c r="Y980" s="187"/>
      <c r="Z980" s="187"/>
    </row>
    <row r="981" ht="12.75" customHeight="1">
      <c r="A981" s="187"/>
      <c r="B981" s="187"/>
      <c r="C981" s="187"/>
      <c r="D981" s="187"/>
      <c r="E981" s="187"/>
      <c r="F981" s="187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87"/>
      <c r="V981" s="187"/>
      <c r="W981" s="187"/>
      <c r="X981" s="187"/>
      <c r="Y981" s="187"/>
      <c r="Z981" s="187"/>
    </row>
    <row r="982" ht="12.75" customHeight="1">
      <c r="A982" s="187"/>
      <c r="B982" s="187"/>
      <c r="C982" s="187"/>
      <c r="D982" s="187"/>
      <c r="E982" s="187"/>
      <c r="F982" s="187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87"/>
      <c r="V982" s="187"/>
      <c r="W982" s="187"/>
      <c r="X982" s="187"/>
      <c r="Y982" s="187"/>
      <c r="Z982" s="187"/>
    </row>
    <row r="983" ht="12.75" customHeight="1">
      <c r="A983" s="187"/>
      <c r="B983" s="187"/>
      <c r="C983" s="187"/>
      <c r="D983" s="187"/>
      <c r="E983" s="187"/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87"/>
      <c r="V983" s="187"/>
      <c r="W983" s="187"/>
      <c r="X983" s="187"/>
      <c r="Y983" s="187"/>
      <c r="Z983" s="187"/>
    </row>
    <row r="984" ht="12.75" customHeight="1">
      <c r="A984" s="187"/>
      <c r="B984" s="187"/>
      <c r="C984" s="187"/>
      <c r="D984" s="187"/>
      <c r="E984" s="187"/>
      <c r="F984" s="187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87"/>
      <c r="V984" s="187"/>
      <c r="W984" s="187"/>
      <c r="X984" s="187"/>
      <c r="Y984" s="187"/>
      <c r="Z984" s="187"/>
    </row>
    <row r="985" ht="12.75" customHeight="1">
      <c r="A985" s="187"/>
      <c r="B985" s="187"/>
      <c r="C985" s="187"/>
      <c r="D985" s="187"/>
      <c r="E985" s="187"/>
      <c r="F985" s="187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87"/>
      <c r="V985" s="187"/>
      <c r="W985" s="187"/>
      <c r="X985" s="187"/>
      <c r="Y985" s="187"/>
      <c r="Z985" s="187"/>
    </row>
    <row r="986" ht="12.75" customHeight="1">
      <c r="A986" s="187"/>
      <c r="B986" s="187"/>
      <c r="C986" s="187"/>
      <c r="D986" s="187"/>
      <c r="E986" s="187"/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87"/>
      <c r="V986" s="187"/>
      <c r="W986" s="187"/>
      <c r="X986" s="187"/>
      <c r="Y986" s="187"/>
      <c r="Z986" s="187"/>
    </row>
    <row r="987" ht="12.75" customHeight="1">
      <c r="A987" s="187"/>
      <c r="B987" s="187"/>
      <c r="C987" s="187"/>
      <c r="D987" s="187"/>
      <c r="E987" s="187"/>
      <c r="F987" s="187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87"/>
      <c r="V987" s="187"/>
      <c r="W987" s="187"/>
      <c r="X987" s="187"/>
      <c r="Y987" s="187"/>
      <c r="Z987" s="187"/>
    </row>
    <row r="988" ht="12.75" customHeight="1">
      <c r="A988" s="187"/>
      <c r="B988" s="187"/>
      <c r="C988" s="187"/>
      <c r="D988" s="187"/>
      <c r="E988" s="187"/>
      <c r="F988" s="187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87"/>
      <c r="V988" s="187"/>
      <c r="W988" s="187"/>
      <c r="X988" s="187"/>
      <c r="Y988" s="187"/>
      <c r="Z988" s="187"/>
    </row>
    <row r="989" ht="12.75" customHeight="1">
      <c r="A989" s="187"/>
      <c r="B989" s="187"/>
      <c r="C989" s="187"/>
      <c r="D989" s="187"/>
      <c r="E989" s="187"/>
      <c r="F989" s="187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87"/>
      <c r="V989" s="187"/>
      <c r="W989" s="187"/>
      <c r="X989" s="187"/>
      <c r="Y989" s="187"/>
      <c r="Z989" s="187"/>
    </row>
    <row r="990" ht="12.75" customHeight="1">
      <c r="A990" s="187"/>
      <c r="B990" s="187"/>
      <c r="C990" s="187"/>
      <c r="D990" s="187"/>
      <c r="E990" s="187"/>
      <c r="F990" s="187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87"/>
      <c r="V990" s="187"/>
      <c r="W990" s="187"/>
      <c r="X990" s="187"/>
      <c r="Y990" s="187"/>
      <c r="Z990" s="187"/>
    </row>
    <row r="991" ht="12.75" customHeight="1">
      <c r="A991" s="187"/>
      <c r="B991" s="187"/>
      <c r="C991" s="187"/>
      <c r="D991" s="187"/>
      <c r="E991" s="187"/>
      <c r="F991" s="187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87"/>
      <c r="V991" s="187"/>
      <c r="W991" s="187"/>
      <c r="X991" s="187"/>
      <c r="Y991" s="187"/>
      <c r="Z991" s="187"/>
    </row>
    <row r="992" ht="12.75" customHeight="1">
      <c r="A992" s="187"/>
      <c r="B992" s="187"/>
      <c r="C992" s="187"/>
      <c r="D992" s="187"/>
      <c r="E992" s="187"/>
      <c r="F992" s="187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87"/>
      <c r="V992" s="187"/>
      <c r="W992" s="187"/>
      <c r="X992" s="187"/>
      <c r="Y992" s="187"/>
      <c r="Z992" s="187"/>
    </row>
    <row r="993" ht="12.75" customHeight="1">
      <c r="A993" s="187"/>
      <c r="B993" s="187"/>
      <c r="C993" s="187"/>
      <c r="D993" s="187"/>
      <c r="E993" s="187"/>
      <c r="F993" s="187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87"/>
      <c r="V993" s="187"/>
      <c r="W993" s="187"/>
      <c r="X993" s="187"/>
      <c r="Y993" s="187"/>
      <c r="Z993" s="187"/>
    </row>
    <row r="994" ht="12.75" customHeight="1">
      <c r="A994" s="187"/>
      <c r="B994" s="187"/>
      <c r="C994" s="187"/>
      <c r="D994" s="187"/>
      <c r="E994" s="187"/>
      <c r="F994" s="187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87"/>
      <c r="V994" s="187"/>
      <c r="W994" s="187"/>
      <c r="X994" s="187"/>
      <c r="Y994" s="187"/>
      <c r="Z994" s="187"/>
    </row>
    <row r="995" ht="12.75" customHeight="1">
      <c r="A995" s="187"/>
      <c r="B995" s="187"/>
      <c r="C995" s="187"/>
      <c r="D995" s="187"/>
      <c r="E995" s="187"/>
      <c r="F995" s="187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87"/>
      <c r="V995" s="187"/>
      <c r="W995" s="187"/>
      <c r="X995" s="187"/>
      <c r="Y995" s="187"/>
      <c r="Z995" s="187"/>
    </row>
    <row r="996" ht="12.75" customHeight="1">
      <c r="A996" s="187"/>
      <c r="B996" s="187"/>
      <c r="C996" s="187"/>
      <c r="D996" s="187"/>
      <c r="E996" s="187"/>
      <c r="F996" s="187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87"/>
      <c r="V996" s="187"/>
      <c r="W996" s="187"/>
      <c r="X996" s="187"/>
      <c r="Y996" s="187"/>
      <c r="Z996" s="187"/>
    </row>
    <row r="997" ht="12.75" customHeight="1">
      <c r="A997" s="187"/>
      <c r="B997" s="187"/>
      <c r="C997" s="187"/>
      <c r="D997" s="187"/>
      <c r="E997" s="187"/>
      <c r="F997" s="187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87"/>
      <c r="V997" s="187"/>
      <c r="W997" s="187"/>
      <c r="X997" s="187"/>
      <c r="Y997" s="187"/>
      <c r="Z997" s="187"/>
    </row>
    <row r="998" ht="12.75" customHeight="1">
      <c r="A998" s="187"/>
      <c r="B998" s="187"/>
      <c r="C998" s="187"/>
      <c r="D998" s="187"/>
      <c r="E998" s="187"/>
      <c r="F998" s="187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87"/>
      <c r="V998" s="187"/>
      <c r="W998" s="187"/>
      <c r="X998" s="187"/>
      <c r="Y998" s="187"/>
      <c r="Z998" s="187"/>
    </row>
    <row r="999" ht="12.75" customHeight="1">
      <c r="A999" s="187"/>
      <c r="B999" s="187"/>
      <c r="C999" s="187"/>
      <c r="D999" s="187"/>
      <c r="E999" s="187"/>
      <c r="F999" s="187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87"/>
      <c r="V999" s="187"/>
      <c r="W999" s="187"/>
      <c r="X999" s="187"/>
      <c r="Y999" s="187"/>
      <c r="Z999" s="187"/>
    </row>
    <row r="1000" ht="12.75" customHeight="1">
      <c r="A1000" s="187"/>
      <c r="B1000" s="187"/>
      <c r="C1000" s="187"/>
      <c r="D1000" s="187"/>
      <c r="E1000" s="187"/>
      <c r="F1000" s="187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87"/>
      <c r="V1000" s="187"/>
      <c r="W1000" s="187"/>
      <c r="X1000" s="187"/>
      <c r="Y1000" s="187"/>
      <c r="Z1000" s="187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5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paperSize="9" scale="60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63"/>
    <col customWidth="1" min="2" max="2" width="0.88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1" width="5.63"/>
    <col customWidth="1" min="12" max="12" width="7.5"/>
    <col customWidth="1" min="13" max="13" width="7.88"/>
    <col customWidth="1" min="14" max="15" width="9.13"/>
    <col customWidth="1" min="16" max="26" width="8.0"/>
  </cols>
  <sheetData>
    <row r="1" ht="12.75" customHeight="1">
      <c r="A1" s="187"/>
      <c r="B1" s="187"/>
      <c r="C1" s="188" t="s">
        <v>228</v>
      </c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</row>
    <row r="2" ht="12.75" customHeight="1">
      <c r="A2" s="187"/>
      <c r="B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</row>
    <row r="3" ht="12.75" customHeight="1">
      <c r="A3" s="187"/>
      <c r="B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</row>
    <row r="4" ht="12.75" customHeight="1">
      <c r="A4" s="187"/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</row>
    <row r="5" ht="13.5" customHeight="1">
      <c r="A5" s="187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</row>
    <row r="6" ht="20.25" customHeight="1">
      <c r="A6" s="187"/>
      <c r="B6" s="187"/>
      <c r="C6" s="189" t="s">
        <v>359</v>
      </c>
      <c r="D6" s="103"/>
      <c r="E6" s="103"/>
      <c r="F6" s="103"/>
      <c r="G6" s="103"/>
      <c r="H6" s="103"/>
      <c r="I6" s="103"/>
      <c r="J6" s="103"/>
      <c r="K6" s="103"/>
      <c r="L6" s="103"/>
      <c r="M6" s="104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</row>
    <row r="7" ht="4.5" customHeight="1">
      <c r="A7" s="187"/>
      <c r="B7" s="187"/>
      <c r="C7" s="263"/>
      <c r="D7" s="191"/>
      <c r="E7" s="191"/>
      <c r="F7" s="191"/>
      <c r="G7" s="191"/>
      <c r="H7" s="191"/>
      <c r="I7" s="191"/>
      <c r="J7" s="191"/>
      <c r="K7" s="191"/>
      <c r="L7" s="191"/>
      <c r="M7" s="192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</row>
    <row r="8" ht="3.0" customHeight="1">
      <c r="A8" s="187"/>
      <c r="B8" s="187"/>
      <c r="C8" s="193"/>
      <c r="D8" s="194"/>
      <c r="E8" s="194"/>
      <c r="F8" s="194"/>
      <c r="G8" s="194"/>
      <c r="H8" s="194"/>
      <c r="I8" s="194"/>
      <c r="J8" s="194"/>
      <c r="K8" s="194"/>
      <c r="L8" s="194"/>
      <c r="M8" s="195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</row>
    <row r="9" ht="12.75" customHeight="1">
      <c r="A9" s="187"/>
      <c r="B9" s="187"/>
      <c r="C9" s="196" t="s">
        <v>195</v>
      </c>
      <c r="D9" s="191"/>
      <c r="E9" s="191"/>
      <c r="F9" s="191"/>
      <c r="G9" s="191"/>
      <c r="H9" s="191"/>
      <c r="I9" s="191"/>
      <c r="J9" s="191"/>
      <c r="K9" s="191"/>
      <c r="L9" s="191"/>
      <c r="M9" s="192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</row>
    <row r="10" ht="12.75" customHeight="1">
      <c r="A10" s="187"/>
      <c r="B10" s="187"/>
      <c r="C10" s="193"/>
      <c r="D10" s="194"/>
      <c r="E10" s="194"/>
      <c r="F10" s="194"/>
      <c r="G10" s="194"/>
      <c r="H10" s="194"/>
      <c r="I10" s="194"/>
      <c r="J10" s="194"/>
      <c r="K10" s="194"/>
      <c r="L10" s="194"/>
      <c r="M10" s="195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</row>
    <row r="11" ht="19.5" customHeight="1">
      <c r="A11" s="187"/>
      <c r="B11" s="187"/>
      <c r="C11" s="197" t="s">
        <v>196</v>
      </c>
      <c r="D11" s="198" t="s">
        <v>197</v>
      </c>
      <c r="E11" s="199" t="s">
        <v>184</v>
      </c>
      <c r="F11" s="200"/>
      <c r="G11" s="198" t="s">
        <v>198</v>
      </c>
      <c r="H11" s="199" t="s">
        <v>181</v>
      </c>
      <c r="I11" s="200"/>
      <c r="J11" s="201" t="s">
        <v>199</v>
      </c>
      <c r="K11" s="200"/>
      <c r="L11" s="201" t="s">
        <v>200</v>
      </c>
      <c r="M11" s="202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</row>
    <row r="12" ht="13.5" customHeight="1">
      <c r="A12" s="187"/>
      <c r="B12" s="187"/>
      <c r="C12" s="218" t="s">
        <v>360</v>
      </c>
      <c r="D12" s="206" t="s">
        <v>212</v>
      </c>
      <c r="E12" s="207" t="s">
        <v>42</v>
      </c>
      <c r="F12" s="207" t="s">
        <v>48</v>
      </c>
      <c r="G12" s="208" t="s">
        <v>198</v>
      </c>
      <c r="H12" s="207" t="s">
        <v>39</v>
      </c>
      <c r="I12" s="207" t="s">
        <v>45</v>
      </c>
      <c r="J12" s="209">
        <v>6.0</v>
      </c>
      <c r="K12" s="210">
        <v>4.0</v>
      </c>
      <c r="L12" s="211">
        <f>IF(AND(J12&gt;K12,J13&gt;K13),2,IF(J12&gt;K12,1,IF(J13&gt;K13,1,0)))</f>
        <v>1</v>
      </c>
      <c r="M12" s="211">
        <f>IF(AND(K12&gt;J12,K13&gt;J13),2,IF(K12&gt;J12,1,IF(K13&gt;J13,1,0)))</f>
        <v>1</v>
      </c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</row>
    <row r="13" ht="12.75" customHeight="1">
      <c r="A13" s="187"/>
      <c r="B13" s="187"/>
      <c r="C13" s="212"/>
      <c r="D13" s="213"/>
      <c r="E13" s="213"/>
      <c r="F13" s="213"/>
      <c r="G13" s="213"/>
      <c r="H13" s="213"/>
      <c r="I13" s="213"/>
      <c r="J13" s="214">
        <v>5.0</v>
      </c>
      <c r="K13" s="215">
        <v>7.0</v>
      </c>
      <c r="L13" s="213"/>
      <c r="M13" s="213"/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</row>
    <row r="14" ht="4.5" customHeight="1">
      <c r="A14" s="187"/>
      <c r="B14" s="187"/>
      <c r="C14" s="216"/>
      <c r="D14" s="23"/>
      <c r="E14" s="23"/>
      <c r="F14" s="23"/>
      <c r="G14" s="23"/>
      <c r="H14" s="23"/>
      <c r="I14" s="23"/>
      <c r="J14" s="23"/>
      <c r="K14" s="23"/>
      <c r="L14" s="23"/>
      <c r="M14" s="202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</row>
    <row r="15" ht="12.75" customHeight="1">
      <c r="A15" s="187"/>
      <c r="B15" s="187"/>
      <c r="C15" s="218" t="s">
        <v>213</v>
      </c>
      <c r="D15" s="206" t="s">
        <v>205</v>
      </c>
      <c r="E15" s="207" t="s">
        <v>14</v>
      </c>
      <c r="F15" s="207" t="s">
        <v>131</v>
      </c>
      <c r="G15" s="208" t="s">
        <v>198</v>
      </c>
      <c r="H15" s="207" t="s">
        <v>117</v>
      </c>
      <c r="I15" s="207" t="s">
        <v>128</v>
      </c>
      <c r="J15" s="209">
        <v>6.0</v>
      </c>
      <c r="K15" s="210">
        <v>7.0</v>
      </c>
      <c r="L15" s="211">
        <f>IF(AND(J15&gt;K15,J16&gt;K16),2,IF(J15&gt;K15,1,IF(J16&gt;K16,1,0)))</f>
        <v>0</v>
      </c>
      <c r="M15" s="211">
        <f>IF(AND(K15&gt;J15,K16&gt;J16),2,IF(K15&gt;J15,1,IF(K16&gt;J16,1,0)))</f>
        <v>2</v>
      </c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</row>
    <row r="16" ht="12.75" customHeight="1">
      <c r="A16" s="187"/>
      <c r="B16" s="187"/>
      <c r="C16" s="212"/>
      <c r="D16" s="213"/>
      <c r="E16" s="213"/>
      <c r="F16" s="213"/>
      <c r="G16" s="213"/>
      <c r="H16" s="213"/>
      <c r="I16" s="213"/>
      <c r="J16" s="214">
        <v>4.0</v>
      </c>
      <c r="K16" s="215">
        <v>6.0</v>
      </c>
      <c r="L16" s="213"/>
      <c r="M16" s="213"/>
      <c r="N16" s="245" t="s">
        <v>361</v>
      </c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</row>
    <row r="17" ht="4.5" customHeight="1">
      <c r="A17" s="187"/>
      <c r="B17" s="187"/>
      <c r="C17" s="217"/>
      <c r="D17" s="23"/>
      <c r="E17" s="23"/>
      <c r="F17" s="23"/>
      <c r="G17" s="23"/>
      <c r="H17" s="23"/>
      <c r="I17" s="23"/>
      <c r="J17" s="23"/>
      <c r="K17" s="23"/>
      <c r="L17" s="23"/>
      <c r="M17" s="202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</row>
    <row r="18" ht="12.75" customHeight="1">
      <c r="A18" s="187"/>
      <c r="B18" s="187"/>
      <c r="C18" s="218" t="s">
        <v>362</v>
      </c>
      <c r="D18" s="206" t="s">
        <v>216</v>
      </c>
      <c r="E18" s="207" t="s">
        <v>62</v>
      </c>
      <c r="F18" s="207" t="s">
        <v>69</v>
      </c>
      <c r="G18" s="208" t="s">
        <v>198</v>
      </c>
      <c r="H18" s="207" t="s">
        <v>59</v>
      </c>
      <c r="I18" s="207" t="s">
        <v>66</v>
      </c>
      <c r="J18" s="209">
        <v>3.0</v>
      </c>
      <c r="K18" s="210">
        <v>6.0</v>
      </c>
      <c r="L18" s="211">
        <f>IF(AND(J18&gt;K18,J19&gt;K19),2,IF(J18&gt;K18,1,IF(J19&gt;K19,1,0)))</f>
        <v>0</v>
      </c>
      <c r="M18" s="211">
        <f>IF(AND(K18&gt;J18,K19&gt;J19),2,IF(K18&gt;J18,1,IF(K19&gt;J19,1,0)))</f>
        <v>2</v>
      </c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</row>
    <row r="19" ht="12.75" customHeight="1">
      <c r="A19" s="187"/>
      <c r="B19" s="187"/>
      <c r="C19" s="212"/>
      <c r="D19" s="213"/>
      <c r="E19" s="213"/>
      <c r="F19" s="213"/>
      <c r="G19" s="213"/>
      <c r="H19" s="213"/>
      <c r="I19" s="213"/>
      <c r="J19" s="214">
        <v>4.0</v>
      </c>
      <c r="K19" s="215">
        <v>6.0</v>
      </c>
      <c r="L19" s="213"/>
      <c r="M19" s="213"/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</row>
    <row r="20" ht="4.5" customHeight="1">
      <c r="A20" s="187"/>
      <c r="B20" s="187"/>
      <c r="C20" s="217"/>
      <c r="D20" s="23"/>
      <c r="E20" s="23"/>
      <c r="F20" s="23"/>
      <c r="G20" s="23"/>
      <c r="H20" s="23"/>
      <c r="I20" s="23"/>
      <c r="J20" s="23"/>
      <c r="K20" s="23"/>
      <c r="L20" s="23"/>
      <c r="M20" s="202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</row>
    <row r="21" ht="15.75" customHeight="1">
      <c r="A21" s="187"/>
      <c r="B21" s="187"/>
      <c r="C21" s="264"/>
      <c r="D21" s="265"/>
      <c r="E21" s="265"/>
      <c r="F21" s="265"/>
      <c r="G21" s="265"/>
      <c r="H21" s="265"/>
      <c r="I21" s="265"/>
      <c r="J21" s="221">
        <f t="shared" ref="J21:M21" si="1">SUM(J12:J19)</f>
        <v>28</v>
      </c>
      <c r="K21" s="221">
        <f t="shared" si="1"/>
        <v>36</v>
      </c>
      <c r="L21" s="221">
        <f t="shared" si="1"/>
        <v>1</v>
      </c>
      <c r="M21" s="221">
        <f t="shared" si="1"/>
        <v>5</v>
      </c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</row>
    <row r="22" ht="7.5" customHeight="1">
      <c r="A22" s="187"/>
      <c r="B22" s="187"/>
      <c r="C22" s="266"/>
      <c r="D22" s="267"/>
      <c r="E22" s="267"/>
      <c r="F22" s="267"/>
      <c r="G22" s="267"/>
      <c r="H22" s="267"/>
      <c r="I22" s="267"/>
      <c r="J22" s="268"/>
      <c r="K22" s="269"/>
      <c r="L22" s="267"/>
      <c r="M22" s="270"/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</row>
    <row r="23" ht="12.75" customHeight="1">
      <c r="A23" s="187"/>
      <c r="B23" s="187"/>
      <c r="C23" s="218" t="s">
        <v>363</v>
      </c>
      <c r="D23" s="206" t="s">
        <v>214</v>
      </c>
      <c r="E23" s="271" t="s">
        <v>82</v>
      </c>
      <c r="F23" s="271" t="s">
        <v>89</v>
      </c>
      <c r="G23" s="208" t="s">
        <v>198</v>
      </c>
      <c r="H23" s="271" t="s">
        <v>79</v>
      </c>
      <c r="I23" s="271" t="s">
        <v>86</v>
      </c>
      <c r="J23" s="272">
        <v>5.0</v>
      </c>
      <c r="K23" s="210">
        <v>7.0</v>
      </c>
      <c r="L23" s="211">
        <f>IF(AND(J23&gt;K23,J24&gt;K24),2,IF(J23&gt;K23,1,IF(J24&gt;K24,1,0)))</f>
        <v>0</v>
      </c>
      <c r="M23" s="211">
        <f>IF(AND(K23&gt;J23,K24&gt;J24),2,IF(K23&gt;J23,1,IF(K24&gt;J24,1,0)))</f>
        <v>2</v>
      </c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</row>
    <row r="24" ht="12.75" customHeight="1">
      <c r="A24" s="187"/>
      <c r="B24" s="187"/>
      <c r="C24" s="212"/>
      <c r="D24" s="213"/>
      <c r="E24" s="213"/>
      <c r="F24" s="213"/>
      <c r="G24" s="213"/>
      <c r="H24" s="213"/>
      <c r="I24" s="213"/>
      <c r="J24" s="273">
        <v>2.0</v>
      </c>
      <c r="K24" s="215">
        <v>6.0</v>
      </c>
      <c r="L24" s="213"/>
      <c r="M24" s="213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</row>
    <row r="25" ht="4.5" customHeight="1">
      <c r="A25" s="187"/>
      <c r="B25" s="187"/>
      <c r="C25" s="217"/>
      <c r="D25" s="23"/>
      <c r="E25" s="23"/>
      <c r="F25" s="23"/>
      <c r="G25" s="23"/>
      <c r="H25" s="23"/>
      <c r="I25" s="23"/>
      <c r="J25" s="23"/>
      <c r="K25" s="23"/>
      <c r="L25" s="23"/>
      <c r="M25" s="202"/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</row>
    <row r="26" ht="12.75" customHeight="1">
      <c r="A26" s="226"/>
      <c r="B26" s="187"/>
      <c r="C26" s="218" t="s">
        <v>277</v>
      </c>
      <c r="D26" s="206" t="s">
        <v>202</v>
      </c>
      <c r="E26" s="271" t="s">
        <v>103</v>
      </c>
      <c r="F26" s="271" t="s">
        <v>109</v>
      </c>
      <c r="G26" s="208" t="s">
        <v>198</v>
      </c>
      <c r="H26" s="271" t="s">
        <v>100</v>
      </c>
      <c r="I26" s="271" t="s">
        <v>112</v>
      </c>
      <c r="J26" s="272">
        <v>6.0</v>
      </c>
      <c r="K26" s="210">
        <v>1.0</v>
      </c>
      <c r="L26" s="211">
        <f>IF(AND(J26&gt;K26,J27&gt;K27),2,IF(J26&gt;K26,1,IF(J27&gt;K27,1,0)))</f>
        <v>2</v>
      </c>
      <c r="M26" s="211">
        <f>IF(AND(K26&gt;J26,K27&gt;J27),2,IF(K26&gt;J26,1,IF(K27&gt;J27,1,0)))</f>
        <v>0</v>
      </c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</row>
    <row r="27" ht="12.75" customHeight="1">
      <c r="A27" s="226"/>
      <c r="B27" s="187"/>
      <c r="C27" s="212"/>
      <c r="D27" s="213"/>
      <c r="E27" s="213"/>
      <c r="F27" s="213"/>
      <c r="G27" s="213"/>
      <c r="H27" s="213"/>
      <c r="I27" s="213"/>
      <c r="J27" s="273">
        <v>6.0</v>
      </c>
      <c r="K27" s="215">
        <v>2.0</v>
      </c>
      <c r="L27" s="213"/>
      <c r="M27" s="213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</row>
    <row r="28" ht="4.5" customHeight="1">
      <c r="A28" s="187"/>
      <c r="B28" s="187"/>
      <c r="C28" s="217"/>
      <c r="D28" s="23"/>
      <c r="E28" s="23"/>
      <c r="F28" s="23"/>
      <c r="G28" s="23"/>
      <c r="H28" s="23"/>
      <c r="I28" s="23"/>
      <c r="J28" s="23"/>
      <c r="K28" s="23"/>
      <c r="L28" s="23"/>
      <c r="M28" s="202"/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</row>
    <row r="29" ht="12.75" customHeight="1">
      <c r="A29" s="187"/>
      <c r="B29" s="187"/>
      <c r="C29" s="218" t="s">
        <v>364</v>
      </c>
      <c r="D29" s="206" t="s">
        <v>209</v>
      </c>
      <c r="E29" s="271" t="s">
        <v>137</v>
      </c>
      <c r="F29" s="271" t="s">
        <v>143</v>
      </c>
      <c r="G29" s="208" t="s">
        <v>198</v>
      </c>
      <c r="H29" s="271" t="s">
        <v>134</v>
      </c>
      <c r="I29" s="271" t="s">
        <v>140</v>
      </c>
      <c r="J29" s="272">
        <v>6.0</v>
      </c>
      <c r="K29" s="210">
        <v>2.0</v>
      </c>
      <c r="L29" s="211">
        <f>IF(AND(J29&gt;K29,J30&gt;K30),2,IF(J29&gt;K29,1,IF(J30&gt;K30,1,0)))</f>
        <v>2</v>
      </c>
      <c r="M29" s="211">
        <f>IF(AND(K29&gt;J29,K30&gt;J30),2,IF(K29&gt;J29,1,IF(K30&gt;J30,1,0)))</f>
        <v>0</v>
      </c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</row>
    <row r="30" ht="12.75" customHeight="1">
      <c r="A30" s="187"/>
      <c r="B30" s="187"/>
      <c r="C30" s="212"/>
      <c r="D30" s="213"/>
      <c r="E30" s="213"/>
      <c r="F30" s="213"/>
      <c r="G30" s="213"/>
      <c r="H30" s="213"/>
      <c r="I30" s="213"/>
      <c r="J30" s="273">
        <v>7.0</v>
      </c>
      <c r="K30" s="215">
        <v>5.0</v>
      </c>
      <c r="L30" s="213"/>
      <c r="M30" s="213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</row>
    <row r="31" ht="4.5" customHeight="1">
      <c r="A31" s="187"/>
      <c r="B31" s="187"/>
      <c r="C31" s="217"/>
      <c r="D31" s="23"/>
      <c r="E31" s="23"/>
      <c r="F31" s="23"/>
      <c r="G31" s="23"/>
      <c r="H31" s="23"/>
      <c r="I31" s="23"/>
      <c r="J31" s="23"/>
      <c r="K31" s="23"/>
      <c r="L31" s="23"/>
      <c r="M31" s="202"/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</row>
    <row r="32" ht="18.0" customHeight="1">
      <c r="A32" s="187"/>
      <c r="B32" s="187"/>
      <c r="C32" s="218" t="s">
        <v>226</v>
      </c>
      <c r="D32" s="206" t="s">
        <v>207</v>
      </c>
      <c r="E32" s="271" t="s">
        <v>22</v>
      </c>
      <c r="F32" s="271" t="s">
        <v>29</v>
      </c>
      <c r="G32" s="208" t="s">
        <v>198</v>
      </c>
      <c r="H32" s="271" t="s">
        <v>19</v>
      </c>
      <c r="I32" s="271" t="s">
        <v>26</v>
      </c>
      <c r="J32" s="272">
        <v>2.0</v>
      </c>
      <c r="K32" s="210">
        <v>6.0</v>
      </c>
      <c r="L32" s="211">
        <f>IF(AND(J32&gt;K32,J33&gt;K33),2,IF(J32&gt;K32,1,IF(J33&gt;K33,1,0)))</f>
        <v>0</v>
      </c>
      <c r="M32" s="211">
        <f>IF(AND(K32&gt;J32,K33&gt;J33),2,IF(K32&gt;J32,1,IF(K33&gt;J33,1,0)))</f>
        <v>1</v>
      </c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</row>
    <row r="33" ht="12.0" customHeight="1">
      <c r="A33" s="187"/>
      <c r="B33" s="187"/>
      <c r="C33" s="212"/>
      <c r="D33" s="213"/>
      <c r="E33" s="213"/>
      <c r="F33" s="213"/>
      <c r="G33" s="213"/>
      <c r="H33" s="213"/>
      <c r="I33" s="213"/>
      <c r="J33" s="273"/>
      <c r="K33" s="215"/>
      <c r="L33" s="213"/>
      <c r="M33" s="213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</row>
    <row r="34">
      <c r="A34" s="187"/>
      <c r="B34" s="187"/>
      <c r="C34" s="220"/>
      <c r="D34" s="23"/>
      <c r="E34" s="23"/>
      <c r="F34" s="23"/>
      <c r="G34" s="23"/>
      <c r="H34" s="23"/>
      <c r="I34" s="200"/>
      <c r="J34" s="221">
        <f t="shared" ref="J34:K34" si="2">SUM(J23:J33)</f>
        <v>34</v>
      </c>
      <c r="K34" s="222">
        <f t="shared" si="2"/>
        <v>29</v>
      </c>
      <c r="L34" s="221">
        <f t="shared" ref="L34:M34" si="3">SUM(L23:L32)</f>
        <v>4</v>
      </c>
      <c r="M34" s="222">
        <f t="shared" si="3"/>
        <v>3</v>
      </c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</row>
    <row r="35">
      <c r="A35" s="187"/>
      <c r="B35" s="187"/>
      <c r="C35" s="224"/>
      <c r="D35" s="23"/>
      <c r="E35" s="23"/>
      <c r="F35" s="23"/>
      <c r="G35" s="23"/>
      <c r="H35" s="23"/>
      <c r="I35" s="23"/>
      <c r="J35" s="23"/>
      <c r="K35" s="23"/>
      <c r="L35" s="23"/>
      <c r="M35" s="202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</row>
    <row r="36">
      <c r="A36" s="187"/>
      <c r="B36" s="187"/>
      <c r="C36" s="228"/>
      <c r="D36" s="23"/>
      <c r="E36" s="23"/>
      <c r="F36" s="23"/>
      <c r="G36" s="23"/>
      <c r="H36" s="23"/>
      <c r="I36" s="200"/>
      <c r="J36" s="229">
        <f t="shared" ref="J36:M36" si="4">J21+J34</f>
        <v>62</v>
      </c>
      <c r="K36" s="229">
        <f t="shared" si="4"/>
        <v>65</v>
      </c>
      <c r="L36" s="229">
        <f t="shared" si="4"/>
        <v>5</v>
      </c>
      <c r="M36" s="229">
        <f t="shared" si="4"/>
        <v>8</v>
      </c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</row>
    <row r="37">
      <c r="A37" s="187"/>
      <c r="B37" s="187"/>
      <c r="C37" s="274"/>
      <c r="D37" s="274"/>
      <c r="E37" s="274"/>
      <c r="F37" s="274"/>
      <c r="G37" s="274"/>
      <c r="H37" s="274"/>
      <c r="I37" s="274"/>
      <c r="J37" s="275"/>
      <c r="K37" s="275"/>
      <c r="L37" s="275"/>
      <c r="M37" s="275"/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</row>
    <row r="38">
      <c r="A38" s="187"/>
      <c r="B38" s="187"/>
      <c r="C38" s="274"/>
      <c r="D38" s="274"/>
      <c r="E38" s="274"/>
      <c r="F38" s="274"/>
      <c r="G38" s="274"/>
      <c r="H38" s="274"/>
      <c r="I38" s="274"/>
      <c r="J38" s="275"/>
      <c r="K38" s="275"/>
      <c r="L38" s="275"/>
      <c r="M38" s="275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</row>
    <row r="39" ht="6.75" customHeight="1">
      <c r="A39" s="187"/>
      <c r="B39" s="187"/>
      <c r="C39" s="276"/>
      <c r="D39" s="194"/>
      <c r="E39" s="194"/>
      <c r="F39" s="194"/>
      <c r="G39" s="194"/>
      <c r="H39" s="194"/>
      <c r="I39" s="194"/>
      <c r="J39" s="194"/>
      <c r="K39" s="194"/>
      <c r="L39" s="194"/>
      <c r="M39" s="195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</row>
    <row r="40" ht="7.5" customHeight="1">
      <c r="A40" s="187"/>
      <c r="B40" s="187"/>
      <c r="C40" s="196" t="s">
        <v>219</v>
      </c>
      <c r="D40" s="191"/>
      <c r="E40" s="191"/>
      <c r="F40" s="191"/>
      <c r="G40" s="191"/>
      <c r="H40" s="191"/>
      <c r="I40" s="191"/>
      <c r="J40" s="191"/>
      <c r="K40" s="191"/>
      <c r="L40" s="191"/>
      <c r="M40" s="192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</row>
    <row r="41" ht="12.75" customHeight="1">
      <c r="A41" s="187"/>
      <c r="B41" s="187"/>
      <c r="C41" s="193"/>
      <c r="D41" s="194"/>
      <c r="E41" s="194"/>
      <c r="F41" s="194"/>
      <c r="G41" s="194"/>
      <c r="H41" s="194"/>
      <c r="I41" s="194"/>
      <c r="J41" s="194"/>
      <c r="K41" s="194"/>
      <c r="L41" s="194"/>
      <c r="M41" s="195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</row>
    <row r="42" ht="26.25" customHeight="1">
      <c r="A42" s="187"/>
      <c r="B42" s="187"/>
      <c r="C42" s="197" t="s">
        <v>196</v>
      </c>
      <c r="D42" s="198" t="s">
        <v>197</v>
      </c>
      <c r="E42" s="199" t="s">
        <v>177</v>
      </c>
      <c r="F42" s="200"/>
      <c r="G42" s="198"/>
      <c r="H42" s="199" t="s">
        <v>220</v>
      </c>
      <c r="I42" s="200"/>
      <c r="J42" s="201" t="s">
        <v>199</v>
      </c>
      <c r="K42" s="200"/>
      <c r="L42" s="201" t="s">
        <v>200</v>
      </c>
      <c r="M42" s="202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</row>
    <row r="43" ht="12.75" customHeight="1">
      <c r="A43" s="187"/>
      <c r="B43" s="187"/>
      <c r="C43" s="218" t="s">
        <v>211</v>
      </c>
      <c r="D43" s="206" t="s">
        <v>216</v>
      </c>
      <c r="E43" s="271" t="s">
        <v>57</v>
      </c>
      <c r="F43" s="271" t="s">
        <v>64</v>
      </c>
      <c r="G43" s="208" t="s">
        <v>198</v>
      </c>
      <c r="H43" s="271" t="s">
        <v>251</v>
      </c>
      <c r="I43" s="271" t="s">
        <v>67</v>
      </c>
      <c r="J43" s="209">
        <v>6.0</v>
      </c>
      <c r="K43" s="210">
        <v>1.0</v>
      </c>
      <c r="L43" s="211">
        <f>IF(AND(J43&gt;K43,J44&gt;K44),2,IF(J43&gt;K43,1,IF(J44&gt;K44,1,0)))</f>
        <v>2</v>
      </c>
      <c r="M43" s="211">
        <f>IF(AND(K43&gt;J43,K44&gt;J44),2,IF(K43&gt;J43,1,IF(K44&gt;J44,1,0)))</f>
        <v>0</v>
      </c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</row>
    <row r="44" ht="12.75" customHeight="1">
      <c r="A44" s="187"/>
      <c r="B44" s="187"/>
      <c r="C44" s="212"/>
      <c r="D44" s="213"/>
      <c r="E44" s="213"/>
      <c r="F44" s="213"/>
      <c r="G44" s="213"/>
      <c r="H44" s="213"/>
      <c r="I44" s="213"/>
      <c r="J44" s="214">
        <v>6.0</v>
      </c>
      <c r="K44" s="215">
        <v>2.0</v>
      </c>
      <c r="L44" s="213"/>
      <c r="M44" s="213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</row>
    <row r="45" ht="4.5" customHeight="1">
      <c r="A45" s="187"/>
      <c r="B45" s="187"/>
      <c r="C45" s="217"/>
      <c r="D45" s="23"/>
      <c r="E45" s="23"/>
      <c r="F45" s="23"/>
      <c r="G45" s="23"/>
      <c r="H45" s="23"/>
      <c r="I45" s="23"/>
      <c r="J45" s="23"/>
      <c r="K45" s="23"/>
      <c r="L45" s="23"/>
      <c r="M45" s="202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</row>
    <row r="46" ht="12.75" customHeight="1">
      <c r="A46" s="187"/>
      <c r="B46" s="187"/>
      <c r="C46" s="218" t="s">
        <v>213</v>
      </c>
      <c r="D46" s="206" t="s">
        <v>202</v>
      </c>
      <c r="E46" s="271" t="s">
        <v>98</v>
      </c>
      <c r="F46" s="271" t="s">
        <v>104</v>
      </c>
      <c r="G46" s="208" t="s">
        <v>198</v>
      </c>
      <c r="H46" s="271" t="s">
        <v>365</v>
      </c>
      <c r="I46" s="271" t="s">
        <v>107</v>
      </c>
      <c r="J46" s="209">
        <v>5.0</v>
      </c>
      <c r="K46" s="210">
        <v>7.0</v>
      </c>
      <c r="L46" s="211">
        <f>IF(AND(J46&gt;K46,J47&gt;K47),2,IF(J46&gt;K46,1,IF(J47&gt;K47,1,0)))</f>
        <v>1</v>
      </c>
      <c r="M46" s="211">
        <f>IF(AND(K46&gt;J46,K47&gt;J47),2,IF(K46&gt;J46,1,IF(K47&gt;J47,1,0)))</f>
        <v>1</v>
      </c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</row>
    <row r="47" ht="12.75" customHeight="1">
      <c r="A47" s="187"/>
      <c r="B47" s="187"/>
      <c r="C47" s="212"/>
      <c r="D47" s="213"/>
      <c r="E47" s="213"/>
      <c r="F47" s="213"/>
      <c r="G47" s="213"/>
      <c r="H47" s="213"/>
      <c r="I47" s="213"/>
      <c r="J47" s="214">
        <v>6.0</v>
      </c>
      <c r="K47" s="215">
        <v>4.0</v>
      </c>
      <c r="L47" s="213"/>
      <c r="M47" s="213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</row>
    <row r="48" ht="4.5" customHeight="1">
      <c r="A48" s="187"/>
      <c r="B48" s="187"/>
      <c r="C48" s="217"/>
      <c r="D48" s="23"/>
      <c r="E48" s="23"/>
      <c r="F48" s="23"/>
      <c r="G48" s="23"/>
      <c r="H48" s="23"/>
      <c r="I48" s="23"/>
      <c r="J48" s="23"/>
      <c r="K48" s="23"/>
      <c r="L48" s="23"/>
      <c r="M48" s="202"/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</row>
    <row r="49" ht="12.75" customHeight="1">
      <c r="A49" s="187"/>
      <c r="B49" s="187"/>
      <c r="C49" s="218" t="s">
        <v>208</v>
      </c>
      <c r="D49" s="206" t="s">
        <v>214</v>
      </c>
      <c r="E49" s="271" t="s">
        <v>77</v>
      </c>
      <c r="F49" s="271" t="s">
        <v>366</v>
      </c>
      <c r="G49" s="277" t="s">
        <v>198</v>
      </c>
      <c r="H49" s="271" t="s">
        <v>80</v>
      </c>
      <c r="I49" s="271" t="s">
        <v>87</v>
      </c>
      <c r="J49" s="272">
        <v>2.0</v>
      </c>
      <c r="K49" s="210">
        <v>6.0</v>
      </c>
      <c r="L49" s="278">
        <f>IF(AND(J49&gt;K49,J50&gt;K50),2,IF(J49&gt;K49,1,IF(J50&gt;K50,1,0)))</f>
        <v>1</v>
      </c>
      <c r="M49" s="211">
        <f>IF(AND(K49&gt;J49,K50&gt;J50),2,IF(K49&gt;J49,1,IF(K50&gt;J50,1,0)))</f>
        <v>1</v>
      </c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 ht="12.75" customHeight="1">
      <c r="A50" s="187"/>
      <c r="B50" s="187"/>
      <c r="C50" s="212"/>
      <c r="D50" s="213"/>
      <c r="E50" s="213"/>
      <c r="F50" s="213"/>
      <c r="G50" s="279"/>
      <c r="H50" s="213"/>
      <c r="I50" s="213"/>
      <c r="J50" s="273">
        <v>6.0</v>
      </c>
      <c r="K50" s="215">
        <v>4.0</v>
      </c>
      <c r="L50" s="213"/>
      <c r="M50" s="213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 ht="4.5" customHeight="1">
      <c r="A51" s="187"/>
      <c r="B51" s="187"/>
      <c r="C51" s="217"/>
      <c r="D51" s="23"/>
      <c r="E51" s="23"/>
      <c r="F51" s="23"/>
      <c r="G51" s="23"/>
      <c r="H51" s="23"/>
      <c r="I51" s="23"/>
      <c r="J51" s="23"/>
      <c r="K51" s="23"/>
      <c r="L51" s="23"/>
      <c r="M51" s="202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 ht="12.75" customHeight="1">
      <c r="A52" s="187"/>
      <c r="B52" s="187"/>
      <c r="C52" s="205" t="s">
        <v>317</v>
      </c>
      <c r="D52" s="248"/>
      <c r="E52" s="280"/>
      <c r="F52" s="280"/>
      <c r="G52" s="208" t="s">
        <v>198</v>
      </c>
      <c r="H52" s="280"/>
      <c r="I52" s="280"/>
      <c r="J52" s="281"/>
      <c r="K52" s="282"/>
      <c r="L52" s="278">
        <f>IF(AND(J52&gt;K52,J53&gt;K53),2,IF(J52&gt;K52,1,IF(J53&gt;K53,1,0)))</f>
        <v>0</v>
      </c>
      <c r="M52" s="211">
        <f>IF(AND(K52&gt;J52,K53&gt;J53),2,IF(K52&gt;J52,1,IF(K53&gt;J53,1,0)))</f>
        <v>0</v>
      </c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 ht="12.75" customHeight="1">
      <c r="A53" s="187"/>
      <c r="B53" s="187"/>
      <c r="C53" s="212"/>
      <c r="D53" s="213"/>
      <c r="E53" s="213"/>
      <c r="F53" s="213"/>
      <c r="G53" s="213"/>
      <c r="H53" s="213"/>
      <c r="I53" s="213"/>
      <c r="J53" s="283"/>
      <c r="K53" s="284"/>
      <c r="L53" s="213"/>
      <c r="M53" s="213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  <row r="54" ht="4.5" customHeight="1">
      <c r="A54" s="187"/>
      <c r="B54" s="187"/>
      <c r="C54" s="253"/>
      <c r="D54" s="254"/>
      <c r="E54" s="254"/>
      <c r="F54" s="254"/>
      <c r="G54" s="254"/>
      <c r="H54" s="254"/>
      <c r="I54" s="254"/>
      <c r="J54" s="254"/>
      <c r="K54" s="254"/>
      <c r="L54" s="254"/>
      <c r="M54" s="255"/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</row>
    <row r="55" ht="12.75" customHeight="1">
      <c r="A55" s="187"/>
      <c r="B55" s="187"/>
      <c r="C55" s="264"/>
      <c r="D55" s="265"/>
      <c r="E55" s="265"/>
      <c r="F55" s="265"/>
      <c r="G55" s="265"/>
      <c r="H55" s="265"/>
      <c r="I55" s="265"/>
      <c r="J55" s="221">
        <f t="shared" ref="J55:M55" si="5">SUM(J43:J53)</f>
        <v>31</v>
      </c>
      <c r="K55" s="221">
        <f t="shared" si="5"/>
        <v>24</v>
      </c>
      <c r="L55" s="221">
        <f t="shared" si="5"/>
        <v>4</v>
      </c>
      <c r="M55" s="221">
        <f t="shared" si="5"/>
        <v>2</v>
      </c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</row>
    <row r="56" ht="7.5" customHeight="1">
      <c r="A56" s="187"/>
      <c r="B56" s="187"/>
      <c r="C56" s="233"/>
      <c r="D56" s="23"/>
      <c r="E56" s="23"/>
      <c r="F56" s="23"/>
      <c r="G56" s="23"/>
      <c r="H56" s="23"/>
      <c r="I56" s="23"/>
      <c r="J56" s="23"/>
      <c r="K56" s="23"/>
      <c r="L56" s="23"/>
      <c r="M56" s="202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</row>
    <row r="57" ht="12.75" customHeight="1">
      <c r="A57" s="187"/>
      <c r="B57" s="187"/>
      <c r="C57" s="225"/>
      <c r="D57" s="23"/>
      <c r="E57" s="23"/>
      <c r="F57" s="23"/>
      <c r="G57" s="23"/>
      <c r="H57" s="23"/>
      <c r="I57" s="23"/>
      <c r="J57" s="23"/>
      <c r="K57" s="23"/>
      <c r="L57" s="23"/>
      <c r="M57" s="202"/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</row>
    <row r="58" ht="12.75" customHeight="1">
      <c r="A58" s="187"/>
      <c r="B58" s="187"/>
      <c r="C58" s="205" t="s">
        <v>208</v>
      </c>
      <c r="D58" s="206" t="s">
        <v>212</v>
      </c>
      <c r="E58" s="271" t="s">
        <v>37</v>
      </c>
      <c r="F58" s="271" t="s">
        <v>9</v>
      </c>
      <c r="G58" s="208" t="s">
        <v>198</v>
      </c>
      <c r="H58" s="271" t="s">
        <v>46</v>
      </c>
      <c r="I58" s="271" t="s">
        <v>53</v>
      </c>
      <c r="J58" s="209">
        <v>1.0</v>
      </c>
      <c r="K58" s="210">
        <v>6.0</v>
      </c>
      <c r="L58" s="211">
        <f>IF(AND(J58&gt;K58,J59&gt;K59),2,IF(J58&gt;K58,1,IF(J59&gt;K59,1,0)))</f>
        <v>0</v>
      </c>
      <c r="M58" s="211">
        <f>IF(AND(K58&gt;J58,K59&gt;J59),2,IF(K58&gt;J58,1,IF(K59&gt;J59,1,0)))</f>
        <v>2</v>
      </c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</row>
    <row r="59" ht="12.75" customHeight="1">
      <c r="A59" s="187"/>
      <c r="B59" s="187"/>
      <c r="C59" s="212"/>
      <c r="D59" s="213"/>
      <c r="E59" s="213"/>
      <c r="F59" s="213"/>
      <c r="G59" s="213"/>
      <c r="H59" s="213"/>
      <c r="I59" s="213"/>
      <c r="J59" s="214">
        <v>4.0</v>
      </c>
      <c r="K59" s="215">
        <v>6.0</v>
      </c>
      <c r="L59" s="213"/>
      <c r="M59" s="213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</row>
    <row r="60" ht="4.5" customHeight="1">
      <c r="A60" s="187"/>
      <c r="B60" s="187"/>
      <c r="C60" s="217"/>
      <c r="D60" s="23"/>
      <c r="E60" s="23"/>
      <c r="F60" s="23"/>
      <c r="G60" s="23"/>
      <c r="H60" s="23"/>
      <c r="I60" s="23"/>
      <c r="J60" s="23"/>
      <c r="K60" s="23"/>
      <c r="L60" s="23"/>
      <c r="M60" s="202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</row>
    <row r="61" ht="12.75" customHeight="1">
      <c r="A61" s="187"/>
      <c r="B61" s="187"/>
      <c r="C61" s="218" t="s">
        <v>367</v>
      </c>
      <c r="D61" s="206" t="s">
        <v>209</v>
      </c>
      <c r="E61" s="271" t="s">
        <v>132</v>
      </c>
      <c r="F61" s="271" t="s">
        <v>138</v>
      </c>
      <c r="G61" s="208" t="s">
        <v>198</v>
      </c>
      <c r="H61" s="271" t="s">
        <v>135</v>
      </c>
      <c r="I61" s="271" t="s">
        <v>141</v>
      </c>
      <c r="J61" s="209">
        <v>6.0</v>
      </c>
      <c r="K61" s="210">
        <v>2.0</v>
      </c>
      <c r="L61" s="211">
        <f>IF(AND(J61&gt;K61,J62&gt;K62),2,IF(J61&gt;K61,1,IF(J62&gt;K62,1,0)))</f>
        <v>2</v>
      </c>
      <c r="M61" s="211">
        <f>IF(AND(K61&gt;J61,K62&gt;J62),2,IF(K61&gt;J61,1,IF(K62&gt;J62,1,0)))</f>
        <v>0</v>
      </c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</row>
    <row r="62" ht="12.75" customHeight="1">
      <c r="A62" s="187"/>
      <c r="B62" s="187"/>
      <c r="C62" s="212"/>
      <c r="D62" s="213"/>
      <c r="E62" s="213"/>
      <c r="F62" s="213"/>
      <c r="G62" s="213"/>
      <c r="H62" s="213"/>
      <c r="I62" s="213"/>
      <c r="J62" s="214">
        <v>6.0</v>
      </c>
      <c r="K62" s="215">
        <v>3.0</v>
      </c>
      <c r="L62" s="213"/>
      <c r="M62" s="213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</row>
    <row r="63" ht="4.5" customHeight="1">
      <c r="A63" s="187"/>
      <c r="B63" s="187"/>
      <c r="C63" s="217"/>
      <c r="D63" s="23"/>
      <c r="E63" s="23"/>
      <c r="F63" s="23"/>
      <c r="G63" s="23"/>
      <c r="H63" s="23"/>
      <c r="I63" s="23"/>
      <c r="J63" s="23"/>
      <c r="K63" s="23"/>
      <c r="L63" s="23"/>
      <c r="M63" s="202"/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</row>
    <row r="64" ht="12.75" customHeight="1">
      <c r="A64" s="187"/>
      <c r="B64" s="187"/>
      <c r="C64" s="218" t="s">
        <v>277</v>
      </c>
      <c r="D64" s="206" t="s">
        <v>207</v>
      </c>
      <c r="E64" s="271" t="s">
        <v>17</v>
      </c>
      <c r="F64" s="271" t="s">
        <v>24</v>
      </c>
      <c r="G64" s="208" t="s">
        <v>198</v>
      </c>
      <c r="H64" s="271" t="s">
        <v>20</v>
      </c>
      <c r="I64" s="271" t="s">
        <v>27</v>
      </c>
      <c r="J64" s="272">
        <v>6.0</v>
      </c>
      <c r="K64" s="210">
        <v>7.0</v>
      </c>
      <c r="L64" s="211">
        <f>IF(AND(J64&gt;K64,J65&gt;K65),2,IF(J64&gt;K64,1,IF(J65&gt;K65,1,0)))</f>
        <v>0</v>
      </c>
      <c r="M64" s="211">
        <f>IF(AND(K64&gt;J64,K65&gt;J65),2,IF(K64&gt;J64,1,IF(K65&gt;J65,1,0)))</f>
        <v>2</v>
      </c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</row>
    <row r="65" ht="12.75" customHeight="1">
      <c r="A65" s="187"/>
      <c r="B65" s="187"/>
      <c r="C65" s="212"/>
      <c r="D65" s="213"/>
      <c r="E65" s="213"/>
      <c r="F65" s="213"/>
      <c r="G65" s="213"/>
      <c r="H65" s="213"/>
      <c r="I65" s="213"/>
      <c r="J65" s="273">
        <v>5.0</v>
      </c>
      <c r="K65" s="215">
        <v>7.0</v>
      </c>
      <c r="L65" s="213"/>
      <c r="M65" s="213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</row>
    <row r="66" ht="4.5" customHeight="1">
      <c r="A66" s="187"/>
      <c r="B66" s="187"/>
      <c r="C66" s="217"/>
      <c r="D66" s="23"/>
      <c r="E66" s="23"/>
      <c r="F66" s="23"/>
      <c r="G66" s="23"/>
      <c r="H66" s="23"/>
      <c r="I66" s="23"/>
      <c r="J66" s="23"/>
      <c r="K66" s="23"/>
      <c r="L66" s="23"/>
      <c r="M66" s="202"/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</row>
    <row r="67" ht="15.0" customHeight="1">
      <c r="A67" s="187"/>
      <c r="B67" s="187"/>
      <c r="C67" s="218" t="s">
        <v>226</v>
      </c>
      <c r="D67" s="206" t="s">
        <v>205</v>
      </c>
      <c r="E67" s="271" t="s">
        <v>120</v>
      </c>
      <c r="F67" s="271" t="s">
        <v>126</v>
      </c>
      <c r="G67" s="208" t="s">
        <v>198</v>
      </c>
      <c r="H67" s="271" t="s">
        <v>118</v>
      </c>
      <c r="I67" s="271" t="s">
        <v>123</v>
      </c>
      <c r="J67" s="209">
        <v>3.0</v>
      </c>
      <c r="K67" s="210">
        <v>6.0</v>
      </c>
      <c r="L67" s="211">
        <f>IF(AND(J67&gt;K67,J68&gt;K68),2,IF(J67&gt;K67,1,IF(J68&gt;K68,1,0)))</f>
        <v>0</v>
      </c>
      <c r="M67" s="211">
        <f>IF(AND(K67&gt;J67,K68&gt;J68),2,IF(K67&gt;J67,1,IF(K68&gt;J68,1,0)))</f>
        <v>2</v>
      </c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</row>
    <row r="68" ht="15.0" customHeight="1">
      <c r="A68" s="187"/>
      <c r="B68" s="187"/>
      <c r="C68" s="212"/>
      <c r="D68" s="213"/>
      <c r="E68" s="213"/>
      <c r="F68" s="213"/>
      <c r="G68" s="213"/>
      <c r="H68" s="213"/>
      <c r="I68" s="213"/>
      <c r="J68" s="214">
        <v>4.0</v>
      </c>
      <c r="K68" s="215">
        <v>6.0</v>
      </c>
      <c r="L68" s="213"/>
      <c r="M68" s="213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</row>
    <row r="69" ht="12.75" customHeight="1">
      <c r="A69" s="187"/>
      <c r="B69" s="187"/>
      <c r="C69" s="264"/>
      <c r="D69" s="265"/>
      <c r="E69" s="265"/>
      <c r="F69" s="265"/>
      <c r="G69" s="265"/>
      <c r="H69" s="265"/>
      <c r="I69" s="265"/>
      <c r="J69" s="221">
        <f t="shared" ref="J69:M69" si="6">SUM(J58:J68)</f>
        <v>35</v>
      </c>
      <c r="K69" s="221">
        <f t="shared" si="6"/>
        <v>43</v>
      </c>
      <c r="L69" s="221">
        <f t="shared" si="6"/>
        <v>2</v>
      </c>
      <c r="M69" s="221">
        <f t="shared" si="6"/>
        <v>6</v>
      </c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</row>
    <row r="70" ht="12.75" customHeight="1">
      <c r="A70" s="187"/>
      <c r="B70" s="187"/>
      <c r="C70" s="224"/>
      <c r="D70" s="23"/>
      <c r="E70" s="23"/>
      <c r="F70" s="23"/>
      <c r="G70" s="23"/>
      <c r="H70" s="23"/>
      <c r="I70" s="23"/>
      <c r="J70" s="23"/>
      <c r="K70" s="23"/>
      <c r="L70" s="23"/>
      <c r="M70" s="202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</row>
    <row r="71" ht="12.75" customHeight="1">
      <c r="A71" s="187"/>
      <c r="B71" s="187"/>
      <c r="C71" s="228"/>
      <c r="D71" s="23"/>
      <c r="E71" s="23"/>
      <c r="F71" s="23"/>
      <c r="G71" s="23"/>
      <c r="H71" s="23"/>
      <c r="I71" s="200"/>
      <c r="J71" s="229">
        <f t="shared" ref="J71:M71" si="7">J55+J69</f>
        <v>66</v>
      </c>
      <c r="K71" s="229">
        <f t="shared" si="7"/>
        <v>67</v>
      </c>
      <c r="L71" s="229">
        <f t="shared" si="7"/>
        <v>6</v>
      </c>
      <c r="M71" s="229">
        <f t="shared" si="7"/>
        <v>8</v>
      </c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</row>
    <row r="72" ht="12.75" customHeight="1">
      <c r="A72" s="187"/>
      <c r="B72" s="187"/>
      <c r="C72" s="187"/>
      <c r="D72" s="187"/>
      <c r="E72" s="187"/>
      <c r="F72" s="187"/>
      <c r="G72" s="187"/>
      <c r="H72" s="187"/>
      <c r="I72" s="187"/>
      <c r="J72" s="187"/>
      <c r="K72" s="187"/>
      <c r="L72" s="187"/>
      <c r="M72" s="187"/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</row>
    <row r="73" ht="12.75" customHeight="1">
      <c r="A73" s="187"/>
      <c r="B73" s="187"/>
      <c r="C73" s="187"/>
      <c r="D73" s="187"/>
      <c r="E73" s="187"/>
      <c r="F73" s="187"/>
      <c r="G73" s="187"/>
      <c r="H73" s="187"/>
      <c r="I73" s="187"/>
      <c r="J73" s="187"/>
      <c r="K73" s="187"/>
      <c r="L73" s="187"/>
      <c r="M73" s="187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</row>
    <row r="74" ht="12.75" customHeight="1">
      <c r="A74" s="187"/>
      <c r="B74" s="187"/>
      <c r="C74" s="187"/>
      <c r="D74" s="187"/>
      <c r="E74" s="187"/>
      <c r="F74" s="187"/>
      <c r="G74" s="187"/>
      <c r="H74" s="187"/>
      <c r="I74" s="187"/>
      <c r="J74" s="187"/>
      <c r="K74" s="187"/>
      <c r="L74" s="187"/>
      <c r="M74" s="187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</row>
    <row r="75" ht="12.75" customHeight="1">
      <c r="A75" s="187"/>
      <c r="B75" s="187"/>
      <c r="C75" s="187"/>
      <c r="D75" s="187"/>
      <c r="E75" s="187"/>
      <c r="F75" s="187"/>
      <c r="G75" s="187"/>
      <c r="H75" s="187"/>
      <c r="I75" s="187"/>
      <c r="J75" s="187"/>
      <c r="K75" s="187"/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</row>
    <row r="76" ht="12.75" customHeight="1">
      <c r="A76" s="187"/>
      <c r="B76" s="187"/>
      <c r="C76" s="187"/>
      <c r="D76" s="187"/>
      <c r="E76" s="187"/>
      <c r="F76" s="187"/>
      <c r="G76" s="187"/>
      <c r="H76" s="187"/>
      <c r="I76" s="187"/>
      <c r="J76" s="187"/>
      <c r="K76" s="187"/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</row>
    <row r="77" ht="12.75" customHeight="1">
      <c r="A77" s="187"/>
      <c r="B77" s="187"/>
      <c r="C77" s="187"/>
      <c r="D77" s="187"/>
      <c r="E77" s="187"/>
      <c r="F77" s="187"/>
      <c r="G77" s="187"/>
      <c r="H77" s="187"/>
      <c r="I77" s="187"/>
      <c r="J77" s="187"/>
      <c r="K77" s="187"/>
      <c r="L77" s="187"/>
      <c r="M77" s="187"/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</row>
    <row r="78" ht="12.75" customHeight="1">
      <c r="A78" s="187"/>
      <c r="B78" s="187"/>
      <c r="C78" s="187"/>
      <c r="D78" s="187"/>
      <c r="E78" s="187"/>
      <c r="F78" s="187"/>
      <c r="G78" s="187"/>
      <c r="H78" s="187"/>
      <c r="I78" s="187"/>
      <c r="J78" s="187"/>
      <c r="K78" s="187"/>
      <c r="L78" s="187"/>
      <c r="M78" s="187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</row>
    <row r="79" ht="12.75" customHeight="1">
      <c r="A79" s="187"/>
      <c r="B79" s="187"/>
      <c r="C79" s="187"/>
      <c r="D79" s="187"/>
      <c r="E79" s="187"/>
      <c r="F79" s="187"/>
      <c r="G79" s="187"/>
      <c r="H79" s="187"/>
      <c r="I79" s="187"/>
      <c r="J79" s="187"/>
      <c r="K79" s="187"/>
      <c r="L79" s="187"/>
      <c r="M79" s="187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</row>
    <row r="80" ht="12.75" customHeight="1">
      <c r="A80" s="187"/>
      <c r="B80" s="187"/>
      <c r="C80" s="187"/>
      <c r="D80" s="187"/>
      <c r="E80" s="187"/>
      <c r="F80" s="187"/>
      <c r="G80" s="187"/>
      <c r="H80" s="187"/>
      <c r="I80" s="187"/>
      <c r="J80" s="187"/>
      <c r="K80" s="187"/>
      <c r="L80" s="187"/>
      <c r="M80" s="187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</row>
    <row r="81" ht="12.75" customHeight="1">
      <c r="A81" s="187"/>
      <c r="B81" s="187"/>
      <c r="C81" s="187"/>
      <c r="D81" s="187"/>
      <c r="E81" s="187"/>
      <c r="F81" s="187"/>
      <c r="G81" s="187"/>
      <c r="H81" s="187"/>
      <c r="I81" s="187"/>
      <c r="J81" s="187"/>
      <c r="K81" s="187"/>
      <c r="L81" s="187"/>
      <c r="M81" s="187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</row>
    <row r="82" ht="12.75" customHeight="1">
      <c r="A82" s="187"/>
      <c r="B82" s="187"/>
      <c r="C82" s="187"/>
      <c r="D82" s="187"/>
      <c r="E82" s="187"/>
      <c r="F82" s="187"/>
      <c r="G82" s="187"/>
      <c r="H82" s="187"/>
      <c r="I82" s="187"/>
      <c r="J82" s="187"/>
      <c r="K82" s="187"/>
      <c r="L82" s="187"/>
      <c r="M82" s="187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</row>
    <row r="83" ht="12.75" customHeight="1">
      <c r="A83" s="187"/>
      <c r="B83" s="187"/>
      <c r="C83" s="187"/>
      <c r="D83" s="187"/>
      <c r="E83" s="187"/>
      <c r="F83" s="187"/>
      <c r="G83" s="187"/>
      <c r="H83" s="187"/>
      <c r="I83" s="187"/>
      <c r="J83" s="187"/>
      <c r="K83" s="187"/>
      <c r="L83" s="187"/>
      <c r="M83" s="187"/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</row>
    <row r="84" ht="12.75" customHeight="1">
      <c r="A84" s="187"/>
      <c r="B84" s="187"/>
      <c r="C84" s="187"/>
      <c r="D84" s="187"/>
      <c r="E84" s="187"/>
      <c r="F84" s="187"/>
      <c r="G84" s="187"/>
      <c r="H84" s="187"/>
      <c r="I84" s="187"/>
      <c r="J84" s="187"/>
      <c r="K84" s="187"/>
      <c r="L84" s="187"/>
      <c r="M84" s="187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</row>
    <row r="85" ht="12.75" customHeight="1">
      <c r="A85" s="187"/>
      <c r="B85" s="187"/>
      <c r="C85" s="187"/>
      <c r="D85" s="187"/>
      <c r="E85" s="187"/>
      <c r="F85" s="187"/>
      <c r="G85" s="187"/>
      <c r="H85" s="187"/>
      <c r="I85" s="187"/>
      <c r="J85" s="187"/>
      <c r="K85" s="187"/>
      <c r="L85" s="187"/>
      <c r="M85" s="187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</row>
    <row r="86" ht="12.75" customHeight="1">
      <c r="A86" s="187"/>
      <c r="B86" s="187"/>
      <c r="C86" s="187"/>
      <c r="D86" s="187"/>
      <c r="E86" s="187"/>
      <c r="F86" s="187"/>
      <c r="G86" s="187"/>
      <c r="H86" s="187"/>
      <c r="I86" s="187"/>
      <c r="J86" s="187"/>
      <c r="K86" s="187"/>
      <c r="L86" s="187"/>
      <c r="M86" s="187"/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</row>
    <row r="87" ht="12.75" customHeight="1">
      <c r="A87" s="187"/>
      <c r="B87" s="187"/>
      <c r="C87" s="187"/>
      <c r="D87" s="187"/>
      <c r="E87" s="187"/>
      <c r="F87" s="187"/>
      <c r="G87" s="187"/>
      <c r="H87" s="187"/>
      <c r="I87" s="187"/>
      <c r="J87" s="187"/>
      <c r="K87" s="187"/>
      <c r="L87" s="187"/>
      <c r="M87" s="187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</row>
    <row r="88" ht="12.75" customHeight="1">
      <c r="A88" s="187"/>
      <c r="B88" s="187"/>
      <c r="C88" s="187"/>
      <c r="D88" s="187"/>
      <c r="E88" s="187"/>
      <c r="F88" s="187"/>
      <c r="G88" s="187"/>
      <c r="H88" s="187"/>
      <c r="I88" s="187"/>
      <c r="J88" s="187"/>
      <c r="K88" s="187"/>
      <c r="L88" s="187"/>
      <c r="M88" s="187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</row>
    <row r="89" ht="12.75" customHeight="1">
      <c r="A89" s="187"/>
      <c r="B89" s="187"/>
      <c r="C89" s="187"/>
      <c r="D89" s="187"/>
      <c r="E89" s="187"/>
      <c r="F89" s="187"/>
      <c r="G89" s="187"/>
      <c r="H89" s="187"/>
      <c r="I89" s="187"/>
      <c r="J89" s="187"/>
      <c r="K89" s="187"/>
      <c r="L89" s="187"/>
      <c r="M89" s="187"/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</row>
    <row r="90" ht="12.75" customHeight="1">
      <c r="A90" s="187"/>
      <c r="B90" s="187"/>
      <c r="C90" s="187"/>
      <c r="D90" s="187"/>
      <c r="E90" s="187"/>
      <c r="F90" s="187"/>
      <c r="G90" s="187"/>
      <c r="H90" s="187"/>
      <c r="I90" s="187"/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</row>
    <row r="91" ht="12.75" customHeight="1">
      <c r="A91" s="187"/>
      <c r="B91" s="187"/>
      <c r="C91" s="187"/>
      <c r="D91" s="187"/>
      <c r="E91" s="187"/>
      <c r="F91" s="187"/>
      <c r="G91" s="187"/>
      <c r="H91" s="187"/>
      <c r="I91" s="187"/>
      <c r="J91" s="187"/>
      <c r="K91" s="187"/>
      <c r="L91" s="187"/>
      <c r="M91" s="187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</row>
    <row r="92" ht="12.75" customHeight="1">
      <c r="A92" s="187"/>
      <c r="B92" s="187"/>
      <c r="C92" s="187"/>
      <c r="D92" s="187"/>
      <c r="E92" s="187"/>
      <c r="F92" s="187"/>
      <c r="G92" s="187"/>
      <c r="H92" s="187"/>
      <c r="I92" s="187"/>
      <c r="J92" s="187"/>
      <c r="K92" s="187"/>
      <c r="L92" s="187"/>
      <c r="M92" s="187"/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</row>
    <row r="93" ht="12.75" customHeight="1">
      <c r="A93" s="187"/>
      <c r="B93" s="187"/>
      <c r="C93" s="187"/>
      <c r="D93" s="187"/>
      <c r="E93" s="187"/>
      <c r="F93" s="187"/>
      <c r="G93" s="187"/>
      <c r="H93" s="187"/>
      <c r="I93" s="187"/>
      <c r="J93" s="187"/>
      <c r="K93" s="187"/>
      <c r="L93" s="187"/>
      <c r="M93" s="187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</row>
    <row r="94" ht="12.75" customHeight="1">
      <c r="A94" s="187"/>
      <c r="B94" s="187"/>
      <c r="C94" s="187"/>
      <c r="D94" s="187"/>
      <c r="E94" s="187"/>
      <c r="F94" s="187"/>
      <c r="G94" s="187"/>
      <c r="H94" s="187"/>
      <c r="I94" s="187"/>
      <c r="J94" s="187"/>
      <c r="K94" s="187"/>
      <c r="L94" s="187"/>
      <c r="M94" s="187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</row>
    <row r="95" ht="12.75" customHeight="1">
      <c r="A95" s="187"/>
      <c r="B95" s="187"/>
      <c r="C95" s="187"/>
      <c r="D95" s="187"/>
      <c r="E95" s="187"/>
      <c r="F95" s="187"/>
      <c r="G95" s="187"/>
      <c r="H95" s="187"/>
      <c r="I95" s="187"/>
      <c r="J95" s="187"/>
      <c r="K95" s="187"/>
      <c r="L95" s="187"/>
      <c r="M95" s="187"/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</row>
    <row r="96" ht="12.75" customHeight="1">
      <c r="A96" s="187"/>
      <c r="B96" s="187"/>
      <c r="C96" s="187"/>
      <c r="D96" s="187"/>
      <c r="E96" s="187"/>
      <c r="F96" s="187"/>
      <c r="G96" s="187"/>
      <c r="H96" s="187"/>
      <c r="I96" s="187"/>
      <c r="J96" s="187"/>
      <c r="K96" s="187"/>
      <c r="L96" s="187"/>
      <c r="M96" s="187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</row>
    <row r="97" ht="12.75" customHeight="1">
      <c r="A97" s="187"/>
      <c r="B97" s="187"/>
      <c r="C97" s="187"/>
      <c r="D97" s="187"/>
      <c r="E97" s="187"/>
      <c r="F97" s="187" t="s">
        <v>227</v>
      </c>
      <c r="G97" s="187"/>
      <c r="H97" s="187"/>
      <c r="I97" s="187"/>
      <c r="J97" s="187"/>
      <c r="K97" s="187"/>
      <c r="L97" s="187"/>
      <c r="M97" s="187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</row>
    <row r="98" ht="12.75" customHeight="1">
      <c r="A98" s="187"/>
      <c r="B98" s="187"/>
      <c r="C98" s="187"/>
      <c r="D98" s="187"/>
      <c r="E98" s="187"/>
      <c r="F98" s="187"/>
      <c r="G98" s="187"/>
      <c r="H98" s="187"/>
      <c r="I98" s="187"/>
      <c r="J98" s="187"/>
      <c r="K98" s="187"/>
      <c r="L98" s="187"/>
      <c r="M98" s="187"/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</row>
    <row r="99" ht="12.75" customHeight="1">
      <c r="A99" s="187"/>
      <c r="B99" s="187"/>
      <c r="C99" s="187"/>
      <c r="D99" s="187"/>
      <c r="E99" s="187"/>
      <c r="F99" s="187"/>
      <c r="G99" s="187"/>
      <c r="H99" s="187"/>
      <c r="I99" s="187"/>
      <c r="J99" s="187"/>
      <c r="K99" s="187"/>
      <c r="L99" s="187"/>
      <c r="M99" s="187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</row>
    <row r="100" ht="12.75" customHeight="1">
      <c r="A100" s="187"/>
      <c r="B100" s="187"/>
      <c r="C100" s="187"/>
      <c r="D100" s="187"/>
      <c r="E100" s="187"/>
      <c r="F100" s="187"/>
      <c r="G100" s="187"/>
      <c r="H100" s="187"/>
      <c r="I100" s="187"/>
      <c r="J100" s="187"/>
      <c r="K100" s="187"/>
      <c r="L100" s="187"/>
      <c r="M100" s="187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</row>
    <row r="101" ht="12.75" customHeight="1">
      <c r="A101" s="187"/>
      <c r="B101" s="187"/>
      <c r="C101" s="187"/>
      <c r="D101" s="187"/>
      <c r="E101" s="187"/>
      <c r="F101" s="187"/>
      <c r="G101" s="187"/>
      <c r="H101" s="187"/>
      <c r="I101" s="187"/>
      <c r="J101" s="187"/>
      <c r="K101" s="187"/>
      <c r="L101" s="187"/>
      <c r="M101" s="187"/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</row>
    <row r="102" ht="12.75" customHeight="1">
      <c r="A102" s="187"/>
      <c r="B102" s="187"/>
      <c r="C102" s="187"/>
      <c r="D102" s="187"/>
      <c r="E102" s="187"/>
      <c r="F102" s="187"/>
      <c r="G102" s="187"/>
      <c r="H102" s="187"/>
      <c r="I102" s="187"/>
      <c r="J102" s="187"/>
      <c r="K102" s="187"/>
      <c r="L102" s="187"/>
      <c r="M102" s="187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</row>
    <row r="103" ht="12.75" customHeight="1">
      <c r="A103" s="187"/>
      <c r="B103" s="187"/>
      <c r="C103" s="187"/>
      <c r="D103" s="187"/>
      <c r="E103" s="187"/>
      <c r="F103" s="187"/>
      <c r="G103" s="187"/>
      <c r="H103" s="187"/>
      <c r="I103" s="187"/>
      <c r="J103" s="187"/>
      <c r="K103" s="187"/>
      <c r="L103" s="187"/>
      <c r="M103" s="187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</row>
    <row r="104" ht="12.75" customHeight="1">
      <c r="A104" s="187"/>
      <c r="B104" s="187"/>
      <c r="C104" s="187"/>
      <c r="D104" s="187"/>
      <c r="E104" s="187"/>
      <c r="F104" s="187"/>
      <c r="G104" s="187"/>
      <c r="H104" s="187"/>
      <c r="I104" s="187"/>
      <c r="J104" s="187"/>
      <c r="K104" s="187"/>
      <c r="L104" s="187"/>
      <c r="M104" s="187"/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</row>
    <row r="105" ht="12.75" customHeight="1">
      <c r="A105" s="187"/>
      <c r="B105" s="187"/>
      <c r="C105" s="187"/>
      <c r="D105" s="187"/>
      <c r="E105" s="187"/>
      <c r="F105" s="187"/>
      <c r="G105" s="187"/>
      <c r="H105" s="187"/>
      <c r="I105" s="187"/>
      <c r="J105" s="187"/>
      <c r="K105" s="187"/>
      <c r="L105" s="187"/>
      <c r="M105" s="187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</row>
    <row r="106" ht="12.75" customHeight="1">
      <c r="A106" s="187"/>
      <c r="B106" s="187"/>
      <c r="C106" s="187"/>
      <c r="D106" s="187"/>
      <c r="E106" s="187"/>
      <c r="F106" s="187"/>
      <c r="G106" s="187"/>
      <c r="H106" s="187"/>
      <c r="I106" s="187"/>
      <c r="J106" s="187"/>
      <c r="K106" s="187"/>
      <c r="L106" s="187"/>
      <c r="M106" s="187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</row>
    <row r="107" ht="12.75" customHeight="1">
      <c r="A107" s="187"/>
      <c r="B107" s="187"/>
      <c r="C107" s="187"/>
      <c r="D107" s="187"/>
      <c r="E107" s="187"/>
      <c r="F107" s="187"/>
      <c r="G107" s="187"/>
      <c r="H107" s="187"/>
      <c r="I107" s="187"/>
      <c r="J107" s="187"/>
      <c r="K107" s="187"/>
      <c r="L107" s="187"/>
      <c r="M107" s="187"/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</row>
    <row r="108" ht="12.75" customHeight="1">
      <c r="A108" s="187"/>
      <c r="B108" s="187"/>
      <c r="C108" s="187"/>
      <c r="D108" s="187"/>
      <c r="E108" s="187"/>
      <c r="F108" s="187"/>
      <c r="G108" s="187"/>
      <c r="H108" s="187"/>
      <c r="I108" s="187"/>
      <c r="J108" s="187"/>
      <c r="K108" s="187"/>
      <c r="L108" s="187"/>
      <c r="M108" s="187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</row>
    <row r="109" ht="12.75" customHeight="1">
      <c r="A109" s="187"/>
      <c r="B109" s="187"/>
      <c r="C109" s="187"/>
      <c r="D109" s="187"/>
      <c r="E109" s="187"/>
      <c r="F109" s="187"/>
      <c r="G109" s="187"/>
      <c r="H109" s="187"/>
      <c r="I109" s="187"/>
      <c r="J109" s="187"/>
      <c r="K109" s="187"/>
      <c r="L109" s="187"/>
      <c r="M109" s="187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</row>
    <row r="110" ht="12.75" customHeight="1">
      <c r="A110" s="187"/>
      <c r="B110" s="187"/>
      <c r="C110" s="187"/>
      <c r="D110" s="187"/>
      <c r="E110" s="187"/>
      <c r="F110" s="187"/>
      <c r="G110" s="187"/>
      <c r="H110" s="187"/>
      <c r="I110" s="187"/>
      <c r="J110" s="187"/>
      <c r="K110" s="187"/>
      <c r="L110" s="187"/>
      <c r="M110" s="187"/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</row>
    <row r="111" ht="12.75" customHeight="1">
      <c r="A111" s="187"/>
      <c r="B111" s="187"/>
      <c r="C111" s="187"/>
      <c r="D111" s="187"/>
      <c r="E111" s="187"/>
      <c r="F111" s="187"/>
      <c r="G111" s="187"/>
      <c r="H111" s="187"/>
      <c r="I111" s="187"/>
      <c r="J111" s="187"/>
      <c r="K111" s="187"/>
      <c r="L111" s="187"/>
      <c r="M111" s="187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</row>
    <row r="112" ht="12.75" customHeight="1">
      <c r="A112" s="187"/>
      <c r="B112" s="187"/>
      <c r="C112" s="187"/>
      <c r="D112" s="187"/>
      <c r="E112" s="187"/>
      <c r="F112" s="18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</row>
    <row r="113" ht="12.75" customHeight="1">
      <c r="A113" s="187"/>
      <c r="B113" s="187"/>
      <c r="C113" s="187"/>
      <c r="D113" s="187"/>
      <c r="E113" s="187"/>
      <c r="F113" s="187"/>
      <c r="G113" s="187"/>
      <c r="H113" s="187"/>
      <c r="I113" s="187"/>
      <c r="J113" s="187"/>
      <c r="K113" s="187"/>
      <c r="L113" s="187"/>
      <c r="M113" s="187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</row>
    <row r="114" ht="12.75" customHeight="1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</row>
    <row r="115" ht="12.75" customHeight="1">
      <c r="A115" s="18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</row>
    <row r="116" ht="12.75" customHeight="1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</row>
    <row r="117" ht="12.75" customHeight="1">
      <c r="A117" s="18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</row>
    <row r="118" ht="12.75" customHeight="1">
      <c r="A118" s="18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</row>
    <row r="119" ht="12.75" customHeight="1">
      <c r="A119" s="18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</row>
    <row r="120" ht="12.75" customHeight="1">
      <c r="A120" s="18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</row>
    <row r="121" ht="12.75" customHeight="1">
      <c r="A121" s="187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</row>
    <row r="122" ht="12.75" customHeight="1">
      <c r="A122" s="18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</row>
    <row r="123" ht="12.75" customHeight="1">
      <c r="A123" s="187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</row>
    <row r="124" ht="12.75" customHeight="1">
      <c r="A124" s="187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</row>
    <row r="125" ht="12.75" customHeight="1">
      <c r="A125" s="18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</row>
    <row r="126" ht="12.75" customHeight="1">
      <c r="A126" s="18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</row>
    <row r="127" ht="12.75" customHeight="1">
      <c r="A127" s="187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</row>
    <row r="128" ht="12.75" customHeight="1">
      <c r="A128" s="187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</row>
    <row r="129" ht="12.75" customHeight="1">
      <c r="A129" s="18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</row>
    <row r="130" ht="12.75" customHeight="1">
      <c r="A130" s="18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</row>
    <row r="131" ht="12.75" customHeight="1">
      <c r="A131" s="18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</row>
    <row r="132" ht="12.75" customHeight="1">
      <c r="A132" s="187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</row>
    <row r="133" ht="12.75" customHeight="1">
      <c r="A133" s="18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</row>
    <row r="134" ht="12.75" customHeight="1">
      <c r="A134" s="18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</row>
    <row r="135" ht="12.75" customHeight="1">
      <c r="A135" s="18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</row>
    <row r="136" ht="12.75" customHeight="1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</row>
    <row r="137" ht="12.75" customHeight="1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</row>
    <row r="138" ht="12.75" customHeight="1">
      <c r="A138" s="187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</row>
    <row r="139" ht="12.75" customHeight="1">
      <c r="A139" s="18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</row>
    <row r="140" ht="12.75" customHeight="1">
      <c r="A140" s="18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</row>
    <row r="141" ht="12.75" customHeight="1">
      <c r="A141" s="18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</row>
    <row r="142" ht="12.75" customHeight="1">
      <c r="A142" s="187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</row>
    <row r="143" ht="12.75" customHeight="1">
      <c r="A143" s="187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</row>
    <row r="144" ht="12.75" customHeight="1">
      <c r="A144" s="187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</row>
    <row r="145" ht="12.75" customHeight="1">
      <c r="A145" s="187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</row>
    <row r="146" ht="12.75" customHeight="1">
      <c r="A146" s="187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</row>
    <row r="147" ht="12.75" customHeight="1">
      <c r="A147" s="187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</row>
    <row r="148" ht="12.75" customHeight="1">
      <c r="A148" s="187"/>
      <c r="B148" s="187"/>
      <c r="C148" s="187"/>
      <c r="D148" s="187"/>
      <c r="E148" s="187"/>
      <c r="F148" s="187"/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</row>
    <row r="149" ht="12.75" customHeight="1">
      <c r="A149" s="187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</row>
    <row r="150" ht="12.75" customHeight="1">
      <c r="A150" s="187"/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</row>
    <row r="151" ht="12.75" customHeight="1">
      <c r="A151" s="187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</row>
    <row r="152" ht="12.75" customHeight="1">
      <c r="A152" s="187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</row>
    <row r="153" ht="12.75" customHeight="1">
      <c r="A153" s="187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</row>
    <row r="154" ht="12.75" customHeight="1">
      <c r="A154" s="187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</row>
    <row r="155" ht="12.75" customHeight="1">
      <c r="A155" s="187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</row>
    <row r="156" ht="12.75" customHeight="1">
      <c r="A156" s="187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</row>
    <row r="157" ht="12.75" customHeight="1">
      <c r="A157" s="187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</row>
    <row r="158" ht="12.75" customHeight="1">
      <c r="A158" s="187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</row>
    <row r="159" ht="12.75" customHeight="1">
      <c r="A159" s="187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</row>
    <row r="160" ht="12.75" customHeight="1">
      <c r="A160" s="187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</row>
    <row r="161" ht="12.75" customHeight="1">
      <c r="A161" s="187"/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</row>
    <row r="162" ht="12.75" customHeight="1">
      <c r="A162" s="187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</row>
    <row r="163" ht="12.75" customHeight="1">
      <c r="A163" s="187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</row>
    <row r="164" ht="12.75" customHeight="1">
      <c r="A164" s="187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</row>
    <row r="165" ht="12.75" customHeight="1">
      <c r="A165" s="187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</row>
    <row r="166" ht="12.75" customHeight="1">
      <c r="A166" s="187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</row>
    <row r="167" ht="12.75" customHeight="1">
      <c r="A167" s="187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</row>
    <row r="168" ht="12.75" customHeight="1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</row>
    <row r="169" ht="12.75" customHeight="1">
      <c r="A169" s="187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</row>
    <row r="170" ht="12.75" customHeight="1">
      <c r="A170" s="187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</row>
    <row r="171" ht="12.75" customHeight="1">
      <c r="A171" s="187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</row>
    <row r="172" ht="12.75" customHeight="1">
      <c r="A172" s="187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</row>
    <row r="173" ht="12.75" customHeight="1">
      <c r="A173" s="18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</row>
    <row r="174" ht="12.75" customHeight="1">
      <c r="A174" s="187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</row>
    <row r="175" ht="12.75" customHeight="1">
      <c r="A175" s="187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</row>
    <row r="176" ht="12.75" customHeight="1">
      <c r="A176" s="187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</row>
    <row r="177" ht="12.75" customHeight="1">
      <c r="A177" s="187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</row>
    <row r="178" ht="12.75" customHeight="1">
      <c r="A178" s="187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</row>
    <row r="179" ht="12.75" customHeight="1">
      <c r="A179" s="187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</row>
    <row r="180" ht="12.75" customHeight="1">
      <c r="A180" s="187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</row>
    <row r="181" ht="12.75" customHeight="1">
      <c r="A181" s="187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</row>
    <row r="182" ht="12.75" customHeight="1">
      <c r="A182" s="187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</row>
    <row r="183" ht="12.75" customHeight="1">
      <c r="A183" s="187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</row>
    <row r="184" ht="12.75" customHeight="1">
      <c r="A184" s="187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</row>
    <row r="185" ht="12.75" customHeight="1">
      <c r="A185" s="187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</row>
    <row r="186" ht="12.75" customHeight="1">
      <c r="A186" s="187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</row>
    <row r="187" ht="12.75" customHeight="1">
      <c r="A187" s="187"/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</row>
    <row r="188" ht="12.75" customHeight="1">
      <c r="A188" s="187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</row>
    <row r="189" ht="12.75" customHeight="1">
      <c r="A189" s="187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</row>
    <row r="190" ht="12.75" customHeight="1">
      <c r="A190" s="187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</row>
    <row r="191" ht="12.75" customHeight="1">
      <c r="A191" s="187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</row>
    <row r="192" ht="12.75" customHeight="1">
      <c r="A192" s="187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</row>
    <row r="193" ht="12.75" customHeight="1">
      <c r="A193" s="187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</row>
    <row r="194" ht="12.75" customHeight="1">
      <c r="A194" s="187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</row>
    <row r="195" ht="12.75" customHeight="1">
      <c r="A195" s="187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</row>
    <row r="196" ht="12.75" customHeight="1">
      <c r="A196" s="187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</row>
    <row r="197" ht="12.75" customHeight="1">
      <c r="A197" s="187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</row>
    <row r="198" ht="12.75" customHeight="1">
      <c r="A198" s="187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</row>
    <row r="199" ht="12.75" customHeight="1">
      <c r="A199" s="187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</row>
    <row r="200" ht="12.75" customHeight="1">
      <c r="A200" s="187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</row>
    <row r="201" ht="12.75" customHeight="1">
      <c r="A201" s="187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</row>
    <row r="202" ht="12.75" customHeight="1">
      <c r="A202" s="187"/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</row>
    <row r="203" ht="12.75" customHeight="1">
      <c r="A203" s="187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</row>
    <row r="204" ht="12.75" customHeight="1">
      <c r="A204" s="187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</row>
    <row r="205" ht="12.75" customHeight="1">
      <c r="A205" s="187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</row>
    <row r="206" ht="12.75" customHeight="1">
      <c r="A206" s="187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</row>
    <row r="207" ht="12.75" customHeight="1">
      <c r="A207" s="187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</row>
    <row r="208" ht="12.75" customHeight="1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</row>
    <row r="209" ht="12.75" customHeight="1">
      <c r="A209" s="187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</row>
    <row r="210" ht="12.75" customHeight="1">
      <c r="A210" s="187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</row>
    <row r="211" ht="12.75" customHeight="1">
      <c r="A211" s="187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</row>
    <row r="212" ht="12.75" customHeight="1">
      <c r="A212" s="187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</row>
    <row r="213" ht="12.75" customHeight="1">
      <c r="A213" s="187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</row>
    <row r="214" ht="12.75" customHeight="1">
      <c r="A214" s="187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</row>
    <row r="215" ht="12.75" customHeight="1">
      <c r="A215" s="187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</row>
    <row r="216" ht="12.75" customHeight="1">
      <c r="A216" s="187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</row>
    <row r="217" ht="12.75" customHeight="1">
      <c r="A217" s="187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</row>
    <row r="218" ht="12.75" customHeight="1">
      <c r="A218" s="187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</row>
    <row r="219" ht="12.75" customHeight="1">
      <c r="A219" s="187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</row>
    <row r="220" ht="12.75" customHeight="1">
      <c r="A220" s="187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</row>
    <row r="221" ht="12.75" customHeight="1">
      <c r="A221" s="187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</row>
    <row r="222" ht="12.75" customHeight="1">
      <c r="A222" s="187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</row>
    <row r="223" ht="12.75" customHeight="1">
      <c r="A223" s="187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</row>
    <row r="224" ht="12.75" customHeight="1">
      <c r="A224" s="187"/>
      <c r="B224" s="187"/>
      <c r="C224" s="187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</row>
    <row r="225" ht="12.75" customHeight="1">
      <c r="A225" s="187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</row>
    <row r="226" ht="12.75" customHeight="1">
      <c r="A226" s="187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</row>
    <row r="227" ht="12.75" customHeight="1">
      <c r="A227" s="187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</row>
    <row r="228" ht="12.75" customHeight="1">
      <c r="A228" s="187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</row>
    <row r="229" ht="12.75" customHeight="1">
      <c r="A229" s="187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</row>
    <row r="230" ht="12.75" customHeight="1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</row>
    <row r="231" ht="12.75" customHeight="1">
      <c r="A231" s="187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</row>
    <row r="232" ht="12.75" customHeight="1">
      <c r="A232" s="187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</row>
    <row r="233" ht="12.75" customHeight="1">
      <c r="A233" s="187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</row>
    <row r="234" ht="12.75" customHeight="1">
      <c r="A234" s="187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</row>
    <row r="235" ht="12.75" customHeight="1">
      <c r="A235" s="187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</row>
    <row r="236" ht="12.75" customHeight="1">
      <c r="A236" s="187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</row>
    <row r="237" ht="12.75" customHeight="1">
      <c r="A237" s="187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</row>
    <row r="238" ht="12.75" customHeight="1">
      <c r="A238" s="187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</row>
    <row r="239" ht="12.75" customHeight="1">
      <c r="A239" s="187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</row>
    <row r="240" ht="12.75" customHeight="1">
      <c r="A240" s="187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</row>
    <row r="241" ht="12.75" customHeight="1">
      <c r="A241" s="187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</row>
    <row r="242" ht="12.75" customHeight="1">
      <c r="A242" s="187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</row>
    <row r="243" ht="12.75" customHeight="1">
      <c r="A243" s="187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</row>
    <row r="244" ht="12.75" customHeight="1">
      <c r="A244" s="187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</row>
    <row r="245" ht="12.75" customHeight="1">
      <c r="A245" s="187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</row>
    <row r="246" ht="12.75" customHeight="1">
      <c r="A246" s="187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</row>
    <row r="247" ht="12.75" customHeight="1">
      <c r="A247" s="187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</row>
    <row r="248" ht="12.75" customHeight="1">
      <c r="A248" s="187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</row>
    <row r="249" ht="12.75" customHeight="1">
      <c r="A249" s="187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</row>
    <row r="250" ht="12.75" customHeight="1">
      <c r="A250" s="187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</row>
    <row r="251" ht="12.75" customHeight="1">
      <c r="A251" s="187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</row>
    <row r="252" ht="12.75" customHeight="1">
      <c r="A252" s="187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</row>
    <row r="253" ht="12.75" customHeight="1">
      <c r="A253" s="187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</row>
    <row r="254" ht="12.75" customHeight="1">
      <c r="A254" s="187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</row>
    <row r="255" ht="12.75" customHeight="1">
      <c r="A255" s="187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</row>
    <row r="256" ht="12.75" customHeight="1">
      <c r="A256" s="187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</row>
    <row r="257" ht="12.75" customHeight="1">
      <c r="A257" s="187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</row>
    <row r="258" ht="12.75" customHeight="1">
      <c r="A258" s="187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</row>
    <row r="259" ht="12.75" customHeight="1">
      <c r="A259" s="187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</row>
    <row r="260" ht="12.75" customHeight="1">
      <c r="A260" s="187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</row>
    <row r="261" ht="12.75" customHeight="1">
      <c r="A261" s="187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</row>
    <row r="262" ht="12.75" customHeight="1">
      <c r="A262" s="187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</row>
    <row r="263" ht="12.75" customHeight="1">
      <c r="A263" s="187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</row>
    <row r="264" ht="12.75" customHeight="1">
      <c r="A264" s="187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</row>
    <row r="265" ht="12.75" customHeight="1">
      <c r="A265" s="187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</row>
    <row r="266" ht="12.75" customHeight="1">
      <c r="A266" s="187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</row>
    <row r="267" ht="12.75" customHeight="1">
      <c r="A267" s="187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</row>
    <row r="268" ht="12.75" customHeight="1">
      <c r="A268" s="187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</row>
    <row r="269" ht="12.75" customHeight="1">
      <c r="A269" s="187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</row>
    <row r="270" ht="12.75" customHeight="1">
      <c r="A270" s="187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</row>
    <row r="271" ht="12.75" customHeight="1">
      <c r="A271" s="187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</row>
    <row r="272" ht="12.75" customHeight="1">
      <c r="A272" s="187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</row>
    <row r="273" ht="12.75" customHeight="1">
      <c r="A273" s="187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</row>
    <row r="274" ht="12.75" customHeight="1">
      <c r="A274" s="187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</row>
    <row r="275" ht="12.75" customHeight="1">
      <c r="A275" s="187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</row>
    <row r="276" ht="12.75" customHeight="1">
      <c r="A276" s="187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</row>
    <row r="277" ht="12.75" customHeight="1">
      <c r="A277" s="187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</row>
    <row r="278" ht="12.75" customHeight="1">
      <c r="A278" s="187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</row>
    <row r="279" ht="12.75" customHeight="1">
      <c r="A279" s="187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</row>
    <row r="280" ht="12.75" customHeight="1">
      <c r="A280" s="187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</row>
    <row r="281" ht="12.75" customHeight="1">
      <c r="A281" s="187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</row>
    <row r="282" ht="12.75" customHeight="1">
      <c r="A282" s="187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</row>
    <row r="283" ht="12.75" customHeight="1">
      <c r="A283" s="187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</row>
    <row r="284" ht="12.75" customHeight="1">
      <c r="A284" s="187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</row>
    <row r="285" ht="12.75" customHeight="1">
      <c r="A285" s="187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</row>
    <row r="286" ht="12.75" customHeight="1">
      <c r="A286" s="187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</row>
    <row r="287" ht="12.75" customHeight="1">
      <c r="A287" s="187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</row>
    <row r="288" ht="12.75" customHeight="1">
      <c r="A288" s="187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</row>
    <row r="289" ht="12.75" customHeight="1">
      <c r="A289" s="187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</row>
    <row r="290" ht="12.75" customHeight="1">
      <c r="A290" s="187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</row>
    <row r="291" ht="12.75" customHeight="1">
      <c r="A291" s="187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</row>
    <row r="292" ht="12.75" customHeight="1">
      <c r="A292" s="187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</row>
    <row r="293" ht="12.75" customHeight="1">
      <c r="A293" s="187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</row>
    <row r="294" ht="12.75" customHeight="1">
      <c r="A294" s="187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</row>
    <row r="295" ht="12.75" customHeight="1">
      <c r="A295" s="187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</row>
    <row r="296" ht="12.75" customHeight="1">
      <c r="A296" s="187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</row>
    <row r="297" ht="12.75" customHeight="1">
      <c r="A297" s="187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</row>
    <row r="298" ht="12.75" customHeight="1">
      <c r="A298" s="187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</row>
    <row r="299" ht="12.75" customHeight="1">
      <c r="A299" s="187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</row>
    <row r="300" ht="12.75" customHeight="1">
      <c r="A300" s="187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</row>
    <row r="301" ht="12.75" customHeight="1">
      <c r="A301" s="187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</row>
    <row r="302" ht="12.75" customHeight="1">
      <c r="A302" s="187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</row>
    <row r="303" ht="12.75" customHeight="1">
      <c r="A303" s="187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</row>
    <row r="304" ht="12.75" customHeight="1">
      <c r="A304" s="187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</row>
    <row r="305" ht="12.75" customHeight="1">
      <c r="A305" s="187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</row>
    <row r="306" ht="12.75" customHeight="1">
      <c r="A306" s="187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</row>
    <row r="307" ht="12.75" customHeight="1">
      <c r="A307" s="187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</row>
    <row r="308" ht="12.75" customHeight="1">
      <c r="A308" s="187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</row>
    <row r="309" ht="12.75" customHeight="1">
      <c r="A309" s="187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</row>
    <row r="310" ht="12.75" customHeight="1">
      <c r="A310" s="187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</row>
    <row r="311" ht="12.75" customHeight="1">
      <c r="A311" s="187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</row>
    <row r="312" ht="12.75" customHeight="1">
      <c r="A312" s="187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</row>
    <row r="313" ht="12.75" customHeight="1">
      <c r="A313" s="187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</row>
    <row r="314" ht="12.75" customHeight="1">
      <c r="A314" s="187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</row>
    <row r="315" ht="12.75" customHeight="1">
      <c r="A315" s="187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</row>
    <row r="316" ht="12.75" customHeight="1">
      <c r="A316" s="187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</row>
    <row r="317" ht="12.75" customHeight="1">
      <c r="A317" s="187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</row>
    <row r="318" ht="12.75" customHeight="1">
      <c r="A318" s="187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</row>
    <row r="319" ht="12.75" customHeight="1">
      <c r="A319" s="187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</row>
    <row r="320" ht="12.75" customHeight="1">
      <c r="A320" s="187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</row>
    <row r="321" ht="12.75" customHeight="1">
      <c r="A321" s="187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</row>
    <row r="322" ht="12.75" customHeight="1">
      <c r="A322" s="187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</row>
    <row r="323" ht="12.75" customHeight="1">
      <c r="A323" s="187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</row>
    <row r="324" ht="12.75" customHeight="1">
      <c r="A324" s="187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</row>
    <row r="325" ht="12.75" customHeight="1">
      <c r="A325" s="187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</row>
    <row r="326" ht="12.75" customHeight="1">
      <c r="A326" s="187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</row>
    <row r="327" ht="12.75" customHeight="1">
      <c r="A327" s="187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</row>
    <row r="328" ht="12.75" customHeight="1">
      <c r="A328" s="187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</row>
    <row r="329" ht="12.75" customHeight="1">
      <c r="A329" s="187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</row>
    <row r="330" ht="12.75" customHeight="1">
      <c r="A330" s="187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</row>
    <row r="331" ht="12.75" customHeight="1">
      <c r="A331" s="187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</row>
    <row r="332" ht="12.75" customHeight="1">
      <c r="A332" s="187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</row>
    <row r="333" ht="12.75" customHeight="1">
      <c r="A333" s="187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</row>
    <row r="334" ht="12.75" customHeight="1">
      <c r="A334" s="187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</row>
    <row r="335" ht="12.75" customHeight="1">
      <c r="A335" s="187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</row>
    <row r="336" ht="12.75" customHeight="1">
      <c r="A336" s="187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</row>
    <row r="337" ht="12.75" customHeight="1">
      <c r="A337" s="187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</row>
    <row r="338" ht="12.75" customHeight="1">
      <c r="A338" s="187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</row>
    <row r="339" ht="12.75" customHeight="1">
      <c r="A339" s="187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</row>
    <row r="340" ht="12.75" customHeight="1">
      <c r="A340" s="187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</row>
    <row r="341" ht="12.75" customHeight="1">
      <c r="A341" s="187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</row>
    <row r="342" ht="12.75" customHeight="1">
      <c r="A342" s="187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</row>
    <row r="343" ht="12.75" customHeight="1">
      <c r="A343" s="187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</row>
    <row r="344" ht="12.75" customHeight="1">
      <c r="A344" s="187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</row>
    <row r="345" ht="12.75" customHeight="1">
      <c r="A345" s="187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</row>
    <row r="346" ht="12.75" customHeight="1">
      <c r="A346" s="187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</row>
    <row r="347" ht="12.75" customHeight="1">
      <c r="A347" s="187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</row>
    <row r="348" ht="12.75" customHeight="1">
      <c r="A348" s="187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</row>
    <row r="349" ht="12.75" customHeight="1">
      <c r="A349" s="187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</row>
    <row r="350" ht="12.75" customHeight="1">
      <c r="A350" s="187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</row>
    <row r="351" ht="12.75" customHeight="1">
      <c r="A351" s="187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</row>
    <row r="352" ht="12.75" customHeight="1">
      <c r="A352" s="187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</row>
    <row r="353" ht="12.75" customHeight="1">
      <c r="A353" s="187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</row>
    <row r="354" ht="12.75" customHeight="1">
      <c r="A354" s="187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</row>
    <row r="355" ht="12.75" customHeight="1">
      <c r="A355" s="187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</row>
    <row r="356" ht="12.75" customHeight="1">
      <c r="A356" s="187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</row>
    <row r="357" ht="12.75" customHeight="1">
      <c r="A357" s="187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</row>
    <row r="358" ht="12.75" customHeight="1">
      <c r="A358" s="187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</row>
    <row r="359" ht="12.75" customHeight="1">
      <c r="A359" s="187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</row>
    <row r="360" ht="12.75" customHeight="1">
      <c r="A360" s="187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</row>
    <row r="361" ht="12.75" customHeight="1">
      <c r="A361" s="187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</row>
    <row r="362" ht="12.75" customHeight="1">
      <c r="A362" s="187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</row>
    <row r="363" ht="12.75" customHeight="1">
      <c r="A363" s="187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</row>
    <row r="364" ht="12.75" customHeight="1">
      <c r="A364" s="187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</row>
    <row r="365" ht="12.75" customHeight="1">
      <c r="A365" s="187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</row>
    <row r="366" ht="12.75" customHeight="1">
      <c r="A366" s="187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</row>
    <row r="367" ht="12.75" customHeight="1">
      <c r="A367" s="187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</row>
    <row r="368" ht="12.75" customHeight="1">
      <c r="A368" s="187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</row>
    <row r="369" ht="12.75" customHeight="1">
      <c r="A369" s="187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</row>
    <row r="370" ht="12.75" customHeight="1">
      <c r="A370" s="187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</row>
    <row r="371" ht="12.75" customHeight="1">
      <c r="A371" s="187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</row>
    <row r="372" ht="12.75" customHeight="1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</row>
    <row r="373" ht="12.75" customHeight="1">
      <c r="A373" s="187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</row>
    <row r="374" ht="12.75" customHeight="1">
      <c r="A374" s="187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</row>
    <row r="375" ht="12.75" customHeight="1">
      <c r="A375" s="187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</row>
    <row r="376" ht="12.75" customHeight="1">
      <c r="A376" s="187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</row>
    <row r="377" ht="12.75" customHeight="1">
      <c r="A377" s="187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</row>
    <row r="378" ht="12.75" customHeight="1">
      <c r="A378" s="187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</row>
    <row r="379" ht="12.75" customHeight="1">
      <c r="A379" s="187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</row>
    <row r="380" ht="12.75" customHeight="1">
      <c r="A380" s="187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</row>
    <row r="381" ht="12.75" customHeight="1">
      <c r="A381" s="187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</row>
    <row r="382" ht="12.75" customHeight="1">
      <c r="A382" s="187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</row>
    <row r="383" ht="12.75" customHeight="1">
      <c r="A383" s="187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</row>
    <row r="384" ht="12.75" customHeight="1">
      <c r="A384" s="187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</row>
    <row r="385" ht="12.75" customHeight="1">
      <c r="A385" s="187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</row>
    <row r="386" ht="12.75" customHeight="1">
      <c r="A386" s="187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</row>
    <row r="387" ht="12.75" customHeight="1">
      <c r="A387" s="187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</row>
    <row r="388" ht="12.75" customHeight="1">
      <c r="A388" s="187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</row>
    <row r="389" ht="12.75" customHeight="1">
      <c r="A389" s="187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</row>
    <row r="390" ht="12.75" customHeight="1">
      <c r="A390" s="187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</row>
    <row r="391" ht="12.75" customHeight="1">
      <c r="A391" s="187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</row>
    <row r="392" ht="12.75" customHeight="1">
      <c r="A392" s="187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</row>
    <row r="393" ht="12.75" customHeight="1">
      <c r="A393" s="187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</row>
    <row r="394" ht="12.75" customHeight="1">
      <c r="A394" s="187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</row>
    <row r="395" ht="12.75" customHeight="1">
      <c r="A395" s="187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</row>
    <row r="396" ht="12.75" customHeight="1">
      <c r="A396" s="187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</row>
    <row r="397" ht="12.75" customHeight="1">
      <c r="A397" s="187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</row>
    <row r="398" ht="12.75" customHeight="1">
      <c r="A398" s="187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</row>
    <row r="399" ht="12.75" customHeight="1">
      <c r="A399" s="187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</row>
    <row r="400" ht="12.75" customHeight="1">
      <c r="A400" s="187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</row>
    <row r="401" ht="12.75" customHeight="1">
      <c r="A401" s="187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</row>
    <row r="402" ht="12.75" customHeight="1">
      <c r="A402" s="187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</row>
    <row r="403" ht="12.75" customHeight="1">
      <c r="A403" s="187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</row>
    <row r="404" ht="12.75" customHeight="1">
      <c r="A404" s="187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</row>
    <row r="405" ht="12.75" customHeight="1">
      <c r="A405" s="187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</row>
    <row r="406" ht="12.75" customHeight="1">
      <c r="A406" s="187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</row>
    <row r="407" ht="12.75" customHeight="1">
      <c r="A407" s="187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</row>
    <row r="408" ht="12.75" customHeight="1">
      <c r="A408" s="187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</row>
    <row r="409" ht="12.75" customHeight="1">
      <c r="A409" s="187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</row>
    <row r="410" ht="12.75" customHeight="1">
      <c r="A410" s="187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</row>
    <row r="411" ht="12.75" customHeight="1">
      <c r="A411" s="187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</row>
    <row r="412" ht="12.75" customHeight="1">
      <c r="A412" s="187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</row>
    <row r="413" ht="12.75" customHeight="1">
      <c r="A413" s="187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</row>
    <row r="414" ht="12.75" customHeight="1">
      <c r="A414" s="187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</row>
    <row r="415" ht="12.75" customHeight="1">
      <c r="A415" s="187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</row>
    <row r="416" ht="12.75" customHeight="1">
      <c r="A416" s="187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</row>
    <row r="417" ht="12.75" customHeight="1">
      <c r="A417" s="187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</row>
    <row r="418" ht="12.75" customHeight="1">
      <c r="A418" s="187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</row>
    <row r="419" ht="12.75" customHeight="1">
      <c r="A419" s="187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</row>
    <row r="420" ht="12.75" customHeight="1">
      <c r="A420" s="187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</row>
    <row r="421" ht="12.75" customHeight="1">
      <c r="A421" s="187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</row>
    <row r="422" ht="12.75" customHeight="1">
      <c r="A422" s="187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</row>
    <row r="423" ht="12.75" customHeight="1">
      <c r="A423" s="187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</row>
    <row r="424" ht="12.75" customHeight="1">
      <c r="A424" s="187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</row>
    <row r="425" ht="12.75" customHeight="1">
      <c r="A425" s="187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</row>
    <row r="426" ht="12.75" customHeight="1">
      <c r="A426" s="187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</row>
    <row r="427" ht="12.75" customHeight="1">
      <c r="A427" s="187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</row>
    <row r="428" ht="12.75" customHeight="1">
      <c r="A428" s="187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</row>
    <row r="429" ht="12.75" customHeight="1">
      <c r="A429" s="187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</row>
    <row r="430" ht="12.75" customHeight="1">
      <c r="A430" s="187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</row>
    <row r="431" ht="12.75" customHeight="1">
      <c r="A431" s="187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</row>
    <row r="432" ht="12.75" customHeight="1">
      <c r="A432" s="187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</row>
    <row r="433" ht="12.75" customHeight="1">
      <c r="A433" s="187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</row>
    <row r="434" ht="12.75" customHeight="1">
      <c r="A434" s="187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</row>
    <row r="435" ht="12.75" customHeight="1">
      <c r="A435" s="187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</row>
    <row r="436" ht="12.75" customHeight="1">
      <c r="A436" s="187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</row>
    <row r="437" ht="12.75" customHeight="1">
      <c r="A437" s="187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</row>
    <row r="438" ht="12.75" customHeight="1">
      <c r="A438" s="187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</row>
    <row r="439" ht="12.75" customHeight="1">
      <c r="A439" s="187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</row>
    <row r="440" ht="12.75" customHeight="1">
      <c r="A440" s="187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</row>
    <row r="441" ht="12.75" customHeight="1">
      <c r="A441" s="187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</row>
    <row r="442" ht="12.75" customHeight="1">
      <c r="A442" s="187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</row>
    <row r="443" ht="12.75" customHeight="1">
      <c r="A443" s="187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</row>
    <row r="444" ht="12.75" customHeight="1">
      <c r="A444" s="187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</row>
    <row r="445" ht="12.75" customHeight="1">
      <c r="A445" s="187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</row>
    <row r="446" ht="12.75" customHeight="1">
      <c r="A446" s="187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</row>
    <row r="447" ht="12.75" customHeight="1">
      <c r="A447" s="187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</row>
    <row r="448" ht="12.75" customHeight="1">
      <c r="A448" s="187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</row>
    <row r="449" ht="12.75" customHeight="1">
      <c r="A449" s="187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</row>
    <row r="450" ht="12.75" customHeight="1">
      <c r="A450" s="187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</row>
    <row r="451" ht="12.75" customHeight="1">
      <c r="A451" s="187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</row>
    <row r="452" ht="12.75" customHeight="1">
      <c r="A452" s="187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</row>
    <row r="453" ht="12.75" customHeight="1">
      <c r="A453" s="187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</row>
    <row r="454" ht="12.75" customHeight="1">
      <c r="A454" s="187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</row>
    <row r="455" ht="12.75" customHeight="1">
      <c r="A455" s="187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</row>
    <row r="456" ht="12.75" customHeight="1">
      <c r="A456" s="187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</row>
    <row r="457" ht="12.75" customHeight="1">
      <c r="A457" s="187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</row>
    <row r="458" ht="12.75" customHeight="1">
      <c r="A458" s="187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</row>
    <row r="459" ht="12.75" customHeight="1">
      <c r="A459" s="187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</row>
    <row r="460" ht="12.75" customHeight="1">
      <c r="A460" s="187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</row>
    <row r="461" ht="12.75" customHeight="1">
      <c r="A461" s="187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</row>
    <row r="462" ht="12.75" customHeight="1">
      <c r="A462" s="187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</row>
    <row r="463" ht="12.75" customHeight="1">
      <c r="A463" s="187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</row>
    <row r="464" ht="12.75" customHeight="1">
      <c r="A464" s="187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</row>
    <row r="465" ht="12.75" customHeight="1">
      <c r="A465" s="187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</row>
    <row r="466" ht="12.75" customHeight="1">
      <c r="A466" s="187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</row>
    <row r="467" ht="12.75" customHeight="1">
      <c r="A467" s="187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</row>
    <row r="468" ht="12.75" customHeight="1">
      <c r="A468" s="187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</row>
    <row r="469" ht="12.75" customHeight="1">
      <c r="A469" s="187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</row>
    <row r="470" ht="12.75" customHeight="1">
      <c r="A470" s="187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</row>
    <row r="471" ht="12.75" customHeight="1">
      <c r="A471" s="187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</row>
    <row r="472" ht="12.75" customHeight="1">
      <c r="A472" s="187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</row>
    <row r="473" ht="12.75" customHeight="1">
      <c r="A473" s="187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</row>
    <row r="474" ht="12.75" customHeight="1">
      <c r="A474" s="187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</row>
    <row r="475" ht="12.75" customHeight="1">
      <c r="A475" s="187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</row>
    <row r="476" ht="12.75" customHeight="1">
      <c r="A476" s="187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</row>
    <row r="477" ht="12.75" customHeight="1">
      <c r="A477" s="187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</row>
    <row r="478" ht="12.75" customHeight="1">
      <c r="A478" s="187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</row>
    <row r="479" ht="12.75" customHeight="1">
      <c r="A479" s="187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</row>
    <row r="480" ht="12.75" customHeight="1">
      <c r="A480" s="187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</row>
    <row r="481" ht="12.75" customHeight="1">
      <c r="A481" s="187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</row>
    <row r="482" ht="12.75" customHeight="1">
      <c r="A482" s="187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</row>
    <row r="483" ht="12.75" customHeight="1">
      <c r="A483" s="187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</row>
    <row r="484" ht="12.75" customHeight="1">
      <c r="A484" s="187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</row>
    <row r="485" ht="12.75" customHeight="1">
      <c r="A485" s="187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</row>
    <row r="486" ht="12.75" customHeight="1">
      <c r="A486" s="187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</row>
    <row r="487" ht="12.75" customHeight="1">
      <c r="A487" s="187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</row>
    <row r="488" ht="12.75" customHeight="1">
      <c r="A488" s="187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</row>
    <row r="489" ht="12.75" customHeight="1">
      <c r="A489" s="187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</row>
    <row r="490" ht="12.75" customHeight="1">
      <c r="A490" s="187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</row>
    <row r="491" ht="12.75" customHeight="1">
      <c r="A491" s="187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</row>
    <row r="492" ht="12.75" customHeight="1">
      <c r="A492" s="187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</row>
    <row r="493" ht="12.75" customHeight="1">
      <c r="A493" s="187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</row>
    <row r="494" ht="12.75" customHeight="1">
      <c r="A494" s="187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</row>
    <row r="495" ht="12.75" customHeight="1">
      <c r="A495" s="187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</row>
    <row r="496" ht="12.75" customHeight="1">
      <c r="A496" s="187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</row>
    <row r="497" ht="12.75" customHeight="1">
      <c r="A497" s="187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</row>
    <row r="498" ht="12.75" customHeight="1">
      <c r="A498" s="187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</row>
    <row r="499" ht="12.75" customHeight="1">
      <c r="A499" s="187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</row>
    <row r="500" ht="12.75" customHeight="1">
      <c r="A500" s="187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</row>
    <row r="501" ht="12.75" customHeight="1">
      <c r="A501" s="187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</row>
    <row r="502" ht="12.75" customHeight="1">
      <c r="A502" s="187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</row>
    <row r="503" ht="12.75" customHeight="1">
      <c r="A503" s="187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</row>
    <row r="504" ht="12.75" customHeight="1">
      <c r="A504" s="187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</row>
    <row r="505" ht="12.75" customHeight="1">
      <c r="A505" s="187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</row>
    <row r="506" ht="12.75" customHeight="1">
      <c r="A506" s="187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</row>
    <row r="507" ht="12.75" customHeight="1">
      <c r="A507" s="187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</row>
    <row r="508" ht="12.75" customHeight="1">
      <c r="A508" s="187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</row>
    <row r="509" ht="12.75" customHeight="1">
      <c r="A509" s="187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</row>
    <row r="510" ht="12.75" customHeight="1">
      <c r="A510" s="187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</row>
    <row r="511" ht="12.75" customHeight="1">
      <c r="A511" s="187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</row>
    <row r="512" ht="12.75" customHeight="1">
      <c r="A512" s="187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</row>
    <row r="513" ht="12.75" customHeight="1">
      <c r="A513" s="187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</row>
    <row r="514" ht="12.75" customHeight="1">
      <c r="A514" s="187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</row>
    <row r="515" ht="12.75" customHeight="1">
      <c r="A515" s="187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</row>
    <row r="516" ht="12.75" customHeight="1">
      <c r="A516" s="187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</row>
    <row r="517" ht="12.75" customHeight="1">
      <c r="A517" s="187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</row>
    <row r="518" ht="12.75" customHeight="1">
      <c r="A518" s="187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</row>
    <row r="519" ht="12.75" customHeight="1">
      <c r="A519" s="187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</row>
    <row r="520" ht="12.75" customHeight="1">
      <c r="A520" s="187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</row>
    <row r="521" ht="12.75" customHeight="1">
      <c r="A521" s="187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</row>
    <row r="522" ht="12.75" customHeight="1">
      <c r="A522" s="187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</row>
    <row r="523" ht="12.75" customHeight="1">
      <c r="A523" s="187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</row>
    <row r="524" ht="12.75" customHeight="1">
      <c r="A524" s="187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</row>
    <row r="525" ht="12.75" customHeight="1">
      <c r="A525" s="187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</row>
    <row r="526" ht="12.75" customHeight="1">
      <c r="A526" s="187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</row>
    <row r="527" ht="12.75" customHeight="1">
      <c r="A527" s="187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</row>
    <row r="528" ht="12.75" customHeight="1">
      <c r="A528" s="187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</row>
    <row r="529" ht="12.75" customHeight="1">
      <c r="A529" s="187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</row>
    <row r="530" ht="12.75" customHeight="1">
      <c r="A530" s="187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</row>
    <row r="531" ht="12.75" customHeight="1">
      <c r="A531" s="187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</row>
    <row r="532" ht="12.75" customHeight="1">
      <c r="A532" s="187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</row>
    <row r="533" ht="12.75" customHeight="1">
      <c r="A533" s="187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</row>
    <row r="534" ht="12.75" customHeight="1">
      <c r="A534" s="187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</row>
    <row r="535" ht="12.75" customHeight="1">
      <c r="A535" s="187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</row>
    <row r="536" ht="12.75" customHeight="1">
      <c r="A536" s="187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</row>
    <row r="537" ht="12.75" customHeight="1">
      <c r="A537" s="187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</row>
    <row r="538" ht="12.75" customHeight="1">
      <c r="A538" s="187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</row>
    <row r="539" ht="12.75" customHeight="1">
      <c r="A539" s="187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</row>
    <row r="540" ht="12.75" customHeight="1">
      <c r="A540" s="187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</row>
    <row r="541" ht="12.75" customHeight="1">
      <c r="A541" s="187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</row>
    <row r="542" ht="12.75" customHeight="1">
      <c r="A542" s="187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</row>
    <row r="543" ht="12.75" customHeight="1">
      <c r="A543" s="187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</row>
    <row r="544" ht="12.75" customHeight="1">
      <c r="A544" s="187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</row>
    <row r="545" ht="12.75" customHeight="1">
      <c r="A545" s="187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</row>
    <row r="546" ht="12.75" customHeight="1">
      <c r="A546" s="187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</row>
    <row r="547" ht="12.75" customHeight="1">
      <c r="A547" s="187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</row>
    <row r="548" ht="12.75" customHeight="1">
      <c r="A548" s="187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</row>
    <row r="549" ht="12.75" customHeight="1">
      <c r="A549" s="187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</row>
    <row r="550" ht="12.75" customHeight="1">
      <c r="A550" s="187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</row>
    <row r="551" ht="12.75" customHeight="1">
      <c r="A551" s="187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</row>
    <row r="552" ht="12.75" customHeight="1">
      <c r="A552" s="187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</row>
    <row r="553" ht="12.75" customHeight="1">
      <c r="A553" s="187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</row>
    <row r="554" ht="12.75" customHeight="1">
      <c r="A554" s="187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</row>
    <row r="555" ht="12.75" customHeight="1">
      <c r="A555" s="187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</row>
    <row r="556" ht="12.75" customHeight="1">
      <c r="A556" s="187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</row>
    <row r="557" ht="12.75" customHeight="1">
      <c r="A557" s="187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</row>
    <row r="558" ht="12.75" customHeight="1">
      <c r="A558" s="187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</row>
    <row r="559" ht="12.75" customHeight="1">
      <c r="A559" s="187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</row>
    <row r="560" ht="12.75" customHeight="1">
      <c r="A560" s="187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</row>
    <row r="561" ht="12.75" customHeight="1">
      <c r="A561" s="187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</row>
    <row r="562" ht="12.75" customHeight="1">
      <c r="A562" s="187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</row>
    <row r="563" ht="12.75" customHeight="1">
      <c r="A563" s="187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</row>
    <row r="564" ht="12.75" customHeight="1">
      <c r="A564" s="187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</row>
    <row r="565" ht="12.75" customHeight="1">
      <c r="A565" s="187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</row>
    <row r="566" ht="12.75" customHeight="1">
      <c r="A566" s="187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</row>
    <row r="567" ht="12.75" customHeight="1">
      <c r="A567" s="187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</row>
    <row r="568" ht="12.75" customHeight="1">
      <c r="A568" s="187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</row>
    <row r="569" ht="12.75" customHeight="1">
      <c r="A569" s="187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</row>
    <row r="570" ht="12.75" customHeight="1">
      <c r="A570" s="187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</row>
    <row r="571" ht="12.75" customHeight="1">
      <c r="A571" s="187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</row>
    <row r="572" ht="12.75" customHeight="1">
      <c r="A572" s="187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</row>
    <row r="573" ht="12.75" customHeight="1">
      <c r="A573" s="187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</row>
    <row r="574" ht="12.75" customHeight="1">
      <c r="A574" s="187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</row>
    <row r="575" ht="12.75" customHeight="1">
      <c r="A575" s="187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</row>
    <row r="576" ht="12.75" customHeight="1">
      <c r="A576" s="187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</row>
    <row r="577" ht="12.75" customHeight="1">
      <c r="A577" s="187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</row>
    <row r="578" ht="12.75" customHeight="1">
      <c r="A578" s="187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</row>
    <row r="579" ht="12.75" customHeight="1">
      <c r="A579" s="187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</row>
    <row r="580" ht="12.75" customHeight="1">
      <c r="A580" s="187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</row>
    <row r="581" ht="12.75" customHeight="1">
      <c r="A581" s="187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</row>
    <row r="582" ht="12.75" customHeight="1">
      <c r="A582" s="187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</row>
    <row r="583" ht="12.75" customHeight="1">
      <c r="A583" s="187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</row>
    <row r="584" ht="12.75" customHeight="1">
      <c r="A584" s="187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</row>
    <row r="585" ht="12.75" customHeight="1">
      <c r="A585" s="187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</row>
    <row r="586" ht="12.75" customHeight="1">
      <c r="A586" s="187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</row>
    <row r="587" ht="12.75" customHeight="1">
      <c r="A587" s="187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</row>
    <row r="588" ht="12.75" customHeight="1">
      <c r="A588" s="187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</row>
    <row r="589" ht="12.75" customHeight="1">
      <c r="A589" s="187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</row>
    <row r="590" ht="12.75" customHeight="1">
      <c r="A590" s="187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</row>
    <row r="591" ht="12.75" customHeight="1">
      <c r="A591" s="187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</row>
    <row r="592" ht="12.75" customHeight="1">
      <c r="A592" s="187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</row>
    <row r="593" ht="12.75" customHeight="1">
      <c r="A593" s="187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</row>
    <row r="594" ht="12.75" customHeight="1">
      <c r="A594" s="187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</row>
    <row r="595" ht="12.75" customHeight="1">
      <c r="A595" s="187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</row>
    <row r="596" ht="12.75" customHeight="1">
      <c r="A596" s="187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</row>
    <row r="597" ht="12.75" customHeight="1">
      <c r="A597" s="187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</row>
    <row r="598" ht="12.75" customHeight="1">
      <c r="A598" s="187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</row>
    <row r="599" ht="12.75" customHeight="1">
      <c r="A599" s="187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</row>
    <row r="600" ht="12.75" customHeight="1">
      <c r="A600" s="187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</row>
    <row r="601" ht="12.75" customHeight="1">
      <c r="A601" s="187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</row>
    <row r="602" ht="12.75" customHeight="1">
      <c r="A602" s="187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</row>
    <row r="603" ht="12.75" customHeight="1">
      <c r="A603" s="187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</row>
    <row r="604" ht="12.75" customHeight="1">
      <c r="A604" s="187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</row>
    <row r="605" ht="12.75" customHeight="1">
      <c r="A605" s="187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</row>
    <row r="606" ht="12.75" customHeight="1">
      <c r="A606" s="187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</row>
    <row r="607" ht="12.75" customHeight="1">
      <c r="A607" s="187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</row>
    <row r="608" ht="12.75" customHeight="1">
      <c r="A608" s="187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</row>
    <row r="609" ht="12.75" customHeight="1">
      <c r="A609" s="187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</row>
    <row r="610" ht="12.75" customHeight="1">
      <c r="A610" s="187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</row>
    <row r="611" ht="12.75" customHeight="1">
      <c r="A611" s="187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</row>
    <row r="612" ht="12.75" customHeight="1">
      <c r="A612" s="187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</row>
    <row r="613" ht="12.75" customHeight="1">
      <c r="A613" s="187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</row>
    <row r="614" ht="12.75" customHeight="1">
      <c r="A614" s="187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</row>
    <row r="615" ht="12.75" customHeight="1">
      <c r="A615" s="187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</row>
    <row r="616" ht="12.75" customHeight="1">
      <c r="A616" s="187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</row>
    <row r="617" ht="12.75" customHeight="1">
      <c r="A617" s="187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</row>
    <row r="618" ht="12.75" customHeight="1">
      <c r="A618" s="187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</row>
    <row r="619" ht="12.75" customHeight="1">
      <c r="A619" s="187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</row>
    <row r="620" ht="12.75" customHeight="1">
      <c r="A620" s="187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</row>
    <row r="621" ht="12.75" customHeight="1">
      <c r="A621" s="187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</row>
    <row r="622" ht="12.75" customHeight="1">
      <c r="A622" s="187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</row>
    <row r="623" ht="12.75" customHeight="1">
      <c r="A623" s="187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</row>
    <row r="624" ht="12.75" customHeight="1">
      <c r="A624" s="187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</row>
    <row r="625" ht="12.75" customHeight="1">
      <c r="A625" s="187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</row>
    <row r="626" ht="12.75" customHeight="1">
      <c r="A626" s="187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</row>
    <row r="627" ht="12.75" customHeight="1">
      <c r="A627" s="187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</row>
    <row r="628" ht="12.75" customHeight="1">
      <c r="A628" s="187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</row>
    <row r="629" ht="12.75" customHeight="1">
      <c r="A629" s="187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</row>
    <row r="630" ht="12.75" customHeight="1">
      <c r="A630" s="187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</row>
    <row r="631" ht="12.75" customHeight="1">
      <c r="A631" s="187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</row>
    <row r="632" ht="12.75" customHeight="1">
      <c r="A632" s="187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</row>
    <row r="633" ht="12.75" customHeight="1">
      <c r="A633" s="187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</row>
    <row r="634" ht="12.75" customHeight="1">
      <c r="A634" s="187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</row>
    <row r="635" ht="12.75" customHeight="1">
      <c r="A635" s="187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</row>
    <row r="636" ht="12.75" customHeight="1">
      <c r="A636" s="187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</row>
    <row r="637" ht="12.75" customHeight="1">
      <c r="A637" s="187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</row>
    <row r="638" ht="12.75" customHeight="1">
      <c r="A638" s="187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</row>
    <row r="639" ht="12.75" customHeight="1">
      <c r="A639" s="187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</row>
    <row r="640" ht="12.75" customHeight="1">
      <c r="A640" s="187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</row>
    <row r="641" ht="12.75" customHeight="1">
      <c r="A641" s="187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</row>
    <row r="642" ht="12.75" customHeight="1">
      <c r="A642" s="187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</row>
    <row r="643" ht="12.75" customHeight="1">
      <c r="A643" s="187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</row>
    <row r="644" ht="12.75" customHeight="1">
      <c r="A644" s="187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</row>
    <row r="645" ht="12.75" customHeight="1">
      <c r="A645" s="187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</row>
    <row r="646" ht="12.75" customHeight="1">
      <c r="A646" s="187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</row>
    <row r="647" ht="12.75" customHeight="1">
      <c r="A647" s="187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</row>
    <row r="648" ht="12.75" customHeight="1">
      <c r="A648" s="187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</row>
    <row r="649" ht="12.75" customHeight="1">
      <c r="A649" s="187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</row>
    <row r="650" ht="12.75" customHeight="1">
      <c r="A650" s="187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</row>
    <row r="651" ht="12.75" customHeight="1">
      <c r="A651" s="187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</row>
    <row r="652" ht="12.75" customHeight="1">
      <c r="A652" s="187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</row>
    <row r="653" ht="12.75" customHeight="1">
      <c r="A653" s="187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</row>
    <row r="654" ht="12.75" customHeight="1">
      <c r="A654" s="187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</row>
    <row r="655" ht="12.75" customHeight="1">
      <c r="A655" s="187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</row>
    <row r="656" ht="12.75" customHeight="1">
      <c r="A656" s="187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</row>
    <row r="657" ht="12.75" customHeight="1">
      <c r="A657" s="187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</row>
    <row r="658" ht="12.75" customHeight="1">
      <c r="A658" s="187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</row>
    <row r="659" ht="12.75" customHeight="1">
      <c r="A659" s="187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</row>
    <row r="660" ht="12.75" customHeight="1">
      <c r="A660" s="187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</row>
    <row r="661" ht="12.75" customHeight="1">
      <c r="A661" s="187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</row>
    <row r="662" ht="12.75" customHeight="1">
      <c r="A662" s="187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</row>
    <row r="663" ht="12.75" customHeight="1">
      <c r="A663" s="187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</row>
    <row r="664" ht="12.75" customHeight="1">
      <c r="A664" s="187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</row>
    <row r="665" ht="12.75" customHeight="1">
      <c r="A665" s="187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</row>
    <row r="666" ht="12.75" customHeight="1">
      <c r="A666" s="187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</row>
    <row r="667" ht="12.75" customHeight="1">
      <c r="A667" s="187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</row>
    <row r="668" ht="12.75" customHeight="1">
      <c r="A668" s="187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</row>
    <row r="669" ht="12.75" customHeight="1">
      <c r="A669" s="187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</row>
    <row r="670" ht="12.75" customHeight="1">
      <c r="A670" s="187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</row>
    <row r="671" ht="12.75" customHeight="1">
      <c r="A671" s="187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</row>
    <row r="672" ht="12.75" customHeight="1">
      <c r="A672" s="187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</row>
    <row r="673" ht="12.75" customHeight="1">
      <c r="A673" s="187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</row>
    <row r="674" ht="12.75" customHeight="1">
      <c r="A674" s="187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</row>
    <row r="675" ht="12.75" customHeight="1">
      <c r="A675" s="187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</row>
    <row r="676" ht="12.75" customHeight="1">
      <c r="A676" s="187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</row>
    <row r="677" ht="12.75" customHeight="1">
      <c r="A677" s="187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</row>
    <row r="678" ht="12.75" customHeight="1">
      <c r="A678" s="187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</row>
    <row r="679" ht="12.75" customHeight="1">
      <c r="A679" s="187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</row>
    <row r="680" ht="12.75" customHeight="1">
      <c r="A680" s="187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</row>
    <row r="681" ht="12.75" customHeight="1">
      <c r="A681" s="187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</row>
    <row r="682" ht="12.75" customHeight="1">
      <c r="A682" s="187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</row>
    <row r="683" ht="12.75" customHeight="1">
      <c r="A683" s="187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</row>
    <row r="684" ht="12.75" customHeight="1">
      <c r="A684" s="187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</row>
    <row r="685" ht="12.75" customHeight="1">
      <c r="A685" s="187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</row>
    <row r="686" ht="12.75" customHeight="1">
      <c r="A686" s="187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</row>
    <row r="687" ht="12.75" customHeight="1">
      <c r="A687" s="187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</row>
    <row r="688" ht="12.75" customHeight="1">
      <c r="A688" s="187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</row>
    <row r="689" ht="12.75" customHeight="1">
      <c r="A689" s="187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</row>
    <row r="690" ht="12.75" customHeight="1">
      <c r="A690" s="187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</row>
    <row r="691" ht="12.75" customHeight="1">
      <c r="A691" s="187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</row>
    <row r="692" ht="12.75" customHeight="1">
      <c r="A692" s="187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</row>
    <row r="693" ht="12.75" customHeight="1">
      <c r="A693" s="187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</row>
    <row r="694" ht="12.75" customHeight="1">
      <c r="A694" s="187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</row>
    <row r="695" ht="12.75" customHeight="1">
      <c r="A695" s="187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</row>
    <row r="696" ht="12.75" customHeight="1">
      <c r="A696" s="187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</row>
    <row r="697" ht="12.75" customHeight="1">
      <c r="A697" s="187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</row>
    <row r="698" ht="12.75" customHeight="1">
      <c r="A698" s="187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</row>
    <row r="699" ht="12.75" customHeight="1">
      <c r="A699" s="187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</row>
    <row r="700" ht="12.75" customHeight="1">
      <c r="A700" s="187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</row>
    <row r="701" ht="12.75" customHeight="1">
      <c r="A701" s="187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</row>
    <row r="702" ht="12.75" customHeight="1">
      <c r="A702" s="187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</row>
    <row r="703" ht="12.75" customHeight="1">
      <c r="A703" s="187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</row>
    <row r="704" ht="12.75" customHeight="1">
      <c r="A704" s="187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</row>
    <row r="705" ht="12.75" customHeight="1">
      <c r="A705" s="187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</row>
    <row r="706" ht="12.75" customHeight="1">
      <c r="A706" s="187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</row>
    <row r="707" ht="12.75" customHeight="1">
      <c r="A707" s="187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</row>
    <row r="708" ht="12.75" customHeight="1">
      <c r="A708" s="187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</row>
    <row r="709" ht="12.75" customHeight="1">
      <c r="A709" s="187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</row>
    <row r="710" ht="12.75" customHeight="1">
      <c r="A710" s="187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</row>
    <row r="711" ht="12.75" customHeight="1">
      <c r="A711" s="187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</row>
    <row r="712" ht="12.75" customHeight="1">
      <c r="A712" s="187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</row>
    <row r="713" ht="12.75" customHeight="1">
      <c r="A713" s="187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</row>
    <row r="714" ht="12.75" customHeight="1">
      <c r="A714" s="187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</row>
    <row r="715" ht="12.75" customHeight="1">
      <c r="A715" s="187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</row>
    <row r="716" ht="12.75" customHeight="1">
      <c r="A716" s="187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</row>
    <row r="717" ht="12.75" customHeight="1">
      <c r="A717" s="187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</row>
    <row r="718" ht="12.75" customHeight="1">
      <c r="A718" s="187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</row>
    <row r="719" ht="12.75" customHeight="1">
      <c r="A719" s="187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</row>
    <row r="720" ht="12.75" customHeight="1">
      <c r="A720" s="187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</row>
    <row r="721" ht="12.75" customHeight="1">
      <c r="A721" s="187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</row>
    <row r="722" ht="12.75" customHeight="1">
      <c r="A722" s="187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</row>
    <row r="723" ht="12.75" customHeight="1">
      <c r="A723" s="187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</row>
    <row r="724" ht="12.75" customHeight="1">
      <c r="A724" s="187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</row>
    <row r="725" ht="12.75" customHeight="1">
      <c r="A725" s="187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</row>
    <row r="726" ht="12.75" customHeight="1">
      <c r="A726" s="187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</row>
    <row r="727" ht="12.75" customHeight="1">
      <c r="A727" s="187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</row>
    <row r="728" ht="12.75" customHeight="1">
      <c r="A728" s="187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</row>
    <row r="729" ht="12.75" customHeight="1">
      <c r="A729" s="187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</row>
    <row r="730" ht="12.75" customHeight="1">
      <c r="A730" s="187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</row>
    <row r="731" ht="12.75" customHeight="1">
      <c r="A731" s="187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</row>
    <row r="732" ht="12.75" customHeight="1">
      <c r="A732" s="187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</row>
    <row r="733" ht="12.75" customHeight="1">
      <c r="A733" s="187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</row>
    <row r="734" ht="12.75" customHeight="1">
      <c r="A734" s="187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</row>
    <row r="735" ht="12.75" customHeight="1">
      <c r="A735" s="187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</row>
    <row r="736" ht="12.75" customHeight="1">
      <c r="A736" s="187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</row>
    <row r="737" ht="12.75" customHeight="1">
      <c r="A737" s="187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</row>
    <row r="738" ht="12.75" customHeight="1">
      <c r="A738" s="187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</row>
    <row r="739" ht="12.75" customHeight="1">
      <c r="A739" s="187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</row>
    <row r="740" ht="12.75" customHeight="1">
      <c r="A740" s="187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</row>
    <row r="741" ht="12.75" customHeight="1">
      <c r="A741" s="187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</row>
    <row r="742" ht="12.75" customHeight="1">
      <c r="A742" s="187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</row>
    <row r="743" ht="12.75" customHeight="1">
      <c r="A743" s="187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</row>
    <row r="744" ht="12.75" customHeight="1">
      <c r="A744" s="187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</row>
    <row r="745" ht="12.75" customHeight="1">
      <c r="A745" s="187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</row>
    <row r="746" ht="12.75" customHeight="1">
      <c r="A746" s="187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</row>
    <row r="747" ht="12.75" customHeight="1">
      <c r="A747" s="187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</row>
    <row r="748" ht="12.75" customHeight="1">
      <c r="A748" s="187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</row>
    <row r="749" ht="12.75" customHeight="1">
      <c r="A749" s="187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</row>
    <row r="750" ht="12.75" customHeight="1">
      <c r="A750" s="187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</row>
    <row r="751" ht="12.75" customHeight="1">
      <c r="A751" s="187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</row>
    <row r="752" ht="12.75" customHeight="1">
      <c r="A752" s="187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</row>
    <row r="753" ht="12.75" customHeight="1">
      <c r="A753" s="187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</row>
    <row r="754" ht="12.75" customHeight="1">
      <c r="A754" s="187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</row>
    <row r="755" ht="12.75" customHeight="1">
      <c r="A755" s="187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</row>
    <row r="756" ht="12.75" customHeight="1">
      <c r="A756" s="187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</row>
    <row r="757" ht="12.75" customHeight="1">
      <c r="A757" s="187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</row>
    <row r="758" ht="12.75" customHeight="1">
      <c r="A758" s="187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</row>
    <row r="759" ht="12.75" customHeight="1">
      <c r="A759" s="187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</row>
    <row r="760" ht="12.75" customHeight="1">
      <c r="A760" s="187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</row>
    <row r="761" ht="12.75" customHeight="1">
      <c r="A761" s="187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</row>
    <row r="762" ht="12.75" customHeight="1">
      <c r="A762" s="187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</row>
    <row r="763" ht="12.75" customHeight="1">
      <c r="A763" s="187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</row>
    <row r="764" ht="12.75" customHeight="1">
      <c r="A764" s="187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</row>
    <row r="765" ht="12.75" customHeight="1">
      <c r="A765" s="187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</row>
    <row r="766" ht="12.75" customHeight="1">
      <c r="A766" s="187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</row>
    <row r="767" ht="12.75" customHeight="1">
      <c r="A767" s="187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</row>
    <row r="768" ht="12.75" customHeight="1">
      <c r="A768" s="187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</row>
    <row r="769" ht="12.75" customHeight="1">
      <c r="A769" s="187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</row>
    <row r="770" ht="12.75" customHeight="1">
      <c r="A770" s="187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</row>
    <row r="771" ht="12.75" customHeight="1">
      <c r="A771" s="187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</row>
    <row r="772" ht="12.75" customHeight="1">
      <c r="A772" s="187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</row>
    <row r="773" ht="12.75" customHeight="1">
      <c r="A773" s="187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</row>
    <row r="774" ht="12.75" customHeight="1">
      <c r="A774" s="187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</row>
    <row r="775" ht="12.75" customHeight="1">
      <c r="A775" s="187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</row>
    <row r="776" ht="12.75" customHeight="1">
      <c r="A776" s="187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</row>
    <row r="777" ht="12.75" customHeight="1">
      <c r="A777" s="187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</row>
    <row r="778" ht="12.75" customHeight="1">
      <c r="A778" s="187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</row>
    <row r="779" ht="12.75" customHeight="1">
      <c r="A779" s="187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</row>
    <row r="780" ht="12.75" customHeight="1">
      <c r="A780" s="187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</row>
    <row r="781" ht="12.75" customHeight="1">
      <c r="A781" s="187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</row>
    <row r="782" ht="12.75" customHeight="1">
      <c r="A782" s="187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</row>
    <row r="783" ht="12.75" customHeight="1">
      <c r="A783" s="187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</row>
    <row r="784" ht="12.75" customHeight="1">
      <c r="A784" s="187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</row>
    <row r="785" ht="12.75" customHeight="1">
      <c r="A785" s="187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</row>
    <row r="786" ht="12.75" customHeight="1">
      <c r="A786" s="187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</row>
    <row r="787" ht="12.75" customHeight="1">
      <c r="A787" s="187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</row>
    <row r="788" ht="12.75" customHeight="1">
      <c r="A788" s="187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</row>
    <row r="789" ht="12.75" customHeight="1">
      <c r="A789" s="187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</row>
    <row r="790" ht="12.75" customHeight="1">
      <c r="A790" s="187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</row>
    <row r="791" ht="12.75" customHeight="1">
      <c r="A791" s="187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</row>
    <row r="792" ht="12.75" customHeight="1">
      <c r="A792" s="187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</row>
    <row r="793" ht="12.75" customHeight="1">
      <c r="A793" s="187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</row>
    <row r="794" ht="12.75" customHeight="1">
      <c r="A794" s="187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</row>
    <row r="795" ht="12.75" customHeight="1">
      <c r="A795" s="187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</row>
    <row r="796" ht="12.75" customHeight="1">
      <c r="A796" s="187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</row>
    <row r="797" ht="12.75" customHeight="1">
      <c r="A797" s="187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</row>
    <row r="798" ht="12.75" customHeight="1">
      <c r="A798" s="187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</row>
    <row r="799" ht="12.75" customHeight="1">
      <c r="A799" s="187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</row>
    <row r="800" ht="12.75" customHeight="1">
      <c r="A800" s="187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</row>
    <row r="801" ht="12.75" customHeight="1">
      <c r="A801" s="187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</row>
    <row r="802" ht="12.75" customHeight="1">
      <c r="A802" s="187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</row>
    <row r="803" ht="12.75" customHeight="1">
      <c r="A803" s="187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</row>
    <row r="804" ht="12.75" customHeight="1">
      <c r="A804" s="187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</row>
    <row r="805" ht="12.75" customHeight="1">
      <c r="A805" s="187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</row>
    <row r="806" ht="12.75" customHeight="1">
      <c r="A806" s="187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</row>
    <row r="807" ht="12.75" customHeight="1">
      <c r="A807" s="187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</row>
    <row r="808" ht="12.75" customHeight="1">
      <c r="A808" s="187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</row>
    <row r="809" ht="12.75" customHeight="1">
      <c r="A809" s="187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</row>
    <row r="810" ht="12.75" customHeight="1">
      <c r="A810" s="187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</row>
    <row r="811" ht="12.75" customHeight="1">
      <c r="A811" s="187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</row>
    <row r="812" ht="12.75" customHeight="1">
      <c r="A812" s="187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</row>
    <row r="813" ht="12.75" customHeight="1">
      <c r="A813" s="187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</row>
    <row r="814" ht="12.75" customHeight="1">
      <c r="A814" s="187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</row>
    <row r="815" ht="12.75" customHeight="1">
      <c r="A815" s="187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</row>
    <row r="816" ht="12.75" customHeight="1">
      <c r="A816" s="187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</row>
    <row r="817" ht="12.75" customHeight="1">
      <c r="A817" s="187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</row>
    <row r="818" ht="12.75" customHeight="1">
      <c r="A818" s="187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</row>
    <row r="819" ht="12.75" customHeight="1">
      <c r="A819" s="187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</row>
    <row r="820" ht="12.75" customHeight="1">
      <c r="A820" s="187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</row>
    <row r="821" ht="12.75" customHeight="1">
      <c r="A821" s="187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</row>
    <row r="822" ht="12.75" customHeight="1">
      <c r="A822" s="187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</row>
    <row r="823" ht="12.75" customHeight="1">
      <c r="A823" s="187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</row>
    <row r="824" ht="12.75" customHeight="1">
      <c r="A824" s="187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</row>
    <row r="825" ht="12.75" customHeight="1">
      <c r="A825" s="187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</row>
    <row r="826" ht="12.75" customHeight="1">
      <c r="A826" s="187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</row>
    <row r="827" ht="12.75" customHeight="1">
      <c r="A827" s="187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</row>
    <row r="828" ht="12.75" customHeight="1">
      <c r="A828" s="187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</row>
    <row r="829" ht="12.75" customHeight="1">
      <c r="A829" s="187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</row>
    <row r="830" ht="12.75" customHeight="1">
      <c r="A830" s="187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</row>
    <row r="831" ht="12.75" customHeight="1">
      <c r="A831" s="187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</row>
    <row r="832" ht="12.75" customHeight="1">
      <c r="A832" s="187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</row>
    <row r="833" ht="12.75" customHeight="1">
      <c r="A833" s="187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</row>
    <row r="834" ht="12.75" customHeight="1">
      <c r="A834" s="187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</row>
    <row r="835" ht="12.75" customHeight="1">
      <c r="A835" s="187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</row>
    <row r="836" ht="12.75" customHeight="1">
      <c r="A836" s="187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</row>
    <row r="837" ht="12.75" customHeight="1">
      <c r="A837" s="187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</row>
    <row r="838" ht="12.75" customHeight="1">
      <c r="A838" s="187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</row>
    <row r="839" ht="12.75" customHeight="1">
      <c r="A839" s="187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</row>
    <row r="840" ht="12.75" customHeight="1">
      <c r="A840" s="187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</row>
    <row r="841" ht="12.75" customHeight="1">
      <c r="A841" s="187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</row>
    <row r="842" ht="12.75" customHeight="1">
      <c r="A842" s="187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</row>
    <row r="843" ht="12.75" customHeight="1">
      <c r="A843" s="187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</row>
    <row r="844" ht="12.75" customHeight="1">
      <c r="A844" s="187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</row>
    <row r="845" ht="12.75" customHeight="1">
      <c r="A845" s="187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</row>
    <row r="846" ht="12.75" customHeight="1">
      <c r="A846" s="187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</row>
    <row r="847" ht="12.75" customHeight="1">
      <c r="A847" s="187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</row>
    <row r="848" ht="12.75" customHeight="1">
      <c r="A848" s="187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</row>
    <row r="849" ht="12.75" customHeight="1">
      <c r="A849" s="187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</row>
    <row r="850" ht="12.75" customHeight="1">
      <c r="A850" s="187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</row>
    <row r="851" ht="12.75" customHeight="1">
      <c r="A851" s="187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</row>
    <row r="852" ht="12.75" customHeight="1">
      <c r="A852" s="187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</row>
    <row r="853" ht="12.75" customHeight="1">
      <c r="A853" s="187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</row>
    <row r="854" ht="12.75" customHeight="1">
      <c r="A854" s="187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</row>
    <row r="855" ht="12.75" customHeight="1">
      <c r="A855" s="187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</row>
    <row r="856" ht="12.75" customHeight="1">
      <c r="A856" s="187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</row>
    <row r="857" ht="12.75" customHeight="1">
      <c r="A857" s="187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</row>
    <row r="858" ht="12.75" customHeight="1">
      <c r="A858" s="187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</row>
    <row r="859" ht="12.75" customHeight="1">
      <c r="A859" s="187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</row>
    <row r="860" ht="12.75" customHeight="1">
      <c r="A860" s="187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</row>
    <row r="861" ht="12.75" customHeight="1">
      <c r="A861" s="187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</row>
    <row r="862" ht="12.75" customHeight="1">
      <c r="A862" s="187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</row>
    <row r="863" ht="12.75" customHeight="1">
      <c r="A863" s="187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</row>
    <row r="864" ht="12.75" customHeight="1">
      <c r="A864" s="187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</row>
    <row r="865" ht="12.75" customHeight="1">
      <c r="A865" s="187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</row>
    <row r="866" ht="12.75" customHeight="1">
      <c r="A866" s="187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</row>
    <row r="867" ht="12.75" customHeight="1">
      <c r="A867" s="187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</row>
    <row r="868" ht="12.75" customHeight="1">
      <c r="A868" s="187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</row>
    <row r="869" ht="12.75" customHeight="1">
      <c r="A869" s="187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</row>
    <row r="870" ht="12.75" customHeight="1">
      <c r="A870" s="187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</row>
    <row r="871" ht="12.75" customHeight="1">
      <c r="A871" s="187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</row>
    <row r="872" ht="12.75" customHeight="1">
      <c r="A872" s="187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</row>
    <row r="873" ht="12.75" customHeight="1">
      <c r="A873" s="187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</row>
    <row r="874" ht="12.75" customHeight="1">
      <c r="A874" s="187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</row>
    <row r="875" ht="12.75" customHeight="1">
      <c r="A875" s="187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</row>
    <row r="876" ht="12.75" customHeight="1">
      <c r="A876" s="187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</row>
    <row r="877" ht="12.75" customHeight="1">
      <c r="A877" s="187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</row>
    <row r="878" ht="12.75" customHeight="1">
      <c r="A878" s="187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</row>
    <row r="879" ht="12.75" customHeight="1">
      <c r="A879" s="187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</row>
    <row r="880" ht="12.75" customHeight="1">
      <c r="A880" s="187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</row>
    <row r="881" ht="12.75" customHeight="1">
      <c r="A881" s="187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</row>
    <row r="882" ht="12.75" customHeight="1">
      <c r="A882" s="187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</row>
    <row r="883" ht="12.75" customHeight="1">
      <c r="A883" s="187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</row>
    <row r="884" ht="12.75" customHeight="1">
      <c r="A884" s="187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</row>
    <row r="885" ht="12.75" customHeight="1">
      <c r="A885" s="187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</row>
    <row r="886" ht="12.75" customHeight="1">
      <c r="A886" s="187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</row>
    <row r="887" ht="12.75" customHeight="1">
      <c r="A887" s="187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</row>
    <row r="888" ht="12.75" customHeight="1">
      <c r="A888" s="187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</row>
    <row r="889" ht="12.75" customHeight="1">
      <c r="A889" s="187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</row>
    <row r="890" ht="12.75" customHeight="1">
      <c r="A890" s="187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</row>
    <row r="891" ht="12.75" customHeight="1">
      <c r="A891" s="187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</row>
    <row r="892" ht="12.75" customHeight="1">
      <c r="A892" s="187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</row>
    <row r="893" ht="12.75" customHeight="1">
      <c r="A893" s="187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</row>
    <row r="894" ht="12.75" customHeight="1">
      <c r="A894" s="187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</row>
    <row r="895" ht="12.75" customHeight="1">
      <c r="A895" s="187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</row>
    <row r="896" ht="12.75" customHeight="1">
      <c r="A896" s="187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</row>
    <row r="897" ht="12.75" customHeight="1">
      <c r="A897" s="187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</row>
    <row r="898" ht="12.75" customHeight="1">
      <c r="A898" s="187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</row>
    <row r="899" ht="12.75" customHeight="1">
      <c r="A899" s="187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</row>
    <row r="900" ht="12.75" customHeight="1">
      <c r="A900" s="187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</row>
    <row r="901" ht="12.75" customHeight="1">
      <c r="A901" s="187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</row>
    <row r="902" ht="12.75" customHeight="1">
      <c r="A902" s="187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</row>
    <row r="903" ht="12.75" customHeight="1">
      <c r="A903" s="187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</row>
    <row r="904" ht="12.75" customHeight="1">
      <c r="A904" s="187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</row>
    <row r="905" ht="12.75" customHeight="1">
      <c r="A905" s="187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</row>
    <row r="906" ht="12.75" customHeight="1">
      <c r="A906" s="187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</row>
    <row r="907" ht="12.75" customHeight="1">
      <c r="A907" s="187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</row>
    <row r="908" ht="12.75" customHeight="1">
      <c r="A908" s="187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</row>
    <row r="909" ht="12.75" customHeight="1">
      <c r="A909" s="187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</row>
    <row r="910" ht="12.75" customHeight="1">
      <c r="A910" s="187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</row>
    <row r="911" ht="12.75" customHeight="1">
      <c r="A911" s="187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</row>
    <row r="912" ht="12.75" customHeight="1">
      <c r="A912" s="187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</row>
    <row r="913" ht="12.75" customHeight="1">
      <c r="A913" s="187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</row>
    <row r="914" ht="12.75" customHeight="1">
      <c r="A914" s="187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</row>
    <row r="915" ht="12.75" customHeight="1">
      <c r="A915" s="187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</row>
    <row r="916" ht="12.75" customHeight="1">
      <c r="A916" s="187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</row>
    <row r="917" ht="12.75" customHeight="1">
      <c r="A917" s="187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</row>
    <row r="918" ht="12.75" customHeight="1">
      <c r="A918" s="187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</row>
    <row r="919" ht="12.75" customHeight="1">
      <c r="A919" s="187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</row>
    <row r="920" ht="12.75" customHeight="1">
      <c r="A920" s="187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</row>
    <row r="921" ht="12.75" customHeight="1">
      <c r="A921" s="187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</row>
    <row r="922" ht="12.75" customHeight="1">
      <c r="A922" s="187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</row>
    <row r="923" ht="12.75" customHeight="1">
      <c r="A923" s="187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</row>
    <row r="924" ht="12.75" customHeight="1">
      <c r="A924" s="187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</row>
    <row r="925" ht="12.75" customHeight="1">
      <c r="A925" s="187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</row>
    <row r="926" ht="12.75" customHeight="1">
      <c r="A926" s="187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</row>
    <row r="927" ht="12.75" customHeight="1">
      <c r="A927" s="187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</row>
    <row r="928" ht="12.75" customHeight="1">
      <c r="A928" s="187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</row>
    <row r="929" ht="12.75" customHeight="1">
      <c r="A929" s="187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</row>
    <row r="930" ht="12.75" customHeight="1">
      <c r="A930" s="187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</row>
    <row r="931" ht="12.75" customHeight="1">
      <c r="A931" s="187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</row>
    <row r="932" ht="12.75" customHeight="1">
      <c r="A932" s="187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</row>
    <row r="933" ht="12.75" customHeight="1">
      <c r="A933" s="187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</row>
    <row r="934" ht="12.75" customHeight="1">
      <c r="A934" s="187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87"/>
      <c r="V934" s="187"/>
      <c r="W934" s="187"/>
      <c r="X934" s="187"/>
      <c r="Y934" s="187"/>
      <c r="Z934" s="187"/>
    </row>
    <row r="935" ht="12.75" customHeight="1">
      <c r="A935" s="187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87"/>
      <c r="V935" s="187"/>
      <c r="W935" s="187"/>
      <c r="X935" s="187"/>
      <c r="Y935" s="187"/>
      <c r="Z935" s="187"/>
    </row>
    <row r="936" ht="12.75" customHeight="1">
      <c r="A936" s="187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87"/>
      <c r="V936" s="187"/>
      <c r="W936" s="187"/>
      <c r="X936" s="187"/>
      <c r="Y936" s="187"/>
      <c r="Z936" s="187"/>
    </row>
    <row r="937" ht="12.75" customHeight="1">
      <c r="A937" s="187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87"/>
      <c r="V937" s="187"/>
      <c r="W937" s="187"/>
      <c r="X937" s="187"/>
      <c r="Y937" s="187"/>
      <c r="Z937" s="187"/>
    </row>
    <row r="938" ht="12.75" customHeight="1">
      <c r="A938" s="187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87"/>
      <c r="V938" s="187"/>
      <c r="W938" s="187"/>
      <c r="X938" s="187"/>
      <c r="Y938" s="187"/>
      <c r="Z938" s="187"/>
    </row>
    <row r="939" ht="12.75" customHeight="1">
      <c r="A939" s="187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87"/>
      <c r="V939" s="187"/>
      <c r="W939" s="187"/>
      <c r="X939" s="187"/>
      <c r="Y939" s="187"/>
      <c r="Z939" s="187"/>
    </row>
    <row r="940" ht="12.75" customHeight="1">
      <c r="A940" s="187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87"/>
      <c r="V940" s="187"/>
      <c r="W940" s="187"/>
      <c r="X940" s="187"/>
      <c r="Y940" s="187"/>
      <c r="Z940" s="187"/>
    </row>
    <row r="941" ht="12.75" customHeight="1">
      <c r="A941" s="187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87"/>
      <c r="V941" s="187"/>
      <c r="W941" s="187"/>
      <c r="X941" s="187"/>
      <c r="Y941" s="187"/>
      <c r="Z941" s="187"/>
    </row>
    <row r="942" ht="12.75" customHeight="1">
      <c r="A942" s="187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87"/>
      <c r="V942" s="187"/>
      <c r="W942" s="187"/>
      <c r="X942" s="187"/>
      <c r="Y942" s="187"/>
      <c r="Z942" s="187"/>
    </row>
    <row r="943" ht="12.75" customHeight="1">
      <c r="A943" s="187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87"/>
      <c r="V943" s="187"/>
      <c r="W943" s="187"/>
      <c r="X943" s="187"/>
      <c r="Y943" s="187"/>
      <c r="Z943" s="187"/>
    </row>
    <row r="944" ht="12.75" customHeight="1">
      <c r="A944" s="187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87"/>
      <c r="V944" s="187"/>
      <c r="W944" s="187"/>
      <c r="X944" s="187"/>
      <c r="Y944" s="187"/>
      <c r="Z944" s="187"/>
    </row>
    <row r="945" ht="12.75" customHeight="1">
      <c r="A945" s="187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87"/>
      <c r="V945" s="187"/>
      <c r="W945" s="187"/>
      <c r="X945" s="187"/>
      <c r="Y945" s="187"/>
      <c r="Z945" s="187"/>
    </row>
    <row r="946" ht="12.75" customHeight="1">
      <c r="A946" s="187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87"/>
      <c r="V946" s="187"/>
      <c r="W946" s="187"/>
      <c r="X946" s="187"/>
      <c r="Y946" s="187"/>
      <c r="Z946" s="187"/>
    </row>
    <row r="947" ht="12.75" customHeight="1">
      <c r="A947" s="187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87"/>
      <c r="V947" s="187"/>
      <c r="W947" s="187"/>
      <c r="X947" s="187"/>
      <c r="Y947" s="187"/>
      <c r="Z947" s="187"/>
    </row>
    <row r="948" ht="12.75" customHeight="1">
      <c r="A948" s="187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87"/>
      <c r="V948" s="187"/>
      <c r="W948" s="187"/>
      <c r="X948" s="187"/>
      <c r="Y948" s="187"/>
      <c r="Z948" s="187"/>
    </row>
    <row r="949" ht="12.75" customHeight="1">
      <c r="A949" s="187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87"/>
      <c r="V949" s="187"/>
      <c r="W949" s="187"/>
      <c r="X949" s="187"/>
      <c r="Y949" s="187"/>
      <c r="Z949" s="187"/>
    </row>
    <row r="950" ht="12.75" customHeight="1">
      <c r="A950" s="187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87"/>
      <c r="V950" s="187"/>
      <c r="W950" s="187"/>
      <c r="X950" s="187"/>
      <c r="Y950" s="187"/>
      <c r="Z950" s="187"/>
    </row>
    <row r="951" ht="12.75" customHeight="1">
      <c r="A951" s="187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87"/>
      <c r="V951" s="187"/>
      <c r="W951" s="187"/>
      <c r="X951" s="187"/>
      <c r="Y951" s="187"/>
      <c r="Z951" s="187"/>
    </row>
    <row r="952" ht="12.75" customHeight="1">
      <c r="A952" s="187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87"/>
      <c r="V952" s="187"/>
      <c r="W952" s="187"/>
      <c r="X952" s="187"/>
      <c r="Y952" s="187"/>
      <c r="Z952" s="187"/>
    </row>
    <row r="953" ht="12.75" customHeight="1">
      <c r="A953" s="187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87"/>
      <c r="V953" s="187"/>
      <c r="W953" s="187"/>
      <c r="X953" s="187"/>
      <c r="Y953" s="187"/>
      <c r="Z953" s="187"/>
    </row>
    <row r="954" ht="12.75" customHeight="1">
      <c r="A954" s="187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87"/>
      <c r="V954" s="187"/>
      <c r="W954" s="187"/>
      <c r="X954" s="187"/>
      <c r="Y954" s="187"/>
      <c r="Z954" s="187"/>
    </row>
    <row r="955" ht="12.75" customHeight="1">
      <c r="A955" s="187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87"/>
      <c r="V955" s="187"/>
      <c r="W955" s="187"/>
      <c r="X955" s="187"/>
      <c r="Y955" s="187"/>
      <c r="Z955" s="187"/>
    </row>
    <row r="956" ht="12.75" customHeight="1">
      <c r="A956" s="187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87"/>
      <c r="V956" s="187"/>
      <c r="W956" s="187"/>
      <c r="X956" s="187"/>
      <c r="Y956" s="187"/>
      <c r="Z956" s="187"/>
    </row>
    <row r="957" ht="12.75" customHeight="1">
      <c r="A957" s="187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87"/>
      <c r="V957" s="187"/>
      <c r="W957" s="187"/>
      <c r="X957" s="187"/>
      <c r="Y957" s="187"/>
      <c r="Z957" s="187"/>
    </row>
    <row r="958" ht="12.75" customHeight="1">
      <c r="A958" s="187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87"/>
      <c r="V958" s="187"/>
      <c r="W958" s="187"/>
      <c r="X958" s="187"/>
      <c r="Y958" s="187"/>
      <c r="Z958" s="187"/>
    </row>
    <row r="959" ht="12.75" customHeight="1">
      <c r="A959" s="187"/>
      <c r="B959" s="187"/>
      <c r="C959" s="187"/>
      <c r="D959" s="187"/>
      <c r="E959" s="187"/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87"/>
      <c r="V959" s="187"/>
      <c r="W959" s="187"/>
      <c r="X959" s="187"/>
      <c r="Y959" s="187"/>
      <c r="Z959" s="187"/>
    </row>
    <row r="960" ht="12.75" customHeight="1">
      <c r="A960" s="187"/>
      <c r="B960" s="187"/>
      <c r="C960" s="187"/>
      <c r="D960" s="187"/>
      <c r="E960" s="187"/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87"/>
      <c r="V960" s="187"/>
      <c r="W960" s="187"/>
      <c r="X960" s="187"/>
      <c r="Y960" s="187"/>
      <c r="Z960" s="187"/>
    </row>
    <row r="961" ht="12.75" customHeight="1">
      <c r="A961" s="187"/>
      <c r="B961" s="187"/>
      <c r="C961" s="187"/>
      <c r="D961" s="187"/>
      <c r="E961" s="187"/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87"/>
      <c r="V961" s="187"/>
      <c r="W961" s="187"/>
      <c r="X961" s="187"/>
      <c r="Y961" s="187"/>
      <c r="Z961" s="187"/>
    </row>
    <row r="962" ht="12.75" customHeight="1">
      <c r="A962" s="187"/>
      <c r="B962" s="187"/>
      <c r="C962" s="187"/>
      <c r="D962" s="187"/>
      <c r="E962" s="187"/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87"/>
      <c r="V962" s="187"/>
      <c r="W962" s="187"/>
      <c r="X962" s="187"/>
      <c r="Y962" s="187"/>
      <c r="Z962" s="187"/>
    </row>
    <row r="963" ht="12.75" customHeight="1">
      <c r="A963" s="187"/>
      <c r="B963" s="187"/>
      <c r="C963" s="187"/>
      <c r="D963" s="187"/>
      <c r="E963" s="187"/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87"/>
      <c r="V963" s="187"/>
      <c r="W963" s="187"/>
      <c r="X963" s="187"/>
      <c r="Y963" s="187"/>
      <c r="Z963" s="187"/>
    </row>
    <row r="964" ht="12.75" customHeight="1">
      <c r="A964" s="187"/>
      <c r="B964" s="187"/>
      <c r="C964" s="187"/>
      <c r="D964" s="187"/>
      <c r="E964" s="187"/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87"/>
      <c r="V964" s="187"/>
      <c r="W964" s="187"/>
      <c r="X964" s="187"/>
      <c r="Y964" s="187"/>
      <c r="Z964" s="187"/>
    </row>
    <row r="965" ht="12.75" customHeight="1">
      <c r="A965" s="187"/>
      <c r="B965" s="187"/>
      <c r="C965" s="187"/>
      <c r="D965" s="187"/>
      <c r="E965" s="187"/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87"/>
      <c r="V965" s="187"/>
      <c r="W965" s="187"/>
      <c r="X965" s="187"/>
      <c r="Y965" s="187"/>
      <c r="Z965" s="187"/>
    </row>
    <row r="966" ht="12.75" customHeight="1">
      <c r="A966" s="187"/>
      <c r="B966" s="187"/>
      <c r="C966" s="187"/>
      <c r="D966" s="187"/>
      <c r="E966" s="187"/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87"/>
      <c r="V966" s="187"/>
      <c r="W966" s="187"/>
      <c r="X966" s="187"/>
      <c r="Y966" s="187"/>
      <c r="Z966" s="187"/>
    </row>
    <row r="967" ht="12.75" customHeight="1">
      <c r="A967" s="187"/>
      <c r="B967" s="187"/>
      <c r="C967" s="187"/>
      <c r="D967" s="187"/>
      <c r="E967" s="187"/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87"/>
      <c r="V967" s="187"/>
      <c r="W967" s="187"/>
      <c r="X967" s="187"/>
      <c r="Y967" s="187"/>
      <c r="Z967" s="187"/>
    </row>
    <row r="968" ht="12.75" customHeight="1">
      <c r="A968" s="187"/>
      <c r="B968" s="187"/>
      <c r="C968" s="187"/>
      <c r="D968" s="187"/>
      <c r="E968" s="187"/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87"/>
      <c r="V968" s="187"/>
      <c r="W968" s="187"/>
      <c r="X968" s="187"/>
      <c r="Y968" s="187"/>
      <c r="Z968" s="187"/>
    </row>
    <row r="969" ht="12.75" customHeight="1">
      <c r="A969" s="187"/>
      <c r="B969" s="187"/>
      <c r="C969" s="187"/>
      <c r="D969" s="187"/>
      <c r="E969" s="187"/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87"/>
      <c r="V969" s="187"/>
      <c r="W969" s="187"/>
      <c r="X969" s="187"/>
      <c r="Y969" s="187"/>
      <c r="Z969" s="187"/>
    </row>
    <row r="970" ht="12.75" customHeight="1">
      <c r="A970" s="187"/>
      <c r="B970" s="187"/>
      <c r="C970" s="187"/>
      <c r="D970" s="187"/>
      <c r="E970" s="187"/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87"/>
      <c r="V970" s="187"/>
      <c r="W970" s="187"/>
      <c r="X970" s="187"/>
      <c r="Y970" s="187"/>
      <c r="Z970" s="187"/>
    </row>
    <row r="971" ht="12.75" customHeight="1">
      <c r="A971" s="187"/>
      <c r="B971" s="187"/>
      <c r="C971" s="187"/>
      <c r="D971" s="187"/>
      <c r="E971" s="187"/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87"/>
      <c r="V971" s="187"/>
      <c r="W971" s="187"/>
      <c r="X971" s="187"/>
      <c r="Y971" s="187"/>
      <c r="Z971" s="187"/>
    </row>
    <row r="972" ht="12.75" customHeight="1">
      <c r="A972" s="187"/>
      <c r="B972" s="187"/>
      <c r="C972" s="187"/>
      <c r="D972" s="187"/>
      <c r="E972" s="187"/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87"/>
      <c r="V972" s="187"/>
      <c r="W972" s="187"/>
      <c r="X972" s="187"/>
      <c r="Y972" s="187"/>
      <c r="Z972" s="187"/>
    </row>
    <row r="973" ht="12.75" customHeight="1">
      <c r="A973" s="187"/>
      <c r="B973" s="187"/>
      <c r="C973" s="187"/>
      <c r="D973" s="187"/>
      <c r="E973" s="187"/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87"/>
      <c r="V973" s="187"/>
      <c r="W973" s="187"/>
      <c r="X973" s="187"/>
      <c r="Y973" s="187"/>
      <c r="Z973" s="187"/>
    </row>
    <row r="974" ht="12.75" customHeight="1">
      <c r="A974" s="187"/>
      <c r="B974" s="187"/>
      <c r="C974" s="187"/>
      <c r="D974" s="187"/>
      <c r="E974" s="187"/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87"/>
      <c r="V974" s="187"/>
      <c r="W974" s="187"/>
      <c r="X974" s="187"/>
      <c r="Y974" s="187"/>
      <c r="Z974" s="187"/>
    </row>
    <row r="975" ht="12.75" customHeight="1">
      <c r="A975" s="187"/>
      <c r="B975" s="187"/>
      <c r="C975" s="187"/>
      <c r="D975" s="187"/>
      <c r="E975" s="187"/>
      <c r="F975" s="187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87"/>
      <c r="V975" s="187"/>
      <c r="W975" s="187"/>
      <c r="X975" s="187"/>
      <c r="Y975" s="187"/>
      <c r="Z975" s="187"/>
    </row>
    <row r="976" ht="12.75" customHeight="1">
      <c r="A976" s="187"/>
      <c r="B976" s="187"/>
      <c r="C976" s="187"/>
      <c r="D976" s="187"/>
      <c r="E976" s="187"/>
      <c r="F976" s="187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87"/>
      <c r="V976" s="187"/>
      <c r="W976" s="187"/>
      <c r="X976" s="187"/>
      <c r="Y976" s="187"/>
      <c r="Z976" s="187"/>
    </row>
    <row r="977" ht="12.75" customHeight="1">
      <c r="A977" s="187"/>
      <c r="B977" s="187"/>
      <c r="C977" s="187"/>
      <c r="D977" s="187"/>
      <c r="E977" s="187"/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87"/>
      <c r="V977" s="187"/>
      <c r="W977" s="187"/>
      <c r="X977" s="187"/>
      <c r="Y977" s="187"/>
      <c r="Z977" s="187"/>
    </row>
    <row r="978" ht="12.75" customHeight="1">
      <c r="A978" s="187"/>
      <c r="B978" s="187"/>
      <c r="C978" s="187"/>
      <c r="D978" s="187"/>
      <c r="E978" s="187"/>
      <c r="F978" s="187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87"/>
      <c r="V978" s="187"/>
      <c r="W978" s="187"/>
      <c r="X978" s="187"/>
      <c r="Y978" s="187"/>
      <c r="Z978" s="187"/>
    </row>
    <row r="979" ht="12.75" customHeight="1">
      <c r="A979" s="187"/>
      <c r="B979" s="187"/>
      <c r="C979" s="187"/>
      <c r="D979" s="187"/>
      <c r="E979" s="187"/>
      <c r="F979" s="187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87"/>
      <c r="V979" s="187"/>
      <c r="W979" s="187"/>
      <c r="X979" s="187"/>
      <c r="Y979" s="187"/>
      <c r="Z979" s="187"/>
    </row>
    <row r="980" ht="12.75" customHeight="1">
      <c r="A980" s="187"/>
      <c r="B980" s="187"/>
      <c r="C980" s="187"/>
      <c r="D980" s="187"/>
      <c r="E980" s="187"/>
      <c r="F980" s="187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87"/>
      <c r="V980" s="187"/>
      <c r="W980" s="187"/>
      <c r="X980" s="187"/>
      <c r="Y980" s="187"/>
      <c r="Z980" s="187"/>
    </row>
    <row r="981" ht="12.75" customHeight="1">
      <c r="A981" s="187"/>
      <c r="B981" s="187"/>
      <c r="C981" s="187"/>
      <c r="D981" s="187"/>
      <c r="E981" s="187"/>
      <c r="F981" s="187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87"/>
      <c r="V981" s="187"/>
      <c r="W981" s="187"/>
      <c r="X981" s="187"/>
      <c r="Y981" s="187"/>
      <c r="Z981" s="187"/>
    </row>
    <row r="982" ht="12.75" customHeight="1">
      <c r="A982" s="187"/>
      <c r="B982" s="187"/>
      <c r="C982" s="187"/>
      <c r="D982" s="187"/>
      <c r="E982" s="187"/>
      <c r="F982" s="187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87"/>
      <c r="V982" s="187"/>
      <c r="W982" s="187"/>
      <c r="X982" s="187"/>
      <c r="Y982" s="187"/>
      <c r="Z982" s="187"/>
    </row>
    <row r="983" ht="12.75" customHeight="1">
      <c r="A983" s="187"/>
      <c r="B983" s="187"/>
      <c r="C983" s="187"/>
      <c r="D983" s="187"/>
      <c r="E983" s="187"/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87"/>
      <c r="V983" s="187"/>
      <c r="W983" s="187"/>
      <c r="X983" s="187"/>
      <c r="Y983" s="187"/>
      <c r="Z983" s="187"/>
    </row>
    <row r="984" ht="12.75" customHeight="1">
      <c r="A984" s="187"/>
      <c r="B984" s="187"/>
      <c r="C984" s="187"/>
      <c r="D984" s="187"/>
      <c r="E984" s="187"/>
      <c r="F984" s="187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87"/>
      <c r="V984" s="187"/>
      <c r="W984" s="187"/>
      <c r="X984" s="187"/>
      <c r="Y984" s="187"/>
      <c r="Z984" s="187"/>
    </row>
    <row r="985" ht="12.75" customHeight="1">
      <c r="A985" s="187"/>
      <c r="B985" s="187"/>
      <c r="C985" s="187"/>
      <c r="D985" s="187"/>
      <c r="E985" s="187"/>
      <c r="F985" s="187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87"/>
      <c r="V985" s="187"/>
      <c r="W985" s="187"/>
      <c r="X985" s="187"/>
      <c r="Y985" s="187"/>
      <c r="Z985" s="187"/>
    </row>
    <row r="986" ht="12.75" customHeight="1">
      <c r="A986" s="187"/>
      <c r="B986" s="187"/>
      <c r="C986" s="187"/>
      <c r="D986" s="187"/>
      <c r="E986" s="187"/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87"/>
      <c r="V986" s="187"/>
      <c r="W986" s="187"/>
      <c r="X986" s="187"/>
      <c r="Y986" s="187"/>
      <c r="Z986" s="187"/>
    </row>
    <row r="987" ht="12.75" customHeight="1">
      <c r="A987" s="187"/>
      <c r="B987" s="187"/>
      <c r="C987" s="187"/>
      <c r="D987" s="187"/>
      <c r="E987" s="187"/>
      <c r="F987" s="187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87"/>
      <c r="V987" s="187"/>
      <c r="W987" s="187"/>
      <c r="X987" s="187"/>
      <c r="Y987" s="187"/>
      <c r="Z987" s="187"/>
    </row>
    <row r="988" ht="12.75" customHeight="1">
      <c r="A988" s="187"/>
      <c r="B988" s="187"/>
      <c r="C988" s="187"/>
      <c r="D988" s="187"/>
      <c r="E988" s="187"/>
      <c r="F988" s="187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87"/>
      <c r="V988" s="187"/>
      <c r="W988" s="187"/>
      <c r="X988" s="187"/>
      <c r="Y988" s="187"/>
      <c r="Z988" s="187"/>
    </row>
    <row r="989" ht="12.75" customHeight="1">
      <c r="A989" s="187"/>
      <c r="B989" s="187"/>
      <c r="C989" s="187"/>
      <c r="D989" s="187"/>
      <c r="E989" s="187"/>
      <c r="F989" s="187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87"/>
      <c r="V989" s="187"/>
      <c r="W989" s="187"/>
      <c r="X989" s="187"/>
      <c r="Y989" s="187"/>
      <c r="Z989" s="187"/>
    </row>
    <row r="990" ht="12.75" customHeight="1">
      <c r="A990" s="187"/>
      <c r="B990" s="187"/>
      <c r="C990" s="187"/>
      <c r="D990" s="187"/>
      <c r="E990" s="187"/>
      <c r="F990" s="187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87"/>
      <c r="V990" s="187"/>
      <c r="W990" s="187"/>
      <c r="X990" s="187"/>
      <c r="Y990" s="187"/>
      <c r="Z990" s="187"/>
    </row>
    <row r="991" ht="12.75" customHeight="1">
      <c r="A991" s="187"/>
      <c r="B991" s="187"/>
      <c r="C991" s="187"/>
      <c r="D991" s="187"/>
      <c r="E991" s="187"/>
      <c r="F991" s="187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87"/>
      <c r="V991" s="187"/>
      <c r="W991" s="187"/>
      <c r="X991" s="187"/>
      <c r="Y991" s="187"/>
      <c r="Z991" s="187"/>
    </row>
    <row r="992" ht="12.75" customHeight="1">
      <c r="A992" s="187"/>
      <c r="B992" s="187"/>
      <c r="C992" s="187"/>
      <c r="D992" s="187"/>
      <c r="E992" s="187"/>
      <c r="F992" s="187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87"/>
      <c r="V992" s="187"/>
      <c r="W992" s="187"/>
      <c r="X992" s="187"/>
      <c r="Y992" s="187"/>
      <c r="Z992" s="187"/>
    </row>
    <row r="993" ht="12.75" customHeight="1">
      <c r="A993" s="187"/>
      <c r="B993" s="187"/>
      <c r="C993" s="187"/>
      <c r="D993" s="187"/>
      <c r="E993" s="187"/>
      <c r="F993" s="187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87"/>
      <c r="V993" s="187"/>
      <c r="W993" s="187"/>
      <c r="X993" s="187"/>
      <c r="Y993" s="187"/>
      <c r="Z993" s="187"/>
    </row>
    <row r="994" ht="12.75" customHeight="1">
      <c r="A994" s="187"/>
      <c r="B994" s="187"/>
      <c r="C994" s="187"/>
      <c r="D994" s="187"/>
      <c r="E994" s="187"/>
      <c r="F994" s="187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87"/>
      <c r="V994" s="187"/>
      <c r="W994" s="187"/>
      <c r="X994" s="187"/>
      <c r="Y994" s="187"/>
      <c r="Z994" s="187"/>
    </row>
    <row r="995" ht="12.75" customHeight="1">
      <c r="A995" s="187"/>
      <c r="B995" s="187"/>
      <c r="C995" s="187"/>
      <c r="D995" s="187"/>
      <c r="E995" s="187"/>
      <c r="F995" s="187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87"/>
      <c r="V995" s="187"/>
      <c r="W995" s="187"/>
      <c r="X995" s="187"/>
      <c r="Y995" s="187"/>
      <c r="Z995" s="187"/>
    </row>
    <row r="996" ht="12.75" customHeight="1">
      <c r="A996" s="187"/>
      <c r="B996" s="187"/>
      <c r="C996" s="187"/>
      <c r="D996" s="187"/>
      <c r="E996" s="187"/>
      <c r="F996" s="187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87"/>
      <c r="V996" s="187"/>
      <c r="W996" s="187"/>
      <c r="X996" s="187"/>
      <c r="Y996" s="187"/>
      <c r="Z996" s="187"/>
    </row>
    <row r="997" ht="12.75" customHeight="1">
      <c r="A997" s="187"/>
      <c r="B997" s="187"/>
      <c r="C997" s="187"/>
      <c r="D997" s="187"/>
      <c r="E997" s="187"/>
      <c r="F997" s="187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87"/>
      <c r="V997" s="187"/>
      <c r="W997" s="187"/>
      <c r="X997" s="187"/>
      <c r="Y997" s="187"/>
      <c r="Z997" s="187"/>
    </row>
    <row r="998" ht="12.75" customHeight="1">
      <c r="A998" s="187"/>
      <c r="B998" s="187"/>
      <c r="C998" s="187"/>
      <c r="D998" s="187"/>
      <c r="E998" s="187"/>
      <c r="F998" s="187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87"/>
      <c r="V998" s="187"/>
      <c r="W998" s="187"/>
      <c r="X998" s="187"/>
      <c r="Y998" s="187"/>
      <c r="Z998" s="187"/>
    </row>
    <row r="999" ht="12.75" customHeight="1">
      <c r="A999" s="187"/>
      <c r="B999" s="187"/>
      <c r="C999" s="187"/>
      <c r="D999" s="187"/>
      <c r="E999" s="187"/>
      <c r="F999" s="187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87"/>
      <c r="V999" s="187"/>
      <c r="W999" s="187"/>
      <c r="X999" s="187"/>
      <c r="Y999" s="187"/>
      <c r="Z999" s="187"/>
    </row>
    <row r="1000" ht="12.75" customHeight="1">
      <c r="A1000" s="187"/>
      <c r="B1000" s="187"/>
      <c r="C1000" s="187"/>
      <c r="D1000" s="187"/>
      <c r="E1000" s="187"/>
      <c r="F1000" s="187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87"/>
      <c r="V1000" s="187"/>
      <c r="W1000" s="187"/>
      <c r="X1000" s="187"/>
      <c r="Y1000" s="187"/>
      <c r="Z1000" s="187"/>
    </row>
  </sheetData>
  <mergeCells count="169">
    <mergeCell ref="I58:I59"/>
    <mergeCell ref="L58:L59"/>
    <mergeCell ref="C54:M54"/>
    <mergeCell ref="C56:M56"/>
    <mergeCell ref="C57:M57"/>
    <mergeCell ref="C58:C59"/>
    <mergeCell ref="D58:D59"/>
    <mergeCell ref="E58:E59"/>
    <mergeCell ref="F58:F59"/>
    <mergeCell ref="M58:M59"/>
    <mergeCell ref="H42:I42"/>
    <mergeCell ref="J42:K42"/>
    <mergeCell ref="I32:I33"/>
    <mergeCell ref="C34:I34"/>
    <mergeCell ref="C35:M35"/>
    <mergeCell ref="C36:I36"/>
    <mergeCell ref="C39:M39"/>
    <mergeCell ref="C40:M41"/>
    <mergeCell ref="L42:M42"/>
    <mergeCell ref="I43:I44"/>
    <mergeCell ref="L43:L44"/>
    <mergeCell ref="M43:M44"/>
    <mergeCell ref="C45:M45"/>
    <mergeCell ref="E42:F42"/>
    <mergeCell ref="C43:C44"/>
    <mergeCell ref="D43:D44"/>
    <mergeCell ref="E43:E44"/>
    <mergeCell ref="F43:F44"/>
    <mergeCell ref="G43:G44"/>
    <mergeCell ref="H43:H44"/>
    <mergeCell ref="L46:L47"/>
    <mergeCell ref="M46:M47"/>
    <mergeCell ref="L49:L50"/>
    <mergeCell ref="M49:M50"/>
    <mergeCell ref="I49:I50"/>
    <mergeCell ref="C51:M51"/>
    <mergeCell ref="G67:G68"/>
    <mergeCell ref="H67:H68"/>
    <mergeCell ref="M67:M68"/>
    <mergeCell ref="C1:M3"/>
    <mergeCell ref="C6:M6"/>
    <mergeCell ref="C7:M8"/>
    <mergeCell ref="C9:M10"/>
    <mergeCell ref="H11:I11"/>
    <mergeCell ref="J11:K11"/>
    <mergeCell ref="L11:M11"/>
    <mergeCell ref="I12:I13"/>
    <mergeCell ref="L12:L13"/>
    <mergeCell ref="M12:M13"/>
    <mergeCell ref="C14:M14"/>
    <mergeCell ref="E11:F11"/>
    <mergeCell ref="C12:C13"/>
    <mergeCell ref="D12:D13"/>
    <mergeCell ref="E12:E13"/>
    <mergeCell ref="F12:F13"/>
    <mergeCell ref="G12:G13"/>
    <mergeCell ref="H12:H13"/>
    <mergeCell ref="L15:L16"/>
    <mergeCell ref="M15:M16"/>
    <mergeCell ref="L18:L19"/>
    <mergeCell ref="M18:M19"/>
    <mergeCell ref="D15:D16"/>
    <mergeCell ref="E15:E16"/>
    <mergeCell ref="F15:F16"/>
    <mergeCell ref="G15:G16"/>
    <mergeCell ref="H15:H16"/>
    <mergeCell ref="I15:I16"/>
    <mergeCell ref="C17:M17"/>
    <mergeCell ref="I18:I19"/>
    <mergeCell ref="C20:M20"/>
    <mergeCell ref="C15:C16"/>
    <mergeCell ref="C18:C19"/>
    <mergeCell ref="D18:D19"/>
    <mergeCell ref="E18:E19"/>
    <mergeCell ref="F18:F19"/>
    <mergeCell ref="G18:G19"/>
    <mergeCell ref="H18:H19"/>
    <mergeCell ref="L23:L24"/>
    <mergeCell ref="M23:M24"/>
    <mergeCell ref="L26:L27"/>
    <mergeCell ref="M26:M27"/>
    <mergeCell ref="D23:D24"/>
    <mergeCell ref="E23:E24"/>
    <mergeCell ref="F23:F24"/>
    <mergeCell ref="G23:G24"/>
    <mergeCell ref="H23:H24"/>
    <mergeCell ref="I23:I24"/>
    <mergeCell ref="C25:M25"/>
    <mergeCell ref="I26:I27"/>
    <mergeCell ref="C28:M28"/>
    <mergeCell ref="C23:C24"/>
    <mergeCell ref="C26:C27"/>
    <mergeCell ref="D26:D27"/>
    <mergeCell ref="E26:E27"/>
    <mergeCell ref="F26:F27"/>
    <mergeCell ref="G26:G27"/>
    <mergeCell ref="H26:H27"/>
    <mergeCell ref="L29:L30"/>
    <mergeCell ref="M29:M30"/>
    <mergeCell ref="L32:L33"/>
    <mergeCell ref="M32:M33"/>
    <mergeCell ref="D29:D30"/>
    <mergeCell ref="E29:E30"/>
    <mergeCell ref="F29:F30"/>
    <mergeCell ref="G29:G30"/>
    <mergeCell ref="H29:H30"/>
    <mergeCell ref="I29:I30"/>
    <mergeCell ref="C31:M31"/>
    <mergeCell ref="C29:C30"/>
    <mergeCell ref="C32:C33"/>
    <mergeCell ref="D32:D33"/>
    <mergeCell ref="E32:E33"/>
    <mergeCell ref="F32:F33"/>
    <mergeCell ref="G32:G33"/>
    <mergeCell ref="H32:H33"/>
    <mergeCell ref="D46:D47"/>
    <mergeCell ref="E46:E47"/>
    <mergeCell ref="F46:F47"/>
    <mergeCell ref="G46:G47"/>
    <mergeCell ref="H46:H47"/>
    <mergeCell ref="I46:I47"/>
    <mergeCell ref="C48:M48"/>
    <mergeCell ref="C46:C47"/>
    <mergeCell ref="C49:C50"/>
    <mergeCell ref="D49:D50"/>
    <mergeCell ref="E49:E50"/>
    <mergeCell ref="F49:F50"/>
    <mergeCell ref="G49:G50"/>
    <mergeCell ref="H49:H50"/>
    <mergeCell ref="L52:L53"/>
    <mergeCell ref="M52:M53"/>
    <mergeCell ref="C52:C53"/>
    <mergeCell ref="D52:D53"/>
    <mergeCell ref="E52:E53"/>
    <mergeCell ref="F52:F53"/>
    <mergeCell ref="G52:G53"/>
    <mergeCell ref="H52:H53"/>
    <mergeCell ref="I52:I53"/>
    <mergeCell ref="I61:I62"/>
    <mergeCell ref="L61:L62"/>
    <mergeCell ref="G58:G59"/>
    <mergeCell ref="H58:H59"/>
    <mergeCell ref="C60:M60"/>
    <mergeCell ref="C61:C62"/>
    <mergeCell ref="D61:D62"/>
    <mergeCell ref="E61:E62"/>
    <mergeCell ref="F61:F62"/>
    <mergeCell ref="M61:M62"/>
    <mergeCell ref="I64:I65"/>
    <mergeCell ref="L64:L65"/>
    <mergeCell ref="G61:G62"/>
    <mergeCell ref="H61:H62"/>
    <mergeCell ref="C63:M63"/>
    <mergeCell ref="C64:C65"/>
    <mergeCell ref="D64:D65"/>
    <mergeCell ref="E64:E65"/>
    <mergeCell ref="F64:F65"/>
    <mergeCell ref="M64:M65"/>
    <mergeCell ref="I67:I68"/>
    <mergeCell ref="L67:L68"/>
    <mergeCell ref="C70:M70"/>
    <mergeCell ref="C71:I71"/>
    <mergeCell ref="G64:G65"/>
    <mergeCell ref="H64:H65"/>
    <mergeCell ref="C66:M66"/>
    <mergeCell ref="C67:C68"/>
    <mergeCell ref="D67:D68"/>
    <mergeCell ref="E67:E68"/>
    <mergeCell ref="F67:F68"/>
  </mergeCells>
  <printOptions/>
  <pageMargins bottom="0.75" footer="0.0" header="0.0" left="0.25" right="0.25" top="0.75"/>
  <pageSetup paperSize="9" scale="73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63"/>
    <col customWidth="1" min="2" max="2" width="12.38"/>
    <col customWidth="1" min="3" max="4" width="22.63"/>
    <col customWidth="1" min="5" max="5" width="4.88"/>
    <col customWidth="1" min="6" max="7" width="22.63"/>
    <col customWidth="1" min="8" max="11" width="6.88"/>
    <col customWidth="1" min="12" max="13" width="9.13"/>
    <col customWidth="1" min="14" max="26" width="8.0"/>
  </cols>
  <sheetData>
    <row r="1" ht="12.75" customHeight="1">
      <c r="A1" s="285" t="s">
        <v>228</v>
      </c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</row>
    <row r="2" ht="12.75" customHeight="1"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</row>
    <row r="3" ht="12.75" customHeight="1"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</row>
    <row r="4" ht="12.75" customHeight="1">
      <c r="A4" s="187"/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</row>
    <row r="5" ht="13.5" customHeight="1">
      <c r="A5" s="187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</row>
    <row r="6" ht="20.25" customHeight="1">
      <c r="A6" s="286" t="s">
        <v>368</v>
      </c>
      <c r="B6" s="103"/>
      <c r="C6" s="103"/>
      <c r="D6" s="103"/>
      <c r="E6" s="103"/>
      <c r="F6" s="103"/>
      <c r="G6" s="103"/>
      <c r="H6" s="103"/>
      <c r="I6" s="103"/>
      <c r="J6" s="103"/>
      <c r="K6" s="104"/>
      <c r="L6" s="187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</row>
    <row r="7" ht="4.5" customHeight="1">
      <c r="A7" s="263"/>
      <c r="B7" s="191"/>
      <c r="C7" s="191"/>
      <c r="D7" s="191"/>
      <c r="E7" s="191"/>
      <c r="F7" s="191"/>
      <c r="G7" s="191"/>
      <c r="H7" s="191"/>
      <c r="I7" s="191"/>
      <c r="J7" s="191"/>
      <c r="K7" s="192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</row>
    <row r="8" ht="3.0" customHeight="1">
      <c r="A8" s="193"/>
      <c r="B8" s="194"/>
      <c r="C8" s="194"/>
      <c r="D8" s="194"/>
      <c r="E8" s="194"/>
      <c r="F8" s="194"/>
      <c r="G8" s="194"/>
      <c r="H8" s="194"/>
      <c r="I8" s="194"/>
      <c r="J8" s="194"/>
      <c r="K8" s="195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</row>
    <row r="9" ht="12.75" customHeight="1">
      <c r="A9" s="196" t="s">
        <v>369</v>
      </c>
      <c r="B9" s="191"/>
      <c r="C9" s="191"/>
      <c r="D9" s="191"/>
      <c r="E9" s="191"/>
      <c r="F9" s="191"/>
      <c r="G9" s="191"/>
      <c r="H9" s="191"/>
      <c r="I9" s="191"/>
      <c r="J9" s="191"/>
      <c r="K9" s="192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</row>
    <row r="10" ht="12.75" customHeight="1">
      <c r="A10" s="193"/>
      <c r="B10" s="194"/>
      <c r="C10" s="194"/>
      <c r="D10" s="194"/>
      <c r="E10" s="194"/>
      <c r="F10" s="194"/>
      <c r="G10" s="194"/>
      <c r="H10" s="194"/>
      <c r="I10" s="194"/>
      <c r="J10" s="194"/>
      <c r="K10" s="195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</row>
    <row r="11" ht="19.5" customHeight="1">
      <c r="A11" s="287" t="s">
        <v>196</v>
      </c>
      <c r="B11" s="288" t="s">
        <v>197</v>
      </c>
      <c r="C11" s="289" t="s">
        <v>370</v>
      </c>
      <c r="D11" s="200"/>
      <c r="E11" s="288"/>
      <c r="F11" s="289" t="s">
        <v>220</v>
      </c>
      <c r="G11" s="200"/>
      <c r="H11" s="290" t="s">
        <v>199</v>
      </c>
      <c r="I11" s="200"/>
      <c r="J11" s="290" t="s">
        <v>200</v>
      </c>
      <c r="K11" s="202"/>
      <c r="L11" s="187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</row>
    <row r="12" ht="21.0" customHeight="1">
      <c r="A12" s="291" t="s">
        <v>371</v>
      </c>
      <c r="B12" s="292" t="s">
        <v>207</v>
      </c>
      <c r="C12" s="293" t="s">
        <v>19</v>
      </c>
      <c r="D12" s="293" t="s">
        <v>26</v>
      </c>
      <c r="E12" s="294" t="s">
        <v>198</v>
      </c>
      <c r="F12" s="293" t="s">
        <v>20</v>
      </c>
      <c r="G12" s="293" t="s">
        <v>27</v>
      </c>
      <c r="H12" s="295">
        <v>1.0</v>
      </c>
      <c r="I12" s="296">
        <v>6.0</v>
      </c>
      <c r="J12" s="297">
        <f>IF(AND(H12&gt;I12,H13&gt;I13),2,IF(H12&gt;I12,1,IF(H13&gt;I13,1,0)))</f>
        <v>1</v>
      </c>
      <c r="K12" s="297">
        <f>IF(AND(I12&gt;H12,I13&gt;H13),2,IF(I12&gt;H12,1,IF(I13&gt;H13,1,0)))</f>
        <v>1</v>
      </c>
      <c r="L12" s="187"/>
      <c r="M12" s="187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</row>
    <row r="13" ht="21.0" customHeight="1">
      <c r="A13" s="212"/>
      <c r="B13" s="213"/>
      <c r="C13" s="213"/>
      <c r="D13" s="213"/>
      <c r="E13" s="213"/>
      <c r="F13" s="213"/>
      <c r="G13" s="213"/>
      <c r="H13" s="298">
        <v>6.0</v>
      </c>
      <c r="I13" s="299">
        <v>4.0</v>
      </c>
      <c r="J13" s="213"/>
      <c r="K13" s="213"/>
      <c r="L13" s="187"/>
      <c r="M13" s="187"/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</row>
    <row r="14" ht="4.5" customHeight="1">
      <c r="A14" s="300"/>
      <c r="B14" s="23"/>
      <c r="C14" s="23"/>
      <c r="D14" s="23"/>
      <c r="E14" s="23"/>
      <c r="F14" s="23"/>
      <c r="G14" s="23"/>
      <c r="H14" s="23"/>
      <c r="I14" s="23"/>
      <c r="J14" s="23"/>
      <c r="K14" s="202"/>
      <c r="L14" s="187"/>
      <c r="M14" s="187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</row>
    <row r="15" ht="21.0" customHeight="1">
      <c r="A15" s="291" t="s">
        <v>372</v>
      </c>
      <c r="B15" s="292" t="s">
        <v>202</v>
      </c>
      <c r="C15" s="293" t="s">
        <v>100</v>
      </c>
      <c r="D15" s="293" t="s">
        <v>112</v>
      </c>
      <c r="E15" s="294" t="s">
        <v>198</v>
      </c>
      <c r="F15" s="293" t="s">
        <v>252</v>
      </c>
      <c r="G15" s="293" t="s">
        <v>107</v>
      </c>
      <c r="H15" s="295">
        <v>2.0</v>
      </c>
      <c r="I15" s="296">
        <v>6.0</v>
      </c>
      <c r="J15" s="297">
        <f>IF(AND(H15&gt;I15,H16&gt;I16),2,IF(H15&gt;I15,1,IF(H16&gt;I16,1,0)))</f>
        <v>1</v>
      </c>
      <c r="K15" s="297">
        <f>IF(AND(I15&gt;H15,I16&gt;H16),2,IF(I15&gt;H15,1,IF(I16&gt;H16,1,0)))</f>
        <v>1</v>
      </c>
      <c r="L15" s="245" t="s">
        <v>373</v>
      </c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</row>
    <row r="16" ht="21.0" customHeight="1">
      <c r="A16" s="212"/>
      <c r="B16" s="213"/>
      <c r="C16" s="213"/>
      <c r="D16" s="213"/>
      <c r="E16" s="213"/>
      <c r="F16" s="213"/>
      <c r="G16" s="213"/>
      <c r="H16" s="298">
        <v>6.0</v>
      </c>
      <c r="I16" s="299">
        <v>2.0</v>
      </c>
      <c r="J16" s="213"/>
      <c r="K16" s="213"/>
      <c r="L16" s="187"/>
      <c r="M16" s="187"/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</row>
    <row r="17" ht="4.5" customHeight="1">
      <c r="A17" s="301"/>
      <c r="B17" s="23"/>
      <c r="C17" s="23"/>
      <c r="D17" s="23"/>
      <c r="E17" s="23"/>
      <c r="F17" s="23"/>
      <c r="G17" s="23"/>
      <c r="H17" s="23"/>
      <c r="I17" s="23"/>
      <c r="J17" s="23"/>
      <c r="K17" s="202"/>
      <c r="L17" s="187"/>
      <c r="M17" s="187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</row>
    <row r="18" ht="21.0" customHeight="1">
      <c r="A18" s="291" t="s">
        <v>372</v>
      </c>
      <c r="B18" s="292" t="s">
        <v>214</v>
      </c>
      <c r="C18" s="293" t="s">
        <v>79</v>
      </c>
      <c r="D18" s="293" t="s">
        <v>86</v>
      </c>
      <c r="E18" s="294" t="s">
        <v>198</v>
      </c>
      <c r="F18" s="293" t="s">
        <v>80</v>
      </c>
      <c r="G18" s="293" t="s">
        <v>87</v>
      </c>
      <c r="H18" s="295">
        <v>6.0</v>
      </c>
      <c r="I18" s="296">
        <v>2.0</v>
      </c>
      <c r="J18" s="297">
        <f>IF(AND(H18&gt;I18,H19&gt;I19),2,IF(H18&gt;I18,1,IF(H19&gt;I19,1,0)))</f>
        <v>2</v>
      </c>
      <c r="K18" s="297">
        <f>IF(AND(I18&gt;H18,I19&gt;H19),2,IF(I18&gt;H18,1,IF(I19&gt;H19,1,0)))</f>
        <v>0</v>
      </c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</row>
    <row r="19" ht="21.0" customHeight="1">
      <c r="A19" s="212"/>
      <c r="B19" s="213"/>
      <c r="C19" s="213"/>
      <c r="D19" s="213"/>
      <c r="E19" s="213"/>
      <c r="F19" s="213"/>
      <c r="G19" s="213"/>
      <c r="H19" s="298">
        <v>6.0</v>
      </c>
      <c r="I19" s="299">
        <v>4.0</v>
      </c>
      <c r="J19" s="213"/>
      <c r="K19" s="213"/>
      <c r="L19" s="187"/>
      <c r="M19" s="187"/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</row>
    <row r="20" ht="4.5" customHeight="1">
      <c r="A20" s="301"/>
      <c r="B20" s="23"/>
      <c r="C20" s="23"/>
      <c r="D20" s="23"/>
      <c r="E20" s="23"/>
      <c r="F20" s="23"/>
      <c r="G20" s="23"/>
      <c r="H20" s="23"/>
      <c r="I20" s="23"/>
      <c r="J20" s="23"/>
      <c r="K20" s="202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</row>
    <row r="21" ht="21.0" customHeight="1">
      <c r="A21" s="291" t="s">
        <v>372</v>
      </c>
      <c r="B21" s="302" t="s">
        <v>209</v>
      </c>
      <c r="C21" s="293" t="s">
        <v>134</v>
      </c>
      <c r="D21" s="293" t="s">
        <v>140</v>
      </c>
      <c r="E21" s="294" t="s">
        <v>198</v>
      </c>
      <c r="F21" s="293" t="s">
        <v>135</v>
      </c>
      <c r="G21" s="293" t="s">
        <v>147</v>
      </c>
      <c r="H21" s="295">
        <v>7.0</v>
      </c>
      <c r="I21" s="296">
        <v>5.0</v>
      </c>
      <c r="J21" s="297">
        <f>IF(AND(H21&gt;I21,H22&gt;I22),2,IF(H21&gt;I21,1,IF(H22&gt;I22,1,0)))</f>
        <v>2</v>
      </c>
      <c r="K21" s="297">
        <f>IF(AND(I21&gt;H21,I22&gt;H22),2,IF(I21&gt;H21,1,IF(I22&gt;H22,1,0)))</f>
        <v>0</v>
      </c>
      <c r="L21" s="187"/>
      <c r="M21" s="187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</row>
    <row r="22" ht="21.0" customHeight="1">
      <c r="A22" s="212"/>
      <c r="B22" s="213"/>
      <c r="C22" s="213"/>
      <c r="D22" s="213"/>
      <c r="E22" s="213"/>
      <c r="F22" s="213"/>
      <c r="G22" s="213"/>
      <c r="H22" s="298">
        <v>7.0</v>
      </c>
      <c r="I22" s="299">
        <v>5.0</v>
      </c>
      <c r="J22" s="213"/>
      <c r="K22" s="213"/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</row>
    <row r="23" ht="4.5" customHeight="1">
      <c r="A23" s="301"/>
      <c r="B23" s="23"/>
      <c r="C23" s="23"/>
      <c r="D23" s="23"/>
      <c r="E23" s="23"/>
      <c r="F23" s="23"/>
      <c r="G23" s="23"/>
      <c r="H23" s="23"/>
      <c r="I23" s="23"/>
      <c r="J23" s="23"/>
      <c r="K23" s="202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</row>
    <row r="24" ht="21.0" customHeight="1">
      <c r="A24" s="291" t="s">
        <v>374</v>
      </c>
      <c r="B24" s="292" t="s">
        <v>212</v>
      </c>
      <c r="C24" s="303" t="s">
        <v>39</v>
      </c>
      <c r="D24" s="303" t="s">
        <v>45</v>
      </c>
      <c r="E24" s="294" t="s">
        <v>198</v>
      </c>
      <c r="F24" s="303" t="s">
        <v>46</v>
      </c>
      <c r="G24" s="303" t="s">
        <v>53</v>
      </c>
      <c r="H24" s="304">
        <v>1.0</v>
      </c>
      <c r="I24" s="296">
        <v>6.0</v>
      </c>
      <c r="J24" s="297">
        <f>IF(AND(H24&gt;I24,H25&gt;I25),2,IF(H24&gt;I24,1,IF(H25&gt;I25,1,0)))</f>
        <v>0</v>
      </c>
      <c r="K24" s="297">
        <f>IF(AND(I24&gt;H24,I25&gt;H25),2,IF(I24&gt;H24,1,IF(I25&gt;H25,1,0)))</f>
        <v>2</v>
      </c>
      <c r="L24" s="187"/>
      <c r="M24" s="187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</row>
    <row r="25" ht="21.0" customHeight="1">
      <c r="A25" s="212"/>
      <c r="B25" s="213"/>
      <c r="C25" s="213"/>
      <c r="D25" s="213"/>
      <c r="E25" s="213"/>
      <c r="F25" s="213"/>
      <c r="G25" s="213"/>
      <c r="H25" s="305">
        <v>1.0</v>
      </c>
      <c r="I25" s="299">
        <v>6.0</v>
      </c>
      <c r="J25" s="213"/>
      <c r="K25" s="213"/>
      <c r="L25" s="187"/>
      <c r="M25" s="187"/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</row>
    <row r="26" ht="4.5" customHeight="1">
      <c r="A26" s="301"/>
      <c r="B26" s="23"/>
      <c r="C26" s="23"/>
      <c r="D26" s="23"/>
      <c r="E26" s="23"/>
      <c r="F26" s="23"/>
      <c r="G26" s="23"/>
      <c r="H26" s="23"/>
      <c r="I26" s="23"/>
      <c r="J26" s="23"/>
      <c r="K26" s="202"/>
      <c r="L26" s="187"/>
      <c r="M26" s="187"/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</row>
    <row r="27" ht="21.0" customHeight="1">
      <c r="A27" s="291" t="s">
        <v>374</v>
      </c>
      <c r="B27" s="292" t="s">
        <v>216</v>
      </c>
      <c r="C27" s="303" t="s">
        <v>59</v>
      </c>
      <c r="D27" s="303" t="s">
        <v>66</v>
      </c>
      <c r="E27" s="294" t="s">
        <v>198</v>
      </c>
      <c r="F27" s="303" t="s">
        <v>251</v>
      </c>
      <c r="G27" s="303" t="s">
        <v>67</v>
      </c>
      <c r="H27" s="304">
        <v>7.0</v>
      </c>
      <c r="I27" s="296">
        <v>5.0</v>
      </c>
      <c r="J27" s="297">
        <f>IF(AND(H27&gt;I27,H28&gt;I28),2,IF(H27&gt;I27,1,IF(H28&gt;I28,1,0)))</f>
        <v>2</v>
      </c>
      <c r="K27" s="297">
        <f>IF(AND(I27&gt;H27,I28&gt;H28),2,IF(I27&gt;H27,1,IF(I28&gt;H28,1,0)))</f>
        <v>0</v>
      </c>
      <c r="L27" s="187"/>
      <c r="M27" s="187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</row>
    <row r="28" ht="21.0" customHeight="1">
      <c r="A28" s="212"/>
      <c r="B28" s="213"/>
      <c r="C28" s="213"/>
      <c r="D28" s="213"/>
      <c r="E28" s="213"/>
      <c r="F28" s="213"/>
      <c r="G28" s="213"/>
      <c r="H28" s="305">
        <v>7.0</v>
      </c>
      <c r="I28" s="299">
        <v>6.0</v>
      </c>
      <c r="J28" s="213"/>
      <c r="K28" s="213"/>
      <c r="L28" s="187"/>
      <c r="M28" s="187"/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</row>
    <row r="29" ht="4.5" customHeight="1">
      <c r="A29" s="301"/>
      <c r="B29" s="23"/>
      <c r="C29" s="23"/>
      <c r="D29" s="23"/>
      <c r="E29" s="23"/>
      <c r="F29" s="23"/>
      <c r="G29" s="23"/>
      <c r="H29" s="23"/>
      <c r="I29" s="23"/>
      <c r="J29" s="23"/>
      <c r="K29" s="202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</row>
    <row r="30" ht="21.0" customHeight="1">
      <c r="A30" s="291" t="s">
        <v>374</v>
      </c>
      <c r="B30" s="292" t="s">
        <v>205</v>
      </c>
      <c r="C30" s="303" t="s">
        <v>117</v>
      </c>
      <c r="D30" s="303" t="s">
        <v>128</v>
      </c>
      <c r="E30" s="294" t="s">
        <v>198</v>
      </c>
      <c r="F30" s="303" t="s">
        <v>118</v>
      </c>
      <c r="G30" s="303" t="s">
        <v>123</v>
      </c>
      <c r="H30" s="304">
        <v>1.0</v>
      </c>
      <c r="I30" s="296">
        <v>6.0</v>
      </c>
      <c r="J30" s="297">
        <f>IF(AND(H30&gt;I30,H31&gt;I31),2,IF(H30&gt;I30,1,IF(H31&gt;I31,1,0)))</f>
        <v>0</v>
      </c>
      <c r="K30" s="297">
        <f>IF(AND(I30&gt;H30,I31&gt;H31),2,IF(I30&gt;H30,1,IF(I31&gt;H31,1,0)))</f>
        <v>2</v>
      </c>
      <c r="L30" s="187"/>
      <c r="M30" s="187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</row>
    <row r="31" ht="20.25" customHeight="1">
      <c r="A31" s="212"/>
      <c r="B31" s="213"/>
      <c r="C31" s="213"/>
      <c r="D31" s="213"/>
      <c r="E31" s="213"/>
      <c r="F31" s="213"/>
      <c r="G31" s="213"/>
      <c r="H31" s="305">
        <v>1.0</v>
      </c>
      <c r="I31" s="299">
        <v>6.0</v>
      </c>
      <c r="J31" s="213"/>
      <c r="K31" s="213"/>
      <c r="L31" s="187"/>
      <c r="M31" s="187"/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</row>
    <row r="32" ht="4.5" customHeight="1">
      <c r="A32" s="301"/>
      <c r="B32" s="23"/>
      <c r="C32" s="23"/>
      <c r="D32" s="23"/>
      <c r="E32" s="23"/>
      <c r="F32" s="23"/>
      <c r="G32" s="23"/>
      <c r="H32" s="23"/>
      <c r="I32" s="23"/>
      <c r="J32" s="23"/>
      <c r="K32" s="202"/>
      <c r="L32" s="187"/>
      <c r="M32" s="187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</row>
    <row r="33" ht="32.25" customHeight="1">
      <c r="A33" s="306"/>
      <c r="B33" s="23"/>
      <c r="C33" s="23"/>
      <c r="D33" s="23"/>
      <c r="E33" s="23"/>
      <c r="F33" s="23"/>
      <c r="G33" s="200"/>
      <c r="H33" s="307">
        <f t="shared" ref="H33:K33" si="1">SUM(H9:H31)</f>
        <v>59</v>
      </c>
      <c r="I33" s="307">
        <f t="shared" si="1"/>
        <v>69</v>
      </c>
      <c r="J33" s="307">
        <f t="shared" si="1"/>
        <v>8</v>
      </c>
      <c r="K33" s="307">
        <f t="shared" si="1"/>
        <v>6</v>
      </c>
      <c r="L33" s="187"/>
      <c r="M33" s="187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</row>
    <row r="34" ht="4.5" customHeight="1">
      <c r="A34" s="308"/>
      <c r="B34" s="33"/>
      <c r="C34" s="33"/>
      <c r="D34" s="33"/>
      <c r="E34" s="33"/>
      <c r="F34" s="33"/>
      <c r="G34" s="33"/>
      <c r="H34" s="33"/>
      <c r="I34" s="33"/>
      <c r="J34" s="33"/>
      <c r="K34" s="309"/>
      <c r="L34" s="187"/>
      <c r="M34" s="187"/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</row>
    <row r="35" ht="12.75" customHeight="1">
      <c r="A35" s="187"/>
      <c r="B35" s="187"/>
      <c r="C35" s="187"/>
      <c r="D35" s="187"/>
      <c r="E35" s="187"/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</row>
    <row r="36" ht="12.75" customHeight="1">
      <c r="A36" s="187"/>
      <c r="B36" s="187"/>
      <c r="C36" s="187"/>
      <c r="D36" s="187"/>
      <c r="E36" s="187"/>
      <c r="F36" s="187"/>
      <c r="G36" s="187"/>
      <c r="H36" s="187"/>
      <c r="I36" s="187"/>
      <c r="J36" s="187"/>
      <c r="K36" s="187"/>
      <c r="L36" s="187"/>
      <c r="M36" s="187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</row>
    <row r="37" ht="12.75" customHeight="1">
      <c r="A37" s="187"/>
      <c r="B37" s="187"/>
      <c r="C37" s="187"/>
      <c r="D37" s="187"/>
      <c r="E37" s="187"/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</row>
    <row r="38" ht="12.75" customHeight="1">
      <c r="A38" s="187"/>
      <c r="B38" s="187"/>
      <c r="C38" s="187"/>
      <c r="D38" s="187"/>
      <c r="E38" s="187"/>
      <c r="F38" s="187"/>
      <c r="G38" s="187"/>
      <c r="H38" s="187"/>
      <c r="I38" s="187"/>
      <c r="J38" s="187"/>
      <c r="K38" s="187"/>
      <c r="L38" s="187"/>
      <c r="M38" s="187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</row>
    <row r="39" ht="12.75" customHeight="1">
      <c r="A39" s="187"/>
      <c r="B39" s="187"/>
      <c r="C39" s="187"/>
      <c r="D39" s="187"/>
      <c r="E39" s="187"/>
      <c r="F39" s="187"/>
      <c r="G39" s="187"/>
      <c r="H39" s="187"/>
      <c r="I39" s="187"/>
      <c r="J39" s="187"/>
      <c r="K39" s="187"/>
      <c r="L39" s="187"/>
      <c r="M39" s="187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</row>
    <row r="40" ht="12.75" customHeight="1">
      <c r="A40" s="187"/>
      <c r="B40" s="187"/>
      <c r="C40" s="187"/>
      <c r="D40" s="187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</row>
    <row r="41" ht="12.75" customHeight="1">
      <c r="A41" s="187"/>
      <c r="B41" s="187"/>
      <c r="C41" s="187"/>
      <c r="D41" s="187"/>
      <c r="E41" s="187"/>
      <c r="F41" s="187"/>
      <c r="G41" s="187"/>
      <c r="H41" s="187"/>
      <c r="I41" s="187"/>
      <c r="J41" s="187"/>
      <c r="K41" s="187"/>
      <c r="L41" s="187"/>
      <c r="M41" s="187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</row>
    <row r="42" ht="12.75" customHeight="1">
      <c r="A42" s="187"/>
      <c r="B42" s="187"/>
      <c r="C42" s="187"/>
      <c r="D42" s="187"/>
      <c r="E42" s="187"/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</row>
    <row r="43" ht="12.75" customHeight="1">
      <c r="A43" s="187"/>
      <c r="B43" s="187"/>
      <c r="C43" s="187"/>
      <c r="D43" s="187"/>
      <c r="E43" s="187"/>
      <c r="F43" s="187"/>
      <c r="G43" s="187"/>
      <c r="H43" s="187"/>
      <c r="I43" s="187"/>
      <c r="J43" s="187"/>
      <c r="K43" s="187"/>
      <c r="L43" s="187"/>
      <c r="M43" s="187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</row>
    <row r="44" ht="12.75" customHeight="1">
      <c r="A44" s="187"/>
      <c r="B44" s="187"/>
      <c r="C44" s="187"/>
      <c r="D44" s="187"/>
      <c r="E44" s="187"/>
      <c r="F44" s="187"/>
      <c r="G44" s="187"/>
      <c r="H44" s="187"/>
      <c r="I44" s="187"/>
      <c r="J44" s="187"/>
      <c r="K44" s="187"/>
      <c r="L44" s="187"/>
      <c r="M44" s="187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</row>
    <row r="45" ht="12.75" customHeight="1">
      <c r="A45" s="187"/>
      <c r="B45" s="187"/>
      <c r="C45" s="187"/>
      <c r="D45" s="187"/>
      <c r="E45" s="187"/>
      <c r="F45" s="187"/>
      <c r="G45" s="187"/>
      <c r="H45" s="187"/>
      <c r="I45" s="187"/>
      <c r="J45" s="187"/>
      <c r="K45" s="187"/>
      <c r="L45" s="187"/>
      <c r="M45" s="187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</row>
    <row r="46" ht="12.75" customHeight="1">
      <c r="A46" s="187"/>
      <c r="B46" s="187"/>
      <c r="C46" s="187"/>
      <c r="D46" s="187"/>
      <c r="E46" s="187"/>
      <c r="F46" s="187"/>
      <c r="G46" s="187"/>
      <c r="H46" s="187"/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</row>
    <row r="47" ht="12.75" customHeight="1">
      <c r="A47" s="187"/>
      <c r="B47" s="187"/>
      <c r="C47" s="187"/>
      <c r="D47" s="187"/>
      <c r="E47" s="187"/>
      <c r="F47" s="187"/>
      <c r="G47" s="187"/>
      <c r="H47" s="187"/>
      <c r="I47" s="187"/>
      <c r="J47" s="187"/>
      <c r="K47" s="187"/>
      <c r="L47" s="187"/>
      <c r="M47" s="187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</row>
    <row r="48" ht="12.75" customHeight="1">
      <c r="A48" s="187"/>
      <c r="B48" s="187"/>
      <c r="C48" s="187"/>
      <c r="D48" s="187"/>
      <c r="E48" s="187"/>
      <c r="F48" s="187"/>
      <c r="G48" s="187"/>
      <c r="H48" s="187"/>
      <c r="I48" s="187"/>
      <c r="J48" s="187"/>
      <c r="K48" s="187"/>
      <c r="L48" s="187"/>
      <c r="M48" s="187"/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</row>
    <row r="49" ht="12.75" customHeight="1">
      <c r="A49" s="187"/>
      <c r="B49" s="187"/>
      <c r="C49" s="187"/>
      <c r="D49" s="187"/>
      <c r="E49" s="187"/>
      <c r="F49" s="187"/>
      <c r="G49" s="187"/>
      <c r="H49" s="187"/>
      <c r="I49" s="187"/>
      <c r="J49" s="187"/>
      <c r="K49" s="187"/>
      <c r="L49" s="187"/>
      <c r="M49" s="187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 ht="12.75" customHeight="1">
      <c r="A50" s="187"/>
      <c r="B50" s="187"/>
      <c r="C50" s="187"/>
      <c r="D50" s="187"/>
      <c r="E50" s="187"/>
      <c r="F50" s="187"/>
      <c r="G50" s="187"/>
      <c r="H50" s="187"/>
      <c r="I50" s="187"/>
      <c r="J50" s="187"/>
      <c r="K50" s="187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 ht="12.75" customHeight="1">
      <c r="A51" s="187"/>
      <c r="B51" s="187"/>
      <c r="C51" s="187"/>
      <c r="D51" s="187"/>
      <c r="E51" s="187"/>
      <c r="F51" s="187"/>
      <c r="G51" s="187"/>
      <c r="H51" s="187"/>
      <c r="I51" s="187"/>
      <c r="J51" s="187"/>
      <c r="K51" s="187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 ht="12.75" customHeight="1">
      <c r="A52" s="187"/>
      <c r="B52" s="187"/>
      <c r="C52" s="187"/>
      <c r="D52" s="187"/>
      <c r="E52" s="187"/>
      <c r="F52" s="187"/>
      <c r="G52" s="187"/>
      <c r="H52" s="187"/>
      <c r="I52" s="187"/>
      <c r="J52" s="187"/>
      <c r="K52" s="187"/>
      <c r="L52" s="187"/>
      <c r="M52" s="187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 ht="12.75" customHeight="1">
      <c r="A53" s="187"/>
      <c r="B53" s="187"/>
      <c r="C53" s="187"/>
      <c r="D53" s="187"/>
      <c r="E53" s="187"/>
      <c r="F53" s="187"/>
      <c r="G53" s="187"/>
      <c r="H53" s="187"/>
      <c r="I53" s="187"/>
      <c r="J53" s="187"/>
      <c r="K53" s="187"/>
      <c r="L53" s="187"/>
      <c r="M53" s="187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  <row r="54" ht="12.75" customHeight="1">
      <c r="A54" s="187"/>
      <c r="B54" s="187"/>
      <c r="C54" s="187"/>
      <c r="D54" s="187"/>
      <c r="E54" s="187"/>
      <c r="F54" s="187"/>
      <c r="G54" s="187"/>
      <c r="H54" s="187"/>
      <c r="I54" s="187"/>
      <c r="J54" s="187"/>
      <c r="K54" s="187"/>
      <c r="L54" s="187"/>
      <c r="M54" s="187"/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</row>
    <row r="55" ht="12.75" customHeight="1">
      <c r="A55" s="187"/>
      <c r="B55" s="187"/>
      <c r="C55" s="187"/>
      <c r="D55" s="187"/>
      <c r="E55" s="187"/>
      <c r="F55" s="187"/>
      <c r="G55" s="187"/>
      <c r="H55" s="187"/>
      <c r="I55" s="187"/>
      <c r="J55" s="187"/>
      <c r="K55" s="187"/>
      <c r="L55" s="187"/>
      <c r="M55" s="187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</row>
    <row r="56" ht="12.75" customHeight="1">
      <c r="A56" s="187"/>
      <c r="B56" s="187"/>
      <c r="C56" s="187"/>
      <c r="D56" s="187"/>
      <c r="E56" s="187"/>
      <c r="F56" s="187"/>
      <c r="G56" s="187"/>
      <c r="H56" s="187"/>
      <c r="I56" s="187"/>
      <c r="J56" s="187"/>
      <c r="K56" s="187"/>
      <c r="L56" s="187"/>
      <c r="M56" s="187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</row>
    <row r="57" ht="12.75" customHeight="1">
      <c r="A57" s="187"/>
      <c r="B57" s="187"/>
      <c r="C57" s="187"/>
      <c r="D57" s="187"/>
      <c r="E57" s="187"/>
      <c r="F57" s="187"/>
      <c r="G57" s="187"/>
      <c r="H57" s="187"/>
      <c r="I57" s="187"/>
      <c r="J57" s="187"/>
      <c r="K57" s="187"/>
      <c r="L57" s="187"/>
      <c r="M57" s="187"/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</row>
    <row r="58" ht="12.75" customHeight="1">
      <c r="A58" s="187"/>
      <c r="B58" s="187"/>
      <c r="C58" s="187"/>
      <c r="D58" s="187"/>
      <c r="E58" s="187"/>
      <c r="F58" s="187"/>
      <c r="G58" s="187"/>
      <c r="H58" s="187"/>
      <c r="I58" s="187"/>
      <c r="J58" s="187"/>
      <c r="K58" s="187"/>
      <c r="L58" s="187"/>
      <c r="M58" s="187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</row>
    <row r="59" ht="12.75" customHeight="1">
      <c r="A59" s="187"/>
      <c r="B59" s="187"/>
      <c r="C59" s="187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</row>
    <row r="60" ht="12.75" customHeight="1">
      <c r="A60" s="187"/>
      <c r="B60" s="187"/>
      <c r="C60" s="187"/>
      <c r="D60" s="187"/>
      <c r="E60" s="187"/>
      <c r="F60" s="187"/>
      <c r="G60" s="187"/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</row>
    <row r="61" ht="12.75" customHeight="1">
      <c r="A61" s="187"/>
      <c r="B61" s="187"/>
      <c r="C61" s="187"/>
      <c r="D61" s="187"/>
      <c r="E61" s="187"/>
      <c r="F61" s="187"/>
      <c r="G61" s="187"/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</row>
    <row r="62" ht="12.75" customHeight="1">
      <c r="A62" s="187"/>
      <c r="B62" s="187"/>
      <c r="C62" s="187"/>
      <c r="D62" s="187"/>
      <c r="E62" s="187"/>
      <c r="F62" s="187"/>
      <c r="G62" s="187"/>
      <c r="H62" s="187"/>
      <c r="I62" s="187"/>
      <c r="J62" s="187"/>
      <c r="K62" s="187"/>
      <c r="L62" s="187"/>
      <c r="M62" s="187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</row>
    <row r="63" ht="12.75" customHeight="1">
      <c r="A63" s="187"/>
      <c r="B63" s="187"/>
      <c r="C63" s="187"/>
      <c r="D63" s="187"/>
      <c r="E63" s="187"/>
      <c r="F63" s="187"/>
      <c r="G63" s="187"/>
      <c r="H63" s="187"/>
      <c r="I63" s="187"/>
      <c r="J63" s="187"/>
      <c r="K63" s="187"/>
      <c r="L63" s="187"/>
      <c r="M63" s="187"/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</row>
    <row r="64" ht="12.75" customHeight="1">
      <c r="A64" s="187"/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</row>
    <row r="65" ht="12.75" customHeight="1">
      <c r="A65" s="187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</row>
    <row r="66" ht="12.75" customHeight="1">
      <c r="A66" s="187"/>
      <c r="B66" s="187"/>
      <c r="C66" s="187"/>
      <c r="D66" s="187"/>
      <c r="E66" s="187"/>
      <c r="F66" s="187"/>
      <c r="G66" s="187"/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</row>
    <row r="67" ht="12.75" customHeight="1">
      <c r="A67" s="187"/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</row>
    <row r="68" ht="12.75" customHeight="1">
      <c r="A68" s="187"/>
      <c r="B68" s="187"/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</row>
    <row r="69" ht="12.75" customHeight="1">
      <c r="A69" s="187"/>
      <c r="B69" s="187"/>
      <c r="C69" s="187"/>
      <c r="D69" s="187"/>
      <c r="E69" s="187"/>
      <c r="F69" s="187"/>
      <c r="G69" s="187"/>
      <c r="H69" s="187"/>
      <c r="I69" s="187"/>
      <c r="J69" s="187"/>
      <c r="K69" s="187"/>
      <c r="L69" s="187"/>
      <c r="M69" s="187"/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</row>
    <row r="70" ht="12.75" customHeight="1">
      <c r="A70" s="187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</row>
    <row r="71" ht="12.75" customHeight="1">
      <c r="A71" s="187"/>
      <c r="B71" s="187"/>
      <c r="C71" s="187"/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</row>
    <row r="72" ht="12.75" customHeight="1">
      <c r="A72" s="187"/>
      <c r="B72" s="187"/>
      <c r="C72" s="187"/>
      <c r="D72" s="187"/>
      <c r="E72" s="187"/>
      <c r="F72" s="187"/>
      <c r="G72" s="187"/>
      <c r="H72" s="187"/>
      <c r="I72" s="187"/>
      <c r="J72" s="187"/>
      <c r="K72" s="187"/>
      <c r="L72" s="187"/>
      <c r="M72" s="187"/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</row>
    <row r="73" ht="12.75" customHeight="1">
      <c r="A73" s="187"/>
      <c r="B73" s="187"/>
      <c r="C73" s="187"/>
      <c r="D73" s="187"/>
      <c r="E73" s="187"/>
      <c r="F73" s="187"/>
      <c r="G73" s="187"/>
      <c r="H73" s="187"/>
      <c r="I73" s="187"/>
      <c r="J73" s="187"/>
      <c r="K73" s="187"/>
      <c r="L73" s="187"/>
      <c r="M73" s="187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</row>
    <row r="74" ht="12.75" customHeight="1">
      <c r="A74" s="187"/>
      <c r="B74" s="187"/>
      <c r="C74" s="187"/>
      <c r="D74" s="187"/>
      <c r="E74" s="187"/>
      <c r="F74" s="187"/>
      <c r="G74" s="187"/>
      <c r="H74" s="187"/>
      <c r="I74" s="187"/>
      <c r="J74" s="187"/>
      <c r="K74" s="187"/>
      <c r="L74" s="187"/>
      <c r="M74" s="187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</row>
    <row r="75" ht="12.75" customHeight="1">
      <c r="A75" s="187"/>
      <c r="B75" s="187"/>
      <c r="C75" s="187"/>
      <c r="D75" s="187"/>
      <c r="E75" s="187"/>
      <c r="F75" s="187"/>
      <c r="G75" s="187"/>
      <c r="H75" s="187"/>
      <c r="I75" s="187"/>
      <c r="J75" s="187"/>
      <c r="K75" s="187"/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</row>
    <row r="76" ht="12.75" customHeight="1">
      <c r="A76" s="187"/>
      <c r="B76" s="187"/>
      <c r="C76" s="187"/>
      <c r="D76" s="187"/>
      <c r="E76" s="187"/>
      <c r="F76" s="187"/>
      <c r="G76" s="187"/>
      <c r="H76" s="187"/>
      <c r="I76" s="187"/>
      <c r="J76" s="187"/>
      <c r="K76" s="187"/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</row>
    <row r="77" ht="12.75" customHeight="1">
      <c r="A77" s="187"/>
      <c r="B77" s="187"/>
      <c r="C77" s="187"/>
      <c r="D77" s="187"/>
      <c r="E77" s="187"/>
      <c r="F77" s="187"/>
      <c r="G77" s="187"/>
      <c r="H77" s="187"/>
      <c r="I77" s="187"/>
      <c r="J77" s="187"/>
      <c r="K77" s="187"/>
      <c r="L77" s="187"/>
      <c r="M77" s="187"/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</row>
    <row r="78" ht="12.75" customHeight="1">
      <c r="A78" s="187"/>
      <c r="B78" s="187"/>
      <c r="C78" s="187"/>
      <c r="D78" s="187"/>
      <c r="E78" s="187"/>
      <c r="F78" s="187"/>
      <c r="G78" s="187"/>
      <c r="H78" s="187"/>
      <c r="I78" s="187"/>
      <c r="J78" s="187"/>
      <c r="K78" s="187"/>
      <c r="L78" s="187"/>
      <c r="M78" s="187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</row>
    <row r="79" ht="12.75" customHeight="1">
      <c r="A79" s="187"/>
      <c r="B79" s="187"/>
      <c r="C79" s="187"/>
      <c r="D79" s="187"/>
      <c r="E79" s="187"/>
      <c r="F79" s="187"/>
      <c r="G79" s="187"/>
      <c r="H79" s="187"/>
      <c r="I79" s="187"/>
      <c r="J79" s="187"/>
      <c r="K79" s="187"/>
      <c r="L79" s="187"/>
      <c r="M79" s="187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</row>
    <row r="80" ht="12.75" customHeight="1">
      <c r="A80" s="187"/>
      <c r="B80" s="187"/>
      <c r="C80" s="187"/>
      <c r="D80" s="187"/>
      <c r="E80" s="187"/>
      <c r="F80" s="187"/>
      <c r="G80" s="187"/>
      <c r="H80" s="187"/>
      <c r="I80" s="187"/>
      <c r="J80" s="187"/>
      <c r="K80" s="187"/>
      <c r="L80" s="187"/>
      <c r="M80" s="187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</row>
    <row r="81" ht="12.75" customHeight="1">
      <c r="A81" s="187"/>
      <c r="B81" s="187"/>
      <c r="C81" s="187"/>
      <c r="D81" s="187"/>
      <c r="E81" s="187"/>
      <c r="F81" s="187"/>
      <c r="G81" s="187"/>
      <c r="H81" s="187"/>
      <c r="I81" s="187"/>
      <c r="J81" s="187"/>
      <c r="K81" s="187"/>
      <c r="L81" s="187"/>
      <c r="M81" s="187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</row>
    <row r="82" ht="12.75" customHeight="1">
      <c r="A82" s="187"/>
      <c r="B82" s="187"/>
      <c r="C82" s="187"/>
      <c r="D82" s="187"/>
      <c r="E82" s="187"/>
      <c r="F82" s="187"/>
      <c r="G82" s="187"/>
      <c r="H82" s="187"/>
      <c r="I82" s="187"/>
      <c r="J82" s="187"/>
      <c r="K82" s="187"/>
      <c r="L82" s="187"/>
      <c r="M82" s="187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</row>
    <row r="83" ht="12.75" customHeight="1">
      <c r="A83" s="187"/>
      <c r="B83" s="187"/>
      <c r="C83" s="187"/>
      <c r="D83" s="187"/>
      <c r="E83" s="187"/>
      <c r="F83" s="187"/>
      <c r="G83" s="187"/>
      <c r="H83" s="187"/>
      <c r="I83" s="187"/>
      <c r="J83" s="187"/>
      <c r="K83" s="187"/>
      <c r="L83" s="187"/>
      <c r="M83" s="187"/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</row>
    <row r="84" ht="12.75" customHeight="1">
      <c r="A84" s="187"/>
      <c r="B84" s="187"/>
      <c r="C84" s="187"/>
      <c r="D84" s="187"/>
      <c r="E84" s="187"/>
      <c r="F84" s="187"/>
      <c r="G84" s="187"/>
      <c r="H84" s="187"/>
      <c r="I84" s="187"/>
      <c r="J84" s="187"/>
      <c r="K84" s="187"/>
      <c r="L84" s="187"/>
      <c r="M84" s="187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</row>
    <row r="85" ht="12.75" customHeight="1">
      <c r="A85" s="187"/>
      <c r="B85" s="187"/>
      <c r="C85" s="187"/>
      <c r="D85" s="187"/>
      <c r="E85" s="187"/>
      <c r="F85" s="187"/>
      <c r="G85" s="187"/>
      <c r="H85" s="187"/>
      <c r="I85" s="187"/>
      <c r="J85" s="187"/>
      <c r="K85" s="187"/>
      <c r="L85" s="187"/>
      <c r="M85" s="187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</row>
    <row r="86" ht="12.75" customHeight="1">
      <c r="A86" s="187"/>
      <c r="B86" s="187"/>
      <c r="C86" s="187"/>
      <c r="D86" s="187"/>
      <c r="E86" s="187"/>
      <c r="F86" s="187"/>
      <c r="G86" s="187"/>
      <c r="H86" s="187"/>
      <c r="I86" s="187"/>
      <c r="J86" s="187"/>
      <c r="K86" s="187"/>
      <c r="L86" s="187"/>
      <c r="M86" s="187"/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</row>
    <row r="87" ht="12.75" customHeight="1">
      <c r="A87" s="187"/>
      <c r="B87" s="187"/>
      <c r="C87" s="187"/>
      <c r="D87" s="187"/>
      <c r="E87" s="187"/>
      <c r="F87" s="187"/>
      <c r="G87" s="187"/>
      <c r="H87" s="187"/>
      <c r="I87" s="187"/>
      <c r="J87" s="187"/>
      <c r="K87" s="187"/>
      <c r="L87" s="187"/>
      <c r="M87" s="187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</row>
    <row r="88" ht="12.75" customHeight="1">
      <c r="A88" s="187"/>
      <c r="B88" s="187"/>
      <c r="C88" s="187"/>
      <c r="D88" s="187"/>
      <c r="E88" s="187"/>
      <c r="F88" s="187"/>
      <c r="G88" s="187"/>
      <c r="H88" s="187"/>
      <c r="I88" s="187"/>
      <c r="J88" s="187"/>
      <c r="K88" s="187"/>
      <c r="L88" s="187"/>
      <c r="M88" s="187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</row>
    <row r="89" ht="12.75" customHeight="1">
      <c r="A89" s="187"/>
      <c r="B89" s="187"/>
      <c r="C89" s="187"/>
      <c r="D89" s="187"/>
      <c r="E89" s="187"/>
      <c r="F89" s="187"/>
      <c r="G89" s="187"/>
      <c r="H89" s="187"/>
      <c r="I89" s="187"/>
      <c r="J89" s="187"/>
      <c r="K89" s="187"/>
      <c r="L89" s="187"/>
      <c r="M89" s="187"/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</row>
    <row r="90" ht="12.75" customHeight="1">
      <c r="A90" s="187"/>
      <c r="B90" s="187"/>
      <c r="C90" s="187"/>
      <c r="D90" s="187"/>
      <c r="E90" s="187"/>
      <c r="F90" s="187"/>
      <c r="G90" s="187"/>
      <c r="H90" s="187"/>
      <c r="I90" s="187"/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</row>
    <row r="91" ht="12.75" customHeight="1">
      <c r="A91" s="187"/>
      <c r="B91" s="187"/>
      <c r="C91" s="187"/>
      <c r="D91" s="187"/>
      <c r="E91" s="187"/>
      <c r="F91" s="187"/>
      <c r="G91" s="187"/>
      <c r="H91" s="187"/>
      <c r="I91" s="187"/>
      <c r="J91" s="187"/>
      <c r="K91" s="187"/>
      <c r="L91" s="187"/>
      <c r="M91" s="187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</row>
    <row r="92" ht="12.75" customHeight="1">
      <c r="A92" s="187"/>
      <c r="B92" s="187"/>
      <c r="C92" s="187"/>
      <c r="D92" s="187"/>
      <c r="E92" s="187"/>
      <c r="F92" s="187"/>
      <c r="G92" s="187"/>
      <c r="H92" s="187"/>
      <c r="I92" s="187"/>
      <c r="J92" s="187"/>
      <c r="K92" s="187"/>
      <c r="L92" s="187"/>
      <c r="M92" s="187"/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</row>
    <row r="93" ht="12.75" customHeight="1">
      <c r="A93" s="187"/>
      <c r="B93" s="187"/>
      <c r="C93" s="187"/>
      <c r="D93" s="187"/>
      <c r="E93" s="187"/>
      <c r="F93" s="187"/>
      <c r="G93" s="187"/>
      <c r="H93" s="187"/>
      <c r="I93" s="187"/>
      <c r="J93" s="187"/>
      <c r="K93" s="187"/>
      <c r="L93" s="187"/>
      <c r="M93" s="187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</row>
    <row r="94" ht="12.75" customHeight="1">
      <c r="A94" s="187"/>
      <c r="B94" s="187"/>
      <c r="C94" s="187"/>
      <c r="D94" s="187"/>
      <c r="E94" s="187"/>
      <c r="F94" s="187"/>
      <c r="G94" s="187"/>
      <c r="H94" s="187"/>
      <c r="I94" s="187"/>
      <c r="J94" s="187"/>
      <c r="K94" s="187"/>
      <c r="L94" s="187"/>
      <c r="M94" s="187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</row>
    <row r="95" ht="12.75" customHeight="1">
      <c r="A95" s="187"/>
      <c r="B95" s="187"/>
      <c r="C95" s="187"/>
      <c r="D95" s="187"/>
      <c r="E95" s="187"/>
      <c r="F95" s="187"/>
      <c r="G95" s="187"/>
      <c r="H95" s="187"/>
      <c r="I95" s="187"/>
      <c r="J95" s="187"/>
      <c r="K95" s="187"/>
      <c r="L95" s="187"/>
      <c r="M95" s="187"/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</row>
    <row r="96" ht="12.75" customHeight="1">
      <c r="A96" s="187"/>
      <c r="B96" s="187"/>
      <c r="C96" s="187"/>
      <c r="D96" s="187"/>
      <c r="E96" s="187"/>
      <c r="F96" s="187"/>
      <c r="G96" s="187"/>
      <c r="H96" s="187"/>
      <c r="I96" s="187"/>
      <c r="J96" s="187"/>
      <c r="K96" s="187"/>
      <c r="L96" s="187"/>
      <c r="M96" s="187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</row>
    <row r="97" ht="12.75" customHeight="1">
      <c r="A97" s="187"/>
      <c r="B97" s="187"/>
      <c r="C97" s="187"/>
      <c r="D97" s="187"/>
      <c r="E97" s="187"/>
      <c r="F97" s="187"/>
      <c r="G97" s="187"/>
      <c r="H97" s="187"/>
      <c r="I97" s="187"/>
      <c r="J97" s="187"/>
      <c r="K97" s="187"/>
      <c r="L97" s="187"/>
      <c r="M97" s="187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</row>
    <row r="98" ht="12.75" customHeight="1">
      <c r="A98" s="187"/>
      <c r="B98" s="187"/>
      <c r="C98" s="187"/>
      <c r="D98" s="187"/>
      <c r="E98" s="187"/>
      <c r="F98" s="187"/>
      <c r="G98" s="187"/>
      <c r="H98" s="187"/>
      <c r="I98" s="187"/>
      <c r="J98" s="187"/>
      <c r="K98" s="187"/>
      <c r="L98" s="187"/>
      <c r="M98" s="187"/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</row>
    <row r="99" ht="12.75" customHeight="1">
      <c r="A99" s="187"/>
      <c r="B99" s="187"/>
      <c r="C99" s="187"/>
      <c r="D99" s="187"/>
      <c r="E99" s="187"/>
      <c r="F99" s="187"/>
      <c r="G99" s="187"/>
      <c r="H99" s="187"/>
      <c r="I99" s="187"/>
      <c r="J99" s="187"/>
      <c r="K99" s="187"/>
      <c r="L99" s="187"/>
      <c r="M99" s="187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</row>
    <row r="100" ht="12.75" customHeight="1">
      <c r="A100" s="187"/>
      <c r="B100" s="187"/>
      <c r="C100" s="187"/>
      <c r="D100" s="187"/>
      <c r="E100" s="187"/>
      <c r="F100" s="187"/>
      <c r="G100" s="187"/>
      <c r="H100" s="187"/>
      <c r="I100" s="187"/>
      <c r="J100" s="187"/>
      <c r="K100" s="187"/>
      <c r="L100" s="187"/>
      <c r="M100" s="187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</row>
    <row r="101" ht="12.75" customHeight="1">
      <c r="A101" s="187"/>
      <c r="B101" s="187"/>
      <c r="C101" s="187"/>
      <c r="D101" s="187"/>
      <c r="E101" s="187"/>
      <c r="F101" s="187"/>
      <c r="G101" s="187"/>
      <c r="H101" s="187"/>
      <c r="I101" s="187"/>
      <c r="J101" s="187"/>
      <c r="K101" s="187"/>
      <c r="L101" s="187"/>
      <c r="M101" s="187"/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</row>
    <row r="102" ht="12.75" customHeight="1">
      <c r="A102" s="187"/>
      <c r="B102" s="187"/>
      <c r="C102" s="187"/>
      <c r="D102" s="187"/>
      <c r="E102" s="187"/>
      <c r="F102" s="187"/>
      <c r="G102" s="187"/>
      <c r="H102" s="187"/>
      <c r="I102" s="187"/>
      <c r="J102" s="187"/>
      <c r="K102" s="187"/>
      <c r="L102" s="187"/>
      <c r="M102" s="187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</row>
    <row r="103" ht="12.75" customHeight="1">
      <c r="A103" s="187"/>
      <c r="B103" s="187"/>
      <c r="C103" s="187"/>
      <c r="D103" s="187"/>
      <c r="E103" s="187"/>
      <c r="F103" s="187"/>
      <c r="G103" s="187"/>
      <c r="H103" s="187"/>
      <c r="I103" s="187"/>
      <c r="J103" s="187"/>
      <c r="K103" s="187"/>
      <c r="L103" s="187"/>
      <c r="M103" s="187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</row>
    <row r="104" ht="12.75" customHeight="1">
      <c r="A104" s="187"/>
      <c r="B104" s="187"/>
      <c r="C104" s="187"/>
      <c r="D104" s="187"/>
      <c r="E104" s="187"/>
      <c r="F104" s="187"/>
      <c r="G104" s="187"/>
      <c r="H104" s="187"/>
      <c r="I104" s="187"/>
      <c r="J104" s="187"/>
      <c r="K104" s="187"/>
      <c r="L104" s="187"/>
      <c r="M104" s="187"/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</row>
    <row r="105" ht="12.75" customHeight="1">
      <c r="A105" s="187"/>
      <c r="B105" s="187"/>
      <c r="C105" s="187"/>
      <c r="D105" s="187"/>
      <c r="E105" s="187"/>
      <c r="F105" s="187"/>
      <c r="G105" s="187"/>
      <c r="H105" s="187"/>
      <c r="I105" s="187"/>
      <c r="J105" s="187"/>
      <c r="K105" s="187"/>
      <c r="L105" s="187"/>
      <c r="M105" s="187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</row>
    <row r="106" ht="12.75" customHeight="1">
      <c r="A106" s="187"/>
      <c r="B106" s="187"/>
      <c r="C106" s="187"/>
      <c r="D106" s="187"/>
      <c r="E106" s="187"/>
      <c r="F106" s="187"/>
      <c r="G106" s="187"/>
      <c r="H106" s="187"/>
      <c r="I106" s="187"/>
      <c r="J106" s="187"/>
      <c r="K106" s="187"/>
      <c r="L106" s="187"/>
      <c r="M106" s="187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</row>
    <row r="107" ht="12.75" customHeight="1">
      <c r="A107" s="187"/>
      <c r="B107" s="187"/>
      <c r="C107" s="187"/>
      <c r="D107" s="187"/>
      <c r="E107" s="187"/>
      <c r="F107" s="187"/>
      <c r="G107" s="187"/>
      <c r="H107" s="187"/>
      <c r="I107" s="187"/>
      <c r="J107" s="187"/>
      <c r="K107" s="187"/>
      <c r="L107" s="187"/>
      <c r="M107" s="187"/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</row>
    <row r="108" ht="12.75" customHeight="1">
      <c r="A108" s="187"/>
      <c r="B108" s="187"/>
      <c r="C108" s="187"/>
      <c r="D108" s="187"/>
      <c r="E108" s="187"/>
      <c r="F108" s="187"/>
      <c r="G108" s="187"/>
      <c r="H108" s="187"/>
      <c r="I108" s="187"/>
      <c r="J108" s="187"/>
      <c r="K108" s="187"/>
      <c r="L108" s="187"/>
      <c r="M108" s="187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</row>
    <row r="109" ht="12.75" customHeight="1">
      <c r="A109" s="187"/>
      <c r="B109" s="187"/>
      <c r="C109" s="187"/>
      <c r="D109" s="187"/>
      <c r="E109" s="187"/>
      <c r="F109" s="187"/>
      <c r="G109" s="187"/>
      <c r="H109" s="187"/>
      <c r="I109" s="187"/>
      <c r="J109" s="187"/>
      <c r="K109" s="187"/>
      <c r="L109" s="187"/>
      <c r="M109" s="187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</row>
    <row r="110" ht="12.75" customHeight="1">
      <c r="A110" s="187"/>
      <c r="B110" s="187"/>
      <c r="C110" s="187"/>
      <c r="D110" s="187"/>
      <c r="E110" s="187"/>
      <c r="F110" s="187"/>
      <c r="G110" s="187"/>
      <c r="H110" s="187"/>
      <c r="I110" s="187"/>
      <c r="J110" s="187"/>
      <c r="K110" s="187"/>
      <c r="L110" s="187"/>
      <c r="M110" s="187"/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</row>
    <row r="111" ht="12.75" customHeight="1">
      <c r="A111" s="187"/>
      <c r="B111" s="187"/>
      <c r="C111" s="187"/>
      <c r="D111" s="187"/>
      <c r="E111" s="187"/>
      <c r="F111" s="187"/>
      <c r="G111" s="187"/>
      <c r="H111" s="187"/>
      <c r="I111" s="187"/>
      <c r="J111" s="187"/>
      <c r="K111" s="187"/>
      <c r="L111" s="187"/>
      <c r="M111" s="187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</row>
    <row r="112" ht="12.75" customHeight="1">
      <c r="A112" s="187"/>
      <c r="B112" s="187"/>
      <c r="C112" s="187"/>
      <c r="D112" s="187"/>
      <c r="E112" s="187"/>
      <c r="F112" s="18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</row>
    <row r="113" ht="12.75" customHeight="1">
      <c r="A113" s="187"/>
      <c r="B113" s="187"/>
      <c r="C113" s="187"/>
      <c r="D113" s="187"/>
      <c r="E113" s="187"/>
      <c r="F113" s="187"/>
      <c r="G113" s="187"/>
      <c r="H113" s="187"/>
      <c r="I113" s="187"/>
      <c r="J113" s="187"/>
      <c r="K113" s="187"/>
      <c r="L113" s="187"/>
      <c r="M113" s="187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</row>
    <row r="114" ht="12.75" customHeight="1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</row>
    <row r="115" ht="12.75" customHeight="1">
      <c r="A115" s="18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</row>
    <row r="116" ht="12.75" customHeight="1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</row>
    <row r="117" ht="12.75" customHeight="1">
      <c r="A117" s="18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</row>
    <row r="118" ht="12.75" customHeight="1">
      <c r="A118" s="18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</row>
    <row r="119" ht="12.75" customHeight="1">
      <c r="A119" s="18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</row>
    <row r="120" ht="12.75" customHeight="1">
      <c r="A120" s="18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</row>
    <row r="121" ht="12.75" customHeight="1">
      <c r="A121" s="187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</row>
    <row r="122" ht="12.75" customHeight="1">
      <c r="A122" s="18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</row>
    <row r="123" ht="12.75" customHeight="1">
      <c r="A123" s="187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</row>
    <row r="124" ht="12.75" customHeight="1">
      <c r="A124" s="187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</row>
    <row r="125" ht="12.75" customHeight="1">
      <c r="A125" s="18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</row>
    <row r="126" ht="12.75" customHeight="1">
      <c r="A126" s="18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</row>
    <row r="127" ht="12.75" customHeight="1">
      <c r="A127" s="187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</row>
    <row r="128" ht="12.75" customHeight="1">
      <c r="A128" s="187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</row>
    <row r="129" ht="12.75" customHeight="1">
      <c r="A129" s="18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</row>
    <row r="130" ht="12.75" customHeight="1">
      <c r="A130" s="18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</row>
    <row r="131" ht="12.75" customHeight="1">
      <c r="A131" s="18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</row>
    <row r="132" ht="12.75" customHeight="1">
      <c r="A132" s="187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</row>
    <row r="133" ht="12.75" customHeight="1">
      <c r="A133" s="18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</row>
    <row r="134" ht="12.75" customHeight="1">
      <c r="A134" s="18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</row>
    <row r="135" ht="12.75" customHeight="1">
      <c r="A135" s="18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</row>
    <row r="136" ht="12.75" customHeight="1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</row>
    <row r="137" ht="12.75" customHeight="1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</row>
    <row r="138" ht="12.75" customHeight="1">
      <c r="A138" s="187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</row>
    <row r="139" ht="12.75" customHeight="1">
      <c r="A139" s="18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</row>
    <row r="140" ht="12.75" customHeight="1">
      <c r="A140" s="18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</row>
    <row r="141" ht="12.75" customHeight="1">
      <c r="A141" s="18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</row>
    <row r="142" ht="12.75" customHeight="1">
      <c r="A142" s="187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</row>
    <row r="143" ht="12.75" customHeight="1">
      <c r="A143" s="187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</row>
    <row r="144" ht="12.75" customHeight="1">
      <c r="A144" s="187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</row>
    <row r="145" ht="12.75" customHeight="1">
      <c r="A145" s="187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</row>
    <row r="146" ht="12.75" customHeight="1">
      <c r="A146" s="187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</row>
    <row r="147" ht="12.75" customHeight="1">
      <c r="A147" s="187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</row>
    <row r="148" ht="12.75" customHeight="1">
      <c r="A148" s="187"/>
      <c r="B148" s="187"/>
      <c r="C148" s="187"/>
      <c r="D148" s="187"/>
      <c r="E148" s="187"/>
      <c r="F148" s="187"/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</row>
    <row r="149" ht="12.75" customHeight="1">
      <c r="A149" s="187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</row>
    <row r="150" ht="12.75" customHeight="1">
      <c r="A150" s="187"/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</row>
    <row r="151" ht="12.75" customHeight="1">
      <c r="A151" s="187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</row>
    <row r="152" ht="12.75" customHeight="1">
      <c r="A152" s="187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</row>
    <row r="153" ht="12.75" customHeight="1">
      <c r="A153" s="187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</row>
    <row r="154" ht="12.75" customHeight="1">
      <c r="A154" s="187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</row>
    <row r="155" ht="12.75" customHeight="1">
      <c r="A155" s="187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</row>
    <row r="156" ht="12.75" customHeight="1">
      <c r="A156" s="187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</row>
    <row r="157" ht="12.75" customHeight="1">
      <c r="A157" s="187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</row>
    <row r="158" ht="12.75" customHeight="1">
      <c r="A158" s="187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</row>
    <row r="159" ht="12.75" customHeight="1">
      <c r="A159" s="187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</row>
    <row r="160" ht="12.75" customHeight="1">
      <c r="A160" s="187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</row>
    <row r="161" ht="12.75" customHeight="1">
      <c r="A161" s="187"/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</row>
    <row r="162" ht="12.75" customHeight="1">
      <c r="A162" s="187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</row>
    <row r="163" ht="12.75" customHeight="1">
      <c r="A163" s="187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</row>
    <row r="164" ht="12.75" customHeight="1">
      <c r="A164" s="187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</row>
    <row r="165" ht="12.75" customHeight="1">
      <c r="A165" s="187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</row>
    <row r="166" ht="12.75" customHeight="1">
      <c r="A166" s="187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</row>
    <row r="167" ht="12.75" customHeight="1">
      <c r="A167" s="187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</row>
    <row r="168" ht="12.75" customHeight="1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</row>
    <row r="169" ht="12.75" customHeight="1">
      <c r="A169" s="187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</row>
    <row r="170" ht="12.75" customHeight="1">
      <c r="A170" s="187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</row>
    <row r="171" ht="12.75" customHeight="1">
      <c r="A171" s="187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</row>
    <row r="172" ht="12.75" customHeight="1">
      <c r="A172" s="187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</row>
    <row r="173" ht="12.75" customHeight="1">
      <c r="A173" s="18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</row>
    <row r="174" ht="12.75" customHeight="1">
      <c r="A174" s="187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</row>
    <row r="175" ht="12.75" customHeight="1">
      <c r="A175" s="187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</row>
    <row r="176" ht="12.75" customHeight="1">
      <c r="A176" s="187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</row>
    <row r="177" ht="12.75" customHeight="1">
      <c r="A177" s="187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</row>
    <row r="178" ht="12.75" customHeight="1">
      <c r="A178" s="187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</row>
    <row r="179" ht="12.75" customHeight="1">
      <c r="A179" s="187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</row>
    <row r="180" ht="12.75" customHeight="1">
      <c r="A180" s="187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</row>
    <row r="181" ht="12.75" customHeight="1">
      <c r="A181" s="187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</row>
    <row r="182" ht="12.75" customHeight="1">
      <c r="A182" s="187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</row>
    <row r="183" ht="12.75" customHeight="1">
      <c r="A183" s="187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</row>
    <row r="184" ht="12.75" customHeight="1">
      <c r="A184" s="187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</row>
    <row r="185" ht="12.75" customHeight="1">
      <c r="A185" s="187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</row>
    <row r="186" ht="12.75" customHeight="1">
      <c r="A186" s="187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</row>
    <row r="187" ht="12.75" customHeight="1">
      <c r="A187" s="187"/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</row>
    <row r="188" ht="12.75" customHeight="1">
      <c r="A188" s="187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</row>
    <row r="189" ht="12.75" customHeight="1">
      <c r="A189" s="187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</row>
    <row r="190" ht="12.75" customHeight="1">
      <c r="A190" s="187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</row>
    <row r="191" ht="12.75" customHeight="1">
      <c r="A191" s="187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</row>
    <row r="192" ht="12.75" customHeight="1">
      <c r="A192" s="187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</row>
    <row r="193" ht="12.75" customHeight="1">
      <c r="A193" s="187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</row>
    <row r="194" ht="12.75" customHeight="1">
      <c r="A194" s="187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</row>
    <row r="195" ht="12.75" customHeight="1">
      <c r="A195" s="187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</row>
    <row r="196" ht="12.75" customHeight="1">
      <c r="A196" s="187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</row>
    <row r="197" ht="12.75" customHeight="1">
      <c r="A197" s="187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</row>
    <row r="198" ht="12.75" customHeight="1">
      <c r="A198" s="187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</row>
    <row r="199" ht="12.75" customHeight="1">
      <c r="A199" s="187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</row>
    <row r="200" ht="12.75" customHeight="1">
      <c r="A200" s="187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</row>
    <row r="201" ht="12.75" customHeight="1">
      <c r="A201" s="187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</row>
    <row r="202" ht="12.75" customHeight="1">
      <c r="A202" s="187"/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</row>
    <row r="203" ht="12.75" customHeight="1">
      <c r="A203" s="187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</row>
    <row r="204" ht="12.75" customHeight="1">
      <c r="A204" s="187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</row>
    <row r="205" ht="12.75" customHeight="1">
      <c r="A205" s="187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</row>
    <row r="206" ht="12.75" customHeight="1">
      <c r="A206" s="187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</row>
    <row r="207" ht="12.75" customHeight="1">
      <c r="A207" s="187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</row>
    <row r="208" ht="12.75" customHeight="1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</row>
    <row r="209" ht="12.75" customHeight="1">
      <c r="A209" s="187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</row>
    <row r="210" ht="12.75" customHeight="1">
      <c r="A210" s="187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</row>
    <row r="211" ht="12.75" customHeight="1">
      <c r="A211" s="187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</row>
    <row r="212" ht="12.75" customHeight="1">
      <c r="A212" s="187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</row>
    <row r="213" ht="12.75" customHeight="1">
      <c r="A213" s="187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</row>
    <row r="214" ht="12.75" customHeight="1">
      <c r="A214" s="187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</row>
    <row r="215" ht="12.75" customHeight="1">
      <c r="A215" s="187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</row>
    <row r="216" ht="12.75" customHeight="1">
      <c r="A216" s="187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</row>
    <row r="217" ht="12.75" customHeight="1">
      <c r="A217" s="187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</row>
    <row r="218" ht="12.75" customHeight="1">
      <c r="A218" s="187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</row>
    <row r="219" ht="12.75" customHeight="1">
      <c r="A219" s="187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</row>
    <row r="220" ht="12.75" customHeight="1">
      <c r="A220" s="187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</row>
    <row r="221" ht="12.75" customHeight="1">
      <c r="A221" s="187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</row>
    <row r="222" ht="12.75" customHeight="1">
      <c r="A222" s="187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</row>
    <row r="223" ht="12.75" customHeight="1">
      <c r="A223" s="187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</row>
    <row r="224" ht="12.75" customHeight="1">
      <c r="A224" s="187"/>
      <c r="B224" s="187"/>
      <c r="C224" s="187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</row>
    <row r="225" ht="12.75" customHeight="1">
      <c r="A225" s="187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</row>
    <row r="226" ht="12.75" customHeight="1">
      <c r="A226" s="187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</row>
    <row r="227" ht="12.75" customHeight="1">
      <c r="A227" s="187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</row>
    <row r="228" ht="12.75" customHeight="1">
      <c r="A228" s="187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</row>
    <row r="229" ht="12.75" customHeight="1">
      <c r="A229" s="187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</row>
    <row r="230" ht="12.75" customHeight="1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</row>
    <row r="231" ht="12.75" customHeight="1">
      <c r="A231" s="187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</row>
    <row r="232" ht="12.75" customHeight="1">
      <c r="A232" s="187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</row>
    <row r="233" ht="12.75" customHeight="1">
      <c r="A233" s="187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</row>
    <row r="234" ht="12.75" customHeight="1">
      <c r="A234" s="187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</row>
    <row r="235" ht="12.75" customHeight="1">
      <c r="A235" s="187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</row>
    <row r="236" ht="12.75" customHeight="1">
      <c r="A236" s="187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</row>
    <row r="237" ht="12.75" customHeight="1">
      <c r="A237" s="187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</row>
    <row r="238" ht="12.75" customHeight="1">
      <c r="A238" s="187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</row>
    <row r="239" ht="12.75" customHeight="1">
      <c r="A239" s="187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</row>
    <row r="240" ht="12.75" customHeight="1">
      <c r="A240" s="187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</row>
    <row r="241" ht="12.75" customHeight="1">
      <c r="A241" s="187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</row>
    <row r="242" ht="12.75" customHeight="1">
      <c r="A242" s="187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</row>
    <row r="243" ht="12.75" customHeight="1">
      <c r="A243" s="187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</row>
    <row r="244" ht="12.75" customHeight="1">
      <c r="A244" s="187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</row>
    <row r="245" ht="12.75" customHeight="1">
      <c r="A245" s="187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</row>
    <row r="246" ht="12.75" customHeight="1">
      <c r="A246" s="187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</row>
    <row r="247" ht="12.75" customHeight="1">
      <c r="A247" s="187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</row>
    <row r="248" ht="12.75" customHeight="1">
      <c r="A248" s="187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</row>
    <row r="249" ht="12.75" customHeight="1">
      <c r="A249" s="187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</row>
    <row r="250" ht="12.75" customHeight="1">
      <c r="A250" s="187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</row>
    <row r="251" ht="12.75" customHeight="1">
      <c r="A251" s="187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</row>
    <row r="252" ht="12.75" customHeight="1">
      <c r="A252" s="187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</row>
    <row r="253" ht="12.75" customHeight="1">
      <c r="A253" s="187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</row>
    <row r="254" ht="12.75" customHeight="1">
      <c r="A254" s="187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</row>
    <row r="255" ht="12.75" customHeight="1">
      <c r="A255" s="187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</row>
    <row r="256" ht="12.75" customHeight="1">
      <c r="A256" s="187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</row>
    <row r="257" ht="12.75" customHeight="1">
      <c r="A257" s="187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</row>
    <row r="258" ht="12.75" customHeight="1">
      <c r="A258" s="187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</row>
    <row r="259" ht="12.75" customHeight="1">
      <c r="A259" s="187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</row>
    <row r="260" ht="12.75" customHeight="1">
      <c r="A260" s="187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</row>
    <row r="261" ht="12.75" customHeight="1">
      <c r="A261" s="187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</row>
    <row r="262" ht="12.75" customHeight="1">
      <c r="A262" s="187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</row>
    <row r="263" ht="12.75" customHeight="1">
      <c r="A263" s="187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</row>
    <row r="264" ht="12.75" customHeight="1">
      <c r="A264" s="187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</row>
    <row r="265" ht="12.75" customHeight="1">
      <c r="A265" s="187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</row>
    <row r="266" ht="12.75" customHeight="1">
      <c r="A266" s="187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</row>
    <row r="267" ht="12.75" customHeight="1">
      <c r="A267" s="187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</row>
    <row r="268" ht="12.75" customHeight="1">
      <c r="A268" s="187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</row>
    <row r="269" ht="12.75" customHeight="1">
      <c r="A269" s="187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</row>
    <row r="270" ht="12.75" customHeight="1">
      <c r="A270" s="187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</row>
    <row r="271" ht="12.75" customHeight="1">
      <c r="A271" s="187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</row>
    <row r="272" ht="12.75" customHeight="1">
      <c r="A272" s="187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</row>
    <row r="273" ht="12.75" customHeight="1">
      <c r="A273" s="187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</row>
    <row r="274" ht="12.75" customHeight="1">
      <c r="A274" s="187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</row>
    <row r="275" ht="12.75" customHeight="1">
      <c r="A275" s="187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</row>
    <row r="276" ht="12.75" customHeight="1">
      <c r="A276" s="187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</row>
    <row r="277" ht="12.75" customHeight="1">
      <c r="A277" s="187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</row>
    <row r="278" ht="12.75" customHeight="1">
      <c r="A278" s="187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</row>
    <row r="279" ht="12.75" customHeight="1">
      <c r="A279" s="187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</row>
    <row r="280" ht="12.75" customHeight="1">
      <c r="A280" s="187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</row>
    <row r="281" ht="12.75" customHeight="1">
      <c r="A281" s="187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</row>
    <row r="282" ht="12.75" customHeight="1">
      <c r="A282" s="187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</row>
    <row r="283" ht="12.75" customHeight="1">
      <c r="A283" s="187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</row>
    <row r="284" ht="12.75" customHeight="1">
      <c r="A284" s="187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</row>
    <row r="285" ht="12.75" customHeight="1">
      <c r="A285" s="187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</row>
    <row r="286" ht="12.75" customHeight="1">
      <c r="A286" s="187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</row>
    <row r="287" ht="12.75" customHeight="1">
      <c r="A287" s="187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</row>
    <row r="288" ht="12.75" customHeight="1">
      <c r="A288" s="187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</row>
    <row r="289" ht="12.75" customHeight="1">
      <c r="A289" s="187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</row>
    <row r="290" ht="12.75" customHeight="1">
      <c r="A290" s="187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</row>
    <row r="291" ht="12.75" customHeight="1">
      <c r="A291" s="187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</row>
    <row r="292" ht="12.75" customHeight="1">
      <c r="A292" s="187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</row>
    <row r="293" ht="12.75" customHeight="1">
      <c r="A293" s="187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</row>
    <row r="294" ht="12.75" customHeight="1">
      <c r="A294" s="187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</row>
    <row r="295" ht="12.75" customHeight="1">
      <c r="A295" s="187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</row>
    <row r="296" ht="12.75" customHeight="1">
      <c r="A296" s="187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</row>
    <row r="297" ht="12.75" customHeight="1">
      <c r="A297" s="187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</row>
    <row r="298" ht="12.75" customHeight="1">
      <c r="A298" s="187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</row>
    <row r="299" ht="12.75" customHeight="1">
      <c r="A299" s="187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</row>
    <row r="300" ht="12.75" customHeight="1">
      <c r="A300" s="187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</row>
    <row r="301" ht="12.75" customHeight="1">
      <c r="A301" s="187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</row>
    <row r="302" ht="12.75" customHeight="1">
      <c r="A302" s="187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</row>
    <row r="303" ht="12.75" customHeight="1">
      <c r="A303" s="187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</row>
    <row r="304" ht="12.75" customHeight="1">
      <c r="A304" s="187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</row>
    <row r="305" ht="12.75" customHeight="1">
      <c r="A305" s="187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</row>
    <row r="306" ht="12.75" customHeight="1">
      <c r="A306" s="187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</row>
    <row r="307" ht="12.75" customHeight="1">
      <c r="A307" s="187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</row>
    <row r="308" ht="12.75" customHeight="1">
      <c r="A308" s="187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</row>
    <row r="309" ht="12.75" customHeight="1">
      <c r="A309" s="187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</row>
    <row r="310" ht="12.75" customHeight="1">
      <c r="A310" s="187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</row>
    <row r="311" ht="12.75" customHeight="1">
      <c r="A311" s="187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</row>
    <row r="312" ht="12.75" customHeight="1">
      <c r="A312" s="187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</row>
    <row r="313" ht="12.75" customHeight="1">
      <c r="A313" s="187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</row>
    <row r="314" ht="12.75" customHeight="1">
      <c r="A314" s="187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</row>
    <row r="315" ht="12.75" customHeight="1">
      <c r="A315" s="187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</row>
    <row r="316" ht="12.75" customHeight="1">
      <c r="A316" s="187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</row>
    <row r="317" ht="12.75" customHeight="1">
      <c r="A317" s="187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</row>
    <row r="318" ht="12.75" customHeight="1">
      <c r="A318" s="187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</row>
    <row r="319" ht="12.75" customHeight="1">
      <c r="A319" s="187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</row>
    <row r="320" ht="12.75" customHeight="1">
      <c r="A320" s="187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</row>
    <row r="321" ht="12.75" customHeight="1">
      <c r="A321" s="187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</row>
    <row r="322" ht="12.75" customHeight="1">
      <c r="A322" s="187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</row>
    <row r="323" ht="12.75" customHeight="1">
      <c r="A323" s="187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</row>
    <row r="324" ht="12.75" customHeight="1">
      <c r="A324" s="187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</row>
    <row r="325" ht="12.75" customHeight="1">
      <c r="A325" s="187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</row>
    <row r="326" ht="12.75" customHeight="1">
      <c r="A326" s="187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</row>
    <row r="327" ht="12.75" customHeight="1">
      <c r="A327" s="187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</row>
    <row r="328" ht="12.75" customHeight="1">
      <c r="A328" s="187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</row>
    <row r="329" ht="12.75" customHeight="1">
      <c r="A329" s="187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</row>
    <row r="330" ht="12.75" customHeight="1">
      <c r="A330" s="187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</row>
    <row r="331" ht="12.75" customHeight="1">
      <c r="A331" s="187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</row>
    <row r="332" ht="12.75" customHeight="1">
      <c r="A332" s="187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</row>
    <row r="333" ht="12.75" customHeight="1">
      <c r="A333" s="187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</row>
    <row r="334" ht="12.75" customHeight="1">
      <c r="A334" s="187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</row>
    <row r="335" ht="12.75" customHeight="1">
      <c r="A335" s="187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</row>
    <row r="336" ht="12.75" customHeight="1">
      <c r="A336" s="187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</row>
    <row r="337" ht="12.75" customHeight="1">
      <c r="A337" s="187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</row>
    <row r="338" ht="12.75" customHeight="1">
      <c r="A338" s="187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</row>
    <row r="339" ht="12.75" customHeight="1">
      <c r="A339" s="187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</row>
    <row r="340" ht="12.75" customHeight="1">
      <c r="A340" s="187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</row>
    <row r="341" ht="12.75" customHeight="1">
      <c r="A341" s="187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</row>
    <row r="342" ht="12.75" customHeight="1">
      <c r="A342" s="187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</row>
    <row r="343" ht="12.75" customHeight="1">
      <c r="A343" s="187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</row>
    <row r="344" ht="12.75" customHeight="1">
      <c r="A344" s="187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</row>
    <row r="345" ht="12.75" customHeight="1">
      <c r="A345" s="187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</row>
    <row r="346" ht="12.75" customHeight="1">
      <c r="A346" s="187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</row>
    <row r="347" ht="12.75" customHeight="1">
      <c r="A347" s="187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</row>
    <row r="348" ht="12.75" customHeight="1">
      <c r="A348" s="187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</row>
    <row r="349" ht="12.75" customHeight="1">
      <c r="A349" s="187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</row>
    <row r="350" ht="12.75" customHeight="1">
      <c r="A350" s="187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</row>
    <row r="351" ht="12.75" customHeight="1">
      <c r="A351" s="187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</row>
    <row r="352" ht="12.75" customHeight="1">
      <c r="A352" s="187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</row>
    <row r="353" ht="12.75" customHeight="1">
      <c r="A353" s="187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</row>
    <row r="354" ht="12.75" customHeight="1">
      <c r="A354" s="187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</row>
    <row r="355" ht="12.75" customHeight="1">
      <c r="A355" s="187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</row>
    <row r="356" ht="12.75" customHeight="1">
      <c r="A356" s="187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</row>
    <row r="357" ht="12.75" customHeight="1">
      <c r="A357" s="187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</row>
    <row r="358" ht="12.75" customHeight="1">
      <c r="A358" s="187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</row>
    <row r="359" ht="12.75" customHeight="1">
      <c r="A359" s="187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</row>
    <row r="360" ht="12.75" customHeight="1">
      <c r="A360" s="187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</row>
    <row r="361" ht="12.75" customHeight="1">
      <c r="A361" s="187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</row>
    <row r="362" ht="12.75" customHeight="1">
      <c r="A362" s="187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</row>
    <row r="363" ht="12.75" customHeight="1">
      <c r="A363" s="187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</row>
    <row r="364" ht="12.75" customHeight="1">
      <c r="A364" s="187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</row>
    <row r="365" ht="12.75" customHeight="1">
      <c r="A365" s="187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</row>
    <row r="366" ht="12.75" customHeight="1">
      <c r="A366" s="187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</row>
    <row r="367" ht="12.75" customHeight="1">
      <c r="A367" s="187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</row>
    <row r="368" ht="12.75" customHeight="1">
      <c r="A368" s="187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</row>
    <row r="369" ht="12.75" customHeight="1">
      <c r="A369" s="187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</row>
    <row r="370" ht="12.75" customHeight="1">
      <c r="A370" s="187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</row>
    <row r="371" ht="12.75" customHeight="1">
      <c r="A371" s="187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</row>
    <row r="372" ht="12.75" customHeight="1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</row>
    <row r="373" ht="12.75" customHeight="1">
      <c r="A373" s="187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</row>
    <row r="374" ht="12.75" customHeight="1">
      <c r="A374" s="187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</row>
    <row r="375" ht="12.75" customHeight="1">
      <c r="A375" s="187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</row>
    <row r="376" ht="12.75" customHeight="1">
      <c r="A376" s="187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</row>
    <row r="377" ht="12.75" customHeight="1">
      <c r="A377" s="187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</row>
    <row r="378" ht="12.75" customHeight="1">
      <c r="A378" s="187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</row>
    <row r="379" ht="12.75" customHeight="1">
      <c r="A379" s="187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</row>
    <row r="380" ht="12.75" customHeight="1">
      <c r="A380" s="187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</row>
    <row r="381" ht="12.75" customHeight="1">
      <c r="A381" s="187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</row>
    <row r="382" ht="12.75" customHeight="1">
      <c r="A382" s="187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</row>
    <row r="383" ht="12.75" customHeight="1">
      <c r="A383" s="187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</row>
    <row r="384" ht="12.75" customHeight="1">
      <c r="A384" s="187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</row>
    <row r="385" ht="12.75" customHeight="1">
      <c r="A385" s="187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</row>
    <row r="386" ht="12.75" customHeight="1">
      <c r="A386" s="187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</row>
    <row r="387" ht="12.75" customHeight="1">
      <c r="A387" s="187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</row>
    <row r="388" ht="12.75" customHeight="1">
      <c r="A388" s="187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</row>
    <row r="389" ht="12.75" customHeight="1">
      <c r="A389" s="187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</row>
    <row r="390" ht="12.75" customHeight="1">
      <c r="A390" s="187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</row>
    <row r="391" ht="12.75" customHeight="1">
      <c r="A391" s="187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</row>
    <row r="392" ht="12.75" customHeight="1">
      <c r="A392" s="187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</row>
    <row r="393" ht="12.75" customHeight="1">
      <c r="A393" s="187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</row>
    <row r="394" ht="12.75" customHeight="1">
      <c r="A394" s="187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</row>
    <row r="395" ht="12.75" customHeight="1">
      <c r="A395" s="187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</row>
    <row r="396" ht="12.75" customHeight="1">
      <c r="A396" s="187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</row>
    <row r="397" ht="12.75" customHeight="1">
      <c r="A397" s="187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</row>
    <row r="398" ht="12.75" customHeight="1">
      <c r="A398" s="187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</row>
    <row r="399" ht="12.75" customHeight="1">
      <c r="A399" s="187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</row>
    <row r="400" ht="12.75" customHeight="1">
      <c r="A400" s="187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</row>
    <row r="401" ht="12.75" customHeight="1">
      <c r="A401" s="187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</row>
    <row r="402" ht="12.75" customHeight="1">
      <c r="A402" s="187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</row>
    <row r="403" ht="12.75" customHeight="1">
      <c r="A403" s="187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</row>
    <row r="404" ht="12.75" customHeight="1">
      <c r="A404" s="187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</row>
    <row r="405" ht="12.75" customHeight="1">
      <c r="A405" s="187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</row>
    <row r="406" ht="12.75" customHeight="1">
      <c r="A406" s="187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</row>
    <row r="407" ht="12.75" customHeight="1">
      <c r="A407" s="187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</row>
    <row r="408" ht="12.75" customHeight="1">
      <c r="A408" s="187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</row>
    <row r="409" ht="12.75" customHeight="1">
      <c r="A409" s="187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</row>
    <row r="410" ht="12.75" customHeight="1">
      <c r="A410" s="187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</row>
    <row r="411" ht="12.75" customHeight="1">
      <c r="A411" s="187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</row>
    <row r="412" ht="12.75" customHeight="1">
      <c r="A412" s="187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</row>
    <row r="413" ht="12.75" customHeight="1">
      <c r="A413" s="187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</row>
    <row r="414" ht="12.75" customHeight="1">
      <c r="A414" s="187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</row>
    <row r="415" ht="12.75" customHeight="1">
      <c r="A415" s="187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</row>
    <row r="416" ht="12.75" customHeight="1">
      <c r="A416" s="187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</row>
    <row r="417" ht="12.75" customHeight="1">
      <c r="A417" s="187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</row>
    <row r="418" ht="12.75" customHeight="1">
      <c r="A418" s="187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</row>
    <row r="419" ht="12.75" customHeight="1">
      <c r="A419" s="187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</row>
    <row r="420" ht="12.75" customHeight="1">
      <c r="A420" s="187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</row>
    <row r="421" ht="12.75" customHeight="1">
      <c r="A421" s="187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</row>
    <row r="422" ht="12.75" customHeight="1">
      <c r="A422" s="187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</row>
    <row r="423" ht="12.75" customHeight="1">
      <c r="A423" s="187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</row>
    <row r="424" ht="12.75" customHeight="1">
      <c r="A424" s="187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</row>
    <row r="425" ht="12.75" customHeight="1">
      <c r="A425" s="187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</row>
    <row r="426" ht="12.75" customHeight="1">
      <c r="A426" s="187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</row>
    <row r="427" ht="12.75" customHeight="1">
      <c r="A427" s="187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</row>
    <row r="428" ht="12.75" customHeight="1">
      <c r="A428" s="187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</row>
    <row r="429" ht="12.75" customHeight="1">
      <c r="A429" s="187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</row>
    <row r="430" ht="12.75" customHeight="1">
      <c r="A430" s="187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</row>
    <row r="431" ht="12.75" customHeight="1">
      <c r="A431" s="187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</row>
    <row r="432" ht="12.75" customHeight="1">
      <c r="A432" s="187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</row>
    <row r="433" ht="12.75" customHeight="1">
      <c r="A433" s="187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</row>
    <row r="434" ht="12.75" customHeight="1">
      <c r="A434" s="187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</row>
    <row r="435" ht="12.75" customHeight="1">
      <c r="A435" s="187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</row>
    <row r="436" ht="12.75" customHeight="1">
      <c r="A436" s="187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</row>
    <row r="437" ht="12.75" customHeight="1">
      <c r="A437" s="187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</row>
    <row r="438" ht="12.75" customHeight="1">
      <c r="A438" s="187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</row>
    <row r="439" ht="12.75" customHeight="1">
      <c r="A439" s="187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</row>
    <row r="440" ht="12.75" customHeight="1">
      <c r="A440" s="187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</row>
    <row r="441" ht="12.75" customHeight="1">
      <c r="A441" s="187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</row>
    <row r="442" ht="12.75" customHeight="1">
      <c r="A442" s="187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</row>
    <row r="443" ht="12.75" customHeight="1">
      <c r="A443" s="187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</row>
    <row r="444" ht="12.75" customHeight="1">
      <c r="A444" s="187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</row>
    <row r="445" ht="12.75" customHeight="1">
      <c r="A445" s="187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</row>
    <row r="446" ht="12.75" customHeight="1">
      <c r="A446" s="187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</row>
    <row r="447" ht="12.75" customHeight="1">
      <c r="A447" s="187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</row>
    <row r="448" ht="12.75" customHeight="1">
      <c r="A448" s="187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</row>
    <row r="449" ht="12.75" customHeight="1">
      <c r="A449" s="187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</row>
    <row r="450" ht="12.75" customHeight="1">
      <c r="A450" s="187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</row>
    <row r="451" ht="12.75" customHeight="1">
      <c r="A451" s="187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</row>
    <row r="452" ht="12.75" customHeight="1">
      <c r="A452" s="187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</row>
    <row r="453" ht="12.75" customHeight="1">
      <c r="A453" s="187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</row>
    <row r="454" ht="12.75" customHeight="1">
      <c r="A454" s="187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</row>
    <row r="455" ht="12.75" customHeight="1">
      <c r="A455" s="187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</row>
    <row r="456" ht="12.75" customHeight="1">
      <c r="A456" s="187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</row>
    <row r="457" ht="12.75" customHeight="1">
      <c r="A457" s="187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</row>
    <row r="458" ht="12.75" customHeight="1">
      <c r="A458" s="187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</row>
    <row r="459" ht="12.75" customHeight="1">
      <c r="A459" s="187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</row>
    <row r="460" ht="12.75" customHeight="1">
      <c r="A460" s="187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</row>
    <row r="461" ht="12.75" customHeight="1">
      <c r="A461" s="187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</row>
    <row r="462" ht="12.75" customHeight="1">
      <c r="A462" s="187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</row>
    <row r="463" ht="12.75" customHeight="1">
      <c r="A463" s="187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</row>
    <row r="464" ht="12.75" customHeight="1">
      <c r="A464" s="187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</row>
    <row r="465" ht="12.75" customHeight="1">
      <c r="A465" s="187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</row>
    <row r="466" ht="12.75" customHeight="1">
      <c r="A466" s="187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</row>
    <row r="467" ht="12.75" customHeight="1">
      <c r="A467" s="187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</row>
    <row r="468" ht="12.75" customHeight="1">
      <c r="A468" s="187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</row>
    <row r="469" ht="12.75" customHeight="1">
      <c r="A469" s="187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</row>
    <row r="470" ht="12.75" customHeight="1">
      <c r="A470" s="187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</row>
    <row r="471" ht="12.75" customHeight="1">
      <c r="A471" s="187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</row>
    <row r="472" ht="12.75" customHeight="1">
      <c r="A472" s="187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</row>
    <row r="473" ht="12.75" customHeight="1">
      <c r="A473" s="187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</row>
    <row r="474" ht="12.75" customHeight="1">
      <c r="A474" s="187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</row>
    <row r="475" ht="12.75" customHeight="1">
      <c r="A475" s="187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</row>
    <row r="476" ht="12.75" customHeight="1">
      <c r="A476" s="187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</row>
    <row r="477" ht="12.75" customHeight="1">
      <c r="A477" s="187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</row>
    <row r="478" ht="12.75" customHeight="1">
      <c r="A478" s="187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</row>
    <row r="479" ht="12.75" customHeight="1">
      <c r="A479" s="187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</row>
    <row r="480" ht="12.75" customHeight="1">
      <c r="A480" s="187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</row>
    <row r="481" ht="12.75" customHeight="1">
      <c r="A481" s="187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</row>
    <row r="482" ht="12.75" customHeight="1">
      <c r="A482" s="187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</row>
    <row r="483" ht="12.75" customHeight="1">
      <c r="A483" s="187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</row>
    <row r="484" ht="12.75" customHeight="1">
      <c r="A484" s="187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</row>
    <row r="485" ht="12.75" customHeight="1">
      <c r="A485" s="187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</row>
    <row r="486" ht="12.75" customHeight="1">
      <c r="A486" s="187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</row>
    <row r="487" ht="12.75" customHeight="1">
      <c r="A487" s="187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</row>
    <row r="488" ht="12.75" customHeight="1">
      <c r="A488" s="187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</row>
    <row r="489" ht="12.75" customHeight="1">
      <c r="A489" s="187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</row>
    <row r="490" ht="12.75" customHeight="1">
      <c r="A490" s="187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</row>
    <row r="491" ht="12.75" customHeight="1">
      <c r="A491" s="187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</row>
    <row r="492" ht="12.75" customHeight="1">
      <c r="A492" s="187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</row>
    <row r="493" ht="12.75" customHeight="1">
      <c r="A493" s="187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</row>
    <row r="494" ht="12.75" customHeight="1">
      <c r="A494" s="187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</row>
    <row r="495" ht="12.75" customHeight="1">
      <c r="A495" s="187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</row>
    <row r="496" ht="12.75" customHeight="1">
      <c r="A496" s="187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</row>
    <row r="497" ht="12.75" customHeight="1">
      <c r="A497" s="187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</row>
    <row r="498" ht="12.75" customHeight="1">
      <c r="A498" s="187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</row>
    <row r="499" ht="12.75" customHeight="1">
      <c r="A499" s="187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</row>
    <row r="500" ht="12.75" customHeight="1">
      <c r="A500" s="187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</row>
    <row r="501" ht="12.75" customHeight="1">
      <c r="A501" s="187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</row>
    <row r="502" ht="12.75" customHeight="1">
      <c r="A502" s="187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</row>
    <row r="503" ht="12.75" customHeight="1">
      <c r="A503" s="187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</row>
    <row r="504" ht="12.75" customHeight="1">
      <c r="A504" s="187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</row>
    <row r="505" ht="12.75" customHeight="1">
      <c r="A505" s="187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</row>
    <row r="506" ht="12.75" customHeight="1">
      <c r="A506" s="187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</row>
    <row r="507" ht="12.75" customHeight="1">
      <c r="A507" s="187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</row>
    <row r="508" ht="12.75" customHeight="1">
      <c r="A508" s="187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</row>
    <row r="509" ht="12.75" customHeight="1">
      <c r="A509" s="187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</row>
    <row r="510" ht="12.75" customHeight="1">
      <c r="A510" s="187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</row>
    <row r="511" ht="12.75" customHeight="1">
      <c r="A511" s="187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</row>
    <row r="512" ht="12.75" customHeight="1">
      <c r="A512" s="187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</row>
    <row r="513" ht="12.75" customHeight="1">
      <c r="A513" s="187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</row>
    <row r="514" ht="12.75" customHeight="1">
      <c r="A514" s="187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</row>
    <row r="515" ht="12.75" customHeight="1">
      <c r="A515" s="187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</row>
    <row r="516" ht="12.75" customHeight="1">
      <c r="A516" s="187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</row>
    <row r="517" ht="12.75" customHeight="1">
      <c r="A517" s="187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</row>
    <row r="518" ht="12.75" customHeight="1">
      <c r="A518" s="187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</row>
    <row r="519" ht="12.75" customHeight="1">
      <c r="A519" s="187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</row>
    <row r="520" ht="12.75" customHeight="1">
      <c r="A520" s="187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</row>
    <row r="521" ht="12.75" customHeight="1">
      <c r="A521" s="187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</row>
    <row r="522" ht="12.75" customHeight="1">
      <c r="A522" s="187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</row>
    <row r="523" ht="12.75" customHeight="1">
      <c r="A523" s="187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</row>
    <row r="524" ht="12.75" customHeight="1">
      <c r="A524" s="187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</row>
    <row r="525" ht="12.75" customHeight="1">
      <c r="A525" s="187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</row>
    <row r="526" ht="12.75" customHeight="1">
      <c r="A526" s="187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</row>
    <row r="527" ht="12.75" customHeight="1">
      <c r="A527" s="187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</row>
    <row r="528" ht="12.75" customHeight="1">
      <c r="A528" s="187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</row>
    <row r="529" ht="12.75" customHeight="1">
      <c r="A529" s="187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</row>
    <row r="530" ht="12.75" customHeight="1">
      <c r="A530" s="187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</row>
    <row r="531" ht="12.75" customHeight="1">
      <c r="A531" s="187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</row>
    <row r="532" ht="12.75" customHeight="1">
      <c r="A532" s="187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</row>
    <row r="533" ht="12.75" customHeight="1">
      <c r="A533" s="187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</row>
    <row r="534" ht="12.75" customHeight="1">
      <c r="A534" s="187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</row>
    <row r="535" ht="12.75" customHeight="1">
      <c r="A535" s="187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</row>
    <row r="536" ht="12.75" customHeight="1">
      <c r="A536" s="187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</row>
    <row r="537" ht="12.75" customHeight="1">
      <c r="A537" s="187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</row>
    <row r="538" ht="12.75" customHeight="1">
      <c r="A538" s="187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</row>
    <row r="539" ht="12.75" customHeight="1">
      <c r="A539" s="187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</row>
    <row r="540" ht="12.75" customHeight="1">
      <c r="A540" s="187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</row>
    <row r="541" ht="12.75" customHeight="1">
      <c r="A541" s="187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</row>
    <row r="542" ht="12.75" customHeight="1">
      <c r="A542" s="187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</row>
    <row r="543" ht="12.75" customHeight="1">
      <c r="A543" s="187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</row>
    <row r="544" ht="12.75" customHeight="1">
      <c r="A544" s="187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</row>
    <row r="545" ht="12.75" customHeight="1">
      <c r="A545" s="187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</row>
    <row r="546" ht="12.75" customHeight="1">
      <c r="A546" s="187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</row>
    <row r="547" ht="12.75" customHeight="1">
      <c r="A547" s="187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</row>
    <row r="548" ht="12.75" customHeight="1">
      <c r="A548" s="187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</row>
    <row r="549" ht="12.75" customHeight="1">
      <c r="A549" s="187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</row>
    <row r="550" ht="12.75" customHeight="1">
      <c r="A550" s="187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</row>
    <row r="551" ht="12.75" customHeight="1">
      <c r="A551" s="187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</row>
    <row r="552" ht="12.75" customHeight="1">
      <c r="A552" s="187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</row>
    <row r="553" ht="12.75" customHeight="1">
      <c r="A553" s="187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</row>
    <row r="554" ht="12.75" customHeight="1">
      <c r="A554" s="187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</row>
    <row r="555" ht="12.75" customHeight="1">
      <c r="A555" s="187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</row>
    <row r="556" ht="12.75" customHeight="1">
      <c r="A556" s="187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</row>
    <row r="557" ht="12.75" customHeight="1">
      <c r="A557" s="187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</row>
    <row r="558" ht="12.75" customHeight="1">
      <c r="A558" s="187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</row>
    <row r="559" ht="12.75" customHeight="1">
      <c r="A559" s="187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</row>
    <row r="560" ht="12.75" customHeight="1">
      <c r="A560" s="187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</row>
    <row r="561" ht="12.75" customHeight="1">
      <c r="A561" s="187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</row>
    <row r="562" ht="12.75" customHeight="1">
      <c r="A562" s="187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</row>
    <row r="563" ht="12.75" customHeight="1">
      <c r="A563" s="187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</row>
    <row r="564" ht="12.75" customHeight="1">
      <c r="A564" s="187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</row>
    <row r="565" ht="12.75" customHeight="1">
      <c r="A565" s="187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</row>
    <row r="566" ht="12.75" customHeight="1">
      <c r="A566" s="187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</row>
    <row r="567" ht="12.75" customHeight="1">
      <c r="A567" s="187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</row>
    <row r="568" ht="12.75" customHeight="1">
      <c r="A568" s="187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</row>
    <row r="569" ht="12.75" customHeight="1">
      <c r="A569" s="187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</row>
    <row r="570" ht="12.75" customHeight="1">
      <c r="A570" s="187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</row>
    <row r="571" ht="12.75" customHeight="1">
      <c r="A571" s="187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</row>
    <row r="572" ht="12.75" customHeight="1">
      <c r="A572" s="187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</row>
    <row r="573" ht="12.75" customHeight="1">
      <c r="A573" s="187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</row>
    <row r="574" ht="12.75" customHeight="1">
      <c r="A574" s="187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</row>
    <row r="575" ht="12.75" customHeight="1">
      <c r="A575" s="187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</row>
    <row r="576" ht="12.75" customHeight="1">
      <c r="A576" s="187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</row>
    <row r="577" ht="12.75" customHeight="1">
      <c r="A577" s="187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</row>
    <row r="578" ht="12.75" customHeight="1">
      <c r="A578" s="187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</row>
    <row r="579" ht="12.75" customHeight="1">
      <c r="A579" s="187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</row>
    <row r="580" ht="12.75" customHeight="1">
      <c r="A580" s="187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</row>
    <row r="581" ht="12.75" customHeight="1">
      <c r="A581" s="187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</row>
    <row r="582" ht="12.75" customHeight="1">
      <c r="A582" s="187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</row>
    <row r="583" ht="12.75" customHeight="1">
      <c r="A583" s="187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</row>
    <row r="584" ht="12.75" customHeight="1">
      <c r="A584" s="187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</row>
    <row r="585" ht="12.75" customHeight="1">
      <c r="A585" s="187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</row>
    <row r="586" ht="12.75" customHeight="1">
      <c r="A586" s="187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</row>
    <row r="587" ht="12.75" customHeight="1">
      <c r="A587" s="187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</row>
    <row r="588" ht="12.75" customHeight="1">
      <c r="A588" s="187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</row>
    <row r="589" ht="12.75" customHeight="1">
      <c r="A589" s="187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</row>
    <row r="590" ht="12.75" customHeight="1">
      <c r="A590" s="187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</row>
    <row r="591" ht="12.75" customHeight="1">
      <c r="A591" s="187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</row>
    <row r="592" ht="12.75" customHeight="1">
      <c r="A592" s="187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</row>
    <row r="593" ht="12.75" customHeight="1">
      <c r="A593" s="187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</row>
    <row r="594" ht="12.75" customHeight="1">
      <c r="A594" s="187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</row>
    <row r="595" ht="12.75" customHeight="1">
      <c r="A595" s="187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</row>
    <row r="596" ht="12.75" customHeight="1">
      <c r="A596" s="187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</row>
    <row r="597" ht="12.75" customHeight="1">
      <c r="A597" s="187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</row>
    <row r="598" ht="12.75" customHeight="1">
      <c r="A598" s="187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</row>
    <row r="599" ht="12.75" customHeight="1">
      <c r="A599" s="187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</row>
    <row r="600" ht="12.75" customHeight="1">
      <c r="A600" s="187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</row>
    <row r="601" ht="12.75" customHeight="1">
      <c r="A601" s="187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</row>
    <row r="602" ht="12.75" customHeight="1">
      <c r="A602" s="187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</row>
    <row r="603" ht="12.75" customHeight="1">
      <c r="A603" s="187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</row>
    <row r="604" ht="12.75" customHeight="1">
      <c r="A604" s="187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</row>
    <row r="605" ht="12.75" customHeight="1">
      <c r="A605" s="187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</row>
    <row r="606" ht="12.75" customHeight="1">
      <c r="A606" s="187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</row>
    <row r="607" ht="12.75" customHeight="1">
      <c r="A607" s="187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</row>
    <row r="608" ht="12.75" customHeight="1">
      <c r="A608" s="187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</row>
    <row r="609" ht="12.75" customHeight="1">
      <c r="A609" s="187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</row>
    <row r="610" ht="12.75" customHeight="1">
      <c r="A610" s="187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</row>
    <row r="611" ht="12.75" customHeight="1">
      <c r="A611" s="187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</row>
    <row r="612" ht="12.75" customHeight="1">
      <c r="A612" s="187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</row>
    <row r="613" ht="12.75" customHeight="1">
      <c r="A613" s="187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</row>
    <row r="614" ht="12.75" customHeight="1">
      <c r="A614" s="187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</row>
    <row r="615" ht="12.75" customHeight="1">
      <c r="A615" s="187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</row>
    <row r="616" ht="12.75" customHeight="1">
      <c r="A616" s="187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</row>
    <row r="617" ht="12.75" customHeight="1">
      <c r="A617" s="187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</row>
    <row r="618" ht="12.75" customHeight="1">
      <c r="A618" s="187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</row>
    <row r="619" ht="12.75" customHeight="1">
      <c r="A619" s="187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</row>
    <row r="620" ht="12.75" customHeight="1">
      <c r="A620" s="187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</row>
    <row r="621" ht="12.75" customHeight="1">
      <c r="A621" s="187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</row>
    <row r="622" ht="12.75" customHeight="1">
      <c r="A622" s="187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</row>
    <row r="623" ht="12.75" customHeight="1">
      <c r="A623" s="187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</row>
    <row r="624" ht="12.75" customHeight="1">
      <c r="A624" s="187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</row>
    <row r="625" ht="12.75" customHeight="1">
      <c r="A625" s="187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</row>
    <row r="626" ht="12.75" customHeight="1">
      <c r="A626" s="187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</row>
    <row r="627" ht="12.75" customHeight="1">
      <c r="A627" s="187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</row>
    <row r="628" ht="12.75" customHeight="1">
      <c r="A628" s="187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</row>
    <row r="629" ht="12.75" customHeight="1">
      <c r="A629" s="187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</row>
    <row r="630" ht="12.75" customHeight="1">
      <c r="A630" s="187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</row>
    <row r="631" ht="12.75" customHeight="1">
      <c r="A631" s="187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</row>
    <row r="632" ht="12.75" customHeight="1">
      <c r="A632" s="187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</row>
    <row r="633" ht="12.75" customHeight="1">
      <c r="A633" s="187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</row>
    <row r="634" ht="12.75" customHeight="1">
      <c r="A634" s="187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</row>
    <row r="635" ht="12.75" customHeight="1">
      <c r="A635" s="187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</row>
    <row r="636" ht="12.75" customHeight="1">
      <c r="A636" s="187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</row>
    <row r="637" ht="12.75" customHeight="1">
      <c r="A637" s="187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</row>
    <row r="638" ht="12.75" customHeight="1">
      <c r="A638" s="187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</row>
    <row r="639" ht="12.75" customHeight="1">
      <c r="A639" s="187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</row>
    <row r="640" ht="12.75" customHeight="1">
      <c r="A640" s="187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</row>
    <row r="641" ht="12.75" customHeight="1">
      <c r="A641" s="187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</row>
    <row r="642" ht="12.75" customHeight="1">
      <c r="A642" s="187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</row>
    <row r="643" ht="12.75" customHeight="1">
      <c r="A643" s="187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</row>
    <row r="644" ht="12.75" customHeight="1">
      <c r="A644" s="187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</row>
    <row r="645" ht="12.75" customHeight="1">
      <c r="A645" s="187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</row>
    <row r="646" ht="12.75" customHeight="1">
      <c r="A646" s="187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</row>
    <row r="647" ht="12.75" customHeight="1">
      <c r="A647" s="187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</row>
    <row r="648" ht="12.75" customHeight="1">
      <c r="A648" s="187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</row>
    <row r="649" ht="12.75" customHeight="1">
      <c r="A649" s="187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</row>
    <row r="650" ht="12.75" customHeight="1">
      <c r="A650" s="187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</row>
    <row r="651" ht="12.75" customHeight="1">
      <c r="A651" s="187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</row>
    <row r="652" ht="12.75" customHeight="1">
      <c r="A652" s="187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</row>
    <row r="653" ht="12.75" customHeight="1">
      <c r="A653" s="187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</row>
    <row r="654" ht="12.75" customHeight="1">
      <c r="A654" s="187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</row>
    <row r="655" ht="12.75" customHeight="1">
      <c r="A655" s="187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</row>
    <row r="656" ht="12.75" customHeight="1">
      <c r="A656" s="187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</row>
    <row r="657" ht="12.75" customHeight="1">
      <c r="A657" s="187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</row>
    <row r="658" ht="12.75" customHeight="1">
      <c r="A658" s="187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</row>
    <row r="659" ht="12.75" customHeight="1">
      <c r="A659" s="187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</row>
    <row r="660" ht="12.75" customHeight="1">
      <c r="A660" s="187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</row>
    <row r="661" ht="12.75" customHeight="1">
      <c r="A661" s="187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</row>
    <row r="662" ht="12.75" customHeight="1">
      <c r="A662" s="187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</row>
    <row r="663" ht="12.75" customHeight="1">
      <c r="A663" s="187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</row>
    <row r="664" ht="12.75" customHeight="1">
      <c r="A664" s="187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</row>
    <row r="665" ht="12.75" customHeight="1">
      <c r="A665" s="187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</row>
    <row r="666" ht="12.75" customHeight="1">
      <c r="A666" s="187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</row>
    <row r="667" ht="12.75" customHeight="1">
      <c r="A667" s="187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</row>
    <row r="668" ht="12.75" customHeight="1">
      <c r="A668" s="187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</row>
    <row r="669" ht="12.75" customHeight="1">
      <c r="A669" s="187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</row>
    <row r="670" ht="12.75" customHeight="1">
      <c r="A670" s="187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</row>
    <row r="671" ht="12.75" customHeight="1">
      <c r="A671" s="187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</row>
    <row r="672" ht="12.75" customHeight="1">
      <c r="A672" s="187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</row>
    <row r="673" ht="12.75" customHeight="1">
      <c r="A673" s="187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</row>
    <row r="674" ht="12.75" customHeight="1">
      <c r="A674" s="187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</row>
    <row r="675" ht="12.75" customHeight="1">
      <c r="A675" s="187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</row>
    <row r="676" ht="12.75" customHeight="1">
      <c r="A676" s="187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</row>
    <row r="677" ht="12.75" customHeight="1">
      <c r="A677" s="187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</row>
    <row r="678" ht="12.75" customHeight="1">
      <c r="A678" s="187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</row>
    <row r="679" ht="12.75" customHeight="1">
      <c r="A679" s="187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</row>
    <row r="680" ht="12.75" customHeight="1">
      <c r="A680" s="187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</row>
    <row r="681" ht="12.75" customHeight="1">
      <c r="A681" s="187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</row>
    <row r="682" ht="12.75" customHeight="1">
      <c r="A682" s="187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</row>
    <row r="683" ht="12.75" customHeight="1">
      <c r="A683" s="187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</row>
    <row r="684" ht="12.75" customHeight="1">
      <c r="A684" s="187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</row>
    <row r="685" ht="12.75" customHeight="1">
      <c r="A685" s="187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</row>
    <row r="686" ht="12.75" customHeight="1">
      <c r="A686" s="187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</row>
    <row r="687" ht="12.75" customHeight="1">
      <c r="A687" s="187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</row>
    <row r="688" ht="12.75" customHeight="1">
      <c r="A688" s="187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</row>
    <row r="689" ht="12.75" customHeight="1">
      <c r="A689" s="187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</row>
    <row r="690" ht="12.75" customHeight="1">
      <c r="A690" s="187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</row>
    <row r="691" ht="12.75" customHeight="1">
      <c r="A691" s="187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</row>
    <row r="692" ht="12.75" customHeight="1">
      <c r="A692" s="187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</row>
    <row r="693" ht="12.75" customHeight="1">
      <c r="A693" s="187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</row>
    <row r="694" ht="12.75" customHeight="1">
      <c r="A694" s="187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</row>
    <row r="695" ht="12.75" customHeight="1">
      <c r="A695" s="187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</row>
    <row r="696" ht="12.75" customHeight="1">
      <c r="A696" s="187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</row>
    <row r="697" ht="12.75" customHeight="1">
      <c r="A697" s="187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</row>
    <row r="698" ht="12.75" customHeight="1">
      <c r="A698" s="187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</row>
    <row r="699" ht="12.75" customHeight="1">
      <c r="A699" s="187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</row>
    <row r="700" ht="12.75" customHeight="1">
      <c r="A700" s="187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</row>
    <row r="701" ht="12.75" customHeight="1">
      <c r="A701" s="187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</row>
    <row r="702" ht="12.75" customHeight="1">
      <c r="A702" s="187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</row>
    <row r="703" ht="12.75" customHeight="1">
      <c r="A703" s="187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</row>
    <row r="704" ht="12.75" customHeight="1">
      <c r="A704" s="187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</row>
    <row r="705" ht="12.75" customHeight="1">
      <c r="A705" s="187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</row>
    <row r="706" ht="12.75" customHeight="1">
      <c r="A706" s="187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</row>
    <row r="707" ht="12.75" customHeight="1">
      <c r="A707" s="187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</row>
    <row r="708" ht="12.75" customHeight="1">
      <c r="A708" s="187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</row>
    <row r="709" ht="12.75" customHeight="1">
      <c r="A709" s="187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</row>
    <row r="710" ht="12.75" customHeight="1">
      <c r="A710" s="187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</row>
    <row r="711" ht="12.75" customHeight="1">
      <c r="A711" s="187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</row>
    <row r="712" ht="12.75" customHeight="1">
      <c r="A712" s="187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</row>
    <row r="713" ht="12.75" customHeight="1">
      <c r="A713" s="187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</row>
    <row r="714" ht="12.75" customHeight="1">
      <c r="A714" s="187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</row>
    <row r="715" ht="12.75" customHeight="1">
      <c r="A715" s="187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</row>
    <row r="716" ht="12.75" customHeight="1">
      <c r="A716" s="187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</row>
    <row r="717" ht="12.75" customHeight="1">
      <c r="A717" s="187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</row>
    <row r="718" ht="12.75" customHeight="1">
      <c r="A718" s="187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</row>
    <row r="719" ht="12.75" customHeight="1">
      <c r="A719" s="187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</row>
    <row r="720" ht="12.75" customHeight="1">
      <c r="A720" s="187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</row>
    <row r="721" ht="12.75" customHeight="1">
      <c r="A721" s="187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</row>
    <row r="722" ht="12.75" customHeight="1">
      <c r="A722" s="187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</row>
    <row r="723" ht="12.75" customHeight="1">
      <c r="A723" s="187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</row>
    <row r="724" ht="12.75" customHeight="1">
      <c r="A724" s="187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</row>
    <row r="725" ht="12.75" customHeight="1">
      <c r="A725" s="187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</row>
    <row r="726" ht="12.75" customHeight="1">
      <c r="A726" s="187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</row>
    <row r="727" ht="12.75" customHeight="1">
      <c r="A727" s="187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</row>
    <row r="728" ht="12.75" customHeight="1">
      <c r="A728" s="187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</row>
    <row r="729" ht="12.75" customHeight="1">
      <c r="A729" s="187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</row>
    <row r="730" ht="12.75" customHeight="1">
      <c r="A730" s="187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</row>
    <row r="731" ht="12.75" customHeight="1">
      <c r="A731" s="187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</row>
    <row r="732" ht="12.75" customHeight="1">
      <c r="A732" s="187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</row>
    <row r="733" ht="12.75" customHeight="1">
      <c r="A733" s="187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</row>
    <row r="734" ht="12.75" customHeight="1">
      <c r="A734" s="187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</row>
    <row r="735" ht="12.75" customHeight="1">
      <c r="A735" s="187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</row>
    <row r="736" ht="12.75" customHeight="1">
      <c r="A736" s="187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</row>
    <row r="737" ht="12.75" customHeight="1">
      <c r="A737" s="187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</row>
    <row r="738" ht="12.75" customHeight="1">
      <c r="A738" s="187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</row>
    <row r="739" ht="12.75" customHeight="1">
      <c r="A739" s="187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</row>
    <row r="740" ht="12.75" customHeight="1">
      <c r="A740" s="187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</row>
    <row r="741" ht="12.75" customHeight="1">
      <c r="A741" s="187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</row>
    <row r="742" ht="12.75" customHeight="1">
      <c r="A742" s="187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</row>
    <row r="743" ht="12.75" customHeight="1">
      <c r="A743" s="187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</row>
    <row r="744" ht="12.75" customHeight="1">
      <c r="A744" s="187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</row>
    <row r="745" ht="12.75" customHeight="1">
      <c r="A745" s="187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</row>
    <row r="746" ht="12.75" customHeight="1">
      <c r="A746" s="187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</row>
    <row r="747" ht="12.75" customHeight="1">
      <c r="A747" s="187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</row>
    <row r="748" ht="12.75" customHeight="1">
      <c r="A748" s="187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</row>
    <row r="749" ht="12.75" customHeight="1">
      <c r="A749" s="187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</row>
    <row r="750" ht="12.75" customHeight="1">
      <c r="A750" s="187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</row>
    <row r="751" ht="12.75" customHeight="1">
      <c r="A751" s="187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</row>
    <row r="752" ht="12.75" customHeight="1">
      <c r="A752" s="187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</row>
    <row r="753" ht="12.75" customHeight="1">
      <c r="A753" s="187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</row>
    <row r="754" ht="12.75" customHeight="1">
      <c r="A754" s="187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</row>
    <row r="755" ht="12.75" customHeight="1">
      <c r="A755" s="187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</row>
    <row r="756" ht="12.75" customHeight="1">
      <c r="A756" s="187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</row>
    <row r="757" ht="12.75" customHeight="1">
      <c r="A757" s="187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</row>
    <row r="758" ht="12.75" customHeight="1">
      <c r="A758" s="187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</row>
    <row r="759" ht="12.75" customHeight="1">
      <c r="A759" s="187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</row>
    <row r="760" ht="12.75" customHeight="1">
      <c r="A760" s="187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</row>
    <row r="761" ht="12.75" customHeight="1">
      <c r="A761" s="187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</row>
    <row r="762" ht="12.75" customHeight="1">
      <c r="A762" s="187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</row>
    <row r="763" ht="12.75" customHeight="1">
      <c r="A763" s="187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</row>
    <row r="764" ht="12.75" customHeight="1">
      <c r="A764" s="187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</row>
    <row r="765" ht="12.75" customHeight="1">
      <c r="A765" s="187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</row>
    <row r="766" ht="12.75" customHeight="1">
      <c r="A766" s="187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</row>
    <row r="767" ht="12.75" customHeight="1">
      <c r="A767" s="187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</row>
    <row r="768" ht="12.75" customHeight="1">
      <c r="A768" s="187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</row>
    <row r="769" ht="12.75" customHeight="1">
      <c r="A769" s="187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</row>
    <row r="770" ht="12.75" customHeight="1">
      <c r="A770" s="187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</row>
    <row r="771" ht="12.75" customHeight="1">
      <c r="A771" s="187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</row>
    <row r="772" ht="12.75" customHeight="1">
      <c r="A772" s="187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</row>
    <row r="773" ht="12.75" customHeight="1">
      <c r="A773" s="187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</row>
    <row r="774" ht="12.75" customHeight="1">
      <c r="A774" s="187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</row>
    <row r="775" ht="12.75" customHeight="1">
      <c r="A775" s="187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</row>
    <row r="776" ht="12.75" customHeight="1">
      <c r="A776" s="187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</row>
    <row r="777" ht="12.75" customHeight="1">
      <c r="A777" s="187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</row>
    <row r="778" ht="12.75" customHeight="1">
      <c r="A778" s="187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</row>
    <row r="779" ht="12.75" customHeight="1">
      <c r="A779" s="187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</row>
    <row r="780" ht="12.75" customHeight="1">
      <c r="A780" s="187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</row>
    <row r="781" ht="12.75" customHeight="1">
      <c r="A781" s="187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</row>
    <row r="782" ht="12.75" customHeight="1">
      <c r="A782" s="187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</row>
    <row r="783" ht="12.75" customHeight="1">
      <c r="A783" s="187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</row>
    <row r="784" ht="12.75" customHeight="1">
      <c r="A784" s="187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</row>
    <row r="785" ht="12.75" customHeight="1">
      <c r="A785" s="187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</row>
    <row r="786" ht="12.75" customHeight="1">
      <c r="A786" s="187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</row>
    <row r="787" ht="12.75" customHeight="1">
      <c r="A787" s="187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</row>
    <row r="788" ht="12.75" customHeight="1">
      <c r="A788" s="187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</row>
    <row r="789" ht="12.75" customHeight="1">
      <c r="A789" s="187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</row>
    <row r="790" ht="12.75" customHeight="1">
      <c r="A790" s="187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</row>
    <row r="791" ht="12.75" customHeight="1">
      <c r="A791" s="187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</row>
    <row r="792" ht="12.75" customHeight="1">
      <c r="A792" s="187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</row>
    <row r="793" ht="12.75" customHeight="1">
      <c r="A793" s="187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</row>
    <row r="794" ht="12.75" customHeight="1">
      <c r="A794" s="187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</row>
    <row r="795" ht="12.75" customHeight="1">
      <c r="A795" s="187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</row>
    <row r="796" ht="12.75" customHeight="1">
      <c r="A796" s="187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</row>
    <row r="797" ht="12.75" customHeight="1">
      <c r="A797" s="187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</row>
    <row r="798" ht="12.75" customHeight="1">
      <c r="A798" s="187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</row>
    <row r="799" ht="12.75" customHeight="1">
      <c r="A799" s="187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</row>
    <row r="800" ht="12.75" customHeight="1">
      <c r="A800" s="187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</row>
    <row r="801" ht="12.75" customHeight="1">
      <c r="A801" s="187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</row>
    <row r="802" ht="12.75" customHeight="1">
      <c r="A802" s="187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</row>
    <row r="803" ht="12.75" customHeight="1">
      <c r="A803" s="187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</row>
    <row r="804" ht="12.75" customHeight="1">
      <c r="A804" s="187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</row>
    <row r="805" ht="12.75" customHeight="1">
      <c r="A805" s="187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</row>
    <row r="806" ht="12.75" customHeight="1">
      <c r="A806" s="187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</row>
    <row r="807" ht="12.75" customHeight="1">
      <c r="A807" s="187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</row>
    <row r="808" ht="12.75" customHeight="1">
      <c r="A808" s="187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</row>
    <row r="809" ht="12.75" customHeight="1">
      <c r="A809" s="187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</row>
    <row r="810" ht="12.75" customHeight="1">
      <c r="A810" s="187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</row>
    <row r="811" ht="12.75" customHeight="1">
      <c r="A811" s="187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</row>
    <row r="812" ht="12.75" customHeight="1">
      <c r="A812" s="187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</row>
    <row r="813" ht="12.75" customHeight="1">
      <c r="A813" s="187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</row>
    <row r="814" ht="12.75" customHeight="1">
      <c r="A814" s="187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</row>
    <row r="815" ht="12.75" customHeight="1">
      <c r="A815" s="187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</row>
    <row r="816" ht="12.75" customHeight="1">
      <c r="A816" s="187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</row>
    <row r="817" ht="12.75" customHeight="1">
      <c r="A817" s="187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</row>
    <row r="818" ht="12.75" customHeight="1">
      <c r="A818" s="187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</row>
    <row r="819" ht="12.75" customHeight="1">
      <c r="A819" s="187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</row>
    <row r="820" ht="12.75" customHeight="1">
      <c r="A820" s="187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</row>
    <row r="821" ht="12.75" customHeight="1">
      <c r="A821" s="187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</row>
    <row r="822" ht="12.75" customHeight="1">
      <c r="A822" s="187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</row>
    <row r="823" ht="12.75" customHeight="1">
      <c r="A823" s="187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</row>
    <row r="824" ht="12.75" customHeight="1">
      <c r="A824" s="187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</row>
    <row r="825" ht="12.75" customHeight="1">
      <c r="A825" s="187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</row>
    <row r="826" ht="12.75" customHeight="1">
      <c r="A826" s="187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</row>
    <row r="827" ht="12.75" customHeight="1">
      <c r="A827" s="187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</row>
    <row r="828" ht="12.75" customHeight="1">
      <c r="A828" s="187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</row>
    <row r="829" ht="12.75" customHeight="1">
      <c r="A829" s="187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</row>
    <row r="830" ht="12.75" customHeight="1">
      <c r="A830" s="187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</row>
    <row r="831" ht="12.75" customHeight="1">
      <c r="A831" s="187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</row>
    <row r="832" ht="12.75" customHeight="1">
      <c r="A832" s="187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</row>
    <row r="833" ht="12.75" customHeight="1">
      <c r="A833" s="187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</row>
    <row r="834" ht="12.75" customHeight="1">
      <c r="A834" s="187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</row>
    <row r="835" ht="12.75" customHeight="1">
      <c r="A835" s="187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</row>
    <row r="836" ht="12.75" customHeight="1">
      <c r="A836" s="187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</row>
    <row r="837" ht="12.75" customHeight="1">
      <c r="A837" s="187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</row>
    <row r="838" ht="12.75" customHeight="1">
      <c r="A838" s="187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</row>
    <row r="839" ht="12.75" customHeight="1">
      <c r="A839" s="187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</row>
    <row r="840" ht="12.75" customHeight="1">
      <c r="A840" s="187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</row>
    <row r="841" ht="12.75" customHeight="1">
      <c r="A841" s="187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</row>
    <row r="842" ht="12.75" customHeight="1">
      <c r="A842" s="187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</row>
    <row r="843" ht="12.75" customHeight="1">
      <c r="A843" s="187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</row>
    <row r="844" ht="12.75" customHeight="1">
      <c r="A844" s="187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</row>
    <row r="845" ht="12.75" customHeight="1">
      <c r="A845" s="187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</row>
    <row r="846" ht="12.75" customHeight="1">
      <c r="A846" s="187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</row>
    <row r="847" ht="12.75" customHeight="1">
      <c r="A847" s="187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</row>
    <row r="848" ht="12.75" customHeight="1">
      <c r="A848" s="187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</row>
    <row r="849" ht="12.75" customHeight="1">
      <c r="A849" s="187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</row>
    <row r="850" ht="12.75" customHeight="1">
      <c r="A850" s="187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</row>
    <row r="851" ht="12.75" customHeight="1">
      <c r="A851" s="187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</row>
    <row r="852" ht="12.75" customHeight="1">
      <c r="A852" s="187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</row>
    <row r="853" ht="12.75" customHeight="1">
      <c r="A853" s="187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</row>
    <row r="854" ht="12.75" customHeight="1">
      <c r="A854" s="187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</row>
    <row r="855" ht="12.75" customHeight="1">
      <c r="A855" s="187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</row>
    <row r="856" ht="12.75" customHeight="1">
      <c r="A856" s="187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</row>
    <row r="857" ht="12.75" customHeight="1">
      <c r="A857" s="187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</row>
    <row r="858" ht="12.75" customHeight="1">
      <c r="A858" s="187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</row>
    <row r="859" ht="12.75" customHeight="1">
      <c r="A859" s="187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</row>
    <row r="860" ht="12.75" customHeight="1">
      <c r="A860" s="187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</row>
    <row r="861" ht="12.75" customHeight="1">
      <c r="A861" s="187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</row>
    <row r="862" ht="12.75" customHeight="1">
      <c r="A862" s="187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</row>
    <row r="863" ht="12.75" customHeight="1">
      <c r="A863" s="187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</row>
    <row r="864" ht="12.75" customHeight="1">
      <c r="A864" s="187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</row>
    <row r="865" ht="12.75" customHeight="1">
      <c r="A865" s="187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</row>
    <row r="866" ht="12.75" customHeight="1">
      <c r="A866" s="187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</row>
    <row r="867" ht="12.75" customHeight="1">
      <c r="A867" s="187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</row>
    <row r="868" ht="12.75" customHeight="1">
      <c r="A868" s="187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</row>
    <row r="869" ht="12.75" customHeight="1">
      <c r="A869" s="187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</row>
    <row r="870" ht="12.75" customHeight="1">
      <c r="A870" s="187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</row>
    <row r="871" ht="12.75" customHeight="1">
      <c r="A871" s="187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</row>
    <row r="872" ht="12.75" customHeight="1">
      <c r="A872" s="187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</row>
    <row r="873" ht="12.75" customHeight="1">
      <c r="A873" s="187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</row>
    <row r="874" ht="12.75" customHeight="1">
      <c r="A874" s="187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</row>
    <row r="875" ht="12.75" customHeight="1">
      <c r="A875" s="187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</row>
    <row r="876" ht="12.75" customHeight="1">
      <c r="A876" s="187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</row>
    <row r="877" ht="12.75" customHeight="1">
      <c r="A877" s="187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</row>
    <row r="878" ht="12.75" customHeight="1">
      <c r="A878" s="187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</row>
    <row r="879" ht="12.75" customHeight="1">
      <c r="A879" s="187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</row>
    <row r="880" ht="12.75" customHeight="1">
      <c r="A880" s="187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</row>
    <row r="881" ht="12.75" customHeight="1">
      <c r="A881" s="187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</row>
    <row r="882" ht="12.75" customHeight="1">
      <c r="A882" s="187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</row>
    <row r="883" ht="12.75" customHeight="1">
      <c r="A883" s="187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</row>
    <row r="884" ht="12.75" customHeight="1">
      <c r="A884" s="187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</row>
    <row r="885" ht="12.75" customHeight="1">
      <c r="A885" s="187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</row>
    <row r="886" ht="12.75" customHeight="1">
      <c r="A886" s="187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</row>
    <row r="887" ht="12.75" customHeight="1">
      <c r="A887" s="187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</row>
    <row r="888" ht="12.75" customHeight="1">
      <c r="A888" s="187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</row>
    <row r="889" ht="12.75" customHeight="1">
      <c r="A889" s="187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</row>
    <row r="890" ht="12.75" customHeight="1">
      <c r="A890" s="187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</row>
    <row r="891" ht="12.75" customHeight="1">
      <c r="A891" s="187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</row>
    <row r="892" ht="12.75" customHeight="1">
      <c r="A892" s="187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</row>
    <row r="893" ht="12.75" customHeight="1">
      <c r="A893" s="187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</row>
    <row r="894" ht="12.75" customHeight="1">
      <c r="A894" s="187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</row>
    <row r="895" ht="12.75" customHeight="1">
      <c r="A895" s="187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</row>
    <row r="896" ht="12.75" customHeight="1">
      <c r="A896" s="187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</row>
    <row r="897" ht="12.75" customHeight="1">
      <c r="A897" s="187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</row>
    <row r="898" ht="12.75" customHeight="1">
      <c r="A898" s="187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</row>
    <row r="899" ht="12.75" customHeight="1">
      <c r="A899" s="187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</row>
    <row r="900" ht="12.75" customHeight="1">
      <c r="A900" s="187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</row>
    <row r="901" ht="12.75" customHeight="1">
      <c r="A901" s="187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</row>
    <row r="902" ht="12.75" customHeight="1">
      <c r="A902" s="187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</row>
    <row r="903" ht="12.75" customHeight="1">
      <c r="A903" s="187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</row>
    <row r="904" ht="12.75" customHeight="1">
      <c r="A904" s="187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</row>
    <row r="905" ht="12.75" customHeight="1">
      <c r="A905" s="187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</row>
    <row r="906" ht="12.75" customHeight="1">
      <c r="A906" s="187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</row>
    <row r="907" ht="12.75" customHeight="1">
      <c r="A907" s="187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</row>
    <row r="908" ht="12.75" customHeight="1">
      <c r="A908" s="187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</row>
    <row r="909" ht="12.75" customHeight="1">
      <c r="A909" s="187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</row>
    <row r="910" ht="12.75" customHeight="1">
      <c r="A910" s="187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</row>
    <row r="911" ht="12.75" customHeight="1">
      <c r="A911" s="187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</row>
    <row r="912" ht="12.75" customHeight="1">
      <c r="A912" s="187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</row>
    <row r="913" ht="12.75" customHeight="1">
      <c r="A913" s="187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</row>
    <row r="914" ht="12.75" customHeight="1">
      <c r="A914" s="187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</row>
    <row r="915" ht="12.75" customHeight="1">
      <c r="A915" s="187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</row>
    <row r="916" ht="12.75" customHeight="1">
      <c r="A916" s="187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</row>
    <row r="917" ht="12.75" customHeight="1">
      <c r="A917" s="187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</row>
    <row r="918" ht="12.75" customHeight="1">
      <c r="A918" s="187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</row>
    <row r="919" ht="12.75" customHeight="1">
      <c r="A919" s="187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</row>
    <row r="920" ht="12.75" customHeight="1">
      <c r="A920" s="187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</row>
    <row r="921" ht="12.75" customHeight="1">
      <c r="A921" s="187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</row>
    <row r="922" ht="12.75" customHeight="1">
      <c r="A922" s="187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</row>
    <row r="923" ht="12.75" customHeight="1">
      <c r="A923" s="187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</row>
    <row r="924" ht="12.75" customHeight="1">
      <c r="A924" s="187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</row>
    <row r="925" ht="12.75" customHeight="1">
      <c r="A925" s="187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</row>
    <row r="926" ht="12.75" customHeight="1">
      <c r="A926" s="187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</row>
    <row r="927" ht="12.75" customHeight="1">
      <c r="A927" s="187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</row>
    <row r="928" ht="12.75" customHeight="1">
      <c r="A928" s="187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</row>
    <row r="929" ht="12.75" customHeight="1">
      <c r="A929" s="187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</row>
    <row r="930" ht="12.75" customHeight="1">
      <c r="A930" s="187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</row>
    <row r="931" ht="12.75" customHeight="1">
      <c r="A931" s="187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</row>
    <row r="932" ht="12.75" customHeight="1">
      <c r="A932" s="187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</row>
    <row r="933" ht="12.75" customHeight="1">
      <c r="A933" s="187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</row>
    <row r="934" ht="12.75" customHeight="1">
      <c r="A934" s="187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87"/>
      <c r="V934" s="187"/>
      <c r="W934" s="187"/>
      <c r="X934" s="187"/>
      <c r="Y934" s="187"/>
      <c r="Z934" s="187"/>
    </row>
    <row r="935" ht="12.75" customHeight="1">
      <c r="A935" s="187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87"/>
      <c r="V935" s="187"/>
      <c r="W935" s="187"/>
      <c r="X935" s="187"/>
      <c r="Y935" s="187"/>
      <c r="Z935" s="187"/>
    </row>
    <row r="936" ht="12.75" customHeight="1">
      <c r="A936" s="187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87"/>
      <c r="V936" s="187"/>
      <c r="W936" s="187"/>
      <c r="X936" s="187"/>
      <c r="Y936" s="187"/>
      <c r="Z936" s="187"/>
    </row>
    <row r="937" ht="12.75" customHeight="1">
      <c r="A937" s="187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87"/>
      <c r="V937" s="187"/>
      <c r="W937" s="187"/>
      <c r="X937" s="187"/>
      <c r="Y937" s="187"/>
      <c r="Z937" s="187"/>
    </row>
    <row r="938" ht="12.75" customHeight="1">
      <c r="A938" s="187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87"/>
      <c r="V938" s="187"/>
      <c r="W938" s="187"/>
      <c r="X938" s="187"/>
      <c r="Y938" s="187"/>
      <c r="Z938" s="187"/>
    </row>
    <row r="939" ht="12.75" customHeight="1">
      <c r="A939" s="187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87"/>
      <c r="V939" s="187"/>
      <c r="W939" s="187"/>
      <c r="X939" s="187"/>
      <c r="Y939" s="187"/>
      <c r="Z939" s="187"/>
    </row>
    <row r="940" ht="12.75" customHeight="1">
      <c r="A940" s="187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87"/>
      <c r="V940" s="187"/>
      <c r="W940" s="187"/>
      <c r="X940" s="187"/>
      <c r="Y940" s="187"/>
      <c r="Z940" s="187"/>
    </row>
    <row r="941" ht="12.75" customHeight="1">
      <c r="A941" s="187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87"/>
      <c r="V941" s="187"/>
      <c r="W941" s="187"/>
      <c r="X941" s="187"/>
      <c r="Y941" s="187"/>
      <c r="Z941" s="187"/>
    </row>
    <row r="942" ht="12.75" customHeight="1">
      <c r="A942" s="187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87"/>
      <c r="V942" s="187"/>
      <c r="W942" s="187"/>
      <c r="X942" s="187"/>
      <c r="Y942" s="187"/>
      <c r="Z942" s="187"/>
    </row>
    <row r="943" ht="12.75" customHeight="1">
      <c r="A943" s="187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87"/>
      <c r="V943" s="187"/>
      <c r="W943" s="187"/>
      <c r="X943" s="187"/>
      <c r="Y943" s="187"/>
      <c r="Z943" s="187"/>
    </row>
    <row r="944" ht="12.75" customHeight="1">
      <c r="A944" s="187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87"/>
      <c r="V944" s="187"/>
      <c r="W944" s="187"/>
      <c r="X944" s="187"/>
      <c r="Y944" s="187"/>
      <c r="Z944" s="187"/>
    </row>
    <row r="945" ht="12.75" customHeight="1">
      <c r="A945" s="187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87"/>
      <c r="V945" s="187"/>
      <c r="W945" s="187"/>
      <c r="X945" s="187"/>
      <c r="Y945" s="187"/>
      <c r="Z945" s="187"/>
    </row>
    <row r="946" ht="12.75" customHeight="1">
      <c r="A946" s="187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87"/>
      <c r="V946" s="187"/>
      <c r="W946" s="187"/>
      <c r="X946" s="187"/>
      <c r="Y946" s="187"/>
      <c r="Z946" s="187"/>
    </row>
    <row r="947" ht="12.75" customHeight="1">
      <c r="A947" s="187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87"/>
      <c r="V947" s="187"/>
      <c r="W947" s="187"/>
      <c r="X947" s="187"/>
      <c r="Y947" s="187"/>
      <c r="Z947" s="187"/>
    </row>
    <row r="948" ht="12.75" customHeight="1">
      <c r="A948" s="187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87"/>
      <c r="V948" s="187"/>
      <c r="W948" s="187"/>
      <c r="X948" s="187"/>
      <c r="Y948" s="187"/>
      <c r="Z948" s="187"/>
    </row>
    <row r="949" ht="12.75" customHeight="1">
      <c r="A949" s="187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87"/>
      <c r="V949" s="187"/>
      <c r="W949" s="187"/>
      <c r="X949" s="187"/>
      <c r="Y949" s="187"/>
      <c r="Z949" s="187"/>
    </row>
    <row r="950" ht="12.75" customHeight="1">
      <c r="A950" s="187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87"/>
      <c r="V950" s="187"/>
      <c r="W950" s="187"/>
      <c r="X950" s="187"/>
      <c r="Y950" s="187"/>
      <c r="Z950" s="187"/>
    </row>
    <row r="951" ht="12.75" customHeight="1">
      <c r="A951" s="187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87"/>
      <c r="V951" s="187"/>
      <c r="W951" s="187"/>
      <c r="X951" s="187"/>
      <c r="Y951" s="187"/>
      <c r="Z951" s="187"/>
    </row>
    <row r="952" ht="12.75" customHeight="1">
      <c r="A952" s="187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87"/>
      <c r="V952" s="187"/>
      <c r="W952" s="187"/>
      <c r="X952" s="187"/>
      <c r="Y952" s="187"/>
      <c r="Z952" s="187"/>
    </row>
    <row r="953" ht="12.75" customHeight="1">
      <c r="A953" s="187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87"/>
      <c r="V953" s="187"/>
      <c r="W953" s="187"/>
      <c r="X953" s="187"/>
      <c r="Y953" s="187"/>
      <c r="Z953" s="187"/>
    </row>
    <row r="954" ht="12.75" customHeight="1">
      <c r="A954" s="187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87"/>
      <c r="V954" s="187"/>
      <c r="W954" s="187"/>
      <c r="X954" s="187"/>
      <c r="Y954" s="187"/>
      <c r="Z954" s="187"/>
    </row>
    <row r="955" ht="12.75" customHeight="1">
      <c r="A955" s="187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87"/>
      <c r="V955" s="187"/>
      <c r="W955" s="187"/>
      <c r="X955" s="187"/>
      <c r="Y955" s="187"/>
      <c r="Z955" s="187"/>
    </row>
    <row r="956" ht="12.75" customHeight="1">
      <c r="A956" s="187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87"/>
      <c r="V956" s="187"/>
      <c r="W956" s="187"/>
      <c r="X956" s="187"/>
      <c r="Y956" s="187"/>
      <c r="Z956" s="187"/>
    </row>
    <row r="957" ht="12.75" customHeight="1">
      <c r="A957" s="187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87"/>
      <c r="V957" s="187"/>
      <c r="W957" s="187"/>
      <c r="X957" s="187"/>
      <c r="Y957" s="187"/>
      <c r="Z957" s="187"/>
    </row>
    <row r="958" ht="12.75" customHeight="1">
      <c r="A958" s="187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87"/>
      <c r="V958" s="187"/>
      <c r="W958" s="187"/>
      <c r="X958" s="187"/>
      <c r="Y958" s="187"/>
      <c r="Z958" s="187"/>
    </row>
    <row r="959" ht="12.75" customHeight="1">
      <c r="A959" s="187"/>
      <c r="B959" s="187"/>
      <c r="C959" s="187"/>
      <c r="D959" s="187"/>
      <c r="E959" s="187"/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87"/>
      <c r="V959" s="187"/>
      <c r="W959" s="187"/>
      <c r="X959" s="187"/>
      <c r="Y959" s="187"/>
      <c r="Z959" s="187"/>
    </row>
    <row r="960" ht="12.75" customHeight="1">
      <c r="A960" s="187"/>
      <c r="B960" s="187"/>
      <c r="C960" s="187"/>
      <c r="D960" s="187"/>
      <c r="E960" s="187"/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87"/>
      <c r="V960" s="187"/>
      <c r="W960" s="187"/>
      <c r="X960" s="187"/>
      <c r="Y960" s="187"/>
      <c r="Z960" s="187"/>
    </row>
    <row r="961" ht="12.75" customHeight="1">
      <c r="A961" s="187"/>
      <c r="B961" s="187"/>
      <c r="C961" s="187"/>
      <c r="D961" s="187"/>
      <c r="E961" s="187"/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87"/>
      <c r="V961" s="187"/>
      <c r="W961" s="187"/>
      <c r="X961" s="187"/>
      <c r="Y961" s="187"/>
      <c r="Z961" s="187"/>
    </row>
    <row r="962" ht="12.75" customHeight="1">
      <c r="A962" s="187"/>
      <c r="B962" s="187"/>
      <c r="C962" s="187"/>
      <c r="D962" s="187"/>
      <c r="E962" s="187"/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87"/>
      <c r="V962" s="187"/>
      <c r="W962" s="187"/>
      <c r="X962" s="187"/>
      <c r="Y962" s="187"/>
      <c r="Z962" s="187"/>
    </row>
    <row r="963" ht="12.75" customHeight="1">
      <c r="A963" s="187"/>
      <c r="B963" s="187"/>
      <c r="C963" s="187"/>
      <c r="D963" s="187"/>
      <c r="E963" s="187"/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87"/>
      <c r="V963" s="187"/>
      <c r="W963" s="187"/>
      <c r="X963" s="187"/>
      <c r="Y963" s="187"/>
      <c r="Z963" s="187"/>
    </row>
    <row r="964" ht="12.75" customHeight="1">
      <c r="A964" s="187"/>
      <c r="B964" s="187"/>
      <c r="C964" s="187"/>
      <c r="D964" s="187"/>
      <c r="E964" s="187"/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87"/>
      <c r="V964" s="187"/>
      <c r="W964" s="187"/>
      <c r="X964" s="187"/>
      <c r="Y964" s="187"/>
      <c r="Z964" s="187"/>
    </row>
    <row r="965" ht="12.75" customHeight="1">
      <c r="A965" s="187"/>
      <c r="B965" s="187"/>
      <c r="C965" s="187"/>
      <c r="D965" s="187"/>
      <c r="E965" s="187"/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87"/>
      <c r="V965" s="187"/>
      <c r="W965" s="187"/>
      <c r="X965" s="187"/>
      <c r="Y965" s="187"/>
      <c r="Z965" s="187"/>
    </row>
    <row r="966" ht="12.75" customHeight="1">
      <c r="A966" s="187"/>
      <c r="B966" s="187"/>
      <c r="C966" s="187"/>
      <c r="D966" s="187"/>
      <c r="E966" s="187"/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87"/>
      <c r="V966" s="187"/>
      <c r="W966" s="187"/>
      <c r="X966" s="187"/>
      <c r="Y966" s="187"/>
      <c r="Z966" s="187"/>
    </row>
    <row r="967" ht="12.75" customHeight="1">
      <c r="A967" s="187"/>
      <c r="B967" s="187"/>
      <c r="C967" s="187"/>
      <c r="D967" s="187"/>
      <c r="E967" s="187"/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87"/>
      <c r="V967" s="187"/>
      <c r="W967" s="187"/>
      <c r="X967" s="187"/>
      <c r="Y967" s="187"/>
      <c r="Z967" s="187"/>
    </row>
    <row r="968" ht="12.75" customHeight="1">
      <c r="A968" s="187"/>
      <c r="B968" s="187"/>
      <c r="C968" s="187"/>
      <c r="D968" s="187"/>
      <c r="E968" s="187"/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87"/>
      <c r="V968" s="187"/>
      <c r="W968" s="187"/>
      <c r="X968" s="187"/>
      <c r="Y968" s="187"/>
      <c r="Z968" s="187"/>
    </row>
    <row r="969" ht="12.75" customHeight="1">
      <c r="A969" s="187"/>
      <c r="B969" s="187"/>
      <c r="C969" s="187"/>
      <c r="D969" s="187"/>
      <c r="E969" s="187"/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87"/>
      <c r="V969" s="187"/>
      <c r="W969" s="187"/>
      <c r="X969" s="187"/>
      <c r="Y969" s="187"/>
      <c r="Z969" s="187"/>
    </row>
    <row r="970" ht="12.75" customHeight="1">
      <c r="A970" s="187"/>
      <c r="B970" s="187"/>
      <c r="C970" s="187"/>
      <c r="D970" s="187"/>
      <c r="E970" s="187"/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87"/>
      <c r="V970" s="187"/>
      <c r="W970" s="187"/>
      <c r="X970" s="187"/>
      <c r="Y970" s="187"/>
      <c r="Z970" s="187"/>
    </row>
    <row r="971" ht="12.75" customHeight="1">
      <c r="A971" s="187"/>
      <c r="B971" s="187"/>
      <c r="C971" s="187"/>
      <c r="D971" s="187"/>
      <c r="E971" s="187"/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87"/>
      <c r="V971" s="187"/>
      <c r="W971" s="187"/>
      <c r="X971" s="187"/>
      <c r="Y971" s="187"/>
      <c r="Z971" s="187"/>
    </row>
    <row r="972" ht="12.75" customHeight="1">
      <c r="A972" s="187"/>
      <c r="B972" s="187"/>
      <c r="C972" s="187"/>
      <c r="D972" s="187"/>
      <c r="E972" s="187"/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87"/>
      <c r="V972" s="187"/>
      <c r="W972" s="187"/>
      <c r="X972" s="187"/>
      <c r="Y972" s="187"/>
      <c r="Z972" s="187"/>
    </row>
    <row r="973" ht="12.75" customHeight="1">
      <c r="A973" s="187"/>
      <c r="B973" s="187"/>
      <c r="C973" s="187"/>
      <c r="D973" s="187"/>
      <c r="E973" s="187"/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87"/>
      <c r="V973" s="187"/>
      <c r="W973" s="187"/>
      <c r="X973" s="187"/>
      <c r="Y973" s="187"/>
      <c r="Z973" s="187"/>
    </row>
    <row r="974" ht="12.75" customHeight="1">
      <c r="A974" s="187"/>
      <c r="B974" s="187"/>
      <c r="C974" s="187"/>
      <c r="D974" s="187"/>
      <c r="E974" s="187"/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87"/>
      <c r="V974" s="187"/>
      <c r="W974" s="187"/>
      <c r="X974" s="187"/>
      <c r="Y974" s="187"/>
      <c r="Z974" s="187"/>
    </row>
    <row r="975" ht="12.75" customHeight="1">
      <c r="A975" s="187"/>
      <c r="B975" s="187"/>
      <c r="C975" s="187"/>
      <c r="D975" s="187"/>
      <c r="E975" s="187"/>
      <c r="F975" s="187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87"/>
      <c r="V975" s="187"/>
      <c r="W975" s="187"/>
      <c r="X975" s="187"/>
      <c r="Y975" s="187"/>
      <c r="Z975" s="187"/>
    </row>
    <row r="976" ht="12.75" customHeight="1">
      <c r="A976" s="187"/>
      <c r="B976" s="187"/>
      <c r="C976" s="187"/>
      <c r="D976" s="187"/>
      <c r="E976" s="187"/>
      <c r="F976" s="187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87"/>
      <c r="V976" s="187"/>
      <c r="W976" s="187"/>
      <c r="X976" s="187"/>
      <c r="Y976" s="187"/>
      <c r="Z976" s="187"/>
    </row>
    <row r="977" ht="12.75" customHeight="1">
      <c r="A977" s="187"/>
      <c r="B977" s="187"/>
      <c r="C977" s="187"/>
      <c r="D977" s="187"/>
      <c r="E977" s="187"/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87"/>
      <c r="V977" s="187"/>
      <c r="W977" s="187"/>
      <c r="X977" s="187"/>
      <c r="Y977" s="187"/>
      <c r="Z977" s="187"/>
    </row>
    <row r="978" ht="12.75" customHeight="1">
      <c r="A978" s="187"/>
      <c r="B978" s="187"/>
      <c r="C978" s="187"/>
      <c r="D978" s="187"/>
      <c r="E978" s="187"/>
      <c r="F978" s="187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87"/>
      <c r="V978" s="187"/>
      <c r="W978" s="187"/>
      <c r="X978" s="187"/>
      <c r="Y978" s="187"/>
      <c r="Z978" s="187"/>
    </row>
    <row r="979" ht="12.75" customHeight="1">
      <c r="A979" s="187"/>
      <c r="B979" s="187"/>
      <c r="C979" s="187"/>
      <c r="D979" s="187"/>
      <c r="E979" s="187"/>
      <c r="F979" s="187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87"/>
      <c r="V979" s="187"/>
      <c r="W979" s="187"/>
      <c r="X979" s="187"/>
      <c r="Y979" s="187"/>
      <c r="Z979" s="187"/>
    </row>
    <row r="980" ht="12.75" customHeight="1">
      <c r="A980" s="187"/>
      <c r="B980" s="187"/>
      <c r="C980" s="187"/>
      <c r="D980" s="187"/>
      <c r="E980" s="187"/>
      <c r="F980" s="187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87"/>
      <c r="V980" s="187"/>
      <c r="W980" s="187"/>
      <c r="X980" s="187"/>
      <c r="Y980" s="187"/>
      <c r="Z980" s="187"/>
    </row>
    <row r="981" ht="12.75" customHeight="1">
      <c r="A981" s="187"/>
      <c r="B981" s="187"/>
      <c r="C981" s="187"/>
      <c r="D981" s="187"/>
      <c r="E981" s="187"/>
      <c r="F981" s="187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87"/>
      <c r="V981" s="187"/>
      <c r="W981" s="187"/>
      <c r="X981" s="187"/>
      <c r="Y981" s="187"/>
      <c r="Z981" s="187"/>
    </row>
    <row r="982" ht="12.75" customHeight="1">
      <c r="A982" s="187"/>
      <c r="B982" s="187"/>
      <c r="C982" s="187"/>
      <c r="D982" s="187"/>
      <c r="E982" s="187"/>
      <c r="F982" s="187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87"/>
      <c r="V982" s="187"/>
      <c r="W982" s="187"/>
      <c r="X982" s="187"/>
      <c r="Y982" s="187"/>
      <c r="Z982" s="187"/>
    </row>
    <row r="983" ht="12.75" customHeight="1">
      <c r="A983" s="187"/>
      <c r="B983" s="187"/>
      <c r="C983" s="187"/>
      <c r="D983" s="187"/>
      <c r="E983" s="187"/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87"/>
      <c r="V983" s="187"/>
      <c r="W983" s="187"/>
      <c r="X983" s="187"/>
      <c r="Y983" s="187"/>
      <c r="Z983" s="187"/>
    </row>
    <row r="984" ht="12.75" customHeight="1">
      <c r="A984" s="187"/>
      <c r="B984" s="187"/>
      <c r="C984" s="187"/>
      <c r="D984" s="187"/>
      <c r="E984" s="187"/>
      <c r="F984" s="187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87"/>
      <c r="V984" s="187"/>
      <c r="W984" s="187"/>
      <c r="X984" s="187"/>
      <c r="Y984" s="187"/>
      <c r="Z984" s="187"/>
    </row>
    <row r="985" ht="12.75" customHeight="1">
      <c r="A985" s="187"/>
      <c r="B985" s="187"/>
      <c r="C985" s="187"/>
      <c r="D985" s="187"/>
      <c r="E985" s="187"/>
      <c r="F985" s="187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87"/>
      <c r="V985" s="187"/>
      <c r="W985" s="187"/>
      <c r="X985" s="187"/>
      <c r="Y985" s="187"/>
      <c r="Z985" s="187"/>
    </row>
    <row r="986" ht="12.75" customHeight="1">
      <c r="A986" s="187"/>
      <c r="B986" s="187"/>
      <c r="C986" s="187"/>
      <c r="D986" s="187"/>
      <c r="E986" s="187"/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87"/>
      <c r="V986" s="187"/>
      <c r="W986" s="187"/>
      <c r="X986" s="187"/>
      <c r="Y986" s="187"/>
      <c r="Z986" s="187"/>
    </row>
    <row r="987" ht="12.75" customHeight="1">
      <c r="A987" s="187"/>
      <c r="B987" s="187"/>
      <c r="C987" s="187"/>
      <c r="D987" s="187"/>
      <c r="E987" s="187"/>
      <c r="F987" s="187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87"/>
      <c r="V987" s="187"/>
      <c r="W987" s="187"/>
      <c r="X987" s="187"/>
      <c r="Y987" s="187"/>
      <c r="Z987" s="187"/>
    </row>
    <row r="988" ht="12.75" customHeight="1">
      <c r="A988" s="187"/>
      <c r="B988" s="187"/>
      <c r="C988" s="187"/>
      <c r="D988" s="187"/>
      <c r="E988" s="187"/>
      <c r="F988" s="187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87"/>
      <c r="V988" s="187"/>
      <c r="W988" s="187"/>
      <c r="X988" s="187"/>
      <c r="Y988" s="187"/>
      <c r="Z988" s="187"/>
    </row>
    <row r="989" ht="12.75" customHeight="1">
      <c r="A989" s="187"/>
      <c r="B989" s="187"/>
      <c r="C989" s="187"/>
      <c r="D989" s="187"/>
      <c r="E989" s="187"/>
      <c r="F989" s="187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87"/>
      <c r="V989" s="187"/>
      <c r="W989" s="187"/>
      <c r="X989" s="187"/>
      <c r="Y989" s="187"/>
      <c r="Z989" s="187"/>
    </row>
    <row r="990" ht="12.75" customHeight="1">
      <c r="A990" s="187"/>
      <c r="B990" s="187"/>
      <c r="C990" s="187"/>
      <c r="D990" s="187"/>
      <c r="E990" s="187"/>
      <c r="F990" s="187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87"/>
      <c r="V990" s="187"/>
      <c r="W990" s="187"/>
      <c r="X990" s="187"/>
      <c r="Y990" s="187"/>
      <c r="Z990" s="187"/>
    </row>
    <row r="991" ht="12.75" customHeight="1">
      <c r="A991" s="187"/>
      <c r="B991" s="187"/>
      <c r="C991" s="187"/>
      <c r="D991" s="187"/>
      <c r="E991" s="187"/>
      <c r="F991" s="187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87"/>
      <c r="V991" s="187"/>
      <c r="W991" s="187"/>
      <c r="X991" s="187"/>
      <c r="Y991" s="187"/>
      <c r="Z991" s="187"/>
    </row>
    <row r="992" ht="12.75" customHeight="1">
      <c r="A992" s="187"/>
      <c r="B992" s="187"/>
      <c r="C992" s="187"/>
      <c r="D992" s="187"/>
      <c r="E992" s="187"/>
      <c r="F992" s="187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87"/>
      <c r="V992" s="187"/>
      <c r="W992" s="187"/>
      <c r="X992" s="187"/>
      <c r="Y992" s="187"/>
      <c r="Z992" s="187"/>
    </row>
    <row r="993" ht="12.75" customHeight="1">
      <c r="A993" s="187"/>
      <c r="B993" s="187"/>
      <c r="C993" s="187"/>
      <c r="D993" s="187"/>
      <c r="E993" s="187"/>
      <c r="F993" s="187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87"/>
      <c r="V993" s="187"/>
      <c r="W993" s="187"/>
      <c r="X993" s="187"/>
      <c r="Y993" s="187"/>
      <c r="Z993" s="187"/>
    </row>
    <row r="994" ht="12.75" customHeight="1">
      <c r="A994" s="187"/>
      <c r="B994" s="187"/>
      <c r="C994" s="187"/>
      <c r="D994" s="187"/>
      <c r="E994" s="187"/>
      <c r="F994" s="187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87"/>
      <c r="V994" s="187"/>
      <c r="W994" s="187"/>
      <c r="X994" s="187"/>
      <c r="Y994" s="187"/>
      <c r="Z994" s="187"/>
    </row>
    <row r="995" ht="12.75" customHeight="1">
      <c r="A995" s="187"/>
      <c r="B995" s="187"/>
      <c r="C995" s="187"/>
      <c r="D995" s="187"/>
      <c r="E995" s="187"/>
      <c r="F995" s="187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87"/>
      <c r="V995" s="187"/>
      <c r="W995" s="187"/>
      <c r="X995" s="187"/>
      <c r="Y995" s="187"/>
      <c r="Z995" s="187"/>
    </row>
    <row r="996" ht="12.75" customHeight="1">
      <c r="A996" s="187"/>
      <c r="B996" s="187"/>
      <c r="C996" s="187"/>
      <c r="D996" s="187"/>
      <c r="E996" s="187"/>
      <c r="F996" s="187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87"/>
      <c r="V996" s="187"/>
      <c r="W996" s="187"/>
      <c r="X996" s="187"/>
      <c r="Y996" s="187"/>
      <c r="Z996" s="187"/>
    </row>
    <row r="997" ht="12.75" customHeight="1">
      <c r="A997" s="187"/>
      <c r="B997" s="187"/>
      <c r="C997" s="187"/>
      <c r="D997" s="187"/>
      <c r="E997" s="187"/>
      <c r="F997" s="187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87"/>
      <c r="V997" s="187"/>
      <c r="W997" s="187"/>
      <c r="X997" s="187"/>
      <c r="Y997" s="187"/>
      <c r="Z997" s="187"/>
    </row>
    <row r="998" ht="12.75" customHeight="1">
      <c r="A998" s="187"/>
      <c r="B998" s="187"/>
      <c r="C998" s="187"/>
      <c r="D998" s="187"/>
      <c r="E998" s="187"/>
      <c r="F998" s="187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87"/>
      <c r="V998" s="187"/>
      <c r="W998" s="187"/>
      <c r="X998" s="187"/>
      <c r="Y998" s="187"/>
      <c r="Z998" s="187"/>
    </row>
    <row r="999" ht="12.75" customHeight="1">
      <c r="A999" s="187"/>
      <c r="B999" s="187"/>
      <c r="C999" s="187"/>
      <c r="D999" s="187"/>
      <c r="E999" s="187"/>
      <c r="F999" s="187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87"/>
      <c r="V999" s="187"/>
      <c r="W999" s="187"/>
      <c r="X999" s="187"/>
      <c r="Y999" s="187"/>
      <c r="Z999" s="187"/>
    </row>
    <row r="1000" ht="12.75" customHeight="1">
      <c r="A1000" s="187"/>
      <c r="B1000" s="187"/>
      <c r="C1000" s="187"/>
      <c r="D1000" s="187"/>
      <c r="E1000" s="187"/>
      <c r="F1000" s="187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87"/>
      <c r="V1000" s="187"/>
      <c r="W1000" s="187"/>
      <c r="X1000" s="187"/>
      <c r="Y1000" s="187"/>
      <c r="Z1000" s="187"/>
    </row>
  </sheetData>
  <mergeCells count="80">
    <mergeCell ref="J21:J22"/>
    <mergeCell ref="K21:K22"/>
    <mergeCell ref="J24:J25"/>
    <mergeCell ref="K24:K25"/>
    <mergeCell ref="B21:B22"/>
    <mergeCell ref="C21:C22"/>
    <mergeCell ref="D21:D22"/>
    <mergeCell ref="E21:E22"/>
    <mergeCell ref="F21:F22"/>
    <mergeCell ref="G21:G22"/>
    <mergeCell ref="A23:K23"/>
    <mergeCell ref="G24:G25"/>
    <mergeCell ref="A26:K26"/>
    <mergeCell ref="A21:A22"/>
    <mergeCell ref="A24:A25"/>
    <mergeCell ref="B24:B25"/>
    <mergeCell ref="C24:C25"/>
    <mergeCell ref="D24:D25"/>
    <mergeCell ref="E24:E25"/>
    <mergeCell ref="F24:F25"/>
    <mergeCell ref="J27:J28"/>
    <mergeCell ref="K27:K28"/>
    <mergeCell ref="J30:J31"/>
    <mergeCell ref="K30:K31"/>
    <mergeCell ref="B27:B28"/>
    <mergeCell ref="C27:C28"/>
    <mergeCell ref="D27:D28"/>
    <mergeCell ref="E27:E28"/>
    <mergeCell ref="F27:F28"/>
    <mergeCell ref="G27:G28"/>
    <mergeCell ref="A29:K29"/>
    <mergeCell ref="G30:G31"/>
    <mergeCell ref="A32:K32"/>
    <mergeCell ref="A33:G33"/>
    <mergeCell ref="A34:K34"/>
    <mergeCell ref="A27:A28"/>
    <mergeCell ref="A30:A31"/>
    <mergeCell ref="B30:B31"/>
    <mergeCell ref="C30:C31"/>
    <mergeCell ref="D30:D31"/>
    <mergeCell ref="E30:E31"/>
    <mergeCell ref="F30:F31"/>
    <mergeCell ref="A1:K3"/>
    <mergeCell ref="A6:K6"/>
    <mergeCell ref="A7:K8"/>
    <mergeCell ref="A9:K10"/>
    <mergeCell ref="F11:G11"/>
    <mergeCell ref="H11:I11"/>
    <mergeCell ref="J11:K11"/>
    <mergeCell ref="G12:G13"/>
    <mergeCell ref="J12:J13"/>
    <mergeCell ref="K12:K13"/>
    <mergeCell ref="A14:K14"/>
    <mergeCell ref="C11:D11"/>
    <mergeCell ref="A12:A13"/>
    <mergeCell ref="B12:B13"/>
    <mergeCell ref="C12:C13"/>
    <mergeCell ref="D12:D13"/>
    <mergeCell ref="E12:E13"/>
    <mergeCell ref="F12:F13"/>
    <mergeCell ref="J15:J16"/>
    <mergeCell ref="K15:K16"/>
    <mergeCell ref="J18:J19"/>
    <mergeCell ref="K18:K19"/>
    <mergeCell ref="B15:B16"/>
    <mergeCell ref="C15:C16"/>
    <mergeCell ref="D15:D16"/>
    <mergeCell ref="E15:E16"/>
    <mergeCell ref="F15:F16"/>
    <mergeCell ref="G15:G16"/>
    <mergeCell ref="A17:K17"/>
    <mergeCell ref="G18:G19"/>
    <mergeCell ref="A20:K20"/>
    <mergeCell ref="A15:A16"/>
    <mergeCell ref="A18:A19"/>
    <mergeCell ref="B18:B19"/>
    <mergeCell ref="C18:C19"/>
    <mergeCell ref="D18:D19"/>
    <mergeCell ref="E18:E19"/>
    <mergeCell ref="F18:F19"/>
  </mergeCells>
  <printOptions/>
  <pageMargins bottom="0.75" footer="0.0" header="0.0" left="0.7" right="0.7" top="0.75"/>
  <pageSetup paperSize="9" scale="70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2002-09-30T22:10:22Z</dcterms:created>
  <dc:creator>Anthony Sammut</dc:creator>
</cp:coreProperties>
</file>