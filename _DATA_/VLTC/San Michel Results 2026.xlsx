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 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</sheets>
  <definedNames/>
  <calcPr/>
  <extLst>
    <ext uri="GoogleSheetsCustomDataVersion2">
      <go:sheetsCustomData xmlns:go="http://customooxmlschemas.google.com/" r:id="rId19" roundtripDataChecksum="ZApC92k/iOdvNzlaLrU7O0TRVtrRnQi3NQpWZ32Ro3I="/>
    </ext>
  </extLst>
</workbook>
</file>

<file path=xl/sharedStrings.xml><?xml version="1.0" encoding="utf-8"?>
<sst xmlns="http://schemas.openxmlformats.org/spreadsheetml/2006/main" count="2613" uniqueCount="357">
  <si>
    <t>VITTORIOSA LAWN TENNIS CLUB</t>
  </si>
  <si>
    <t>SAN MICHEL TEAM TOURNAMENT - 2026</t>
  </si>
  <si>
    <t>TEAM A</t>
  </si>
  <si>
    <t>TEAM B</t>
  </si>
  <si>
    <t>TEAM C</t>
  </si>
  <si>
    <t>TEAM D</t>
  </si>
  <si>
    <t>TEAM E</t>
  </si>
  <si>
    <t>TEAM F</t>
  </si>
  <si>
    <t>CAPTAIN</t>
  </si>
  <si>
    <t>Christine Scerri</t>
  </si>
  <si>
    <t>Cory Greenland</t>
  </si>
  <si>
    <t>Jean Paul Sciberras</t>
  </si>
  <si>
    <t>Juan Sammut</t>
  </si>
  <si>
    <t>Roberto Murdocco</t>
  </si>
  <si>
    <t>Diane Fenech</t>
  </si>
  <si>
    <t>MEN</t>
  </si>
  <si>
    <t>A1</t>
  </si>
  <si>
    <t>Clayton Zammit Cesare</t>
  </si>
  <si>
    <t>Gareth Magri</t>
  </si>
  <si>
    <t>Matthew Pace</t>
  </si>
  <si>
    <t>Duncan D'Alessandro</t>
  </si>
  <si>
    <t>Trevor Rutter</t>
  </si>
  <si>
    <t>Kurt Carabott</t>
  </si>
  <si>
    <t>A2</t>
  </si>
  <si>
    <t>Andrew Pule'</t>
  </si>
  <si>
    <t>Fotios Evangelou</t>
  </si>
  <si>
    <t>Manuel Bonello</t>
  </si>
  <si>
    <t>Jesmond Pule'</t>
  </si>
  <si>
    <t>Marco Mercieca</t>
  </si>
  <si>
    <t>Jean Attard</t>
  </si>
  <si>
    <t>A3</t>
  </si>
  <si>
    <t>Jonathan Martinelli</t>
  </si>
  <si>
    <t>Javier Viloria</t>
  </si>
  <si>
    <t>Peter Khiev</t>
  </si>
  <si>
    <t>David Mifsud</t>
  </si>
  <si>
    <t>Ivan Cachia</t>
  </si>
  <si>
    <t>Andrew Spiteri Willets</t>
  </si>
  <si>
    <t>B1</t>
  </si>
  <si>
    <t>Cyril Lastimosa</t>
  </si>
  <si>
    <t>Kristen Cachia</t>
  </si>
  <si>
    <t>Jonathan Vella</t>
  </si>
  <si>
    <t>David Schembri</t>
  </si>
  <si>
    <t>Emman Xuereb</t>
  </si>
  <si>
    <t>Sergey Kasatkin</t>
  </si>
  <si>
    <t>B2</t>
  </si>
  <si>
    <t>Clint Agius</t>
  </si>
  <si>
    <t>Ivan Cassar</t>
  </si>
  <si>
    <t>Willlem Steenkamer</t>
  </si>
  <si>
    <t>George Grech</t>
  </si>
  <si>
    <t>Luke Genuis</t>
  </si>
  <si>
    <t>Richard Curmi</t>
  </si>
  <si>
    <t>B3</t>
  </si>
  <si>
    <t>Sandro Pecorella</t>
  </si>
  <si>
    <t>Tobias Kristensen</t>
  </si>
  <si>
    <t>Jean Paul Vella</t>
  </si>
  <si>
    <t>Jurgen Farrugia</t>
  </si>
  <si>
    <t>Steve Gambin</t>
  </si>
  <si>
    <t>C1</t>
  </si>
  <si>
    <t>Alain Frendo</t>
  </si>
  <si>
    <t>Kenneth Farrugia</t>
  </si>
  <si>
    <t>Matthew Schembri</t>
  </si>
  <si>
    <t>Etienne Formosa Carabez</t>
  </si>
  <si>
    <t>Max Anastasi</t>
  </si>
  <si>
    <t>Julian Esposito</t>
  </si>
  <si>
    <t>C2</t>
  </si>
  <si>
    <t>Charles Sacco</t>
  </si>
  <si>
    <t>Manuel Mifsud</t>
  </si>
  <si>
    <t>Jason Lee Evans</t>
  </si>
  <si>
    <t>Jordan Lastimosa</t>
  </si>
  <si>
    <t>Simone Re</t>
  </si>
  <si>
    <t>C3</t>
  </si>
  <si>
    <t>Redent Scicluna</t>
  </si>
  <si>
    <t>Sam Micallef</t>
  </si>
  <si>
    <t>Aaron Micallef Piccone</t>
  </si>
  <si>
    <t>Dunstan Vella</t>
  </si>
  <si>
    <t>D1</t>
  </si>
  <si>
    <t>Daniele Privitera</t>
  </si>
  <si>
    <t>David Camilleri</t>
  </si>
  <si>
    <t>Kenneth Caruana</t>
  </si>
  <si>
    <t>Joseph Randich</t>
  </si>
  <si>
    <t>Matthias Cremona</t>
  </si>
  <si>
    <t>Ryan Ebejer</t>
  </si>
  <si>
    <t>D2</t>
  </si>
  <si>
    <t>Antoine Bugeja</t>
  </si>
  <si>
    <t>Matthew Napier</t>
  </si>
  <si>
    <t>Kevin Sciberras</t>
  </si>
  <si>
    <t>Clifford Debono</t>
  </si>
  <si>
    <t>Braydon Galea</t>
  </si>
  <si>
    <t>Clinton Cutajar</t>
  </si>
  <si>
    <t>D3</t>
  </si>
  <si>
    <t>Dorian Demanuele</t>
  </si>
  <si>
    <t>Mario Abdilla</t>
  </si>
  <si>
    <t>Alberto Bafumi</t>
  </si>
  <si>
    <t>Owen Farrugia</t>
  </si>
  <si>
    <t>Oliver Brincat</t>
  </si>
  <si>
    <t>Robert Attard</t>
  </si>
  <si>
    <t>LADIES</t>
  </si>
  <si>
    <t>Amanda Falzon</t>
  </si>
  <si>
    <t>Christine Schembri</t>
  </si>
  <si>
    <t>Alexia Spiteri Willets</t>
  </si>
  <si>
    <t>Leanne Vassallo</t>
  </si>
  <si>
    <t>AnnMarie Mangion</t>
  </si>
  <si>
    <t>Renette Magro</t>
  </si>
  <si>
    <t>Kirsty Mercieca</t>
  </si>
  <si>
    <t>Kaya Sammut</t>
  </si>
  <si>
    <t>Lucienne Meli</t>
  </si>
  <si>
    <t>Alison Muscat</t>
  </si>
  <si>
    <t>Elaine Grech</t>
  </si>
  <si>
    <t>Christina Bonett</t>
  </si>
  <si>
    <t>Yanika Pace</t>
  </si>
  <si>
    <t>Kelsey Gauci</t>
  </si>
  <si>
    <t>Olivia Belli</t>
  </si>
  <si>
    <t>Louise Qi</t>
  </si>
  <si>
    <t>Mae Jane Manzanares</t>
  </si>
  <si>
    <t>Anthea Gauci</t>
  </si>
  <si>
    <t>Silvana Portelli</t>
  </si>
  <si>
    <t>Andrea Magaldi</t>
  </si>
  <si>
    <t>Kristina Briffa</t>
  </si>
  <si>
    <t>Anabel Borg</t>
  </si>
  <si>
    <t>Dorianne Buhagiar</t>
  </si>
  <si>
    <t>Maria Angela Gambin</t>
  </si>
  <si>
    <t>Deborah Farrugia</t>
  </si>
  <si>
    <t>Giada Sciberras</t>
  </si>
  <si>
    <t>Brenda Baldacchino</t>
  </si>
  <si>
    <t>Sue Stevenson</t>
  </si>
  <si>
    <t>Nancy Wong</t>
  </si>
  <si>
    <t>Ann-Marie Attard</t>
  </si>
  <si>
    <t>Tiffany Fenech</t>
  </si>
  <si>
    <t>Sabrina Xuereb</t>
  </si>
  <si>
    <t>Jade Sammut</t>
  </si>
  <si>
    <t>Sarah Axiaq</t>
  </si>
  <si>
    <t>Mariska Steenkamer</t>
  </si>
  <si>
    <t>Romina Gauci</t>
  </si>
  <si>
    <t>Janice Galea</t>
  </si>
  <si>
    <t>Karolina Papiernik</t>
  </si>
  <si>
    <t>Francesca Mamo</t>
  </si>
  <si>
    <t>Frances Saliba Hersey</t>
  </si>
  <si>
    <t>Leanne Sammut</t>
  </si>
  <si>
    <t>Tiziana Spiteri</t>
  </si>
  <si>
    <t>Josette Cassar</t>
  </si>
  <si>
    <t>Alida Borg</t>
  </si>
  <si>
    <t>Jodie Stivala</t>
  </si>
  <si>
    <t>Jennifer Roca</t>
  </si>
  <si>
    <t>Maria Ellul</t>
  </si>
  <si>
    <t>Daphne Vella</t>
  </si>
  <si>
    <t>Christabel Chetcuti</t>
  </si>
  <si>
    <t>Brenda Bugeja</t>
  </si>
  <si>
    <t>Mary Borg</t>
  </si>
  <si>
    <t>Roberta Grixti</t>
  </si>
  <si>
    <t>Kim Bonello</t>
  </si>
  <si>
    <t>A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</si>
  <si>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</si>
  <si>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</si>
  <si>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</si>
  <si>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</si>
  <si>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</si>
  <si>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</si>
  <si>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</si>
  <si>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</si>
  <si>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</si>
  <si>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</si>
  <si>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</si>
  <si>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B</t>
  </si>
  <si>
    <t>C</t>
  </si>
  <si>
    <t>Willem Steenkamer</t>
  </si>
  <si>
    <t>D</t>
  </si>
  <si>
    <t>Owen Scicluna</t>
  </si>
  <si>
    <t>E</t>
  </si>
  <si>
    <t>Aaron Micallef Piccione</t>
  </si>
  <si>
    <t>Annmarie Mangion</t>
  </si>
  <si>
    <t>F</t>
  </si>
  <si>
    <t>ROUND 1</t>
  </si>
  <si>
    <t>Total Day 1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</si>
  <si>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</si>
  <si>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</si>
  <si>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</si>
  <si>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</si>
  <si>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</si>
  <si>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</si>
  <si>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</si>
  <si>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 Christine Scerri</t>
  </si>
  <si>
    <t>Fri</t>
  </si>
  <si>
    <t>Sat</t>
  </si>
  <si>
    <t>TEAM B: Cory Greenland</t>
  </si>
  <si>
    <t>TEAM C: Jean Paul Sciberras</t>
  </si>
  <si>
    <t>TEAM D:  Juan Sammut</t>
  </si>
  <si>
    <t>TEAM E: Roberto Murdocco</t>
  </si>
  <si>
    <t>TEAM F: Diane Fenech</t>
  </si>
  <si>
    <t>ROUND 2</t>
  </si>
  <si>
    <t>Total Day 6</t>
  </si>
  <si>
    <t>Total Day 7</t>
  </si>
  <si>
    <t>Total Day 8</t>
  </si>
  <si>
    <t>Total Day 9</t>
  </si>
  <si>
    <t>Total Day 10</t>
  </si>
  <si>
    <t>Total   Rounds  1 &amp; 2</t>
  </si>
  <si>
    <t>`</t>
  </si>
  <si>
    <t>SAN MICHEL TEAM TOURNAMENT 2026</t>
  </si>
  <si>
    <t>DAY 1 - 30/01/2026 - 31/01/2026</t>
  </si>
  <si>
    <t>Court 1</t>
  </si>
  <si>
    <t>Time</t>
  </si>
  <si>
    <t>Rubber</t>
  </si>
  <si>
    <t>vs</t>
  </si>
  <si>
    <t>Games</t>
  </si>
  <si>
    <t>Sets</t>
  </si>
  <si>
    <t>6.30 pm</t>
  </si>
  <si>
    <t>Lad A</t>
  </si>
  <si>
    <t>7.45 pm</t>
  </si>
  <si>
    <t>Men C</t>
  </si>
  <si>
    <t>9.00 pm</t>
  </si>
  <si>
    <t>Men A</t>
  </si>
  <si>
    <t>Jonathan Vella (pro) Peter Khiev</t>
  </si>
  <si>
    <t>6.30pm</t>
  </si>
  <si>
    <t>Lad B</t>
  </si>
  <si>
    <t>Total Day 1 A</t>
  </si>
  <si>
    <t>3.30pm</t>
  </si>
  <si>
    <t>Men D</t>
  </si>
  <si>
    <t>5.00pm</t>
  </si>
  <si>
    <t>Men B</t>
  </si>
  <si>
    <t>Alain Frendo(PRO)Cyril Lastimosa</t>
  </si>
  <si>
    <t>Jonatahn Vella</t>
  </si>
  <si>
    <t>Lad C</t>
  </si>
  <si>
    <t>Francesca</t>
  </si>
  <si>
    <t>Total Day 1B</t>
  </si>
  <si>
    <t xml:space="preserve">Total Day 1 </t>
  </si>
  <si>
    <t>Court 2</t>
  </si>
  <si>
    <t>TEAM D: Juan Sammut</t>
  </si>
  <si>
    <t>3.30 pm</t>
  </si>
  <si>
    <t>Louse Qi</t>
  </si>
  <si>
    <t>Court 4</t>
  </si>
  <si>
    <t>Team B: Cory Greenland</t>
  </si>
  <si>
    <t>Ann Marie Attard</t>
  </si>
  <si>
    <t>Andrea Magaldi (pro) Kaya Sammut</t>
  </si>
  <si>
    <t>9.00pm</t>
  </si>
  <si>
    <t xml:space="preserve"> </t>
  </si>
  <si>
    <t>Day 2 - 06/02/2026 - 07/02/2026</t>
  </si>
  <si>
    <t>Team E: Roberto Murdocco</t>
  </si>
  <si>
    <t>Fotos Evangelou</t>
  </si>
  <si>
    <t>Christabelle Chetcuti</t>
  </si>
  <si>
    <t xml:space="preserve"> vs</t>
  </si>
  <si>
    <t>Total Day 2 A</t>
  </si>
  <si>
    <t>5.00 pm</t>
  </si>
  <si>
    <t>5.30 pm</t>
  </si>
  <si>
    <t>Total Day 2B</t>
  </si>
  <si>
    <t xml:space="preserve">Total Day 2 </t>
  </si>
  <si>
    <t>Team A: Christine Scerri</t>
  </si>
  <si>
    <t>Team F: Diane Fenech</t>
  </si>
  <si>
    <t>4.15 pm</t>
  </si>
  <si>
    <t>Team C: Jean Paul Sciberras</t>
  </si>
  <si>
    <t>Team D: Juan Sammut</t>
  </si>
  <si>
    <t xml:space="preserve">Day 3 - </t>
  </si>
  <si>
    <t xml:space="preserve">Court 1 </t>
  </si>
  <si>
    <t>TEAM C: JEAN PAUL</t>
  </si>
  <si>
    <t>TEAM F: DIANE</t>
  </si>
  <si>
    <t>Total Day 3 A</t>
  </si>
  <si>
    <t>Total Day 3B</t>
  </si>
  <si>
    <t xml:space="preserve">Total Day 3 </t>
  </si>
  <si>
    <t>TEAM D:  JUAN</t>
  </si>
  <si>
    <t>TEAM B:  CORY</t>
  </si>
  <si>
    <t>Omar Farrugia</t>
  </si>
  <si>
    <t>Duncan D`Alessandro</t>
  </si>
  <si>
    <t>Jesmond Pule`</t>
  </si>
  <si>
    <t>TEAM A:  CHRISTINE</t>
  </si>
  <si>
    <t>TEAM E:  ROBERTO</t>
  </si>
  <si>
    <t>Day 4 - 20/02/2026 &amp; 21/02/2026</t>
  </si>
  <si>
    <t>Team D:  Juan</t>
  </si>
  <si>
    <t>Team F:  Diane</t>
  </si>
  <si>
    <t>Ret</t>
  </si>
  <si>
    <t>AnnMarie Attard</t>
  </si>
  <si>
    <t>Total Day 4 A</t>
  </si>
  <si>
    <t>Total Day 4B</t>
  </si>
  <si>
    <t xml:space="preserve">Total Day 4 </t>
  </si>
  <si>
    <t>TEAM C:  Jean Paul</t>
  </si>
  <si>
    <t>TEAM E:  Roberto</t>
  </si>
  <si>
    <t>Alberto Bufumi</t>
  </si>
  <si>
    <t>TEAM A:  Christine</t>
  </si>
  <si>
    <t>TEAM B:  Cory</t>
  </si>
  <si>
    <t xml:space="preserve">Andrew Pule' </t>
  </si>
  <si>
    <t>Fotis Evangelou</t>
  </si>
  <si>
    <t>Janice Galea(pro)Silvana Portelli</t>
  </si>
  <si>
    <t>Day 5 - 27/02/2026 &amp; 28/02/2026</t>
  </si>
  <si>
    <t>TEAM A:  Christine Scerri</t>
  </si>
  <si>
    <t>Total Day 5 A</t>
  </si>
  <si>
    <t>Total Day 5B</t>
  </si>
  <si>
    <t xml:space="preserve">Total Day 5 </t>
  </si>
  <si>
    <t>TEAM B:  Cory Greenland</t>
  </si>
  <si>
    <t>TEAM C:  Jean Paul Sciberras</t>
  </si>
  <si>
    <t xml:space="preserve">vs </t>
  </si>
  <si>
    <t>Kevin Sciberras(PRO)Kenneth Caruana</t>
  </si>
  <si>
    <t>TEAM E:  Roberto Murdocco</t>
  </si>
  <si>
    <t>TEAM F:  Diane Fenech</t>
  </si>
  <si>
    <t>Ansrew Spiteri Willets</t>
  </si>
  <si>
    <t>Sergey Kasatkin(pro)Jean Attard</t>
  </si>
  <si>
    <t>Braaydon Galea</t>
  </si>
  <si>
    <t>Day 6 - 06/03/2026 &amp; 07/03/2026</t>
  </si>
  <si>
    <t>Kristina Briffa(pro)Olivia Belli</t>
  </si>
  <si>
    <t>Total Day 6 A</t>
  </si>
  <si>
    <t>Manuel Bonello(pro)Matthew Pace</t>
  </si>
  <si>
    <r>
      <rPr>
        <rFont val="Tahoma"/>
        <b/>
        <color theme="1"/>
        <sz val="9.0"/>
      </rPr>
      <t xml:space="preserve">Men </t>
    </r>
    <r>
      <rPr>
        <rFont val="Tahoma"/>
        <b val="0"/>
        <color theme="1"/>
        <sz val="9.0"/>
      </rPr>
      <t>B</t>
    </r>
  </si>
  <si>
    <t>Kevin Sciberras(pro)Kenneth Caruana</t>
  </si>
  <si>
    <t>Total Day 6B</t>
  </si>
  <si>
    <t xml:space="preserve">Total Day 6 </t>
  </si>
  <si>
    <t>6.00pm</t>
  </si>
  <si>
    <t>Andrea Magaldi(pro)Kelsey Gauci</t>
  </si>
  <si>
    <t>Day 7 - 13/03/2026 &amp; 14/03/2026</t>
  </si>
  <si>
    <t>Total Day 7 A</t>
  </si>
  <si>
    <t>Andrea Magalgi</t>
  </si>
  <si>
    <t>Mariska Steenkameer</t>
  </si>
  <si>
    <t>Total Day 7B</t>
  </si>
  <si>
    <t xml:space="preserve">Total Day 7 </t>
  </si>
  <si>
    <t>Charles Sacco(pro)Sandro Pecorella</t>
  </si>
  <si>
    <t>Jean Paul Sciberras(Dem.)Kenneth Caruana</t>
  </si>
  <si>
    <t xml:space="preserve">Anabel Borg </t>
  </si>
  <si>
    <t>Day 8 - 20/03/2026 &amp; 21/03/2026</t>
  </si>
  <si>
    <t>Total Day 8 A</t>
  </si>
  <si>
    <t>Total Day 8 B</t>
  </si>
  <si>
    <t xml:space="preserve">Total Day 8 </t>
  </si>
  <si>
    <t>3.00 pm</t>
  </si>
  <si>
    <t>Sabrina Xuereb(Dem.)Karolina Papiernik</t>
  </si>
  <si>
    <t>Andrew Pule`</t>
  </si>
  <si>
    <t>Luke Genuis(Pro)Ivan Cachia</t>
  </si>
  <si>
    <t xml:space="preserve">Day 9 -  Day 8 - 21/03/2026 &amp; 10/04/2026                                                </t>
  </si>
  <si>
    <t>Total Day 9 A</t>
  </si>
  <si>
    <t>Total Day 9B</t>
  </si>
  <si>
    <t xml:space="preserve">Total Day 9 </t>
  </si>
  <si>
    <t>Dorianne Buhagiar(pro)Mae Jane Manzanares</t>
  </si>
  <si>
    <t>Matthias Cremona(pro)Aaron Micallef Piccione</t>
  </si>
  <si>
    <t>Kristen Cachia (PRO)Javier Viloria</t>
  </si>
  <si>
    <t>w/o</t>
  </si>
  <si>
    <t>Karolina Papiernik(Dem.)Alida Borg</t>
  </si>
  <si>
    <t xml:space="preserve">Day 10 - </t>
  </si>
  <si>
    <t>Jonathan Maritnelli</t>
  </si>
  <si>
    <t>Jurgen Farrugia (pro David Mifsud)</t>
  </si>
  <si>
    <t>Total Day 10 A</t>
  </si>
  <si>
    <t>7.45pm</t>
  </si>
  <si>
    <t>Total Day 10B</t>
  </si>
  <si>
    <t xml:space="preserve">Total Day 10 </t>
  </si>
  <si>
    <t>TEAM C: JP Sciberras</t>
  </si>
  <si>
    <t>JP (pro Matthew Schembri)</t>
  </si>
  <si>
    <t>Kristen Cachia(Pro)Javier Viloria</t>
  </si>
  <si>
    <t>Doriane Buhagiar</t>
  </si>
  <si>
    <t>Rennete Magro</t>
  </si>
  <si>
    <t>Mariska Steenkamer(Dem.)Leanne Sammut</t>
  </si>
  <si>
    <t>Roberta Grixti(Pro)Maria Ellul</t>
  </si>
  <si>
    <t xml:space="preserve">Semi Final - </t>
  </si>
  <si>
    <t xml:space="preserve">TEAM C: Jean Paul Sciberras </t>
  </si>
  <si>
    <t xml:space="preserve">TEAM E:  Roberto Murdocco </t>
  </si>
  <si>
    <t xml:space="preserve">  </t>
  </si>
  <si>
    <t xml:space="preserve">TEAM B:  Cory Greenland </t>
  </si>
  <si>
    <t xml:space="preserve">TEAM F:  Diane Fenech </t>
  </si>
  <si>
    <t>TB 6-8</t>
  </si>
  <si>
    <t>Sabrina Xuereb(Dem.)Alida Borg</t>
  </si>
  <si>
    <t xml:space="preserve">   </t>
  </si>
  <si>
    <t>Final</t>
  </si>
  <si>
    <t>Court 1/2</t>
  </si>
  <si>
    <t>4.00pm</t>
  </si>
  <si>
    <t>T-B</t>
  </si>
  <si>
    <t>5.30pm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</si>
</sst>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 d mmmm h:mm am/pm"/>
    <numFmt numFmtId="165" formatCode="m/d/yyyy h:mm am/pm"/>
    <numFmt numFmtId="166" formatCode="ddd mm/dd h:mm am/pm"/>
    <numFmt numFmtId="167" formatCode="ddd d mmm"/>
  </numFmts>
  <fonts count="48">
    <font>
      <sz val="10.0"/>
      <color rgb="FF000000"/>
      <name val="Arial"/>
      <scheme val="minor"/>
    </font>
    <font>
      <b/>
      <u/>
      <sz val="18.0"/>
      <color rgb="FF000000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800000"/>
      <name val="Arial"/>
    </font>
    <font/>
    <font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u/>
      <sz val="18.0"/>
      <color theme="1"/>
      <name val="Arial"/>
    </font>
    <font>
      <b/>
      <sz val="20.0"/>
      <color rgb="FF000080"/>
      <name val="Arial"/>
    </font>
    <font>
      <sz val="11.0"/>
      <color theme="1"/>
      <name val="Arial"/>
    </font>
    <font>
      <b/>
      <sz val="16.0"/>
      <color rgb="FF000080"/>
      <name val="Arial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rgb="FF000080"/>
      <name val="Arial"/>
    </font>
    <font>
      <b/>
      <sz val="12.0"/>
      <color rgb="FF3366FF"/>
      <name val="Arial"/>
    </font>
    <font>
      <color theme="1"/>
      <name val="Arial"/>
    </font>
    <font>
      <sz val="10.0"/>
      <color theme="1"/>
      <name val="Tahoma"/>
    </font>
    <font>
      <b/>
      <u/>
      <sz val="16.0"/>
      <color rgb="FF000080"/>
      <name val="Tahoma"/>
    </font>
    <font>
      <b/>
      <sz val="16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10.0"/>
      <color theme="1"/>
      <name val="Tahoma"/>
    </font>
    <font>
      <b/>
      <sz val="9.0"/>
      <color theme="1"/>
      <name val="Tahoma"/>
    </font>
    <font>
      <b/>
      <sz val="10.0"/>
      <color rgb="FF3366FF"/>
      <name val="Tahoma"/>
    </font>
    <font>
      <sz val="10.0"/>
      <color rgb="FF000080"/>
      <name val="Tahoma"/>
    </font>
    <font>
      <sz val="9.0"/>
      <color theme="1"/>
      <name val="Tahoma"/>
    </font>
    <font>
      <b/>
      <sz val="10.0"/>
      <color rgb="FF800000"/>
      <name val="Tahoma"/>
    </font>
    <font>
      <b/>
      <sz val="12.0"/>
      <color rgb="FF000080"/>
      <name val="Tahoma"/>
    </font>
    <font>
      <color theme="1"/>
      <name val="Tahoma"/>
    </font>
    <font>
      <b/>
      <sz val="12.0"/>
      <color theme="1"/>
      <name val="Tahoma"/>
    </font>
    <font>
      <sz val="12.0"/>
      <color theme="1"/>
      <name val="Tahoma"/>
    </font>
    <font>
      <b/>
      <sz val="12.0"/>
      <color rgb="FF3366FF"/>
      <name val="Tahoma"/>
    </font>
    <font>
      <sz val="12.0"/>
      <color rgb="FF000080"/>
      <name val="Tahoma"/>
    </font>
  </fonts>
  <fills count="1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0066CC"/>
        <bgColor rgb="FF0066CC"/>
      </patternFill>
    </fill>
    <fill>
      <patternFill patternType="solid">
        <fgColor rgb="FFC9DAF8"/>
        <bgColor rgb="FFC9DAF8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</fills>
  <borders count="114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</border>
    <border>
      <right style="medium">
        <color rgb="FF3366FF"/>
      </right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right style="thin">
        <color rgb="FF3366FF"/>
      </right>
      <top style="thin">
        <color rgb="FF3366FF"/>
      </top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left style="medium">
        <color rgb="FF3366FF"/>
      </left>
      <top style="medium">
        <color rgb="FF3366FF"/>
      </top>
      <bottom style="thin">
        <color rgb="FF000000"/>
      </bottom>
    </border>
    <border>
      <top style="medium">
        <color rgb="FF3366FF"/>
      </top>
      <bottom style="thin">
        <color rgb="FF000000"/>
      </bottom>
    </border>
    <border>
      <right style="medium">
        <color rgb="FF3366FF"/>
      </right>
      <top style="medium">
        <color rgb="FF3366FF"/>
      </top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 style="thin">
        <color rgb="FF000000"/>
      </top>
      <bottom/>
    </border>
    <border>
      <right style="medium">
        <color rgb="FF3366FF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2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shrinkToFit="0" vertical="center" wrapText="0"/>
    </xf>
    <xf borderId="9" fillId="3" fontId="6" numFmtId="0" xfId="0" applyAlignment="1" applyBorder="1" applyFill="1" applyFont="1">
      <alignment horizontal="center" shrinkToFit="0" vertical="center" wrapText="0"/>
    </xf>
    <xf borderId="10" fillId="3" fontId="6" numFmtId="0" xfId="0" applyAlignment="1" applyBorder="1" applyFont="1">
      <alignment horizontal="center" shrinkToFit="0" vertical="center" wrapText="0"/>
    </xf>
    <xf borderId="11" fillId="3" fontId="6" numFmtId="0" xfId="0" applyAlignment="1" applyBorder="1" applyFont="1">
      <alignment horizontal="center" shrinkToFit="0" vertical="center" wrapText="0"/>
    </xf>
    <xf borderId="12" fillId="2" fontId="6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6" fillId="4" fontId="7" numFmtId="0" xfId="0" applyAlignment="1" applyBorder="1" applyFill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bottom" wrapText="0"/>
    </xf>
    <xf borderId="13" fillId="0" fontId="7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center" readingOrder="0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0" fontId="9" numFmtId="0" xfId="0" applyBorder="1" applyFont="1"/>
    <xf borderId="17" fillId="0" fontId="9" numFmtId="0" xfId="0" applyBorder="1" applyFont="1"/>
    <xf borderId="8" fillId="2" fontId="6" numFmtId="0" xfId="0" applyAlignment="1" applyBorder="1" applyFont="1">
      <alignment horizontal="center" shrinkToFit="0" vertical="center" wrapText="0"/>
    </xf>
    <xf borderId="18" fillId="0" fontId="7" numFmtId="0" xfId="0" applyAlignment="1" applyBorder="1" applyFont="1">
      <alignment horizontal="center" readingOrder="0" shrinkToFit="0" vertical="center" wrapText="0"/>
    </xf>
    <xf borderId="13" fillId="5" fontId="7" numFmtId="0" xfId="0" applyAlignment="1" applyBorder="1" applyFill="1" applyFont="1">
      <alignment horizontal="center" readingOrder="0" shrinkToFit="0" vertical="center" wrapText="0"/>
    </xf>
    <xf borderId="6" fillId="5" fontId="7" numFmtId="0" xfId="0" applyAlignment="1" applyBorder="1" applyFont="1">
      <alignment horizontal="center" readingOrder="0" shrinkToFit="0" vertical="center" wrapText="0"/>
    </xf>
    <xf borderId="19" fillId="0" fontId="7" numFmtId="0" xfId="0" applyAlignment="1" applyBorder="1" applyFont="1">
      <alignment horizontal="center" readingOrder="0" shrinkToFit="0" vertical="center" wrapText="0"/>
    </xf>
    <xf borderId="13" fillId="0" fontId="5" numFmtId="0" xfId="0" applyAlignment="1" applyBorder="1" applyFont="1">
      <alignment horizontal="center" readingOrder="0" shrinkToFit="0" vertical="center" wrapText="0"/>
    </xf>
    <xf borderId="15" fillId="3" fontId="6" numFmtId="0" xfId="0" applyAlignment="1" applyBorder="1" applyFont="1">
      <alignment horizontal="center" shrinkToFit="0" vertical="center" wrapText="0"/>
    </xf>
    <xf borderId="14" fillId="5" fontId="7" numFmtId="0" xfId="0" applyAlignment="1" applyBorder="1" applyFont="1">
      <alignment horizontal="center" readingOrder="0" shrinkToFit="0" vertical="center" wrapText="0"/>
    </xf>
    <xf borderId="20" fillId="3" fontId="6" numFmtId="0" xfId="0" applyAlignment="1" applyBorder="1" applyFont="1">
      <alignment horizontal="center" shrinkToFit="0" vertical="center" wrapText="0"/>
    </xf>
    <xf borderId="21" fillId="0" fontId="9" numFmtId="0" xfId="0" applyBorder="1" applyFont="1"/>
    <xf borderId="22" fillId="0" fontId="9" numFmtId="0" xfId="0" applyBorder="1" applyFont="1"/>
    <xf borderId="13" fillId="4" fontId="7" numFmtId="0" xfId="0" applyAlignment="1" applyBorder="1" applyFont="1">
      <alignment horizontal="center" readingOrder="0" shrinkToFit="0" vertical="center" wrapText="0"/>
    </xf>
    <xf borderId="15" fillId="6" fontId="6" numFmtId="0" xfId="0" applyAlignment="1" applyBorder="1" applyFill="1" applyFont="1">
      <alignment horizontal="center" shrinkToFit="0" vertical="center" wrapText="0"/>
    </xf>
    <xf borderId="23" fillId="6" fontId="7" numFmtId="0" xfId="0" applyAlignment="1" applyBorder="1" applyFont="1">
      <alignment horizontal="center" shrinkToFit="0" vertical="center" wrapText="0"/>
    </xf>
    <xf borderId="16" fillId="6" fontId="7" numFmtId="0" xfId="0" applyAlignment="1" applyBorder="1" applyFont="1">
      <alignment horizontal="center" shrinkToFit="0" vertical="center" wrapText="0"/>
    </xf>
    <xf borderId="17" fillId="6" fontId="7" numFmtId="0" xfId="0" applyAlignment="1" applyBorder="1" applyFont="1">
      <alignment horizontal="center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20" fillId="3" fontId="5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readingOrder="0" shrinkToFit="0" vertical="bottom" wrapText="0"/>
    </xf>
    <xf borderId="14" fillId="0" fontId="7" numFmtId="0" xfId="0" applyAlignment="1" applyBorder="1" applyFont="1">
      <alignment horizontal="center" readingOrder="0"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24" fillId="3" fontId="6" numFmtId="0" xfId="0" applyAlignment="1" applyBorder="1" applyFont="1">
      <alignment horizontal="center" shrinkToFit="0" vertical="center" wrapText="0"/>
    </xf>
    <xf borderId="25" fillId="3" fontId="10" numFmtId="0" xfId="0" applyAlignment="1" applyBorder="1" applyFont="1">
      <alignment horizontal="center" shrinkToFit="0" vertical="center" wrapText="0"/>
    </xf>
    <xf borderId="25" fillId="3" fontId="6" numFmtId="0" xfId="0" applyAlignment="1" applyBorder="1" applyFont="1">
      <alignment horizontal="center" shrinkToFit="0" vertical="center" wrapText="0"/>
    </xf>
    <xf borderId="26" fillId="3" fontId="10" numFmtId="0" xfId="0" applyAlignment="1" applyBorder="1" applyFont="1">
      <alignment horizontal="center" shrinkToFit="0" vertical="center" wrapText="0"/>
    </xf>
    <xf borderId="13" fillId="7" fontId="11" numFmtId="0" xfId="0" applyAlignment="1" applyBorder="1" applyFill="1" applyFont="1">
      <alignment horizontal="center" shrinkToFit="0" vertical="center" wrapText="0"/>
    </xf>
    <xf borderId="23" fillId="7" fontId="11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horizontal="center" shrinkToFit="0" vertical="bottom" wrapText="0"/>
    </xf>
    <xf borderId="13" fillId="0" fontId="12" numFmtId="0" xfId="0" applyAlignment="1" applyBorder="1" applyFont="1">
      <alignment horizontal="center" shrinkToFit="0" vertical="bottom" wrapText="0"/>
    </xf>
    <xf borderId="13" fillId="8" fontId="4" numFmtId="0" xfId="0" applyAlignment="1" applyBorder="1" applyFill="1" applyFont="1">
      <alignment horizontal="center" shrinkToFit="0" vertical="center" wrapText="0"/>
    </xf>
    <xf borderId="23" fillId="8" fontId="4" numFmtId="0" xfId="0" applyAlignment="1" applyBorder="1" applyFont="1">
      <alignment horizontal="center" readingOrder="0" shrinkToFit="0" vertical="center" wrapText="0"/>
    </xf>
    <xf borderId="12" fillId="5" fontId="13" numFmtId="0" xfId="0" applyAlignment="1" applyBorder="1" applyFont="1">
      <alignment horizontal="center" readingOrder="0" shrinkToFit="0" vertical="bottom" wrapText="0"/>
    </xf>
    <xf borderId="13" fillId="5" fontId="13" numFmtId="0" xfId="0" applyAlignment="1" applyBorder="1" applyFont="1">
      <alignment horizontal="center" readingOrder="0" shrinkToFit="0" vertical="bottom" wrapText="0"/>
    </xf>
    <xf borderId="13" fillId="5" fontId="13" numFmtId="0" xfId="0" applyAlignment="1" applyBorder="1" applyFont="1">
      <alignment horizontal="center" shrinkToFit="0" vertical="bottom" wrapText="0"/>
    </xf>
    <xf borderId="13" fillId="0" fontId="13" numFmtId="0" xfId="0" applyAlignment="1" applyBorder="1" applyFont="1">
      <alignment horizontal="center" shrinkToFit="0" vertical="bottom" wrapText="0"/>
    </xf>
    <xf borderId="13" fillId="8" fontId="4" numFmtId="0" xfId="0" applyAlignment="1" applyBorder="1" applyFont="1">
      <alignment horizontal="center" shrinkToFit="0" vertical="bottom" wrapText="0"/>
    </xf>
    <xf borderId="23" fillId="8" fontId="4" numFmtId="0" xfId="0" applyAlignment="1" applyBorder="1" applyFont="1">
      <alignment horizontal="center" readingOrder="0" shrinkToFit="0" vertical="bottom" wrapText="0"/>
    </xf>
    <xf borderId="12" fillId="5" fontId="13" numFmtId="0" xfId="0" applyAlignment="1" applyBorder="1" applyFont="1">
      <alignment horizontal="center" shrinkToFit="0" vertical="bottom" wrapText="0"/>
    </xf>
    <xf borderId="27" fillId="8" fontId="4" numFmtId="0" xfId="0" applyAlignment="1" applyBorder="1" applyFont="1">
      <alignment horizontal="center" readingOrder="0" shrinkToFit="0" vertical="center" wrapText="0"/>
    </xf>
    <xf borderId="13" fillId="4" fontId="13" numFmtId="0" xfId="0" applyAlignment="1" applyBorder="1" applyFont="1">
      <alignment horizontal="center" readingOrder="0" shrinkToFit="0" vertical="bottom" wrapText="0"/>
    </xf>
    <xf borderId="13" fillId="9" fontId="4" numFmtId="0" xfId="0" applyAlignment="1" applyBorder="1" applyFill="1" applyFont="1">
      <alignment horizontal="center" shrinkToFit="0" vertical="center" wrapText="0"/>
    </xf>
    <xf borderId="27" fillId="9" fontId="4" numFmtId="0" xfId="0" applyAlignment="1" applyBorder="1" applyFont="1">
      <alignment horizontal="center" readingOrder="0" shrinkToFit="0" vertical="center" wrapText="0"/>
    </xf>
    <xf borderId="23" fillId="9" fontId="4" numFmtId="0" xfId="0" applyAlignment="1" applyBorder="1" applyFont="1">
      <alignment horizontal="center" readingOrder="0" shrinkToFit="0" vertical="center" wrapText="0"/>
    </xf>
    <xf borderId="13" fillId="9" fontId="4" numFmtId="0" xfId="0" applyAlignment="1" applyBorder="1" applyFont="1">
      <alignment horizontal="center" shrinkToFit="0" vertical="bottom" wrapText="0"/>
    </xf>
    <xf borderId="23" fillId="9" fontId="4" numFmtId="0" xfId="0" applyAlignment="1" applyBorder="1" applyFont="1">
      <alignment horizontal="center" readingOrder="0" shrinkToFit="0" vertical="bottom" wrapText="0"/>
    </xf>
    <xf borderId="23" fillId="9" fontId="11" numFmtId="0" xfId="0" applyAlignment="1" applyBorder="1" applyFont="1">
      <alignment horizontal="center" readingOrder="0" shrinkToFit="0" vertical="bottom" wrapText="0"/>
    </xf>
    <xf borderId="0" fillId="10" fontId="4" numFmtId="0" xfId="0" applyAlignment="1" applyFill="1" applyFont="1">
      <alignment shrinkToFit="0" vertical="bottom" wrapText="0"/>
    </xf>
    <xf borderId="28" fillId="10" fontId="4" numFmtId="0" xfId="0" applyAlignment="1" applyBorder="1" applyFont="1">
      <alignment shrinkToFit="0" vertical="bottom" wrapText="0"/>
    </xf>
    <xf borderId="29" fillId="10" fontId="4" numFmtId="0" xfId="0" applyAlignment="1" applyBorder="1" applyFont="1">
      <alignment shrinkToFit="0" vertical="bottom" wrapText="0"/>
    </xf>
    <xf borderId="0" fillId="7" fontId="14" numFmtId="0" xfId="0" applyAlignment="1" applyFont="1">
      <alignment horizontal="center" shrinkToFit="0" vertical="bottom" wrapText="0"/>
    </xf>
    <xf borderId="30" fillId="7" fontId="14" numFmtId="0" xfId="0" applyAlignment="1" applyBorder="1" applyFont="1">
      <alignment horizontal="center" readingOrder="0" shrinkToFit="0" vertical="bottom" wrapText="0"/>
    </xf>
    <xf borderId="6" fillId="8" fontId="4" numFmtId="0" xfId="0" applyAlignment="1" applyBorder="1" applyFont="1">
      <alignment horizontal="center" readingOrder="0" shrinkToFit="0" vertical="center" wrapText="0"/>
    </xf>
    <xf borderId="13" fillId="8" fontId="4" numFmtId="0" xfId="0" applyAlignment="1" applyBorder="1" applyFont="1">
      <alignment horizontal="center" readingOrder="0" shrinkToFit="0" vertical="center" wrapText="0"/>
    </xf>
    <xf borderId="13" fillId="8" fontId="11" numFmtId="0" xfId="0" applyAlignment="1" applyBorder="1" applyFont="1">
      <alignment horizontal="center" readingOrder="0" shrinkToFit="0" vertical="center" wrapText="0"/>
    </xf>
    <xf borderId="13" fillId="8" fontId="4" numFmtId="0" xfId="0" applyAlignment="1" applyBorder="1" applyFont="1">
      <alignment horizontal="center" readingOrder="0" shrinkToFit="0" vertical="center" wrapText="0"/>
    </xf>
    <xf borderId="6" fillId="9" fontId="4" numFmtId="0" xfId="0" applyAlignment="1" applyBorder="1" applyFont="1">
      <alignment horizontal="center" readingOrder="0" shrinkToFit="0" vertical="center" wrapText="0"/>
    </xf>
    <xf borderId="13" fillId="9" fontId="4" numFmtId="0" xfId="0" applyAlignment="1" applyBorder="1" applyFont="1">
      <alignment horizontal="center" readingOrder="0" shrinkToFit="0" vertical="center" wrapText="0"/>
    </xf>
    <xf borderId="12" fillId="4" fontId="13" numFmtId="0" xfId="0" applyAlignment="1" applyBorder="1" applyFont="1">
      <alignment horizontal="center" readingOrder="0" shrinkToFit="0" vertical="bottom" wrapText="0"/>
    </xf>
    <xf borderId="0" fillId="9" fontId="4" numFmtId="0" xfId="0" applyAlignment="1" applyFont="1">
      <alignment horizontal="center" readingOrder="0" shrinkToFit="0" vertical="center" wrapText="0"/>
    </xf>
    <xf borderId="13" fillId="9" fontId="4" numFmtId="0" xfId="0" applyAlignment="1" applyBorder="1" applyFont="1">
      <alignment horizontal="center" readingOrder="0" shrinkToFit="0" vertical="bottom" wrapText="0"/>
    </xf>
    <xf borderId="23" fillId="7" fontId="14" numFmtId="0" xfId="0" applyAlignment="1" applyBorder="1" applyFont="1">
      <alignment horizontal="center" readingOrder="0" shrinkToFit="0" vertical="bottom" wrapText="0"/>
    </xf>
    <xf borderId="18" fillId="8" fontId="4" numFmtId="0" xfId="0" applyAlignment="1" applyBorder="1" applyFont="1">
      <alignment horizontal="center" readingOrder="0" shrinkToFit="0" vertical="center" wrapText="0"/>
    </xf>
    <xf borderId="19" fillId="8" fontId="4" numFmtId="0" xfId="0" applyAlignment="1" applyBorder="1" applyFont="1">
      <alignment horizontal="center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31" fillId="7" fontId="14" numFmtId="0" xfId="0" applyAlignment="1" applyBorder="1" applyFont="1">
      <alignment horizontal="center" readingOrder="0" shrinkToFit="0" vertical="bottom" wrapText="0"/>
    </xf>
    <xf borderId="13" fillId="9" fontId="4" numFmtId="0" xfId="0" applyAlignment="1" applyBorder="1" applyFont="1">
      <alignment horizontal="center" readingOrder="0" shrinkToFit="0" vertical="center" wrapText="0"/>
    </xf>
    <xf borderId="32" fillId="7" fontId="14" numFmtId="0" xfId="0" applyAlignment="1" applyBorder="1" applyFont="1">
      <alignment horizontal="center" readingOrder="0" shrinkToFit="0" vertical="bottom" wrapText="0"/>
    </xf>
    <xf borderId="33" fillId="7" fontId="14" numFmtId="0" xfId="0" applyAlignment="1" applyBorder="1" applyFont="1">
      <alignment horizontal="center" readingOrder="0" shrinkToFit="0" vertical="bottom" wrapText="0"/>
    </xf>
    <xf borderId="34" fillId="8" fontId="4" numFmtId="0" xfId="0" applyAlignment="1" applyBorder="1" applyFont="1">
      <alignment horizontal="center" readingOrder="0" shrinkToFit="0" vertical="center" wrapText="0"/>
    </xf>
    <xf borderId="12" fillId="0" fontId="13" numFmtId="0" xfId="0" applyAlignment="1" applyBorder="1" applyFont="1">
      <alignment horizontal="center" shrinkToFit="0" vertical="bottom" wrapText="0"/>
    </xf>
    <xf borderId="13" fillId="0" fontId="13" numFmtId="0" xfId="0" applyAlignment="1" applyBorder="1" applyFont="1">
      <alignment horizontal="center" readingOrder="0" shrinkToFit="0" vertical="bottom" wrapText="0"/>
    </xf>
    <xf borderId="35" fillId="8" fontId="4" numFmtId="0" xfId="0" applyAlignment="1" applyBorder="1" applyFont="1">
      <alignment horizontal="center" readingOrder="0" shrinkToFit="0" vertical="center" wrapText="0"/>
    </xf>
    <xf borderId="12" fillId="0" fontId="13" numFmtId="0" xfId="0" applyAlignment="1" applyBorder="1" applyFont="1">
      <alignment horizontal="center" readingOrder="0" shrinkToFit="0" vertical="bottom" wrapText="0"/>
    </xf>
    <xf borderId="35" fillId="11" fontId="4" numFmtId="0" xfId="0" applyAlignment="1" applyBorder="1" applyFill="1" applyFont="1">
      <alignment horizontal="center" readingOrder="0" shrinkToFit="0" vertical="center" wrapText="0"/>
    </xf>
    <xf borderId="34" fillId="9" fontId="4" numFmtId="0" xfId="0" applyAlignment="1" applyBorder="1" applyFont="1">
      <alignment horizontal="center" readingOrder="0" shrinkToFit="0" vertical="center" wrapText="0"/>
    </xf>
    <xf borderId="35" fillId="9" fontId="4" numFmtId="0" xfId="0" applyAlignment="1" applyBorder="1" applyFont="1">
      <alignment horizontal="center" readingOrder="0" shrinkToFit="0" vertical="center" wrapText="0"/>
    </xf>
    <xf borderId="35" fillId="9" fontId="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36" fillId="12" fontId="11" numFmtId="0" xfId="0" applyAlignment="1" applyBorder="1" applyFill="1" applyFont="1">
      <alignment horizontal="left" shrinkToFit="0" vertical="bottom" wrapText="0"/>
    </xf>
    <xf borderId="37" fillId="12" fontId="18" numFmtId="0" xfId="0" applyAlignment="1" applyBorder="1" applyFont="1">
      <alignment horizontal="center" shrinkToFit="0" vertical="bottom" wrapText="0"/>
    </xf>
    <xf borderId="38" fillId="0" fontId="9" numFmtId="0" xfId="0" applyBorder="1" applyFont="1"/>
    <xf borderId="39" fillId="0" fontId="9" numFmtId="0" xfId="0" applyBorder="1" applyFont="1"/>
    <xf borderId="40" fillId="12" fontId="11" numFmtId="0" xfId="0" applyAlignment="1" applyBorder="1" applyFont="1">
      <alignment horizontal="left" shrinkToFit="0" vertical="bottom" wrapText="0"/>
    </xf>
    <xf borderId="41" fillId="0" fontId="9" numFmtId="0" xfId="0" applyBorder="1" applyFont="1"/>
    <xf borderId="42" fillId="0" fontId="9" numFmtId="0" xfId="0" applyBorder="1" applyFont="1"/>
    <xf borderId="43" fillId="0" fontId="4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40" fillId="12" fontId="19" numFmtId="0" xfId="0" applyAlignment="1" applyBorder="1" applyFont="1">
      <alignment horizontal="left" shrinkToFit="0" vertical="bottom" wrapText="0"/>
    </xf>
    <xf borderId="29" fillId="12" fontId="20" numFmtId="0" xfId="0" applyAlignment="1" applyBorder="1" applyFont="1">
      <alignment horizontal="center" shrinkToFit="0" vertical="bottom" wrapText="0"/>
    </xf>
    <xf borderId="44" fillId="0" fontId="19" numFmtId="0" xfId="0" applyAlignment="1" applyBorder="1" applyFont="1">
      <alignment horizontal="center" shrinkToFit="0" vertical="bottom" wrapText="0"/>
    </xf>
    <xf borderId="45" fillId="0" fontId="9" numFmtId="0" xfId="0" applyBorder="1" applyFont="1"/>
    <xf borderId="46" fillId="13" fontId="19" numFmtId="0" xfId="0" applyAlignment="1" applyBorder="1" applyFill="1" applyFont="1">
      <alignment horizontal="center" shrinkToFit="0" vertical="center" wrapText="0"/>
    </xf>
    <xf borderId="47" fillId="0" fontId="9" numFmtId="0" xfId="0" applyBorder="1" applyFont="1"/>
    <xf borderId="0" fillId="0" fontId="7" numFmtId="0" xfId="0" applyAlignment="1" applyFont="1">
      <alignment shrinkToFit="0" vertical="bottom" wrapText="0"/>
    </xf>
    <xf borderId="40" fillId="12" fontId="5" numFmtId="0" xfId="0" applyAlignment="1" applyBorder="1" applyFont="1">
      <alignment horizontal="left" shrinkToFit="0" vertical="bottom" wrapText="0"/>
    </xf>
    <xf borderId="29" fillId="12" fontId="17" numFmtId="0" xfId="0" applyAlignment="1" applyBorder="1" applyFont="1">
      <alignment horizontal="center" shrinkToFit="0" vertical="bottom" wrapText="0"/>
    </xf>
    <xf borderId="46" fillId="0" fontId="21" numFmtId="0" xfId="0" applyAlignment="1" applyBorder="1" applyFont="1">
      <alignment horizontal="center" shrinkToFit="0" vertical="bottom" wrapText="0"/>
    </xf>
    <xf borderId="46" fillId="0" fontId="22" numFmtId="0" xfId="0" applyAlignment="1" applyBorder="1" applyFont="1">
      <alignment horizontal="center" shrinkToFit="0" vertical="bottom" wrapText="0"/>
    </xf>
    <xf borderId="46" fillId="13" fontId="22" numFmtId="0" xfId="0" applyAlignment="1" applyBorder="1" applyFont="1">
      <alignment horizontal="center" shrinkToFit="0" vertical="center" wrapText="0"/>
    </xf>
    <xf borderId="48" fillId="0" fontId="22" numFmtId="0" xfId="0" applyAlignment="1" applyBorder="1" applyFont="1">
      <alignment horizontal="center" shrinkToFit="0" vertical="bottom" wrapText="0"/>
    </xf>
    <xf borderId="49" fillId="12" fontId="5" numFmtId="0" xfId="0" applyAlignment="1" applyBorder="1" applyFont="1">
      <alignment horizontal="left" shrinkToFit="0" vertical="bottom" wrapText="0"/>
    </xf>
    <xf borderId="50" fillId="12" fontId="17" numFmtId="0" xfId="0" applyAlignment="1" applyBorder="1" applyFont="1">
      <alignment horizontal="center" shrinkToFit="0" vertical="bottom" wrapText="0"/>
    </xf>
    <xf borderId="29" fillId="12" fontId="23" numFmtId="0" xfId="0" applyAlignment="1" applyBorder="1" applyFont="1">
      <alignment shrinkToFit="0" vertical="bottom" wrapText="0"/>
    </xf>
    <xf borderId="29" fillId="12" fontId="5" numFmtId="0" xfId="0" applyAlignment="1" applyBorder="1" applyFont="1">
      <alignment shrinkToFit="0" vertical="bottom" wrapText="0"/>
    </xf>
    <xf borderId="51" fillId="12" fontId="5" numFmtId="0" xfId="0" applyAlignment="1" applyBorder="1" applyFont="1">
      <alignment shrinkToFit="0" vertical="bottom" wrapText="0"/>
    </xf>
    <xf borderId="52" fillId="0" fontId="19" numFmtId="0" xfId="0" applyAlignment="1" applyBorder="1" applyFont="1">
      <alignment horizontal="left" readingOrder="0" shrinkToFit="0" vertical="center" wrapText="0"/>
    </xf>
    <xf borderId="53" fillId="0" fontId="24" numFmtId="0" xfId="0" applyAlignment="1" applyBorder="1" applyFont="1">
      <alignment horizontal="center" shrinkToFit="0" vertical="center" wrapText="0"/>
    </xf>
    <xf borderId="46" fillId="0" fontId="23" numFmtId="1" xfId="0" applyAlignment="1" applyBorder="1" applyFont="1" applyNumberFormat="1">
      <alignment horizontal="center" shrinkToFit="0" vertical="center" wrapText="0"/>
    </xf>
    <xf borderId="46" fillId="0" fontId="25" numFmtId="1" xfId="0" applyAlignment="1" applyBorder="1" applyFont="1" applyNumberFormat="1">
      <alignment horizontal="center" shrinkToFit="0" vertical="center" wrapText="0"/>
    </xf>
    <xf borderId="54" fillId="0" fontId="23" numFmtId="1" xfId="0" applyAlignment="1" applyBorder="1" applyFont="1" applyNumberFormat="1">
      <alignment horizontal="center" shrinkToFit="0" vertical="center" wrapText="0"/>
    </xf>
    <xf borderId="54" fillId="0" fontId="25" numFmtId="1" xfId="0" applyAlignment="1" applyBorder="1" applyFont="1" applyNumberFormat="1">
      <alignment horizontal="center" shrinkToFit="0" vertical="center" wrapText="0"/>
    </xf>
    <xf borderId="29" fillId="13" fontId="25" numFmtId="0" xfId="0" applyAlignment="1" applyBorder="1" applyFont="1">
      <alignment horizontal="center" shrinkToFit="0" vertical="center" wrapText="0"/>
    </xf>
    <xf borderId="55" fillId="0" fontId="23" numFmtId="1" xfId="0" applyAlignment="1" applyBorder="1" applyFont="1" applyNumberFormat="1">
      <alignment horizontal="center" shrinkToFit="0" vertical="center" wrapText="0"/>
    </xf>
    <xf borderId="56" fillId="0" fontId="25" numFmtId="1" xfId="0" applyAlignment="1" applyBorder="1" applyFont="1" applyNumberFormat="1">
      <alignment horizontal="center" shrinkToFit="0" vertical="center" wrapText="0"/>
    </xf>
    <xf borderId="52" fillId="0" fontId="9" numFmtId="0" xfId="0" applyBorder="1" applyFont="1"/>
    <xf borderId="45" fillId="0" fontId="24" numFmtId="0" xfId="0" applyAlignment="1" applyBorder="1" applyFont="1">
      <alignment horizontal="center" shrinkToFit="0" vertical="center" wrapText="0"/>
    </xf>
    <xf borderId="57" fillId="0" fontId="9" numFmtId="0" xfId="0" applyBorder="1" applyFont="1"/>
    <xf borderId="58" fillId="0" fontId="9" numFmtId="0" xfId="0" applyBorder="1" applyFont="1"/>
    <xf borderId="59" fillId="0" fontId="9" numFmtId="0" xfId="0" applyBorder="1" applyFont="1"/>
    <xf borderId="60" fillId="13" fontId="19" numFmtId="0" xfId="0" applyAlignment="1" applyBorder="1" applyFont="1">
      <alignment horizontal="left" shrinkToFit="0" vertical="center" wrapText="0"/>
    </xf>
    <xf borderId="61" fillId="13" fontId="24" numFmtId="0" xfId="0" applyAlignment="1" applyBorder="1" applyFont="1">
      <alignment horizontal="center" shrinkToFit="0" vertical="center" wrapText="0"/>
    </xf>
    <xf borderId="62" fillId="13" fontId="25" numFmtId="0" xfId="0" applyAlignment="1" applyBorder="1" applyFont="1">
      <alignment horizontal="center" shrinkToFit="0" vertical="center" wrapText="0"/>
    </xf>
    <xf borderId="63" fillId="0" fontId="23" numFmtId="1" xfId="0" applyAlignment="1" applyBorder="1" applyFont="1" applyNumberFormat="1">
      <alignment horizontal="center" shrinkToFit="0" vertical="center" wrapText="0"/>
    </xf>
    <xf borderId="63" fillId="0" fontId="25" numFmtId="1" xfId="0" applyAlignment="1" applyBorder="1" applyFont="1" applyNumberFormat="1">
      <alignment horizontal="center" shrinkToFit="0" vertical="center" wrapText="0"/>
    </xf>
    <xf borderId="64" fillId="0" fontId="9" numFmtId="0" xfId="0" applyBorder="1" applyFont="1"/>
    <xf borderId="65" fillId="0" fontId="24" numFmtId="0" xfId="0" applyAlignment="1" applyBorder="1" applyFont="1">
      <alignment horizontal="center" shrinkToFit="0" vertical="center" wrapText="0"/>
    </xf>
    <xf borderId="66" fillId="0" fontId="9" numFmtId="0" xfId="0" applyBorder="1" applyFont="1"/>
    <xf borderId="67" fillId="13" fontId="25" numFmtId="0" xfId="0" applyAlignment="1" applyBorder="1" applyFont="1">
      <alignment horizontal="center" shrinkToFit="0" vertical="center" wrapText="0"/>
    </xf>
    <xf borderId="68" fillId="0" fontId="9" numFmtId="0" xfId="0" applyBorder="1" applyFont="1"/>
    <xf borderId="69" fillId="0" fontId="9" numFmtId="0" xfId="0" applyBorder="1" applyFont="1"/>
    <xf borderId="42" fillId="0" fontId="7" numFmtId="0" xfId="0" applyAlignment="1" applyBorder="1" applyFont="1">
      <alignment shrinkToFit="0" vertical="bottom" wrapText="0"/>
    </xf>
    <xf borderId="70" fillId="13" fontId="26" numFmtId="0" xfId="0" applyAlignment="1" applyBorder="1" applyFont="1">
      <alignment horizontal="left" shrinkToFit="0" vertical="center" wrapText="0"/>
    </xf>
    <xf borderId="71" fillId="13" fontId="27" numFmtId="0" xfId="0" applyAlignment="1" applyBorder="1" applyFont="1">
      <alignment horizontal="center" shrinkToFit="0" vertical="center" wrapText="0"/>
    </xf>
    <xf borderId="71" fillId="13" fontId="25" numFmtId="0" xfId="0" applyAlignment="1" applyBorder="1" applyFont="1">
      <alignment shrinkToFit="0" vertical="center" wrapText="0"/>
    </xf>
    <xf borderId="71" fillId="13" fontId="23" numFmtId="0" xfId="0" applyAlignment="1" applyBorder="1" applyFont="1">
      <alignment shrinkToFit="0" vertical="center" wrapText="0"/>
    </xf>
    <xf borderId="72" fillId="13" fontId="25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36" fillId="12" fontId="6" numFmtId="0" xfId="0" applyAlignment="1" applyBorder="1" applyFont="1">
      <alignment horizontal="left" shrinkToFit="0" vertical="center" wrapText="0"/>
    </xf>
    <xf borderId="37" fillId="12" fontId="18" numFmtId="0" xfId="0" applyAlignment="1" applyBorder="1" applyFont="1">
      <alignment horizontal="center" shrinkToFit="0" vertical="center" wrapText="0"/>
    </xf>
    <xf borderId="40" fillId="12" fontId="6" numFmtId="0" xfId="0" applyAlignment="1" applyBorder="1" applyFont="1">
      <alignment horizontal="left" shrinkToFit="0" vertical="center" wrapText="0"/>
    </xf>
    <xf borderId="40" fillId="12" fontId="28" numFmtId="0" xfId="0" applyAlignment="1" applyBorder="1" applyFont="1">
      <alignment horizontal="left" shrinkToFit="0" vertical="center" wrapText="0"/>
    </xf>
    <xf borderId="29" fillId="12" fontId="20" numFmtId="0" xfId="0" applyAlignment="1" applyBorder="1" applyFont="1">
      <alignment horizontal="center" shrinkToFit="0" vertical="center" wrapText="0"/>
    </xf>
    <xf borderId="44" fillId="0" fontId="19" numFmtId="0" xfId="0" applyAlignment="1" applyBorder="1" applyFont="1">
      <alignment horizontal="center" shrinkToFit="0" vertical="center" wrapText="0"/>
    </xf>
    <xf borderId="44" fillId="0" fontId="19" numFmtId="0" xfId="0" applyAlignment="1" applyBorder="1" applyFont="1">
      <alignment horizontal="center" shrinkToFit="0" vertical="center" wrapText="1"/>
    </xf>
    <xf borderId="29" fillId="12" fontId="17" numFmtId="0" xfId="0" applyAlignment="1" applyBorder="1" applyFont="1">
      <alignment horizontal="center" shrinkToFit="0" vertical="center" wrapText="0"/>
    </xf>
    <xf borderId="46" fillId="0" fontId="21" numFmtId="0" xfId="0" applyAlignment="1" applyBorder="1" applyFont="1">
      <alignment horizontal="center" shrinkToFit="0" vertical="center" wrapText="0"/>
    </xf>
    <xf borderId="46" fillId="0" fontId="22" numFmtId="0" xfId="0" applyAlignment="1" applyBorder="1" applyFont="1">
      <alignment horizontal="center" shrinkToFit="0" vertical="center" wrapText="0"/>
    </xf>
    <xf borderId="48" fillId="0" fontId="22" numFmtId="0" xfId="0" applyAlignment="1" applyBorder="1" applyFont="1">
      <alignment horizontal="center" shrinkToFit="0" vertical="center" wrapText="0"/>
    </xf>
    <xf borderId="49" fillId="12" fontId="6" numFmtId="0" xfId="0" applyAlignment="1" applyBorder="1" applyFont="1">
      <alignment horizontal="left" shrinkToFit="0" vertical="center" wrapText="0"/>
    </xf>
    <xf borderId="50" fillId="12" fontId="17" numFmtId="0" xfId="0" applyAlignment="1" applyBorder="1" applyFont="1">
      <alignment horizontal="center" shrinkToFit="0" vertical="center" wrapText="0"/>
    </xf>
    <xf borderId="29" fillId="12" fontId="23" numFmtId="0" xfId="0" applyAlignment="1" applyBorder="1" applyFont="1">
      <alignment shrinkToFit="0" vertical="center" wrapText="0"/>
    </xf>
    <xf borderId="29" fillId="12" fontId="5" numFmtId="0" xfId="0" applyAlignment="1" applyBorder="1" applyFont="1">
      <alignment shrinkToFit="0" vertical="center" wrapText="0"/>
    </xf>
    <xf borderId="51" fillId="12" fontId="5" numFmtId="0" xfId="0" applyAlignment="1" applyBorder="1" applyFont="1">
      <alignment shrinkToFit="0" vertical="center" wrapText="0"/>
    </xf>
    <xf borderId="64" fillId="13" fontId="29" numFmtId="0" xfId="0" applyAlignment="1" applyBorder="1" applyFont="1">
      <alignment horizontal="left" shrinkToFit="0" vertical="bottom" wrapText="0"/>
    </xf>
    <xf borderId="67" fillId="13" fontId="27" numFmtId="0" xfId="0" applyAlignment="1" applyBorder="1" applyFont="1">
      <alignment horizontal="center" shrinkToFit="0" vertical="bottom" wrapText="0"/>
    </xf>
    <xf borderId="67" fillId="13" fontId="25" numFmtId="0" xfId="0" applyAlignment="1" applyBorder="1" applyFont="1">
      <alignment horizontal="center" shrinkToFit="0" vertical="bottom" wrapText="0"/>
    </xf>
    <xf borderId="67" fillId="13" fontId="23" numFmtId="0" xfId="0" applyAlignment="1" applyBorder="1" applyFont="1">
      <alignment horizontal="center" shrinkToFit="0" vertical="bottom" wrapText="0"/>
    </xf>
    <xf borderId="73" fillId="13" fontId="25" numFmtId="0" xfId="0" applyAlignment="1" applyBorder="1" applyFont="1">
      <alignment horizontal="center" shrinkToFit="0" vertical="bottom" wrapText="0"/>
    </xf>
    <xf borderId="0" fillId="0" fontId="30" numFmtId="0" xfId="0" applyFont="1"/>
    <xf borderId="0" fillId="0" fontId="6" numFmtId="0" xfId="0" applyAlignment="1" applyFont="1">
      <alignment horizontal="left"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horizontal="center" readingOrder="0" shrinkToFit="0" vertical="center" wrapText="0"/>
    </xf>
    <xf borderId="74" fillId="0" fontId="33" numFmtId="0" xfId="0" applyAlignment="1" applyBorder="1" applyFont="1">
      <alignment horizontal="center" readingOrder="0" shrinkToFit="0" vertical="center" wrapText="0"/>
    </xf>
    <xf borderId="75" fillId="12" fontId="31" numFmtId="0" xfId="0" applyAlignment="1" applyBorder="1" applyFont="1">
      <alignment horizontal="center" shrinkToFit="0" vertical="bottom" wrapText="0"/>
    </xf>
    <xf borderId="76" fillId="0" fontId="9" numFmtId="0" xfId="0" applyBorder="1" applyFont="1"/>
    <xf borderId="77" fillId="0" fontId="9" numFmtId="0" xfId="0" applyBorder="1" applyFont="1"/>
    <xf borderId="78" fillId="0" fontId="9" numFmtId="0" xfId="0" applyBorder="1" applyFont="1"/>
    <xf borderId="79" fillId="0" fontId="9" numFmtId="0" xfId="0" applyBorder="1" applyFont="1"/>
    <xf borderId="80" fillId="0" fontId="9" numFmtId="0" xfId="0" applyBorder="1" applyFont="1"/>
    <xf borderId="75" fillId="0" fontId="34" numFmtId="0" xfId="0" applyAlignment="1" applyBorder="1" applyFont="1">
      <alignment horizontal="center" shrinkToFit="0" vertical="center" wrapText="0"/>
    </xf>
    <xf borderId="81" fillId="0" fontId="35" numFmtId="0" xfId="0" applyAlignment="1" applyBorder="1" applyFont="1">
      <alignment horizontal="center" shrinkToFit="0" vertical="center" wrapText="1"/>
    </xf>
    <xf borderId="13" fillId="0" fontId="35" numFmtId="0" xfId="0" applyAlignment="1" applyBorder="1" applyFont="1">
      <alignment horizontal="center" shrinkToFit="0" vertical="center" wrapText="1"/>
    </xf>
    <xf borderId="23" fillId="0" fontId="35" numFmtId="0" xfId="0" applyAlignment="1" applyBorder="1" applyFont="1">
      <alignment horizontal="center" readingOrder="0" shrinkToFit="0" vertical="center" wrapText="1"/>
    </xf>
    <xf borderId="18" fillId="0" fontId="9" numFmtId="0" xfId="0" applyBorder="1" applyFont="1"/>
    <xf borderId="23" fillId="0" fontId="35" numFmtId="0" xfId="0" applyAlignment="1" applyBorder="1" applyFont="1">
      <alignment horizontal="center" shrinkToFit="0" vertical="center" wrapText="1"/>
    </xf>
    <xf borderId="82" fillId="0" fontId="9" numFmtId="0" xfId="0" applyBorder="1" applyFont="1"/>
    <xf borderId="43" fillId="0" fontId="35" numFmtId="0" xfId="0" applyAlignment="1" applyBorder="1" applyFont="1">
      <alignment horizontal="center" shrinkToFit="0" vertical="bottom" wrapText="0"/>
    </xf>
    <xf borderId="83" fillId="0" fontId="36" numFmtId="2" xfId="0" applyAlignment="1" applyBorder="1" applyFont="1" applyNumberFormat="1">
      <alignment horizontal="center" shrinkToFit="0" vertical="center" wrapText="0"/>
    </xf>
    <xf borderId="84" fillId="0" fontId="37" numFmtId="1" xfId="0" applyAlignment="1" applyBorder="1" applyFont="1" applyNumberFormat="1">
      <alignment horizontal="center" readingOrder="0" shrinkToFit="0" vertical="center" wrapText="1"/>
    </xf>
    <xf borderId="84" fillId="0" fontId="31" numFmtId="1" xfId="0" applyAlignment="1" applyBorder="1" applyFont="1" applyNumberFormat="1">
      <alignment horizontal="center" readingOrder="0" shrinkToFit="0" vertical="center" wrapText="1"/>
    </xf>
    <xf borderId="84" fillId="0" fontId="36" numFmtId="1" xfId="0" applyAlignment="1" applyBorder="1" applyFont="1" applyNumberFormat="1">
      <alignment horizontal="center" shrinkToFit="0" vertical="center" wrapText="1"/>
    </xf>
    <xf borderId="85" fillId="0" fontId="31" numFmtId="1" xfId="0" applyAlignment="1" applyBorder="1" applyFont="1" applyNumberFormat="1">
      <alignment horizontal="center" readingOrder="0" shrinkToFit="0" vertical="center" wrapText="1"/>
    </xf>
    <xf borderId="86" fillId="0" fontId="31" numFmtId="1" xfId="0" applyAlignment="1" applyBorder="1" applyFont="1" applyNumberFormat="1">
      <alignment horizontal="center" readingOrder="0" shrinkToFit="0" vertical="center" wrapText="1"/>
    </xf>
    <xf borderId="84" fillId="0" fontId="31" numFmtId="1" xfId="0" applyAlignment="1" applyBorder="1" applyFont="1" applyNumberFormat="1">
      <alignment horizontal="center" shrinkToFit="0" vertical="center" wrapText="1"/>
    </xf>
    <xf borderId="87" fillId="0" fontId="9" numFmtId="0" xfId="0" applyBorder="1" applyFont="1"/>
    <xf borderId="6" fillId="0" fontId="9" numFmtId="0" xfId="0" applyBorder="1" applyFont="1"/>
    <xf borderId="88" fillId="0" fontId="31" numFmtId="1" xfId="0" applyAlignment="1" applyBorder="1" applyFont="1" applyNumberFormat="1">
      <alignment horizontal="center" readingOrder="0" shrinkToFit="0" vertical="center" wrapText="1"/>
    </xf>
    <xf borderId="89" fillId="0" fontId="31" numFmtId="1" xfId="0" applyAlignment="1" applyBorder="1" applyFont="1" applyNumberFormat="1">
      <alignment horizontal="center" readingOrder="0" shrinkToFit="0" vertical="center" wrapText="1"/>
    </xf>
    <xf borderId="90" fillId="12" fontId="38" numFmtId="1" xfId="0" applyAlignment="1" applyBorder="1" applyFont="1" applyNumberFormat="1">
      <alignment horizontal="center" shrinkToFit="0" vertical="center" wrapText="0"/>
    </xf>
    <xf borderId="90" fillId="12" fontId="36" numFmtId="1" xfId="0" applyAlignment="1" applyBorder="1" applyFont="1" applyNumberFormat="1">
      <alignment horizontal="center" shrinkToFit="0" vertical="center" wrapText="0"/>
    </xf>
    <xf borderId="90" fillId="0" fontId="39" numFmtId="1" xfId="0" applyAlignment="1" applyBorder="1" applyFont="1" applyNumberFormat="1">
      <alignment horizontal="center" shrinkToFit="0" vertical="center" wrapText="0"/>
    </xf>
    <xf borderId="91" fillId="0" fontId="39" numFmtId="1" xfId="0" applyAlignment="1" applyBorder="1" applyFont="1" applyNumberFormat="1">
      <alignment horizontal="center" shrinkToFit="0" vertical="center" wrapText="1"/>
    </xf>
    <xf borderId="18" fillId="0" fontId="39" numFmtId="1" xfId="0" applyAlignment="1" applyBorder="1" applyFont="1" applyNumberFormat="1">
      <alignment horizontal="center" shrinkToFit="0" vertical="center" wrapText="1"/>
    </xf>
    <xf borderId="82" fillId="0" fontId="39" numFmtId="1" xfId="0" applyAlignment="1" applyBorder="1" applyFont="1" applyNumberFormat="1">
      <alignment horizontal="center" shrinkToFit="0" vertical="center" wrapText="1"/>
    </xf>
    <xf borderId="90" fillId="13" fontId="36" numFmtId="1" xfId="0" applyAlignment="1" applyBorder="1" applyFont="1" applyNumberFormat="1">
      <alignment horizontal="center" shrinkToFit="0" vertical="center" wrapText="0"/>
    </xf>
    <xf borderId="90" fillId="0" fontId="35" numFmtId="1" xfId="0" applyAlignment="1" applyBorder="1" applyFont="1" applyNumberFormat="1">
      <alignment horizontal="center" shrinkToFit="0" vertical="center" wrapText="0"/>
    </xf>
    <xf borderId="92" fillId="0" fontId="31" numFmtId="0" xfId="0" applyAlignment="1" applyBorder="1" applyFont="1">
      <alignment shrinkToFit="0" vertical="bottom" wrapText="0"/>
    </xf>
    <xf borderId="84" fillId="0" fontId="40" numFmtId="1" xfId="0" applyAlignment="1" applyBorder="1" applyFont="1" applyNumberFormat="1">
      <alignment horizontal="center" readingOrder="0" shrinkToFit="0" vertical="center" wrapText="1"/>
    </xf>
    <xf borderId="84" fillId="0" fontId="36" numFmtId="1" xfId="0" applyAlignment="1" applyBorder="1" applyFont="1" applyNumberFormat="1">
      <alignment horizontal="center" shrinkToFit="0" vertical="center" wrapText="0"/>
    </xf>
    <xf borderId="85" fillId="0" fontId="31" numFmtId="1" xfId="0" applyAlignment="1" applyBorder="1" applyFont="1" applyNumberFormat="1">
      <alignment horizontal="center" shrinkToFit="0" vertical="center" wrapText="1"/>
    </xf>
    <xf borderId="86" fillId="0" fontId="31" numFmtId="1" xfId="0" applyAlignment="1" applyBorder="1" applyFont="1" applyNumberFormat="1">
      <alignment horizontal="center" shrinkToFit="0" vertical="center" wrapText="1"/>
    </xf>
    <xf borderId="88" fillId="0" fontId="31" numFmtId="1" xfId="0" applyAlignment="1" applyBorder="1" applyFont="1" applyNumberFormat="1">
      <alignment horizontal="center" shrinkToFit="0" vertical="center" wrapText="1"/>
    </xf>
    <xf borderId="89" fillId="0" fontId="31" numFmtId="1" xfId="0" applyAlignment="1" applyBorder="1" applyFont="1" applyNumberFormat="1">
      <alignment horizontal="center" shrinkToFit="0" vertical="center" wrapText="1"/>
    </xf>
    <xf borderId="90" fillId="0" fontId="41" numFmtId="1" xfId="0" applyAlignment="1" applyBorder="1" applyFont="1" applyNumberFormat="1">
      <alignment horizontal="center" shrinkToFit="0" vertical="center" wrapText="0"/>
    </xf>
    <xf borderId="23" fillId="0" fontId="41" numFmtId="1" xfId="0" applyAlignment="1" applyBorder="1" applyFont="1" applyNumberFormat="1">
      <alignment horizontal="center" shrinkToFit="0" vertical="center" wrapText="1"/>
    </xf>
    <xf borderId="93" fillId="0" fontId="41" numFmtId="1" xfId="0" applyAlignment="1" applyBorder="1" applyFont="1" applyNumberFormat="1">
      <alignment horizontal="center" shrinkToFit="0" vertical="center" wrapText="1"/>
    </xf>
    <xf borderId="91" fillId="0" fontId="41" numFmtId="1" xfId="0" applyAlignment="1" applyBorder="1" applyFont="1" applyNumberFormat="1">
      <alignment horizontal="center" shrinkToFit="0" vertical="center" wrapText="1"/>
    </xf>
    <xf borderId="82" fillId="0" fontId="41" numFmtId="1" xfId="0" applyAlignment="1" applyBorder="1" applyFont="1" applyNumberFormat="1">
      <alignment horizontal="center" shrinkToFit="0" vertical="center" wrapText="1"/>
    </xf>
    <xf borderId="90" fillId="14" fontId="36" numFmtId="1" xfId="0" applyAlignment="1" applyBorder="1" applyFill="1" applyFont="1" applyNumberFormat="1">
      <alignment horizontal="center" shrinkToFit="0" vertical="center" wrapText="0"/>
    </xf>
    <xf borderId="90" fillId="0" fontId="35" numFmtId="0" xfId="0" applyAlignment="1" applyBorder="1" applyFont="1">
      <alignment horizontal="center" shrinkToFit="0" vertical="bottom" wrapText="0"/>
    </xf>
    <xf borderId="84" fillId="0" fontId="36" numFmtId="1" xfId="0" applyAlignment="1" applyBorder="1" applyFont="1" applyNumberFormat="1">
      <alignment horizontal="center" readingOrder="0" shrinkToFit="0" vertical="center" wrapText="0"/>
    </xf>
    <xf borderId="81" fillId="0" fontId="35" numFmtId="2" xfId="0" applyAlignment="1" applyBorder="1" applyFont="1" applyNumberFormat="1">
      <alignment horizontal="center" shrinkToFit="0" vertical="center" wrapText="1"/>
    </xf>
    <xf borderId="16" fillId="0" fontId="35" numFmtId="0" xfId="0" applyAlignment="1" applyBorder="1" applyFont="1">
      <alignment horizontal="center" shrinkToFit="0" vertical="center" wrapText="1"/>
    </xf>
    <xf borderId="0" fillId="0" fontId="31" numFmtId="16" xfId="0" applyAlignment="1" applyFont="1" applyNumberFormat="1">
      <alignment shrinkToFit="0" vertical="bottom" wrapText="0"/>
    </xf>
    <xf borderId="84" fillId="0" fontId="37" numFmtId="1" xfId="0" applyAlignment="1" applyBorder="1" applyFont="1" applyNumberFormat="1">
      <alignment horizontal="center" shrinkToFit="0" vertical="center" wrapText="1"/>
    </xf>
    <xf borderId="94" fillId="14" fontId="36" numFmtId="1" xfId="0" applyAlignment="1" applyBorder="1" applyFont="1" applyNumberFormat="1">
      <alignment horizontal="center" shrinkToFit="0" vertical="center" wrapText="0"/>
    </xf>
    <xf borderId="95" fillId="0" fontId="9" numFmtId="0" xfId="0" applyBorder="1" applyFont="1"/>
    <xf borderId="96" fillId="0" fontId="9" numFmtId="0" xfId="0" applyBorder="1" applyFont="1"/>
    <xf borderId="97" fillId="0" fontId="33" numFmtId="0" xfId="0" applyAlignment="1" applyBorder="1" applyFont="1">
      <alignment horizontal="center" readingOrder="0" shrinkToFit="0" vertical="center" wrapText="0"/>
    </xf>
    <xf borderId="98" fillId="0" fontId="9" numFmtId="0" xfId="0" applyBorder="1" applyFont="1"/>
    <xf borderId="99" fillId="0" fontId="9" numFmtId="0" xfId="0" applyBorder="1" applyFont="1"/>
    <xf borderId="83" fillId="0" fontId="36" numFmtId="2" xfId="0" applyAlignment="1" applyBorder="1" applyFont="1" applyNumberFormat="1">
      <alignment horizontal="center" readingOrder="0" shrinkToFit="0" vertical="center" wrapText="0"/>
    </xf>
    <xf borderId="90" fillId="12" fontId="36" numFmtId="1" xfId="0" applyAlignment="1" applyBorder="1" applyFont="1" applyNumberFormat="1">
      <alignment horizontal="center" readingOrder="0" shrinkToFit="0" vertical="center" wrapText="0"/>
    </xf>
    <xf borderId="0" fillId="0" fontId="31" numFmtId="164" xfId="0" applyAlignment="1" applyFont="1" applyNumberFormat="1">
      <alignment shrinkToFit="0" vertical="bottom" wrapText="0"/>
    </xf>
    <xf borderId="74" fillId="0" fontId="33" numFmtId="0" xfId="0" applyAlignment="1" applyBorder="1" applyFont="1">
      <alignment horizontal="center" shrinkToFit="0" vertical="center" wrapText="0"/>
    </xf>
    <xf borderId="84" fillId="0" fontId="36" numFmtId="1" xfId="0" applyAlignment="1" applyBorder="1" applyFont="1" applyNumberFormat="1">
      <alignment horizontal="center" readingOrder="0" shrinkToFit="0" vertical="center" wrapText="1"/>
    </xf>
    <xf borderId="100" fillId="12" fontId="36" numFmtId="1" xfId="0" applyAlignment="1" applyBorder="1" applyFont="1" applyNumberFormat="1">
      <alignment horizontal="center" shrinkToFit="0" vertical="center" wrapText="0"/>
    </xf>
    <xf borderId="101" fillId="0" fontId="9" numFmtId="0" xfId="0" applyBorder="1" applyFont="1"/>
    <xf borderId="102" fillId="0" fontId="9" numFmtId="0" xfId="0" applyBorder="1" applyFont="1"/>
    <xf borderId="0" fillId="0" fontId="31" numFmtId="165" xfId="0" applyAlignment="1" applyFont="1" applyNumberForma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84" fillId="0" fontId="37" numFmtId="1" xfId="0" applyAlignment="1" applyBorder="1" applyFont="1" applyNumberFormat="1">
      <alignment horizontal="center" shrinkToFit="0" vertical="center" wrapText="0"/>
    </xf>
    <xf borderId="84" fillId="0" fontId="37" numFmtId="1" xfId="0" applyAlignment="1" applyBorder="1" applyFont="1" applyNumberFormat="1">
      <alignment horizontal="center" readingOrder="0" shrinkToFit="0" vertical="center" wrapText="0"/>
    </xf>
    <xf borderId="0" fillId="0" fontId="31" numFmtId="166" xfId="0" applyAlignment="1" applyFont="1" applyNumberFormat="1">
      <alignment readingOrder="0" shrinkToFit="0" vertical="bottom" wrapText="0"/>
    </xf>
    <xf borderId="0" fillId="0" fontId="31" numFmtId="167" xfId="0" applyAlignment="1" applyFont="1" applyNumberFormat="1">
      <alignment horizontal="left" readingOrder="0" shrinkToFit="0" vertical="bottom" wrapText="0"/>
    </xf>
    <xf borderId="0" fillId="0" fontId="42" numFmtId="0" xfId="0" applyAlignment="1" applyFont="1">
      <alignment horizontal="center" shrinkToFit="0" vertical="center" wrapText="0"/>
    </xf>
    <xf borderId="83" fillId="0" fontId="36" numFmtId="0" xfId="0" applyAlignment="1" applyBorder="1" applyFont="1">
      <alignment horizontal="center" shrinkToFit="0" vertical="center" wrapText="0"/>
    </xf>
    <xf borderId="84" fillId="0" fontId="31" numFmtId="0" xfId="0" applyAlignment="1" applyBorder="1" applyFont="1">
      <alignment horizontal="center" readingOrder="0" shrinkToFit="0" vertical="bottom" wrapText="1"/>
    </xf>
    <xf borderId="13" fillId="0" fontId="35" numFmtId="0" xfId="0" applyAlignment="1" applyBorder="1" applyFont="1">
      <alignment horizontal="center" readingOrder="0" shrinkToFit="0" vertical="center" wrapText="1"/>
    </xf>
    <xf borderId="75" fillId="14" fontId="31" numFmtId="0" xfId="0" applyAlignment="1" applyBorder="1" applyFont="1">
      <alignment horizontal="center" shrinkToFit="0" vertical="bottom" wrapText="0"/>
    </xf>
    <xf borderId="81" fillId="0" fontId="36" numFmtId="1" xfId="0" applyAlignment="1" applyBorder="1" applyFont="1" applyNumberFormat="1">
      <alignment horizontal="center" shrinkToFit="0" vertical="center" wrapText="0"/>
    </xf>
    <xf borderId="13" fillId="0" fontId="36" numFmtId="1" xfId="0" applyAlignment="1" applyBorder="1" applyFont="1" applyNumberFormat="1">
      <alignment horizontal="center" shrinkToFit="0" vertical="center" wrapText="0"/>
    </xf>
    <xf borderId="81" fillId="14" fontId="36" numFmtId="1" xfId="0" applyAlignment="1" applyBorder="1" applyFont="1" applyNumberFormat="1">
      <alignment horizontal="center" shrinkToFit="0" vertical="center" wrapText="0"/>
    </xf>
    <xf borderId="13" fillId="14" fontId="36" numFmtId="1" xfId="0" applyAlignment="1" applyBorder="1" applyFont="1" applyNumberFormat="1">
      <alignment horizontal="center" shrinkToFit="0" vertical="center" wrapText="0"/>
    </xf>
    <xf borderId="103" fillId="14" fontId="36" numFmtId="1" xfId="0" applyAlignment="1" applyBorder="1" applyFont="1" applyNumberFormat="1">
      <alignment horizontal="center" shrinkToFit="0" vertical="center" wrapText="0"/>
    </xf>
    <xf borderId="104" fillId="14" fontId="36" numFmtId="1" xfId="0" applyAlignment="1" applyBorder="1" applyFont="1" applyNumberFormat="1">
      <alignment horizontal="center" shrinkToFit="0" vertical="center" wrapText="0"/>
    </xf>
    <xf borderId="105" fillId="14" fontId="36" numFmtId="1" xfId="0" applyAlignment="1" applyBorder="1" applyFont="1" applyNumberFormat="1">
      <alignment horizontal="center" shrinkToFit="0" vertical="center" wrapText="0"/>
    </xf>
    <xf borderId="84" fillId="0" fontId="31" numFmtId="0" xfId="0" applyAlignment="1" applyBorder="1" applyFont="1">
      <alignment horizontal="center" readingOrder="0" shrinkToFit="0" vertical="center" wrapText="1"/>
    </xf>
    <xf borderId="106" fillId="0" fontId="31" numFmtId="1" xfId="0" applyAlignment="1" applyBorder="1" applyFont="1" applyNumberFormat="1">
      <alignment horizontal="center" readingOrder="0" shrinkToFit="0" vertical="center" wrapText="1"/>
    </xf>
    <xf borderId="107" fillId="0" fontId="31" numFmtId="1" xfId="0" applyAlignment="1" applyBorder="1" applyFont="1" applyNumberFormat="1">
      <alignment horizontal="center" readingOrder="0" shrinkToFit="0" vertical="center" wrapText="1"/>
    </xf>
    <xf borderId="0" fillId="0" fontId="41" numFmtId="1" xfId="0" applyAlignment="1" applyFont="1" applyNumberFormat="1">
      <alignment horizontal="center" shrinkToFit="0" vertical="center" wrapText="0"/>
    </xf>
    <xf borderId="0" fillId="0" fontId="41" numFmtId="1" xfId="0" applyAlignment="1" applyFont="1" applyNumberFormat="1">
      <alignment horizontal="center" shrinkToFit="0" vertical="center" wrapText="1"/>
    </xf>
    <xf borderId="78" fillId="14" fontId="36" numFmtId="1" xfId="0" applyAlignment="1" applyBorder="1" applyFont="1" applyNumberFormat="1">
      <alignment horizontal="center" shrinkToFit="0" vertical="center" wrapText="0"/>
    </xf>
    <xf borderId="108" fillId="0" fontId="36" numFmtId="1" xfId="0" applyAlignment="1" applyBorder="1" applyFont="1" applyNumberFormat="1">
      <alignment horizontal="center" shrinkToFit="0" vertical="center" wrapText="1"/>
    </xf>
    <xf borderId="84" fillId="0" fontId="43" numFmtId="1" xfId="0" applyAlignment="1" applyBorder="1" applyFont="1" applyNumberFormat="1">
      <alignment horizontal="center" shrinkToFit="0" vertical="center" wrapText="1"/>
    </xf>
    <xf borderId="89" fillId="0" fontId="9" numFmtId="0" xfId="0" applyBorder="1" applyFont="1"/>
    <xf borderId="109" fillId="0" fontId="31" numFmtId="1" xfId="0" applyAlignment="1" applyBorder="1" applyFont="1" applyNumberFormat="1">
      <alignment horizontal="center" readingOrder="0" shrinkToFit="0" vertical="center" wrapText="1"/>
    </xf>
    <xf borderId="110" fillId="0" fontId="31" numFmtId="1" xfId="0" applyAlignment="1" applyBorder="1" applyFont="1" applyNumberFormat="1">
      <alignment horizontal="center" readingOrder="0" shrinkToFit="0" vertical="center" wrapText="1"/>
    </xf>
    <xf borderId="79" fillId="0" fontId="31" numFmtId="1" xfId="0" applyAlignment="1" applyBorder="1" applyFont="1" applyNumberFormat="1">
      <alignment horizontal="center" readingOrder="0" shrinkToFit="0" vertical="center" wrapText="1"/>
    </xf>
    <xf borderId="111" fillId="0" fontId="31" numFmtId="1" xfId="0" applyAlignment="1" applyBorder="1" applyFont="1" applyNumberFormat="1">
      <alignment horizontal="center" readingOrder="0" shrinkToFit="0" vertical="center" wrapText="1"/>
    </xf>
    <xf borderId="84" fillId="0" fontId="31" numFmtId="0" xfId="0" applyAlignment="1" applyBorder="1" applyFont="1">
      <alignment horizontal="center" shrinkToFit="0" vertical="center" wrapText="1"/>
    </xf>
    <xf borderId="81" fillId="0" fontId="42" numFmtId="0" xfId="0" applyAlignment="1" applyBorder="1" applyFont="1">
      <alignment horizontal="center" shrinkToFit="0" vertical="center" wrapText="1"/>
    </xf>
    <xf borderId="13" fillId="0" fontId="42" numFmtId="0" xfId="0" applyAlignment="1" applyBorder="1" applyFont="1">
      <alignment horizontal="center" shrinkToFit="0" vertical="center" wrapText="1"/>
    </xf>
    <xf borderId="23" fillId="0" fontId="42" numFmtId="0" xfId="0" applyAlignment="1" applyBorder="1" applyFont="1">
      <alignment horizontal="center" readingOrder="0" shrinkToFit="0" vertical="center" wrapText="1"/>
    </xf>
    <xf borderId="23" fillId="0" fontId="42" numFmtId="0" xfId="0" applyAlignment="1" applyBorder="1" applyFont="1">
      <alignment horizontal="center" shrinkToFit="0" vertical="center" wrapText="1"/>
    </xf>
    <xf borderId="83" fillId="0" fontId="44" numFmtId="2" xfId="0" applyAlignment="1" applyBorder="1" applyFont="1" applyNumberFormat="1">
      <alignment horizontal="center" readingOrder="0" shrinkToFit="0" vertical="center" wrapText="0"/>
    </xf>
    <xf borderId="84" fillId="0" fontId="44" numFmtId="1" xfId="0" applyAlignment="1" applyBorder="1" applyFont="1" applyNumberFormat="1">
      <alignment horizontal="center" readingOrder="0" shrinkToFit="0" vertical="center" wrapText="1"/>
    </xf>
    <xf borderId="84" fillId="0" fontId="45" numFmtId="1" xfId="0" applyAlignment="1" applyBorder="1" applyFont="1" applyNumberFormat="1">
      <alignment horizontal="center" readingOrder="0" shrinkToFit="0" vertical="center" wrapText="1"/>
    </xf>
    <xf borderId="84" fillId="0" fontId="44" numFmtId="1" xfId="0" applyAlignment="1" applyBorder="1" applyFont="1" applyNumberFormat="1">
      <alignment horizontal="center" shrinkToFit="0" vertical="center" wrapText="1"/>
    </xf>
    <xf borderId="85" fillId="0" fontId="45" numFmtId="1" xfId="0" applyAlignment="1" applyBorder="1" applyFont="1" applyNumberFormat="1">
      <alignment horizontal="center" shrinkToFit="0" vertical="center" wrapText="1"/>
    </xf>
    <xf borderId="86" fillId="0" fontId="45" numFmtId="1" xfId="0" applyAlignment="1" applyBorder="1" applyFont="1" applyNumberFormat="1">
      <alignment horizontal="center" shrinkToFit="0" vertical="center" wrapText="1"/>
    </xf>
    <xf borderId="84" fillId="0" fontId="45" numFmtId="1" xfId="0" applyAlignment="1" applyBorder="1" applyFont="1" applyNumberFormat="1">
      <alignment horizontal="center" shrinkToFit="0" vertical="center" wrapText="1"/>
    </xf>
    <xf borderId="88" fillId="0" fontId="45" numFmtId="1" xfId="0" applyAlignment="1" applyBorder="1" applyFont="1" applyNumberFormat="1">
      <alignment horizontal="center" shrinkToFit="0" vertical="center" wrapText="1"/>
    </xf>
    <xf borderId="89" fillId="0" fontId="45" numFmtId="1" xfId="0" applyAlignment="1" applyBorder="1" applyFont="1" applyNumberFormat="1">
      <alignment horizontal="center" shrinkToFit="0" vertical="center" wrapText="1"/>
    </xf>
    <xf borderId="90" fillId="12" fontId="46" numFmtId="1" xfId="0" applyAlignment="1" applyBorder="1" applyFont="1" applyNumberFormat="1">
      <alignment horizontal="center" shrinkToFit="0" vertical="center" wrapText="0"/>
    </xf>
    <xf borderId="83" fillId="0" fontId="44" numFmtId="2" xfId="0" applyAlignment="1" applyBorder="1" applyFont="1" applyNumberFormat="1">
      <alignment horizontal="center" shrinkToFit="0" vertical="center" wrapText="0"/>
    </xf>
    <xf borderId="90" fillId="12" fontId="44" numFmtId="1" xfId="0" applyAlignment="1" applyBorder="1" applyFont="1" applyNumberFormat="1">
      <alignment horizontal="center" shrinkToFit="0" vertical="center" wrapText="0"/>
    </xf>
    <xf borderId="84" fillId="0" fontId="44" numFmtId="1" xfId="0" applyAlignment="1" applyBorder="1" applyFont="1" applyNumberFormat="1">
      <alignment horizontal="center" readingOrder="0" shrinkToFit="0" vertical="center" wrapText="0"/>
    </xf>
    <xf borderId="84" fillId="0" fontId="45" numFmtId="0" xfId="0" applyAlignment="1" applyBorder="1" applyFont="1">
      <alignment horizontal="center" readingOrder="0" shrinkToFit="0" vertical="center" wrapText="1"/>
    </xf>
    <xf borderId="106" fillId="0" fontId="45" numFmtId="1" xfId="0" applyAlignment="1" applyBorder="1" applyFont="1" applyNumberFormat="1">
      <alignment horizontal="center" shrinkToFit="0" vertical="center" wrapText="1"/>
    </xf>
    <xf borderId="107" fillId="0" fontId="45" numFmtId="1" xfId="0" applyAlignment="1" applyBorder="1" applyFont="1" applyNumberFormat="1">
      <alignment horizontal="center" shrinkToFit="0" vertical="center" wrapText="1"/>
    </xf>
    <xf borderId="90" fillId="0" fontId="47" numFmtId="1" xfId="0" applyAlignment="1" applyBorder="1" applyFont="1" applyNumberFormat="1">
      <alignment horizontal="center" shrinkToFit="0" vertical="center" wrapText="0"/>
    </xf>
    <xf borderId="91" fillId="0" fontId="47" numFmtId="1" xfId="0" applyAlignment="1" applyBorder="1" applyFont="1" applyNumberFormat="1">
      <alignment horizontal="center" shrinkToFit="0" vertical="center" wrapText="1"/>
    </xf>
    <xf borderId="112" fillId="14" fontId="36" numFmtId="1" xfId="0" applyAlignment="1" applyBorder="1" applyFont="1" applyNumberFormat="1">
      <alignment horizontal="center" shrinkToFit="0" vertical="center" wrapText="0"/>
    </xf>
    <xf borderId="113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0</xdr:row>
      <xdr:rowOff>85725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0</xdr:row>
      <xdr:rowOff>85725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523875</xdr:colOff>
      <xdr:row>0</xdr:row>
      <xdr:rowOff>161925</xdr:rowOff>
    </xdr:from>
    <xdr:ext cx="146685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0</xdr:rowOff>
    </xdr:from>
    <xdr:ext cx="733425" cy="74295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76200</xdr:colOff>
      <xdr:row>0</xdr:row>
      <xdr:rowOff>85725</xdr:rowOff>
    </xdr:from>
    <xdr:ext cx="14668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0</xdr:row>
      <xdr:rowOff>0</xdr:rowOff>
    </xdr:from>
    <xdr:ext cx="733425" cy="742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0</xdr:row>
      <xdr:rowOff>66675</xdr:rowOff>
    </xdr:from>
    <xdr:ext cx="138112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95250</xdr:rowOff>
    </xdr:from>
    <xdr:ext cx="657225" cy="666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0</xdr:row>
      <xdr:rowOff>76200</xdr:rowOff>
    </xdr:from>
    <xdr:ext cx="145732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38100</xdr:rowOff>
    </xdr:from>
    <xdr:ext cx="723900" cy="723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95250</xdr:rowOff>
    </xdr:from>
    <xdr:ext cx="14382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66675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0</xdr:row>
      <xdr:rowOff>133350</xdr:rowOff>
    </xdr:from>
    <xdr:ext cx="13716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0</xdr:row>
      <xdr:rowOff>38100</xdr:rowOff>
    </xdr:from>
    <xdr:ext cx="676275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76200</xdr:rowOff>
    </xdr:from>
    <xdr:ext cx="14001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66675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0</xdr:row>
      <xdr:rowOff>76200</xdr:rowOff>
    </xdr:from>
    <xdr:ext cx="14382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57150</xdr:rowOff>
    </xdr:from>
    <xdr:ext cx="666750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0</xdr:row>
      <xdr:rowOff>66675</xdr:rowOff>
    </xdr:from>
    <xdr:ext cx="14192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57150</xdr:rowOff>
    </xdr:from>
    <xdr:ext cx="666750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0</xdr:row>
      <xdr:rowOff>95250</xdr:rowOff>
    </xdr:from>
    <xdr:ext cx="14001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0</xdr:row>
      <xdr:rowOff>28575</xdr:rowOff>
    </xdr:from>
    <xdr:ext cx="676275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0</xdr:row>
      <xdr:rowOff>152400</xdr:rowOff>
    </xdr:from>
    <xdr:ext cx="14001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114300</xdr:colOff>
      <xdr:row>0</xdr:row>
      <xdr:rowOff>95250</xdr:rowOff>
    </xdr:from>
    <xdr:ext cx="16668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57150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0</xdr:row>
      <xdr:rowOff>95250</xdr:rowOff>
    </xdr:from>
    <xdr:ext cx="18097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114300</xdr:rowOff>
    </xdr:from>
    <xdr:ext cx="676275" cy="6858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1.13"/>
    <col customWidth="1" min="3" max="3" width="28.0"/>
    <col customWidth="1" min="4" max="4" width="25.5"/>
    <col customWidth="1" min="5" max="6" width="30.0"/>
    <col customWidth="1" min="7" max="7" width="25.13"/>
    <col customWidth="1" min="8" max="26" width="8.0"/>
  </cols>
  <sheetData>
    <row r="1" ht="22.5" customHeight="1">
      <c r="A1" s="1" t="s">
        <v>0</v>
      </c>
    </row>
    <row r="2" ht="21.0" customHeight="1">
      <c r="A2" s="2" t="s">
        <v>1</v>
      </c>
    </row>
    <row r="3" ht="21.0" customHeight="1">
      <c r="A3" s="3"/>
      <c r="B3" s="4"/>
      <c r="C3" s="4"/>
      <c r="D3" s="4"/>
      <c r="E3" s="4"/>
      <c r="F3" s="4"/>
      <c r="G3" s="4"/>
    </row>
    <row r="4" ht="27.0" customHeight="1">
      <c r="A4" s="5"/>
      <c r="B4" s="6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8" t="s">
        <v>7</v>
      </c>
    </row>
    <row r="5" ht="22.5" customHeight="1">
      <c r="A5" s="9" t="s">
        <v>8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1" t="s">
        <v>14</v>
      </c>
    </row>
    <row r="6" ht="17.25" customHeight="1">
      <c r="A6" s="12" t="s">
        <v>15</v>
      </c>
      <c r="B6" s="13"/>
      <c r="C6" s="14"/>
      <c r="D6" s="14"/>
      <c r="E6" s="14"/>
      <c r="F6" s="14"/>
      <c r="G6" s="15"/>
    </row>
    <row r="7" ht="17.25" customHeight="1">
      <c r="A7" s="16" t="s">
        <v>16</v>
      </c>
      <c r="B7" s="17" t="s">
        <v>17</v>
      </c>
      <c r="C7" s="17" t="s">
        <v>18</v>
      </c>
      <c r="D7" s="18" t="s">
        <v>19</v>
      </c>
      <c r="E7" s="17" t="s">
        <v>20</v>
      </c>
      <c r="F7" s="17" t="s">
        <v>21</v>
      </c>
      <c r="G7" s="19" t="s">
        <v>22</v>
      </c>
    </row>
    <row r="8" ht="17.25" customHeight="1">
      <c r="A8" s="16" t="s">
        <v>23</v>
      </c>
      <c r="B8" s="20" t="s">
        <v>24</v>
      </c>
      <c r="C8" s="21" t="s">
        <v>25</v>
      </c>
      <c r="D8" s="21" t="s">
        <v>26</v>
      </c>
      <c r="E8" s="21" t="s">
        <v>27</v>
      </c>
      <c r="F8" s="21" t="s">
        <v>28</v>
      </c>
      <c r="G8" s="22" t="s">
        <v>29</v>
      </c>
    </row>
    <row r="9" ht="17.25" customHeight="1">
      <c r="A9" s="16" t="s">
        <v>30</v>
      </c>
      <c r="B9" s="21" t="s">
        <v>31</v>
      </c>
      <c r="C9" s="21" t="s">
        <v>32</v>
      </c>
      <c r="D9" s="21" t="s">
        <v>33</v>
      </c>
      <c r="E9" s="21" t="s">
        <v>34</v>
      </c>
      <c r="F9" s="21" t="s">
        <v>35</v>
      </c>
      <c r="G9" s="22" t="s">
        <v>36</v>
      </c>
    </row>
    <row r="10" ht="17.25" customHeight="1">
      <c r="A10" s="23"/>
      <c r="B10" s="24"/>
      <c r="C10" s="24"/>
      <c r="D10" s="24"/>
      <c r="E10" s="24"/>
      <c r="F10" s="24"/>
      <c r="G10" s="25"/>
    </row>
    <row r="11" ht="17.25" customHeight="1">
      <c r="A11" s="26" t="s">
        <v>37</v>
      </c>
      <c r="B11" s="21" t="s">
        <v>38</v>
      </c>
      <c r="C11" s="21" t="s">
        <v>39</v>
      </c>
      <c r="D11" s="27" t="s">
        <v>40</v>
      </c>
      <c r="E11" s="21" t="s">
        <v>41</v>
      </c>
      <c r="F11" s="28" t="s">
        <v>42</v>
      </c>
      <c r="G11" s="22" t="s">
        <v>43</v>
      </c>
    </row>
    <row r="12" ht="17.25" customHeight="1">
      <c r="A12" s="26" t="s">
        <v>44</v>
      </c>
      <c r="B12" s="21" t="s">
        <v>45</v>
      </c>
      <c r="C12" s="21" t="s">
        <v>46</v>
      </c>
      <c r="D12" s="27" t="s">
        <v>47</v>
      </c>
      <c r="E12" s="21" t="s">
        <v>48</v>
      </c>
      <c r="F12" s="21" t="s">
        <v>49</v>
      </c>
      <c r="G12" s="22" t="s">
        <v>50</v>
      </c>
    </row>
    <row r="13" ht="17.25" customHeight="1">
      <c r="A13" s="16" t="s">
        <v>51</v>
      </c>
      <c r="B13" s="17" t="s">
        <v>52</v>
      </c>
      <c r="C13" s="29" t="s">
        <v>53</v>
      </c>
      <c r="D13" s="30" t="s">
        <v>54</v>
      </c>
      <c r="E13" s="21" t="s">
        <v>55</v>
      </c>
      <c r="F13" s="31" t="s">
        <v>13</v>
      </c>
      <c r="G13" s="22" t="s">
        <v>56</v>
      </c>
    </row>
    <row r="14" ht="17.25" customHeight="1">
      <c r="A14" s="32"/>
      <c r="B14" s="24"/>
      <c r="C14" s="24"/>
      <c r="D14" s="24"/>
      <c r="E14" s="24"/>
      <c r="F14" s="24"/>
      <c r="G14" s="25"/>
    </row>
    <row r="15" ht="17.25" customHeight="1">
      <c r="A15" s="16" t="s">
        <v>57</v>
      </c>
      <c r="B15" s="21" t="s">
        <v>58</v>
      </c>
      <c r="C15" s="21" t="s">
        <v>59</v>
      </c>
      <c r="D15" s="21" t="s">
        <v>60</v>
      </c>
      <c r="E15" s="21" t="s">
        <v>61</v>
      </c>
      <c r="F15" s="21" t="s">
        <v>62</v>
      </c>
      <c r="G15" s="22" t="s">
        <v>63</v>
      </c>
    </row>
    <row r="16" ht="17.25" customHeight="1">
      <c r="A16" s="16" t="s">
        <v>64</v>
      </c>
      <c r="B16" s="21" t="s">
        <v>65</v>
      </c>
      <c r="C16" s="21" t="s">
        <v>66</v>
      </c>
      <c r="D16" s="21" t="s">
        <v>67</v>
      </c>
      <c r="E16" s="31" t="s">
        <v>12</v>
      </c>
      <c r="F16" s="21" t="s">
        <v>68</v>
      </c>
      <c r="G16" s="33" t="s">
        <v>69</v>
      </c>
    </row>
    <row r="17" ht="17.25" customHeight="1">
      <c r="A17" s="16" t="s">
        <v>70</v>
      </c>
      <c r="B17" s="21" t="s">
        <v>71</v>
      </c>
      <c r="C17" s="31" t="s">
        <v>10</v>
      </c>
      <c r="D17" s="31" t="s">
        <v>11</v>
      </c>
      <c r="E17" s="21" t="s">
        <v>72</v>
      </c>
      <c r="F17" s="21" t="s">
        <v>73</v>
      </c>
      <c r="G17" s="22" t="s">
        <v>74</v>
      </c>
    </row>
    <row r="18" ht="17.25" customHeight="1">
      <c r="A18" s="34"/>
      <c r="B18" s="35"/>
      <c r="C18" s="35"/>
      <c r="D18" s="35"/>
      <c r="E18" s="35"/>
      <c r="F18" s="35"/>
      <c r="G18" s="36"/>
    </row>
    <row r="19" ht="17.25" customHeight="1">
      <c r="A19" s="16" t="s">
        <v>75</v>
      </c>
      <c r="B19" s="21" t="s">
        <v>76</v>
      </c>
      <c r="C19" s="21" t="s">
        <v>77</v>
      </c>
      <c r="D19" s="21" t="s">
        <v>78</v>
      </c>
      <c r="E19" s="28" t="s">
        <v>79</v>
      </c>
      <c r="F19" s="21" t="s">
        <v>80</v>
      </c>
      <c r="G19" s="22" t="s">
        <v>81</v>
      </c>
    </row>
    <row r="20" ht="17.25" customHeight="1">
      <c r="A20" s="16" t="s">
        <v>82</v>
      </c>
      <c r="B20" s="21" t="s">
        <v>83</v>
      </c>
      <c r="C20" s="21" t="s">
        <v>84</v>
      </c>
      <c r="D20" s="21" t="s">
        <v>85</v>
      </c>
      <c r="E20" s="21" t="s">
        <v>86</v>
      </c>
      <c r="F20" s="21" t="s">
        <v>87</v>
      </c>
      <c r="G20" s="22" t="s">
        <v>88</v>
      </c>
    </row>
    <row r="21" ht="17.25" customHeight="1">
      <c r="A21" s="16" t="s">
        <v>89</v>
      </c>
      <c r="B21" s="21" t="s">
        <v>90</v>
      </c>
      <c r="C21" s="21" t="s">
        <v>91</v>
      </c>
      <c r="D21" s="21" t="s">
        <v>92</v>
      </c>
      <c r="E21" s="37" t="s">
        <v>93</v>
      </c>
      <c r="F21" s="21" t="s">
        <v>94</v>
      </c>
      <c r="G21" s="22" t="s">
        <v>95</v>
      </c>
    </row>
    <row r="22" ht="17.25" customHeight="1">
      <c r="A22" s="38"/>
      <c r="B22" s="39"/>
      <c r="C22" s="40"/>
      <c r="D22" s="40"/>
      <c r="E22" s="40"/>
      <c r="F22" s="40"/>
      <c r="G22" s="41"/>
    </row>
    <row r="23" ht="17.25" customHeight="1">
      <c r="A23" s="26" t="s">
        <v>96</v>
      </c>
      <c r="B23" s="13"/>
      <c r="C23" s="14"/>
      <c r="D23" s="14"/>
      <c r="E23" s="14"/>
      <c r="F23" s="14"/>
      <c r="G23" s="15"/>
    </row>
    <row r="24" ht="17.25" customHeight="1">
      <c r="A24" s="16" t="s">
        <v>16</v>
      </c>
      <c r="B24" s="17" t="s">
        <v>97</v>
      </c>
      <c r="C24" s="17" t="s">
        <v>98</v>
      </c>
      <c r="D24" s="17" t="s">
        <v>99</v>
      </c>
      <c r="E24" s="17" t="s">
        <v>100</v>
      </c>
      <c r="F24" s="17" t="s">
        <v>101</v>
      </c>
      <c r="G24" s="19" t="s">
        <v>102</v>
      </c>
    </row>
    <row r="25" ht="17.25" customHeight="1">
      <c r="A25" s="16" t="s">
        <v>23</v>
      </c>
      <c r="B25" s="21" t="s">
        <v>103</v>
      </c>
      <c r="C25" s="21" t="s">
        <v>104</v>
      </c>
      <c r="D25" s="28" t="s">
        <v>105</v>
      </c>
      <c r="E25" s="21" t="s">
        <v>106</v>
      </c>
      <c r="F25" s="21" t="s">
        <v>107</v>
      </c>
      <c r="G25" s="22" t="s">
        <v>108</v>
      </c>
    </row>
    <row r="26" ht="17.25" customHeight="1">
      <c r="A26" s="16" t="s">
        <v>30</v>
      </c>
      <c r="B26" s="21" t="s">
        <v>109</v>
      </c>
      <c r="C26" s="42" t="s">
        <v>110</v>
      </c>
      <c r="D26" s="21" t="s">
        <v>111</v>
      </c>
      <c r="E26" s="21" t="s">
        <v>112</v>
      </c>
      <c r="F26" s="21" t="s">
        <v>113</v>
      </c>
      <c r="G26" s="22" t="s">
        <v>114</v>
      </c>
    </row>
    <row r="27" ht="17.25" customHeight="1">
      <c r="A27" s="32"/>
      <c r="B27" s="24"/>
      <c r="C27" s="24"/>
      <c r="D27" s="24"/>
      <c r="E27" s="24"/>
      <c r="F27" s="24"/>
      <c r="G27" s="25"/>
    </row>
    <row r="28" ht="17.25" customHeight="1">
      <c r="A28" s="16" t="s">
        <v>37</v>
      </c>
      <c r="B28" s="21" t="s">
        <v>115</v>
      </c>
      <c r="C28" s="21" t="s">
        <v>116</v>
      </c>
      <c r="D28" s="21" t="s">
        <v>117</v>
      </c>
      <c r="E28" s="43" t="s">
        <v>118</v>
      </c>
      <c r="F28" s="21" t="s">
        <v>119</v>
      </c>
      <c r="G28" s="22" t="s">
        <v>120</v>
      </c>
    </row>
    <row r="29" ht="17.25" customHeight="1">
      <c r="A29" s="16" t="s">
        <v>44</v>
      </c>
      <c r="B29" s="17" t="s">
        <v>121</v>
      </c>
      <c r="C29" s="21" t="s">
        <v>122</v>
      </c>
      <c r="D29" s="21" t="s">
        <v>123</v>
      </c>
      <c r="E29" s="21" t="s">
        <v>124</v>
      </c>
      <c r="F29" s="21" t="s">
        <v>125</v>
      </c>
      <c r="G29" s="22" t="s">
        <v>126</v>
      </c>
    </row>
    <row r="30" ht="17.25" customHeight="1">
      <c r="A30" s="16" t="s">
        <v>51</v>
      </c>
      <c r="B30" s="21" t="s">
        <v>127</v>
      </c>
      <c r="C30" s="21" t="s">
        <v>128</v>
      </c>
      <c r="D30" s="21" t="s">
        <v>129</v>
      </c>
      <c r="E30" s="21" t="s">
        <v>130</v>
      </c>
      <c r="F30" s="21" t="s">
        <v>131</v>
      </c>
      <c r="G30" s="22" t="s">
        <v>132</v>
      </c>
    </row>
    <row r="31" ht="15.0" customHeight="1">
      <c r="A31" s="44"/>
      <c r="B31" s="35"/>
      <c r="C31" s="35"/>
      <c r="D31" s="35"/>
      <c r="E31" s="35"/>
      <c r="F31" s="35"/>
      <c r="G31" s="36"/>
    </row>
    <row r="32" ht="17.25" customHeight="1">
      <c r="A32" s="16" t="s">
        <v>57</v>
      </c>
      <c r="B32" s="45" t="s">
        <v>133</v>
      </c>
      <c r="C32" s="45" t="s">
        <v>134</v>
      </c>
      <c r="D32" s="42" t="s">
        <v>135</v>
      </c>
      <c r="E32" s="45" t="s">
        <v>136</v>
      </c>
      <c r="F32" s="45" t="s">
        <v>137</v>
      </c>
      <c r="G32" s="46" t="s">
        <v>138</v>
      </c>
    </row>
    <row r="33" ht="17.25" customHeight="1">
      <c r="A33" s="16" t="s">
        <v>64</v>
      </c>
      <c r="B33" s="45" t="s">
        <v>139</v>
      </c>
      <c r="C33" s="45" t="s">
        <v>140</v>
      </c>
      <c r="D33" s="45" t="s">
        <v>141</v>
      </c>
      <c r="E33" s="45" t="s">
        <v>142</v>
      </c>
      <c r="F33" s="45" t="s">
        <v>143</v>
      </c>
      <c r="G33" s="46" t="s">
        <v>144</v>
      </c>
    </row>
    <row r="34" ht="17.25" customHeight="1">
      <c r="A34" s="16" t="s">
        <v>70</v>
      </c>
      <c r="B34" s="47" t="s">
        <v>9</v>
      </c>
      <c r="C34" s="45" t="s">
        <v>145</v>
      </c>
      <c r="D34" s="45" t="s">
        <v>146</v>
      </c>
      <c r="E34" s="45" t="s">
        <v>147</v>
      </c>
      <c r="F34" s="45" t="s">
        <v>148</v>
      </c>
      <c r="G34" s="46" t="s">
        <v>149</v>
      </c>
    </row>
    <row r="35" ht="17.25" customHeight="1">
      <c r="A35" s="48"/>
      <c r="B35" s="49"/>
      <c r="C35" s="50"/>
      <c r="D35" s="49"/>
      <c r="E35" s="49"/>
      <c r="F35" s="49"/>
      <c r="G35" s="51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7">
    <mergeCell ref="A1:G1"/>
    <mergeCell ref="A2:G2"/>
    <mergeCell ref="A10:G10"/>
    <mergeCell ref="A14:G14"/>
    <mergeCell ref="A18:G18"/>
    <mergeCell ref="A27:G27"/>
    <mergeCell ref="A31:G31"/>
  </mergeCells>
  <printOptions/>
  <pageMargins bottom="0.75" footer="0.0" header="0.0" left="0.25" right="0.25" top="0.75"/>
  <pageSetup paperSize="9" scale="7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0.13"/>
    <col customWidth="1" min="3" max="27" width="8.0"/>
  </cols>
  <sheetData>
    <row r="1" ht="22.5" customHeight="1">
      <c r="A1" s="1"/>
      <c r="B1" s="1" t="s">
        <v>0</v>
      </c>
    </row>
    <row r="2" ht="21.0" customHeight="1">
      <c r="A2" s="3"/>
      <c r="B2" s="2" t="s">
        <v>1</v>
      </c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13.5" customHeight="1">
      <c r="A5" s="52" t="s">
        <v>150</v>
      </c>
      <c r="B5" s="53" t="s">
        <v>9</v>
      </c>
      <c r="C5" s="54" t="s">
        <v>151</v>
      </c>
      <c r="D5" s="55" t="s">
        <v>152</v>
      </c>
      <c r="E5" s="55" t="s">
        <v>153</v>
      </c>
      <c r="F5" s="55" t="s">
        <v>154</v>
      </c>
      <c r="G5" s="55" t="s">
        <v>155</v>
      </c>
      <c r="H5" s="55" t="s">
        <v>156</v>
      </c>
      <c r="I5" s="55" t="s">
        <v>157</v>
      </c>
      <c r="J5" s="55" t="s">
        <v>158</v>
      </c>
      <c r="K5" s="55" t="s">
        <v>159</v>
      </c>
      <c r="L5" s="55" t="s">
        <v>160</v>
      </c>
      <c r="M5" s="56" t="s">
        <v>161</v>
      </c>
    </row>
    <row r="6" ht="13.5" customHeight="1">
      <c r="A6" s="57" t="s">
        <v>16</v>
      </c>
      <c r="B6" s="58" t="s">
        <v>17</v>
      </c>
      <c r="C6" s="59">
        <v>1.0</v>
      </c>
      <c r="D6" s="60">
        <v>1.0</v>
      </c>
      <c r="E6" s="60">
        <v>1.0</v>
      </c>
      <c r="F6" s="61"/>
      <c r="G6" s="60">
        <v>1.0</v>
      </c>
      <c r="H6" s="60">
        <v>1.0</v>
      </c>
      <c r="I6" s="60">
        <v>1.0</v>
      </c>
      <c r="J6" s="61"/>
      <c r="K6" s="60">
        <v>1.0</v>
      </c>
      <c r="L6" s="60">
        <v>1.0</v>
      </c>
      <c r="M6" s="62">
        <f t="shared" ref="M6:M26" si="1">SUM(C6:L6)</f>
        <v>8</v>
      </c>
    </row>
    <row r="7" ht="13.5" customHeight="1">
      <c r="A7" s="63" t="s">
        <v>23</v>
      </c>
      <c r="B7" s="64" t="s">
        <v>24</v>
      </c>
      <c r="C7" s="59">
        <v>1.0</v>
      </c>
      <c r="D7" s="61"/>
      <c r="E7" s="60">
        <v>1.0</v>
      </c>
      <c r="F7" s="60">
        <v>1.0</v>
      </c>
      <c r="G7" s="61"/>
      <c r="H7" s="60">
        <v>1.0</v>
      </c>
      <c r="I7" s="61"/>
      <c r="J7" s="60">
        <v>1.0</v>
      </c>
      <c r="K7" s="60">
        <v>1.0</v>
      </c>
      <c r="L7" s="61"/>
      <c r="M7" s="62">
        <f t="shared" si="1"/>
        <v>6</v>
      </c>
    </row>
    <row r="8" ht="13.5" customHeight="1">
      <c r="A8" s="57" t="s">
        <v>30</v>
      </c>
      <c r="B8" s="58" t="s">
        <v>31</v>
      </c>
      <c r="C8" s="65"/>
      <c r="D8" s="60">
        <v>1.0</v>
      </c>
      <c r="E8" s="61"/>
      <c r="F8" s="60">
        <v>1.0</v>
      </c>
      <c r="G8" s="60">
        <v>1.0</v>
      </c>
      <c r="H8" s="61"/>
      <c r="I8" s="60">
        <v>1.0</v>
      </c>
      <c r="J8" s="60">
        <v>1.0</v>
      </c>
      <c r="K8" s="61"/>
      <c r="L8" s="60">
        <v>1.0</v>
      </c>
      <c r="M8" s="62">
        <f t="shared" si="1"/>
        <v>6</v>
      </c>
    </row>
    <row r="9" ht="13.5" customHeight="1">
      <c r="A9" s="57" t="s">
        <v>37</v>
      </c>
      <c r="B9" s="58" t="s">
        <v>38</v>
      </c>
      <c r="C9" s="59">
        <v>1.0</v>
      </c>
      <c r="D9" s="60">
        <v>1.0</v>
      </c>
      <c r="E9" s="60">
        <v>1.0</v>
      </c>
      <c r="F9" s="60">
        <v>1.0</v>
      </c>
      <c r="G9" s="60">
        <v>1.0</v>
      </c>
      <c r="H9" s="60">
        <v>1.0</v>
      </c>
      <c r="I9" s="61"/>
      <c r="J9" s="61"/>
      <c r="K9" s="60">
        <v>1.0</v>
      </c>
      <c r="L9" s="60">
        <v>1.0</v>
      </c>
      <c r="M9" s="62">
        <f t="shared" si="1"/>
        <v>8</v>
      </c>
    </row>
    <row r="10" ht="13.5" customHeight="1">
      <c r="A10" s="57" t="s">
        <v>44</v>
      </c>
      <c r="B10" s="58" t="s">
        <v>45</v>
      </c>
      <c r="C10" s="59">
        <v>1.0</v>
      </c>
      <c r="D10" s="61"/>
      <c r="E10" s="60">
        <v>1.0</v>
      </c>
      <c r="F10" s="60">
        <v>1.0</v>
      </c>
      <c r="G10" s="61"/>
      <c r="H10" s="60">
        <v>1.0</v>
      </c>
      <c r="I10" s="60">
        <v>1.0</v>
      </c>
      <c r="J10" s="60">
        <v>1.0</v>
      </c>
      <c r="K10" s="61"/>
      <c r="L10" s="61"/>
      <c r="M10" s="62">
        <f t="shared" si="1"/>
        <v>6</v>
      </c>
    </row>
    <row r="11" ht="13.5" customHeight="1">
      <c r="A11" s="57" t="s">
        <v>51</v>
      </c>
      <c r="B11" s="66" t="s">
        <v>52</v>
      </c>
      <c r="C11" s="65"/>
      <c r="D11" s="60">
        <v>1.0</v>
      </c>
      <c r="E11" s="61"/>
      <c r="F11" s="61"/>
      <c r="G11" s="60">
        <v>1.0</v>
      </c>
      <c r="H11" s="61"/>
      <c r="I11" s="67">
        <v>1.0</v>
      </c>
      <c r="J11" s="60">
        <v>1.0</v>
      </c>
      <c r="K11" s="60">
        <v>1.0</v>
      </c>
      <c r="L11" s="60">
        <v>1.0</v>
      </c>
      <c r="M11" s="62">
        <f t="shared" si="1"/>
        <v>6</v>
      </c>
    </row>
    <row r="12" ht="13.5" customHeight="1">
      <c r="A12" s="57" t="s">
        <v>57</v>
      </c>
      <c r="B12" s="58" t="s">
        <v>58</v>
      </c>
      <c r="C12" s="59">
        <v>1.0</v>
      </c>
      <c r="D12" s="60">
        <v>1.0</v>
      </c>
      <c r="E12" s="61"/>
      <c r="F12" s="60">
        <v>1.0</v>
      </c>
      <c r="G12" s="60">
        <v>1.0</v>
      </c>
      <c r="H12" s="60">
        <v>1.0</v>
      </c>
      <c r="I12" s="60">
        <v>1.0</v>
      </c>
      <c r="J12" s="60">
        <v>1.0</v>
      </c>
      <c r="K12" s="61"/>
      <c r="L12" s="60">
        <v>1.0</v>
      </c>
      <c r="M12" s="62">
        <f t="shared" si="1"/>
        <v>8</v>
      </c>
    </row>
    <row r="13" ht="13.5" customHeight="1">
      <c r="A13" s="57" t="s">
        <v>64</v>
      </c>
      <c r="B13" s="58" t="s">
        <v>65</v>
      </c>
      <c r="C13" s="59">
        <v>1.0</v>
      </c>
      <c r="D13" s="61"/>
      <c r="E13" s="60">
        <v>1.0</v>
      </c>
      <c r="F13" s="60">
        <v>1.0</v>
      </c>
      <c r="G13" s="60">
        <v>1.0</v>
      </c>
      <c r="H13" s="61"/>
      <c r="I13" s="60">
        <v>1.0</v>
      </c>
      <c r="J13" s="61"/>
      <c r="K13" s="60">
        <v>1.0</v>
      </c>
      <c r="L13" s="61"/>
      <c r="M13" s="62">
        <f t="shared" si="1"/>
        <v>6</v>
      </c>
    </row>
    <row r="14" ht="13.5" customHeight="1">
      <c r="A14" s="57" t="s">
        <v>70</v>
      </c>
      <c r="B14" s="58" t="s">
        <v>71</v>
      </c>
      <c r="C14" s="65"/>
      <c r="D14" s="60">
        <v>1.0</v>
      </c>
      <c r="E14" s="60">
        <v>1.0</v>
      </c>
      <c r="F14" s="61"/>
      <c r="G14" s="61"/>
      <c r="H14" s="60">
        <v>1.0</v>
      </c>
      <c r="I14" s="61"/>
      <c r="J14" s="60">
        <v>1.0</v>
      </c>
      <c r="K14" s="60">
        <v>1.0</v>
      </c>
      <c r="L14" s="60">
        <v>1.0</v>
      </c>
      <c r="M14" s="62">
        <f t="shared" si="1"/>
        <v>6</v>
      </c>
    </row>
    <row r="15" ht="13.5" customHeight="1">
      <c r="A15" s="57" t="s">
        <v>75</v>
      </c>
      <c r="B15" s="58" t="s">
        <v>76</v>
      </c>
      <c r="C15" s="65"/>
      <c r="D15" s="60">
        <v>1.0</v>
      </c>
      <c r="E15" s="61"/>
      <c r="F15" s="60">
        <v>1.0</v>
      </c>
      <c r="G15" s="60">
        <v>1.0</v>
      </c>
      <c r="H15" s="60">
        <v>1.0</v>
      </c>
      <c r="I15" s="60">
        <v>1.0</v>
      </c>
      <c r="J15" s="60">
        <v>1.0</v>
      </c>
      <c r="K15" s="61"/>
      <c r="L15" s="60">
        <v>1.0</v>
      </c>
      <c r="M15" s="62">
        <f t="shared" si="1"/>
        <v>7</v>
      </c>
    </row>
    <row r="16" ht="13.5" customHeight="1">
      <c r="A16" s="57" t="s">
        <v>82</v>
      </c>
      <c r="B16" s="58" t="s">
        <v>83</v>
      </c>
      <c r="C16" s="59">
        <v>1.0</v>
      </c>
      <c r="D16" s="61"/>
      <c r="E16" s="60">
        <v>1.0</v>
      </c>
      <c r="F16" s="60">
        <v>1.0</v>
      </c>
      <c r="G16" s="61"/>
      <c r="H16" s="60">
        <v>1.0</v>
      </c>
      <c r="I16" s="61"/>
      <c r="J16" s="60">
        <v>1.0</v>
      </c>
      <c r="K16" s="60">
        <v>1.0</v>
      </c>
      <c r="L16" s="60">
        <v>1.0</v>
      </c>
      <c r="M16" s="62">
        <f t="shared" si="1"/>
        <v>7</v>
      </c>
    </row>
    <row r="17" ht="13.5" customHeight="1">
      <c r="A17" s="57" t="s">
        <v>89</v>
      </c>
      <c r="B17" s="58" t="s">
        <v>90</v>
      </c>
      <c r="C17" s="59">
        <v>1.0</v>
      </c>
      <c r="D17" s="60">
        <v>1.0</v>
      </c>
      <c r="E17" s="60">
        <v>1.0</v>
      </c>
      <c r="F17" s="61"/>
      <c r="G17" s="60">
        <v>1.0</v>
      </c>
      <c r="H17" s="61"/>
      <c r="I17" s="60">
        <v>1.0</v>
      </c>
      <c r="J17" s="61"/>
      <c r="K17" s="60">
        <v>1.0</v>
      </c>
      <c r="L17" s="60"/>
      <c r="M17" s="62">
        <f t="shared" si="1"/>
        <v>6</v>
      </c>
    </row>
    <row r="18" ht="13.5" customHeight="1">
      <c r="A18" s="68" t="s">
        <v>16</v>
      </c>
      <c r="B18" s="69" t="s">
        <v>97</v>
      </c>
      <c r="C18" s="65"/>
      <c r="D18" s="60">
        <v>1.0</v>
      </c>
      <c r="E18" s="60">
        <v>1.0</v>
      </c>
      <c r="F18" s="60">
        <v>1.0</v>
      </c>
      <c r="G18" s="60">
        <v>1.0</v>
      </c>
      <c r="H18" s="60">
        <v>1.0</v>
      </c>
      <c r="I18" s="60">
        <v>1.0</v>
      </c>
      <c r="J18" s="61"/>
      <c r="K18" s="60">
        <v>1.0</v>
      </c>
      <c r="L18" s="60">
        <v>1.0</v>
      </c>
      <c r="M18" s="62">
        <f t="shared" si="1"/>
        <v>8</v>
      </c>
    </row>
    <row r="19" ht="13.5" customHeight="1">
      <c r="A19" s="68" t="s">
        <v>23</v>
      </c>
      <c r="B19" s="70" t="s">
        <v>103</v>
      </c>
      <c r="C19" s="59">
        <v>1.0</v>
      </c>
      <c r="D19" s="60">
        <v>1.0</v>
      </c>
      <c r="E19" s="61"/>
      <c r="F19" s="60">
        <v>1.0</v>
      </c>
      <c r="G19" s="61"/>
      <c r="H19" s="60">
        <v>1.0</v>
      </c>
      <c r="I19" s="61"/>
      <c r="J19" s="60">
        <v>1.0</v>
      </c>
      <c r="K19" s="61"/>
      <c r="L19" s="60">
        <v>1.0</v>
      </c>
      <c r="M19" s="62">
        <f t="shared" si="1"/>
        <v>6</v>
      </c>
    </row>
    <row r="20" ht="13.5" customHeight="1">
      <c r="A20" s="68" t="s">
        <v>30</v>
      </c>
      <c r="B20" s="70" t="s">
        <v>109</v>
      </c>
      <c r="C20" s="59">
        <v>1.0</v>
      </c>
      <c r="D20" s="61"/>
      <c r="E20" s="60">
        <v>1.0</v>
      </c>
      <c r="F20" s="61"/>
      <c r="G20" s="60">
        <v>1.0</v>
      </c>
      <c r="H20" s="61"/>
      <c r="I20" s="60">
        <v>1.0</v>
      </c>
      <c r="J20" s="60">
        <v>1.0</v>
      </c>
      <c r="K20" s="60">
        <v>1.0</v>
      </c>
      <c r="L20" s="61"/>
      <c r="M20" s="62">
        <f t="shared" si="1"/>
        <v>6</v>
      </c>
    </row>
    <row r="21" ht="13.5" customHeight="1">
      <c r="A21" s="68" t="s">
        <v>37</v>
      </c>
      <c r="B21" s="70" t="s">
        <v>115</v>
      </c>
      <c r="C21" s="59">
        <v>1.0</v>
      </c>
      <c r="D21" s="60">
        <v>1.0</v>
      </c>
      <c r="E21" s="61"/>
      <c r="F21" s="67">
        <v>1.0</v>
      </c>
      <c r="G21" s="60">
        <v>1.0</v>
      </c>
      <c r="H21" s="60">
        <v>1.0</v>
      </c>
      <c r="I21" s="61"/>
      <c r="J21" s="60">
        <v>1.0</v>
      </c>
      <c r="K21" s="60">
        <v>1.0</v>
      </c>
      <c r="L21" s="60">
        <v>1.0</v>
      </c>
      <c r="M21" s="62">
        <f t="shared" si="1"/>
        <v>8</v>
      </c>
    </row>
    <row r="22" ht="13.5" customHeight="1">
      <c r="A22" s="68" t="s">
        <v>44</v>
      </c>
      <c r="B22" s="69" t="s">
        <v>121</v>
      </c>
      <c r="C22" s="59">
        <v>1.0</v>
      </c>
      <c r="D22" s="61"/>
      <c r="E22" s="60">
        <v>1.0</v>
      </c>
      <c r="F22" s="61"/>
      <c r="G22" s="61"/>
      <c r="H22" s="60">
        <v>1.0</v>
      </c>
      <c r="I22" s="60">
        <v>1.0</v>
      </c>
      <c r="J22" s="61"/>
      <c r="K22" s="60">
        <v>1.0</v>
      </c>
      <c r="L22" s="60">
        <v>1.0</v>
      </c>
      <c r="M22" s="62">
        <f t="shared" si="1"/>
        <v>6</v>
      </c>
    </row>
    <row r="23" ht="13.5" customHeight="1">
      <c r="A23" s="68" t="s">
        <v>51</v>
      </c>
      <c r="B23" s="70" t="s">
        <v>127</v>
      </c>
      <c r="C23" s="65"/>
      <c r="D23" s="60">
        <v>1.0</v>
      </c>
      <c r="E23" s="60">
        <v>1.0</v>
      </c>
      <c r="F23" s="60">
        <v>1.0</v>
      </c>
      <c r="G23" s="60">
        <v>1.0</v>
      </c>
      <c r="H23" s="61"/>
      <c r="I23" s="60">
        <v>1.0</v>
      </c>
      <c r="J23" s="60">
        <v>1.0</v>
      </c>
      <c r="K23" s="61"/>
      <c r="L23" s="61"/>
      <c r="M23" s="62">
        <f t="shared" si="1"/>
        <v>6</v>
      </c>
    </row>
    <row r="24" ht="13.5" customHeight="1">
      <c r="A24" s="71" t="s">
        <v>57</v>
      </c>
      <c r="B24" s="72" t="s">
        <v>133</v>
      </c>
      <c r="C24" s="59">
        <v>1.0</v>
      </c>
      <c r="D24" s="60">
        <v>1.0</v>
      </c>
      <c r="E24" s="61"/>
      <c r="F24" s="60">
        <v>1.0</v>
      </c>
      <c r="G24" s="60">
        <v>1.0</v>
      </c>
      <c r="H24" s="60">
        <v>1.0</v>
      </c>
      <c r="I24" s="61"/>
      <c r="K24" s="61"/>
      <c r="L24" s="60">
        <v>1.0</v>
      </c>
      <c r="M24" s="62">
        <f t="shared" si="1"/>
        <v>6</v>
      </c>
    </row>
    <row r="25" ht="13.5" customHeight="1">
      <c r="A25" s="71" t="s">
        <v>64</v>
      </c>
      <c r="B25" s="72" t="s">
        <v>139</v>
      </c>
      <c r="C25" s="59">
        <v>1.0</v>
      </c>
      <c r="D25" s="61"/>
      <c r="E25" s="60">
        <v>1.0</v>
      </c>
      <c r="F25" s="60">
        <v>1.0</v>
      </c>
      <c r="G25" s="61"/>
      <c r="H25" s="61"/>
      <c r="I25" s="60">
        <v>1.0</v>
      </c>
      <c r="J25" s="60">
        <v>1.0</v>
      </c>
      <c r="K25" s="60">
        <v>1.0</v>
      </c>
      <c r="L25" s="61"/>
      <c r="M25" s="62">
        <f t="shared" si="1"/>
        <v>6</v>
      </c>
    </row>
    <row r="26" ht="13.5" customHeight="1">
      <c r="A26" s="71" t="s">
        <v>70</v>
      </c>
      <c r="B26" s="73" t="s">
        <v>9</v>
      </c>
      <c r="C26" s="65"/>
      <c r="D26" s="60">
        <v>1.0</v>
      </c>
      <c r="E26" s="60">
        <v>1.0</v>
      </c>
      <c r="F26" s="61"/>
      <c r="G26" s="60">
        <v>1.0</v>
      </c>
      <c r="H26" s="60">
        <v>1.0</v>
      </c>
      <c r="I26" s="60">
        <v>1.0</v>
      </c>
      <c r="J26" s="60">
        <v>1.0</v>
      </c>
      <c r="K26" s="60">
        <v>1.0</v>
      </c>
      <c r="L26" s="60">
        <v>1.0</v>
      </c>
      <c r="M26" s="62">
        <f t="shared" si="1"/>
        <v>8</v>
      </c>
    </row>
    <row r="27" ht="12.75" customHeight="1">
      <c r="A27" s="74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 ht="13.5" customHeight="1">
      <c r="A28" s="77" t="s">
        <v>162</v>
      </c>
      <c r="B28" s="78" t="s">
        <v>10</v>
      </c>
      <c r="C28" s="54" t="s">
        <v>151</v>
      </c>
      <c r="D28" s="55" t="s">
        <v>152</v>
      </c>
      <c r="E28" s="55" t="s">
        <v>153</v>
      </c>
      <c r="F28" s="55" t="s">
        <v>154</v>
      </c>
      <c r="G28" s="55" t="s">
        <v>155</v>
      </c>
      <c r="H28" s="55" t="s">
        <v>156</v>
      </c>
      <c r="I28" s="55" t="s">
        <v>157</v>
      </c>
      <c r="J28" s="55" t="s">
        <v>158</v>
      </c>
      <c r="K28" s="55" t="s">
        <v>159</v>
      </c>
      <c r="L28" s="55" t="s">
        <v>160</v>
      </c>
      <c r="M28" s="56" t="s">
        <v>161</v>
      </c>
    </row>
    <row r="29" ht="13.5" customHeight="1">
      <c r="A29" s="57" t="s">
        <v>16</v>
      </c>
      <c r="B29" s="79" t="s">
        <v>18</v>
      </c>
      <c r="C29" s="59">
        <v>1.0</v>
      </c>
      <c r="D29" s="61"/>
      <c r="E29" s="60">
        <v>1.0</v>
      </c>
      <c r="F29" s="60">
        <v>1.0</v>
      </c>
      <c r="G29" s="60">
        <v>1.0</v>
      </c>
      <c r="H29" s="60">
        <v>1.0</v>
      </c>
      <c r="I29" s="60">
        <v>1.0</v>
      </c>
      <c r="J29" s="60">
        <v>1.0</v>
      </c>
      <c r="K29" s="60">
        <v>1.0</v>
      </c>
      <c r="L29" s="61"/>
      <c r="M29" s="62">
        <f t="shared" ref="M29:M49" si="2">SUM(C29:L29)</f>
        <v>8</v>
      </c>
    </row>
    <row r="30" ht="13.5" customHeight="1">
      <c r="A30" s="63" t="s">
        <v>23</v>
      </c>
      <c r="B30" s="80" t="s">
        <v>25</v>
      </c>
      <c r="C30" s="59">
        <v>1.0</v>
      </c>
      <c r="D30" s="60">
        <v>1.0</v>
      </c>
      <c r="E30" s="61"/>
      <c r="F30" s="60">
        <v>1.0</v>
      </c>
      <c r="G30" s="60">
        <v>1.0</v>
      </c>
      <c r="H30" s="61"/>
      <c r="I30" s="60">
        <v>1.0</v>
      </c>
      <c r="J30" s="61"/>
      <c r="K30" s="61"/>
      <c r="L30" s="60">
        <v>1.0</v>
      </c>
      <c r="M30" s="62">
        <f t="shared" si="2"/>
        <v>6</v>
      </c>
    </row>
    <row r="31" ht="13.5" customHeight="1">
      <c r="A31" s="57" t="s">
        <v>30</v>
      </c>
      <c r="B31" s="80" t="s">
        <v>32</v>
      </c>
      <c r="C31" s="65"/>
      <c r="D31" s="60">
        <v>1.0</v>
      </c>
      <c r="E31" s="60">
        <v>1.0</v>
      </c>
      <c r="F31" s="61"/>
      <c r="G31" s="61"/>
      <c r="H31" s="60">
        <v>1.0</v>
      </c>
      <c r="I31" s="61"/>
      <c r="J31" s="60">
        <v>1.0</v>
      </c>
      <c r="K31" s="67">
        <v>1.0</v>
      </c>
      <c r="L31" s="67">
        <v>1.0</v>
      </c>
      <c r="M31" s="62">
        <f t="shared" si="2"/>
        <v>6</v>
      </c>
    </row>
    <row r="32" ht="13.5" customHeight="1">
      <c r="A32" s="57" t="s">
        <v>37</v>
      </c>
      <c r="B32" s="80" t="s">
        <v>39</v>
      </c>
      <c r="C32" s="65"/>
      <c r="D32" s="60">
        <v>1.0</v>
      </c>
      <c r="E32" s="60">
        <v>1.0</v>
      </c>
      <c r="F32" s="61"/>
      <c r="G32" s="60">
        <v>1.0</v>
      </c>
      <c r="H32" s="60">
        <v>1.0</v>
      </c>
      <c r="I32" s="60">
        <v>1.0</v>
      </c>
      <c r="J32" s="60">
        <v>1.0</v>
      </c>
      <c r="K32" s="60">
        <v>1.0</v>
      </c>
      <c r="L32" s="60">
        <v>1.0</v>
      </c>
      <c r="M32" s="62">
        <f t="shared" si="2"/>
        <v>8</v>
      </c>
    </row>
    <row r="33" ht="13.5" customHeight="1">
      <c r="A33" s="57" t="s">
        <v>44</v>
      </c>
      <c r="B33" s="80" t="s">
        <v>46</v>
      </c>
      <c r="C33" s="59">
        <v>1.0</v>
      </c>
      <c r="D33" s="60">
        <v>1.0</v>
      </c>
      <c r="E33" s="61"/>
      <c r="F33" s="60">
        <v>1.0</v>
      </c>
      <c r="G33" s="60">
        <v>1.0</v>
      </c>
      <c r="H33" s="61"/>
      <c r="I33" s="61"/>
      <c r="J33" s="60">
        <v>1.0</v>
      </c>
      <c r="K33" s="61"/>
      <c r="L33" s="60">
        <v>1.0</v>
      </c>
      <c r="M33" s="62">
        <f t="shared" si="2"/>
        <v>6</v>
      </c>
    </row>
    <row r="34" ht="13.5" customHeight="1">
      <c r="A34" s="57" t="s">
        <v>51</v>
      </c>
      <c r="B34" s="79" t="s">
        <v>53</v>
      </c>
      <c r="C34" s="59">
        <v>1.0</v>
      </c>
      <c r="D34" s="61"/>
      <c r="E34" s="60">
        <v>1.0</v>
      </c>
      <c r="F34" s="60">
        <v>1.0</v>
      </c>
      <c r="G34" s="61"/>
      <c r="H34" s="60">
        <v>1.0</v>
      </c>
      <c r="I34" s="60">
        <v>1.0</v>
      </c>
      <c r="J34" s="61"/>
      <c r="K34" s="60">
        <v>1.0</v>
      </c>
      <c r="L34" s="61"/>
      <c r="M34" s="61">
        <f t="shared" si="2"/>
        <v>6</v>
      </c>
    </row>
    <row r="35" ht="13.5" customHeight="1">
      <c r="A35" s="57" t="s">
        <v>57</v>
      </c>
      <c r="B35" s="80" t="s">
        <v>59</v>
      </c>
      <c r="C35" s="59">
        <v>1.0</v>
      </c>
      <c r="D35" s="61"/>
      <c r="E35" s="60">
        <v>1.0</v>
      </c>
      <c r="F35" s="60">
        <v>1.0</v>
      </c>
      <c r="G35" s="60">
        <v>1.0</v>
      </c>
      <c r="H35" s="60">
        <v>1.0</v>
      </c>
      <c r="I35" s="60">
        <v>1.0</v>
      </c>
      <c r="J35" s="60">
        <v>1.0</v>
      </c>
      <c r="K35" s="60">
        <v>1.0</v>
      </c>
      <c r="L35" s="61"/>
      <c r="M35" s="62">
        <f t="shared" si="2"/>
        <v>8</v>
      </c>
    </row>
    <row r="36" ht="13.5" customHeight="1">
      <c r="A36" s="57" t="s">
        <v>64</v>
      </c>
      <c r="B36" s="80" t="s">
        <v>66</v>
      </c>
      <c r="C36" s="59">
        <v>1.0</v>
      </c>
      <c r="D36" s="60">
        <v>1.0</v>
      </c>
      <c r="E36" s="60">
        <v>1.0</v>
      </c>
      <c r="F36" s="61"/>
      <c r="G36" s="61"/>
      <c r="H36" s="60">
        <v>1.0</v>
      </c>
      <c r="I36" s="61"/>
      <c r="J36" s="60">
        <v>1.0</v>
      </c>
      <c r="K36" s="61"/>
      <c r="L36" s="60">
        <v>1.0</v>
      </c>
      <c r="M36" s="62">
        <f t="shared" si="2"/>
        <v>6</v>
      </c>
    </row>
    <row r="37" ht="13.5" customHeight="1">
      <c r="A37" s="57" t="s">
        <v>70</v>
      </c>
      <c r="B37" s="81" t="s">
        <v>10</v>
      </c>
      <c r="C37" s="65"/>
      <c r="D37" s="60">
        <v>1.0</v>
      </c>
      <c r="E37" s="61"/>
      <c r="F37" s="60">
        <v>1.0</v>
      </c>
      <c r="G37" s="60">
        <v>1.0</v>
      </c>
      <c r="H37" s="61"/>
      <c r="I37" s="60">
        <v>1.0</v>
      </c>
      <c r="J37" s="61"/>
      <c r="K37" s="60">
        <v>1.0</v>
      </c>
      <c r="L37" s="60">
        <v>1.0</v>
      </c>
      <c r="M37" s="62">
        <f t="shared" si="2"/>
        <v>6</v>
      </c>
    </row>
    <row r="38" ht="13.5" customHeight="1">
      <c r="A38" s="57" t="s">
        <v>75</v>
      </c>
      <c r="B38" s="82" t="s">
        <v>77</v>
      </c>
      <c r="C38" s="59">
        <v>1.0</v>
      </c>
      <c r="D38" s="61"/>
      <c r="E38" s="60">
        <v>1.0</v>
      </c>
      <c r="F38" s="60">
        <v>1.0</v>
      </c>
      <c r="G38" s="60">
        <v>1.0</v>
      </c>
      <c r="H38" s="60">
        <v>1.0</v>
      </c>
      <c r="I38" s="60">
        <v>1.0</v>
      </c>
      <c r="J38" s="60">
        <v>1.0</v>
      </c>
      <c r="K38" s="61"/>
      <c r="L38" s="60">
        <v>1.0</v>
      </c>
      <c r="M38" s="62">
        <f t="shared" si="2"/>
        <v>8</v>
      </c>
    </row>
    <row r="39" ht="13.5" customHeight="1">
      <c r="A39" s="57" t="s">
        <v>82</v>
      </c>
      <c r="B39" s="80" t="s">
        <v>84</v>
      </c>
      <c r="C39" s="59">
        <v>1.0</v>
      </c>
      <c r="D39" s="60">
        <v>1.0</v>
      </c>
      <c r="E39" s="61"/>
      <c r="F39" s="60">
        <v>1.0</v>
      </c>
      <c r="G39" s="61"/>
      <c r="H39" s="60">
        <v>1.0</v>
      </c>
      <c r="I39" s="61"/>
      <c r="J39" s="61"/>
      <c r="K39" s="60">
        <v>1.0</v>
      </c>
      <c r="L39" s="60">
        <v>1.0</v>
      </c>
      <c r="M39" s="62">
        <f t="shared" si="2"/>
        <v>6</v>
      </c>
    </row>
    <row r="40" ht="13.5" customHeight="1">
      <c r="A40" s="57" t="s">
        <v>89</v>
      </c>
      <c r="B40" s="80" t="s">
        <v>91</v>
      </c>
      <c r="C40" s="65"/>
      <c r="D40" s="60">
        <v>1.0</v>
      </c>
      <c r="E40" s="60">
        <v>1.0</v>
      </c>
      <c r="F40" s="61"/>
      <c r="G40" s="60">
        <v>1.0</v>
      </c>
      <c r="H40" s="61"/>
      <c r="I40" s="60">
        <v>1.0</v>
      </c>
      <c r="J40" s="60">
        <v>1.0</v>
      </c>
      <c r="K40" s="60">
        <v>1.0</v>
      </c>
      <c r="L40" s="61"/>
      <c r="M40" s="62">
        <f t="shared" si="2"/>
        <v>6</v>
      </c>
    </row>
    <row r="41" ht="13.5" customHeight="1">
      <c r="A41" s="68" t="s">
        <v>16</v>
      </c>
      <c r="B41" s="83" t="s">
        <v>98</v>
      </c>
      <c r="C41" s="65"/>
      <c r="D41" s="60">
        <v>1.0</v>
      </c>
      <c r="E41" s="60">
        <v>1.0</v>
      </c>
      <c r="F41" s="60">
        <v>1.0</v>
      </c>
      <c r="G41" s="60">
        <v>1.0</v>
      </c>
      <c r="H41" s="60">
        <v>1.0</v>
      </c>
      <c r="I41" s="60">
        <v>1.0</v>
      </c>
      <c r="J41" s="60">
        <v>1.0</v>
      </c>
      <c r="K41" s="60"/>
      <c r="L41" s="60">
        <v>1.0</v>
      </c>
      <c r="M41" s="62">
        <f t="shared" si="2"/>
        <v>8</v>
      </c>
    </row>
    <row r="42" ht="13.5" customHeight="1">
      <c r="A42" s="68" t="s">
        <v>23</v>
      </c>
      <c r="B42" s="84" t="s">
        <v>104</v>
      </c>
      <c r="C42" s="85">
        <v>1.0</v>
      </c>
      <c r="D42" s="61"/>
      <c r="E42" s="60">
        <v>1.0</v>
      </c>
      <c r="F42" s="61"/>
      <c r="G42" s="60">
        <v>1.0</v>
      </c>
      <c r="H42" s="61"/>
      <c r="I42" s="60">
        <v>1.0</v>
      </c>
      <c r="J42" s="60">
        <v>1.0</v>
      </c>
      <c r="K42" s="60">
        <v>1.0</v>
      </c>
      <c r="L42" s="61"/>
      <c r="M42" s="62">
        <f t="shared" si="2"/>
        <v>6</v>
      </c>
    </row>
    <row r="43" ht="13.5" customHeight="1">
      <c r="A43" s="68" t="s">
        <v>30</v>
      </c>
      <c r="B43" s="86" t="s">
        <v>110</v>
      </c>
      <c r="C43" s="59">
        <v>1.0</v>
      </c>
      <c r="D43" s="60">
        <v>1.0</v>
      </c>
      <c r="E43" s="61"/>
      <c r="F43" s="60">
        <v>1.0</v>
      </c>
      <c r="G43" s="61"/>
      <c r="H43" s="67">
        <v>1.0</v>
      </c>
      <c r="I43" s="61"/>
      <c r="J43" s="61"/>
      <c r="K43" s="60">
        <v>1.0</v>
      </c>
      <c r="L43" s="60">
        <v>1.0</v>
      </c>
      <c r="M43" s="62">
        <f t="shared" si="2"/>
        <v>6</v>
      </c>
    </row>
    <row r="44" ht="13.5" customHeight="1">
      <c r="A44" s="68" t="s">
        <v>37</v>
      </c>
      <c r="B44" s="84" t="s">
        <v>116</v>
      </c>
      <c r="C44" s="59">
        <v>1.0</v>
      </c>
      <c r="D44" s="60">
        <v>1.0</v>
      </c>
      <c r="E44" s="61"/>
      <c r="F44" s="60">
        <v>1.0</v>
      </c>
      <c r="G44" s="61"/>
      <c r="H44" s="60">
        <v>1.0</v>
      </c>
      <c r="I44" s="60">
        <v>1.0</v>
      </c>
      <c r="J44" s="60">
        <v>1.0</v>
      </c>
      <c r="K44" s="60">
        <v>1.0</v>
      </c>
      <c r="L44" s="60">
        <v>1.0</v>
      </c>
      <c r="M44" s="62">
        <f t="shared" si="2"/>
        <v>8</v>
      </c>
    </row>
    <row r="45" ht="13.5" customHeight="1">
      <c r="A45" s="68" t="s">
        <v>44</v>
      </c>
      <c r="B45" s="84" t="s">
        <v>122</v>
      </c>
      <c r="C45" s="65"/>
      <c r="D45" s="60">
        <v>1.0</v>
      </c>
      <c r="E45" s="60">
        <v>1.0</v>
      </c>
      <c r="F45" s="60">
        <v>1.0</v>
      </c>
      <c r="G45" s="60">
        <v>1.0</v>
      </c>
      <c r="H45" s="61"/>
      <c r="I45" s="60">
        <v>1.0</v>
      </c>
      <c r="J45" s="61"/>
      <c r="K45" s="60">
        <v>1.0</v>
      </c>
      <c r="L45" s="61"/>
      <c r="M45" s="62">
        <f t="shared" si="2"/>
        <v>6</v>
      </c>
    </row>
    <row r="46" ht="13.5" customHeight="1">
      <c r="A46" s="68" t="s">
        <v>51</v>
      </c>
      <c r="B46" s="84" t="s">
        <v>128</v>
      </c>
      <c r="C46" s="59">
        <v>1.0</v>
      </c>
      <c r="D46" s="61"/>
      <c r="E46" s="60">
        <v>1.0</v>
      </c>
      <c r="F46" s="61"/>
      <c r="G46" s="60">
        <v>1.0</v>
      </c>
      <c r="H46" s="60">
        <v>1.0</v>
      </c>
      <c r="I46" s="61"/>
      <c r="J46" s="60">
        <v>1.0</v>
      </c>
      <c r="K46" s="61"/>
      <c r="L46" s="60">
        <v>1.0</v>
      </c>
      <c r="M46" s="62">
        <f t="shared" si="2"/>
        <v>6</v>
      </c>
    </row>
    <row r="47" ht="13.5" customHeight="1">
      <c r="A47" s="71" t="s">
        <v>57</v>
      </c>
      <c r="B47" s="87" t="s">
        <v>134</v>
      </c>
      <c r="C47" s="59">
        <v>1.0</v>
      </c>
      <c r="D47" s="61"/>
      <c r="E47" s="60">
        <v>1.0</v>
      </c>
      <c r="F47" s="60">
        <v>1.0</v>
      </c>
      <c r="G47" s="60">
        <v>1.0</v>
      </c>
      <c r="H47" s="60">
        <v>1.0</v>
      </c>
      <c r="I47" s="60">
        <v>1.0</v>
      </c>
      <c r="J47" s="67">
        <v>1.0</v>
      </c>
      <c r="K47" s="61"/>
      <c r="L47" s="60">
        <v>1.0</v>
      </c>
      <c r="M47" s="62">
        <f t="shared" si="2"/>
        <v>8</v>
      </c>
    </row>
    <row r="48" ht="13.5" customHeight="1">
      <c r="A48" s="71" t="s">
        <v>64</v>
      </c>
      <c r="B48" s="87" t="s">
        <v>140</v>
      </c>
      <c r="C48" s="59">
        <v>1.0</v>
      </c>
      <c r="D48" s="60">
        <v>1.0</v>
      </c>
      <c r="E48" s="61"/>
      <c r="F48" s="60">
        <v>1.0</v>
      </c>
      <c r="G48" s="61"/>
      <c r="H48" s="60">
        <v>1.0</v>
      </c>
      <c r="I48" s="61"/>
      <c r="J48" s="61"/>
      <c r="K48" s="67">
        <v>1.0</v>
      </c>
      <c r="L48" s="60">
        <v>1.0</v>
      </c>
      <c r="M48" s="62">
        <f t="shared" si="2"/>
        <v>6</v>
      </c>
    </row>
    <row r="49" ht="13.5" customHeight="1">
      <c r="A49" s="71" t="s">
        <v>70</v>
      </c>
      <c r="B49" s="87" t="s">
        <v>145</v>
      </c>
      <c r="C49" s="65"/>
      <c r="D49" s="60">
        <v>1.0</v>
      </c>
      <c r="E49" s="60">
        <v>1.0</v>
      </c>
      <c r="F49" s="61"/>
      <c r="G49" s="60">
        <v>1.0</v>
      </c>
      <c r="H49" s="61"/>
      <c r="I49" s="60">
        <v>1.0</v>
      </c>
      <c r="J49" s="60">
        <v>1.0</v>
      </c>
      <c r="K49" s="60">
        <v>1.0</v>
      </c>
      <c r="L49" s="61"/>
      <c r="M49" s="62">
        <f t="shared" si="2"/>
        <v>6</v>
      </c>
    </row>
    <row r="50" ht="12.75" customHeight="1">
      <c r="A50" s="74"/>
      <c r="B50" s="75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</row>
    <row r="51" ht="13.5" customHeight="1">
      <c r="A51" s="77" t="s">
        <v>163</v>
      </c>
      <c r="B51" s="88" t="s">
        <v>11</v>
      </c>
      <c r="C51" s="54" t="s">
        <v>151</v>
      </c>
      <c r="D51" s="55" t="s">
        <v>152</v>
      </c>
      <c r="E51" s="55" t="s">
        <v>153</v>
      </c>
      <c r="F51" s="55" t="s">
        <v>154</v>
      </c>
      <c r="G51" s="55" t="s">
        <v>155</v>
      </c>
      <c r="H51" s="55" t="s">
        <v>156</v>
      </c>
      <c r="I51" s="55" t="s">
        <v>157</v>
      </c>
      <c r="J51" s="55" t="s">
        <v>158</v>
      </c>
      <c r="K51" s="55" t="s">
        <v>159</v>
      </c>
      <c r="L51" s="55" t="s">
        <v>160</v>
      </c>
      <c r="M51" s="56" t="s">
        <v>161</v>
      </c>
    </row>
    <row r="52" ht="13.5" customHeight="1">
      <c r="A52" s="57" t="s">
        <v>16</v>
      </c>
      <c r="B52" s="79" t="s">
        <v>19</v>
      </c>
      <c r="C52" s="65"/>
      <c r="D52" s="60">
        <v>1.0</v>
      </c>
      <c r="E52" s="61"/>
      <c r="F52" s="60">
        <v>1.0</v>
      </c>
      <c r="G52" s="60">
        <v>1.0</v>
      </c>
      <c r="H52" s="67">
        <v>1.0</v>
      </c>
      <c r="I52" s="60">
        <v>1.0</v>
      </c>
      <c r="J52" s="60">
        <v>1.0</v>
      </c>
      <c r="K52" s="60">
        <v>1.0</v>
      </c>
      <c r="L52" s="60">
        <v>1.0</v>
      </c>
      <c r="M52" s="62">
        <f t="shared" ref="M52:M72" si="3">SUM(C52:L52)</f>
        <v>8</v>
      </c>
    </row>
    <row r="53" ht="13.5" customHeight="1">
      <c r="A53" s="63" t="s">
        <v>23</v>
      </c>
      <c r="B53" s="80" t="s">
        <v>26</v>
      </c>
      <c r="C53" s="59">
        <v>1.0</v>
      </c>
      <c r="D53" s="60">
        <v>1.0</v>
      </c>
      <c r="E53" s="60">
        <v>1.0</v>
      </c>
      <c r="F53" s="61"/>
      <c r="G53" s="60">
        <v>1.0</v>
      </c>
      <c r="H53" s="61"/>
      <c r="I53" s="61"/>
      <c r="J53" s="60">
        <v>1.0</v>
      </c>
      <c r="K53" s="61"/>
      <c r="L53" s="60">
        <v>1.0</v>
      </c>
      <c r="M53" s="62">
        <f t="shared" si="3"/>
        <v>6</v>
      </c>
    </row>
    <row r="54" ht="13.5" customHeight="1">
      <c r="A54" s="57" t="s">
        <v>30</v>
      </c>
      <c r="B54" s="82" t="s">
        <v>33</v>
      </c>
      <c r="C54" s="85">
        <v>1.0</v>
      </c>
      <c r="D54" s="61"/>
      <c r="E54" s="60">
        <v>1.0</v>
      </c>
      <c r="F54" s="60">
        <v>1.0</v>
      </c>
      <c r="G54" s="61"/>
      <c r="H54" s="60">
        <v>1.0</v>
      </c>
      <c r="I54" s="60">
        <v>1.0</v>
      </c>
      <c r="J54" s="61"/>
      <c r="K54" s="60">
        <v>1.0</v>
      </c>
      <c r="L54" s="61"/>
      <c r="M54" s="62">
        <f t="shared" si="3"/>
        <v>6</v>
      </c>
    </row>
    <row r="55" ht="13.5" customHeight="1">
      <c r="A55" s="57" t="s">
        <v>37</v>
      </c>
      <c r="B55" s="89" t="s">
        <v>40</v>
      </c>
      <c r="C55" s="59">
        <v>1.0</v>
      </c>
      <c r="D55" s="60">
        <v>1.0</v>
      </c>
      <c r="E55" s="60">
        <v>1.0</v>
      </c>
      <c r="F55" s="61"/>
      <c r="G55" s="61"/>
      <c r="H55" s="61"/>
      <c r="I55" s="60">
        <v>1.0</v>
      </c>
      <c r="J55" s="60">
        <v>1.0</v>
      </c>
      <c r="K55" s="60">
        <v>1.0</v>
      </c>
      <c r="L55" s="60">
        <v>1.0</v>
      </c>
      <c r="M55" s="62">
        <f t="shared" si="3"/>
        <v>7</v>
      </c>
    </row>
    <row r="56" ht="13.5" customHeight="1">
      <c r="A56" s="57" t="s">
        <v>44</v>
      </c>
      <c r="B56" s="89" t="s">
        <v>164</v>
      </c>
      <c r="C56" s="65"/>
      <c r="D56" s="60">
        <v>1.0</v>
      </c>
      <c r="E56" s="61"/>
      <c r="F56" s="60">
        <v>1.0</v>
      </c>
      <c r="G56" s="60">
        <v>1.0</v>
      </c>
      <c r="H56" s="60">
        <v>1.0</v>
      </c>
      <c r="I56" s="60">
        <v>1.0</v>
      </c>
      <c r="J56" s="60">
        <v>1.0</v>
      </c>
      <c r="K56" s="60">
        <v>1.0</v>
      </c>
      <c r="L56" s="61"/>
      <c r="M56" s="62">
        <f t="shared" si="3"/>
        <v>7</v>
      </c>
    </row>
    <row r="57" ht="13.5" customHeight="1">
      <c r="A57" s="57" t="s">
        <v>51</v>
      </c>
      <c r="B57" s="90" t="s">
        <v>54</v>
      </c>
      <c r="C57" s="59">
        <v>1.0</v>
      </c>
      <c r="D57" s="61"/>
      <c r="E57" s="60">
        <v>1.0</v>
      </c>
      <c r="F57" s="60">
        <v>1.0</v>
      </c>
      <c r="G57" s="60">
        <v>1.0</v>
      </c>
      <c r="H57" s="60">
        <v>1.0</v>
      </c>
      <c r="I57" s="61"/>
      <c r="J57" s="61"/>
      <c r="K57" s="61"/>
      <c r="L57" s="60">
        <v>1.0</v>
      </c>
      <c r="M57" s="62">
        <f t="shared" si="3"/>
        <v>6</v>
      </c>
    </row>
    <row r="58" ht="13.5" customHeight="1">
      <c r="A58" s="57" t="s">
        <v>57</v>
      </c>
      <c r="B58" s="80" t="s">
        <v>60</v>
      </c>
      <c r="C58" s="59">
        <v>1.0</v>
      </c>
      <c r="D58" s="60">
        <v>1.0</v>
      </c>
      <c r="E58" s="60">
        <v>1.0</v>
      </c>
      <c r="F58" s="61"/>
      <c r="G58" s="60">
        <v>1.0</v>
      </c>
      <c r="H58" s="60">
        <v>1.0</v>
      </c>
      <c r="I58" s="60">
        <v>1.0</v>
      </c>
      <c r="J58" s="60">
        <v>1.0</v>
      </c>
      <c r="K58" s="61"/>
      <c r="L58" s="67">
        <v>1.0</v>
      </c>
      <c r="M58" s="62">
        <f t="shared" si="3"/>
        <v>8</v>
      </c>
    </row>
    <row r="59" ht="13.5" customHeight="1">
      <c r="A59" s="57" t="s">
        <v>64</v>
      </c>
      <c r="B59" s="80" t="s">
        <v>67</v>
      </c>
      <c r="C59" s="59">
        <v>1.0</v>
      </c>
      <c r="D59" s="61"/>
      <c r="E59" s="61"/>
      <c r="F59" s="60">
        <v>1.0</v>
      </c>
      <c r="G59" s="60">
        <v>1.0</v>
      </c>
      <c r="H59" s="61"/>
      <c r="I59" s="60">
        <v>1.0</v>
      </c>
      <c r="J59" s="61"/>
      <c r="K59" s="60">
        <v>1.0</v>
      </c>
      <c r="L59" s="60">
        <v>1.0</v>
      </c>
      <c r="M59" s="62">
        <f t="shared" si="3"/>
        <v>6</v>
      </c>
    </row>
    <row r="60" ht="13.5" customHeight="1">
      <c r="A60" s="57" t="s">
        <v>70</v>
      </c>
      <c r="B60" s="81" t="s">
        <v>11</v>
      </c>
      <c r="C60" s="59"/>
      <c r="D60" s="60">
        <v>1.0</v>
      </c>
      <c r="E60" s="60">
        <v>1.0</v>
      </c>
      <c r="F60" s="60">
        <v>1.0</v>
      </c>
      <c r="G60" s="61"/>
      <c r="H60" s="60">
        <v>1.0</v>
      </c>
      <c r="I60" s="61"/>
      <c r="J60" s="60">
        <v>1.0</v>
      </c>
      <c r="K60" s="60">
        <v>1.0</v>
      </c>
      <c r="L60" s="61"/>
      <c r="M60" s="62">
        <f t="shared" si="3"/>
        <v>6</v>
      </c>
    </row>
    <row r="61" ht="13.5" customHeight="1">
      <c r="A61" s="57" t="s">
        <v>75</v>
      </c>
      <c r="B61" s="80" t="s">
        <v>78</v>
      </c>
      <c r="C61" s="59">
        <v>1.0</v>
      </c>
      <c r="D61" s="60">
        <v>1.0</v>
      </c>
      <c r="E61" s="61"/>
      <c r="F61" s="61"/>
      <c r="G61" s="67">
        <v>1.0</v>
      </c>
      <c r="H61" s="67">
        <v>1.0</v>
      </c>
      <c r="I61" s="67">
        <v>1.0</v>
      </c>
      <c r="J61" s="61"/>
      <c r="K61" s="67">
        <v>1.0</v>
      </c>
      <c r="L61" s="67">
        <v>1.0</v>
      </c>
      <c r="M61" s="62">
        <f t="shared" si="3"/>
        <v>7</v>
      </c>
    </row>
    <row r="62" ht="13.5" customHeight="1">
      <c r="A62" s="57" t="s">
        <v>82</v>
      </c>
      <c r="B62" s="80" t="s">
        <v>85</v>
      </c>
      <c r="C62" s="59">
        <v>1.0</v>
      </c>
      <c r="D62" s="60">
        <v>1.0</v>
      </c>
      <c r="E62" s="60">
        <v>1.0</v>
      </c>
      <c r="F62" s="60">
        <v>1.0</v>
      </c>
      <c r="G62" s="61"/>
      <c r="H62" s="61"/>
      <c r="I62" s="60">
        <v>1.0</v>
      </c>
      <c r="J62" s="60">
        <v>1.0</v>
      </c>
      <c r="K62" s="61"/>
      <c r="L62" s="60">
        <v>1.0</v>
      </c>
      <c r="M62" s="62">
        <f t="shared" si="3"/>
        <v>7</v>
      </c>
    </row>
    <row r="63" ht="13.5" customHeight="1">
      <c r="A63" s="57" t="s">
        <v>89</v>
      </c>
      <c r="B63" s="80" t="s">
        <v>92</v>
      </c>
      <c r="C63" s="65"/>
      <c r="D63" s="61"/>
      <c r="E63" s="60">
        <v>1.0</v>
      </c>
      <c r="F63" s="60">
        <v>1.0</v>
      </c>
      <c r="G63" s="60">
        <v>1.0</v>
      </c>
      <c r="H63" s="60">
        <v>1.0</v>
      </c>
      <c r="I63" s="61"/>
      <c r="J63" s="60">
        <v>1.0</v>
      </c>
      <c r="K63" s="60">
        <v>1.0</v>
      </c>
      <c r="L63" s="61"/>
      <c r="M63" s="62">
        <f t="shared" si="3"/>
        <v>6</v>
      </c>
    </row>
    <row r="64" ht="14.25" customHeight="1">
      <c r="A64" s="68" t="s">
        <v>16</v>
      </c>
      <c r="B64" s="83" t="s">
        <v>99</v>
      </c>
      <c r="C64" s="59">
        <v>1.0</v>
      </c>
      <c r="D64" s="60">
        <v>1.0</v>
      </c>
      <c r="E64" s="60">
        <v>1.0</v>
      </c>
      <c r="F64" s="60">
        <v>1.0</v>
      </c>
      <c r="G64" s="61"/>
      <c r="H64" s="60">
        <v>1.0</v>
      </c>
      <c r="I64" s="60">
        <v>1.0</v>
      </c>
      <c r="J64" s="60">
        <v>1.0</v>
      </c>
      <c r="K64" s="61"/>
      <c r="L64" s="60">
        <v>1.0</v>
      </c>
      <c r="M64" s="62">
        <f t="shared" si="3"/>
        <v>8</v>
      </c>
    </row>
    <row r="65" ht="13.5" customHeight="1">
      <c r="A65" s="68" t="s">
        <v>23</v>
      </c>
      <c r="B65" s="84" t="s">
        <v>105</v>
      </c>
      <c r="C65" s="59">
        <v>1.0</v>
      </c>
      <c r="D65" s="61"/>
      <c r="E65" s="60">
        <v>1.0</v>
      </c>
      <c r="F65" s="61"/>
      <c r="G65" s="60">
        <v>1.0</v>
      </c>
      <c r="H65" s="61"/>
      <c r="I65" s="60">
        <v>1.0</v>
      </c>
      <c r="J65" s="61"/>
      <c r="K65" s="60">
        <v>1.0</v>
      </c>
      <c r="L65" s="60">
        <v>1.0</v>
      </c>
      <c r="M65" s="62">
        <f t="shared" si="3"/>
        <v>6</v>
      </c>
    </row>
    <row r="66" ht="13.5" customHeight="1">
      <c r="A66" s="68" t="s">
        <v>30</v>
      </c>
      <c r="B66" s="84" t="s">
        <v>111</v>
      </c>
      <c r="C66" s="65"/>
      <c r="D66" s="60">
        <v>1.0</v>
      </c>
      <c r="E66" s="61"/>
      <c r="F66" s="60">
        <v>1.0</v>
      </c>
      <c r="G66" s="60">
        <v>1.0</v>
      </c>
      <c r="H66" s="67">
        <v>1.0</v>
      </c>
      <c r="I66" s="61"/>
      <c r="J66" s="60">
        <v>1.0</v>
      </c>
      <c r="K66" s="60">
        <v>1.0</v>
      </c>
      <c r="L66" s="61"/>
      <c r="M66" s="62">
        <f t="shared" si="3"/>
        <v>6</v>
      </c>
    </row>
    <row r="67" ht="13.5" customHeight="1">
      <c r="A67" s="68" t="s">
        <v>37</v>
      </c>
      <c r="B67" s="84" t="s">
        <v>117</v>
      </c>
      <c r="C67" s="59">
        <v>1.0</v>
      </c>
      <c r="D67" s="60">
        <v>1.0</v>
      </c>
      <c r="E67" s="60">
        <v>1.0</v>
      </c>
      <c r="F67" s="61"/>
      <c r="G67" s="60">
        <v>1.0</v>
      </c>
      <c r="H67" s="61"/>
      <c r="I67" s="60">
        <v>1.0</v>
      </c>
      <c r="J67" s="60">
        <v>1.0</v>
      </c>
      <c r="K67" s="60">
        <v>1.0</v>
      </c>
      <c r="L67" s="60">
        <v>1.0</v>
      </c>
      <c r="M67" s="62">
        <f t="shared" si="3"/>
        <v>8</v>
      </c>
    </row>
    <row r="68" ht="13.5" customHeight="1">
      <c r="A68" s="68" t="s">
        <v>44</v>
      </c>
      <c r="B68" s="84" t="s">
        <v>123</v>
      </c>
      <c r="C68" s="59">
        <v>1.0</v>
      </c>
      <c r="D68" s="61"/>
      <c r="E68" s="61"/>
      <c r="F68" s="60">
        <v>1.0</v>
      </c>
      <c r="G68" s="60">
        <v>1.0</v>
      </c>
      <c r="H68" s="60">
        <v>1.0</v>
      </c>
      <c r="I68" s="61"/>
      <c r="J68" s="60">
        <v>1.0</v>
      </c>
      <c r="K68" s="60">
        <v>1.0</v>
      </c>
      <c r="L68" s="61"/>
      <c r="M68" s="62">
        <f t="shared" si="3"/>
        <v>6</v>
      </c>
    </row>
    <row r="69" ht="13.5" customHeight="1">
      <c r="A69" s="68" t="s">
        <v>51</v>
      </c>
      <c r="B69" s="84" t="s">
        <v>129</v>
      </c>
      <c r="C69" s="65"/>
      <c r="D69" s="60">
        <v>1.0</v>
      </c>
      <c r="E69" s="60">
        <v>1.0</v>
      </c>
      <c r="F69" s="60">
        <v>1.0</v>
      </c>
      <c r="G69" s="61"/>
      <c r="H69" s="60">
        <v>1.0</v>
      </c>
      <c r="I69" s="60">
        <v>1.0</v>
      </c>
      <c r="J69" s="61"/>
      <c r="K69" s="61"/>
      <c r="L69" s="60">
        <v>1.0</v>
      </c>
      <c r="M69" s="62">
        <f t="shared" si="3"/>
        <v>6</v>
      </c>
    </row>
    <row r="70" ht="13.5" customHeight="1">
      <c r="A70" s="71" t="s">
        <v>57</v>
      </c>
      <c r="B70" s="91" t="s">
        <v>135</v>
      </c>
      <c r="C70" s="59">
        <v>1.0</v>
      </c>
      <c r="D70" s="61"/>
      <c r="E70" s="60">
        <v>1.0</v>
      </c>
      <c r="F70" s="60">
        <v>1.0</v>
      </c>
      <c r="G70" s="60">
        <v>1.0</v>
      </c>
      <c r="H70" s="60">
        <v>1.0</v>
      </c>
      <c r="I70" s="60">
        <v>1.0</v>
      </c>
      <c r="J70" s="60">
        <v>1.0</v>
      </c>
      <c r="K70" s="61"/>
      <c r="L70" s="60">
        <v>1.0</v>
      </c>
      <c r="M70" s="62">
        <f t="shared" si="3"/>
        <v>8</v>
      </c>
    </row>
    <row r="71" ht="13.5" customHeight="1">
      <c r="A71" s="71" t="s">
        <v>64</v>
      </c>
      <c r="B71" s="87" t="s">
        <v>141</v>
      </c>
      <c r="C71" s="59">
        <v>1.0</v>
      </c>
      <c r="D71" s="60">
        <v>1.0</v>
      </c>
      <c r="E71" s="61"/>
      <c r="F71" s="60">
        <v>1.0</v>
      </c>
      <c r="G71" s="61"/>
      <c r="H71" s="60">
        <v>1.0</v>
      </c>
      <c r="I71" s="61"/>
      <c r="J71" s="60">
        <v>1.0</v>
      </c>
      <c r="K71" s="60">
        <v>1.0</v>
      </c>
      <c r="L71" s="61"/>
      <c r="M71" s="62">
        <f t="shared" si="3"/>
        <v>6</v>
      </c>
    </row>
    <row r="72" ht="13.5" customHeight="1">
      <c r="A72" s="71" t="s">
        <v>70</v>
      </c>
      <c r="B72" s="87" t="s">
        <v>146</v>
      </c>
      <c r="C72" s="59"/>
      <c r="D72" s="60">
        <v>1.0</v>
      </c>
      <c r="E72" s="60">
        <v>1.0</v>
      </c>
      <c r="F72" s="61"/>
      <c r="G72" s="60">
        <v>1.0</v>
      </c>
      <c r="H72" s="61"/>
      <c r="I72" s="60">
        <v>1.0</v>
      </c>
      <c r="J72" s="61"/>
      <c r="K72" s="60">
        <v>1.0</v>
      </c>
      <c r="L72" s="60">
        <v>1.0</v>
      </c>
      <c r="M72" s="62">
        <f t="shared" si="3"/>
        <v>6</v>
      </c>
    </row>
    <row r="73" ht="12.75" customHeight="1">
      <c r="A73" s="74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</row>
    <row r="74" ht="13.5" customHeight="1">
      <c r="A74" s="77" t="s">
        <v>165</v>
      </c>
      <c r="B74" s="92" t="s">
        <v>12</v>
      </c>
      <c r="C74" s="55" t="s">
        <v>151</v>
      </c>
      <c r="D74" s="55" t="s">
        <v>152</v>
      </c>
      <c r="E74" s="55" t="s">
        <v>153</v>
      </c>
      <c r="F74" s="55" t="s">
        <v>154</v>
      </c>
      <c r="G74" s="55" t="s">
        <v>155</v>
      </c>
      <c r="H74" s="55" t="s">
        <v>156</v>
      </c>
      <c r="I74" s="55" t="s">
        <v>157</v>
      </c>
      <c r="J74" s="55" t="s">
        <v>158</v>
      </c>
      <c r="K74" s="55" t="s">
        <v>159</v>
      </c>
      <c r="L74" s="55" t="s">
        <v>160</v>
      </c>
      <c r="M74" s="56" t="s">
        <v>161</v>
      </c>
    </row>
    <row r="75" ht="13.5" customHeight="1">
      <c r="A75" s="57" t="s">
        <v>16</v>
      </c>
      <c r="B75" s="79" t="s">
        <v>20</v>
      </c>
      <c r="C75" s="59">
        <v>1.0</v>
      </c>
      <c r="D75" s="61"/>
      <c r="E75" s="60">
        <v>1.0</v>
      </c>
      <c r="F75" s="60">
        <v>1.0</v>
      </c>
      <c r="G75" s="60">
        <v>1.0</v>
      </c>
      <c r="H75" s="61"/>
      <c r="I75" s="60">
        <v>1.0</v>
      </c>
      <c r="J75" s="60">
        <v>1.0</v>
      </c>
      <c r="K75" s="60">
        <v>1.0</v>
      </c>
      <c r="L75" s="60">
        <v>1.0</v>
      </c>
      <c r="M75" s="62">
        <f t="shared" ref="M75:M95" si="4">SUM(C75:L75)</f>
        <v>8</v>
      </c>
    </row>
    <row r="76" ht="13.5" customHeight="1">
      <c r="A76" s="63" t="s">
        <v>23</v>
      </c>
      <c r="B76" s="80" t="s">
        <v>27</v>
      </c>
      <c r="C76" s="65"/>
      <c r="D76" s="60">
        <v>1.0</v>
      </c>
      <c r="E76" s="60">
        <v>1.0</v>
      </c>
      <c r="F76" s="61"/>
      <c r="G76" s="61"/>
      <c r="H76" s="60">
        <v>1.0</v>
      </c>
      <c r="I76" s="60">
        <v>1.0</v>
      </c>
      <c r="J76" s="60">
        <v>1.0</v>
      </c>
      <c r="K76" s="60">
        <v>1.0</v>
      </c>
      <c r="L76" s="61"/>
      <c r="M76" s="62">
        <f t="shared" si="4"/>
        <v>6</v>
      </c>
    </row>
    <row r="77" ht="13.5" customHeight="1">
      <c r="A77" s="57" t="s">
        <v>30</v>
      </c>
      <c r="B77" s="80" t="s">
        <v>34</v>
      </c>
      <c r="C77" s="59">
        <v>1.0</v>
      </c>
      <c r="D77" s="60">
        <v>1.0</v>
      </c>
      <c r="E77" s="61"/>
      <c r="F77" s="60">
        <v>1.0</v>
      </c>
      <c r="G77" s="60">
        <v>1.0</v>
      </c>
      <c r="H77" s="60">
        <v>1.0</v>
      </c>
      <c r="I77" s="61"/>
      <c r="J77" s="61"/>
      <c r="K77" s="61"/>
      <c r="L77" s="67">
        <v>1.0</v>
      </c>
      <c r="M77" s="62">
        <f t="shared" si="4"/>
        <v>6</v>
      </c>
    </row>
    <row r="78" ht="13.5" customHeight="1">
      <c r="A78" s="57" t="s">
        <v>37</v>
      </c>
      <c r="B78" s="80" t="s">
        <v>41</v>
      </c>
      <c r="C78" s="59">
        <v>1.0</v>
      </c>
      <c r="D78" s="61"/>
      <c r="E78" s="60">
        <v>1.0</v>
      </c>
      <c r="F78" s="60">
        <v>1.0</v>
      </c>
      <c r="G78" s="60">
        <v>1.0</v>
      </c>
      <c r="H78" s="61"/>
      <c r="I78" s="60">
        <v>1.0</v>
      </c>
      <c r="J78" s="60">
        <v>1.0</v>
      </c>
      <c r="K78" s="60">
        <v>1.0</v>
      </c>
      <c r="L78" s="60">
        <v>1.0</v>
      </c>
      <c r="M78" s="62">
        <f t="shared" si="4"/>
        <v>8</v>
      </c>
    </row>
    <row r="79" ht="13.5" customHeight="1">
      <c r="A79" s="57" t="s">
        <v>44</v>
      </c>
      <c r="B79" s="80" t="s">
        <v>48</v>
      </c>
      <c r="C79" s="59">
        <v>1.0</v>
      </c>
      <c r="D79" s="60">
        <v>1.0</v>
      </c>
      <c r="E79" s="61"/>
      <c r="F79" s="60">
        <v>1.0</v>
      </c>
      <c r="G79" s="61"/>
      <c r="H79" s="60">
        <v>1.0</v>
      </c>
      <c r="I79" s="60">
        <v>1.0</v>
      </c>
      <c r="J79" s="61"/>
      <c r="K79" s="60">
        <v>1.0</v>
      </c>
      <c r="L79" s="61"/>
      <c r="M79" s="62">
        <f t="shared" si="4"/>
        <v>6</v>
      </c>
    </row>
    <row r="80" ht="13.5" customHeight="1">
      <c r="A80" s="57" t="s">
        <v>51</v>
      </c>
      <c r="B80" s="80" t="s">
        <v>55</v>
      </c>
      <c r="C80" s="65"/>
      <c r="D80" s="60">
        <v>1.0</v>
      </c>
      <c r="E80" s="60">
        <v>1.0</v>
      </c>
      <c r="F80" s="61"/>
      <c r="G80" s="60">
        <v>1.0</v>
      </c>
      <c r="H80" s="60">
        <v>1.0</v>
      </c>
      <c r="I80" s="61"/>
      <c r="J80" s="60">
        <v>1.0</v>
      </c>
      <c r="K80" s="61"/>
      <c r="L80" s="60">
        <v>1.0</v>
      </c>
      <c r="M80" s="62">
        <f t="shared" si="4"/>
        <v>6</v>
      </c>
    </row>
    <row r="81" ht="13.5" customHeight="1">
      <c r="A81" s="57" t="s">
        <v>57</v>
      </c>
      <c r="B81" s="80" t="s">
        <v>61</v>
      </c>
      <c r="C81" s="59">
        <v>1.0</v>
      </c>
      <c r="D81" s="60">
        <v>1.0</v>
      </c>
      <c r="E81" s="60">
        <v>1.0</v>
      </c>
      <c r="F81" s="60">
        <v>1.0</v>
      </c>
      <c r="G81" s="61"/>
      <c r="H81" s="61"/>
      <c r="I81" s="60">
        <v>1.0</v>
      </c>
      <c r="J81" s="60">
        <v>1.0</v>
      </c>
      <c r="K81" s="60">
        <v>1.0</v>
      </c>
      <c r="L81" s="60">
        <v>1.0</v>
      </c>
      <c r="M81" s="62">
        <f t="shared" si="4"/>
        <v>8</v>
      </c>
    </row>
    <row r="82" ht="13.5" customHeight="1">
      <c r="A82" s="57" t="s">
        <v>64</v>
      </c>
      <c r="B82" s="81" t="s">
        <v>12</v>
      </c>
      <c r="C82" s="65"/>
      <c r="D82" s="60">
        <v>1.0</v>
      </c>
      <c r="E82" s="61"/>
      <c r="F82" s="60">
        <v>1.0</v>
      </c>
      <c r="G82" s="60">
        <v>1.0</v>
      </c>
      <c r="H82" s="60">
        <v>1.0</v>
      </c>
      <c r="I82" s="60">
        <v>1.0</v>
      </c>
      <c r="J82" s="61"/>
      <c r="K82" s="60">
        <v>1.0</v>
      </c>
      <c r="L82" s="61"/>
      <c r="M82" s="62">
        <f t="shared" si="4"/>
        <v>6</v>
      </c>
    </row>
    <row r="83" ht="13.5" customHeight="1">
      <c r="A83" s="57" t="s">
        <v>70</v>
      </c>
      <c r="B83" s="80" t="s">
        <v>72</v>
      </c>
      <c r="C83" s="59">
        <v>1.0</v>
      </c>
      <c r="D83" s="61"/>
      <c r="E83" s="60">
        <v>1.0</v>
      </c>
      <c r="F83" s="61"/>
      <c r="G83" s="60">
        <v>1.0</v>
      </c>
      <c r="H83" s="60">
        <v>1.0</v>
      </c>
      <c r="I83" s="61"/>
      <c r="J83" s="60">
        <v>1.0</v>
      </c>
      <c r="K83" s="61"/>
      <c r="L83" s="60">
        <v>1.0</v>
      </c>
      <c r="M83" s="62">
        <f t="shared" si="4"/>
        <v>6</v>
      </c>
    </row>
    <row r="84" ht="13.5" customHeight="1">
      <c r="A84" s="57" t="s">
        <v>75</v>
      </c>
      <c r="B84" s="80" t="s">
        <v>79</v>
      </c>
      <c r="C84" s="59">
        <v>1.0</v>
      </c>
      <c r="D84" s="60">
        <v>1.0</v>
      </c>
      <c r="E84" s="61"/>
      <c r="F84" s="60">
        <v>1.0</v>
      </c>
      <c r="G84" s="61"/>
      <c r="H84" s="60">
        <v>1.0</v>
      </c>
      <c r="I84" s="60">
        <v>1.0</v>
      </c>
      <c r="J84" s="60">
        <v>1.0</v>
      </c>
      <c r="K84" s="60">
        <v>1.0</v>
      </c>
      <c r="L84" s="60">
        <v>1.0</v>
      </c>
      <c r="M84" s="62">
        <f t="shared" si="4"/>
        <v>8</v>
      </c>
    </row>
    <row r="85" ht="13.5" customHeight="1">
      <c r="A85" s="57" t="s">
        <v>82</v>
      </c>
      <c r="B85" s="80" t="s">
        <v>86</v>
      </c>
      <c r="C85" s="59">
        <v>1.0</v>
      </c>
      <c r="D85" s="60">
        <v>1.0</v>
      </c>
      <c r="E85" s="60">
        <v>1.0</v>
      </c>
      <c r="F85" s="61"/>
      <c r="G85" s="60">
        <v>1.0</v>
      </c>
      <c r="H85" s="61"/>
      <c r="I85" s="60">
        <v>1.0</v>
      </c>
      <c r="J85" s="61"/>
      <c r="K85" s="60">
        <v>1.0</v>
      </c>
      <c r="L85" s="61"/>
      <c r="M85" s="62">
        <f t="shared" si="4"/>
        <v>6</v>
      </c>
    </row>
    <row r="86" ht="14.25" customHeight="1">
      <c r="A86" s="57" t="s">
        <v>89</v>
      </c>
      <c r="B86" s="80" t="s">
        <v>166</v>
      </c>
      <c r="C86" s="65"/>
      <c r="D86" s="61"/>
      <c r="E86" s="60">
        <v>1.0</v>
      </c>
      <c r="F86" s="60">
        <v>1.0</v>
      </c>
      <c r="G86" s="60">
        <v>1.0</v>
      </c>
      <c r="H86" s="60">
        <v>1.0</v>
      </c>
      <c r="I86" s="61"/>
      <c r="J86" s="60">
        <v>1.0</v>
      </c>
      <c r="K86" s="61"/>
      <c r="L86" s="60">
        <v>1.0</v>
      </c>
      <c r="M86" s="62">
        <f t="shared" si="4"/>
        <v>6</v>
      </c>
    </row>
    <row r="87" ht="13.5" customHeight="1">
      <c r="A87" s="68" t="s">
        <v>16</v>
      </c>
      <c r="B87" s="83" t="s">
        <v>100</v>
      </c>
      <c r="C87" s="59">
        <v>1.0</v>
      </c>
      <c r="D87" s="60">
        <v>1.0</v>
      </c>
      <c r="E87" s="60">
        <v>1.0</v>
      </c>
      <c r="F87" s="61"/>
      <c r="G87" s="60">
        <v>1.0</v>
      </c>
      <c r="H87" s="60">
        <v>1.0</v>
      </c>
      <c r="I87" s="61"/>
      <c r="J87" s="60">
        <v>1.0</v>
      </c>
      <c r="K87" s="60">
        <v>1.0</v>
      </c>
      <c r="L87" s="60">
        <v>1.0</v>
      </c>
      <c r="M87" s="62">
        <f t="shared" si="4"/>
        <v>8</v>
      </c>
    </row>
    <row r="88" ht="13.5" customHeight="1">
      <c r="A88" s="68" t="s">
        <v>23</v>
      </c>
      <c r="B88" s="84" t="s">
        <v>106</v>
      </c>
      <c r="C88" s="65"/>
      <c r="D88" s="61"/>
      <c r="E88" s="60">
        <v>1.0</v>
      </c>
      <c r="F88" s="60">
        <v>1.0</v>
      </c>
      <c r="G88" s="60">
        <v>1.0</v>
      </c>
      <c r="H88" s="60">
        <v>1.0</v>
      </c>
      <c r="I88" s="60">
        <v>1.0</v>
      </c>
      <c r="J88" s="61"/>
      <c r="K88" s="60">
        <v>1.0</v>
      </c>
      <c r="L88" s="61"/>
      <c r="M88" s="62">
        <f t="shared" si="4"/>
        <v>6</v>
      </c>
    </row>
    <row r="89" ht="13.5" customHeight="1">
      <c r="A89" s="68" t="s">
        <v>30</v>
      </c>
      <c r="B89" s="93" t="s">
        <v>112</v>
      </c>
      <c r="C89" s="59">
        <v>1.0</v>
      </c>
      <c r="D89" s="60">
        <v>1.0</v>
      </c>
      <c r="E89" s="61"/>
      <c r="F89" s="60">
        <v>1.0</v>
      </c>
      <c r="G89" s="61"/>
      <c r="H89" s="61"/>
      <c r="I89" s="60">
        <v>1.0</v>
      </c>
      <c r="J89" s="60">
        <v>1.0</v>
      </c>
      <c r="K89" s="61"/>
      <c r="L89" s="60">
        <v>1.0</v>
      </c>
      <c r="M89" s="62">
        <f t="shared" si="4"/>
        <v>6</v>
      </c>
    </row>
    <row r="90" ht="13.5" customHeight="1">
      <c r="A90" s="68" t="s">
        <v>37</v>
      </c>
      <c r="B90" s="91" t="s">
        <v>118</v>
      </c>
      <c r="C90" s="59">
        <v>1.0</v>
      </c>
      <c r="D90" s="60">
        <v>1.0</v>
      </c>
      <c r="E90" s="61"/>
      <c r="F90" s="61"/>
      <c r="G90" s="60">
        <v>1.0</v>
      </c>
      <c r="H90" s="60">
        <v>1.0</v>
      </c>
      <c r="I90" s="60">
        <v>1.0</v>
      </c>
      <c r="J90" s="60">
        <v>1.0</v>
      </c>
      <c r="K90" s="60">
        <v>1.0</v>
      </c>
      <c r="L90" s="60">
        <v>1.0</v>
      </c>
      <c r="M90" s="62">
        <f t="shared" si="4"/>
        <v>8</v>
      </c>
    </row>
    <row r="91" ht="13.5" customHeight="1">
      <c r="A91" s="68" t="s">
        <v>44</v>
      </c>
      <c r="B91" s="84" t="s">
        <v>124</v>
      </c>
      <c r="C91" s="59">
        <v>1.0</v>
      </c>
      <c r="D91" s="61"/>
      <c r="E91" s="60">
        <v>1.0</v>
      </c>
      <c r="F91" s="60">
        <v>1.0</v>
      </c>
      <c r="G91" s="61"/>
      <c r="H91" s="61"/>
      <c r="I91" s="60">
        <v>1.0</v>
      </c>
      <c r="J91" s="60">
        <v>1.0</v>
      </c>
      <c r="K91" s="60">
        <v>1.0</v>
      </c>
      <c r="L91" s="61"/>
      <c r="M91" s="62">
        <f t="shared" si="4"/>
        <v>6</v>
      </c>
    </row>
    <row r="92" ht="13.5" customHeight="1">
      <c r="A92" s="68" t="s">
        <v>51</v>
      </c>
      <c r="B92" s="84" t="s">
        <v>130</v>
      </c>
      <c r="C92" s="65"/>
      <c r="D92" s="60">
        <v>1.0</v>
      </c>
      <c r="E92" s="60">
        <v>1.0</v>
      </c>
      <c r="F92" s="60">
        <v>1.0</v>
      </c>
      <c r="G92" s="60">
        <v>1.0</v>
      </c>
      <c r="H92" s="60">
        <v>1.0</v>
      </c>
      <c r="I92" s="61"/>
      <c r="J92" s="61"/>
      <c r="K92" s="61"/>
      <c r="L92" s="60">
        <v>1.0</v>
      </c>
      <c r="M92" s="62">
        <f t="shared" si="4"/>
        <v>6</v>
      </c>
    </row>
    <row r="93" ht="13.5" customHeight="1">
      <c r="A93" s="71" t="s">
        <v>57</v>
      </c>
      <c r="B93" s="87" t="s">
        <v>136</v>
      </c>
      <c r="C93" s="59">
        <v>1.0</v>
      </c>
      <c r="D93" s="61"/>
      <c r="E93" s="60">
        <v>1.0</v>
      </c>
      <c r="F93" s="60">
        <v>1.0</v>
      </c>
      <c r="G93" s="61"/>
      <c r="H93" s="60">
        <v>1.0</v>
      </c>
      <c r="I93" s="60">
        <v>1.0</v>
      </c>
      <c r="J93" s="61"/>
      <c r="K93" s="60">
        <v>1.0</v>
      </c>
      <c r="L93" s="60">
        <v>1.0</v>
      </c>
      <c r="M93" s="62">
        <f t="shared" si="4"/>
        <v>7</v>
      </c>
    </row>
    <row r="94" ht="13.5" customHeight="1">
      <c r="A94" s="71" t="s">
        <v>64</v>
      </c>
      <c r="B94" s="87" t="s">
        <v>142</v>
      </c>
      <c r="C94" s="59">
        <v>1.0</v>
      </c>
      <c r="D94" s="60">
        <v>1.0</v>
      </c>
      <c r="E94" s="60">
        <v>1.0</v>
      </c>
      <c r="F94" s="61"/>
      <c r="G94" s="60">
        <v>1.0</v>
      </c>
      <c r="H94" s="61"/>
      <c r="I94" s="60">
        <v>1.0</v>
      </c>
      <c r="J94" s="60">
        <v>1.0</v>
      </c>
      <c r="K94" s="61"/>
      <c r="L94" s="60">
        <v>1.0</v>
      </c>
      <c r="M94" s="62">
        <f t="shared" si="4"/>
        <v>7</v>
      </c>
    </row>
    <row r="95" ht="13.5" customHeight="1">
      <c r="A95" s="71" t="s">
        <v>70</v>
      </c>
      <c r="B95" s="87" t="s">
        <v>147</v>
      </c>
      <c r="C95" s="65"/>
      <c r="D95" s="60">
        <v>1.0</v>
      </c>
      <c r="E95" s="61"/>
      <c r="F95" s="60">
        <v>1.0</v>
      </c>
      <c r="G95" s="60">
        <v>1.0</v>
      </c>
      <c r="H95" s="60">
        <v>1.0</v>
      </c>
      <c r="I95" s="61"/>
      <c r="J95" s="60">
        <v>1.0</v>
      </c>
      <c r="K95" s="60">
        <v>1.0</v>
      </c>
      <c r="L95" s="61"/>
      <c r="M95" s="62">
        <f t="shared" si="4"/>
        <v>6</v>
      </c>
    </row>
    <row r="96" ht="12.75" customHeight="1">
      <c r="A96" s="74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</row>
    <row r="97" ht="13.5" customHeight="1">
      <c r="A97" s="77" t="s">
        <v>167</v>
      </c>
      <c r="B97" s="94" t="s">
        <v>13</v>
      </c>
      <c r="C97" s="54" t="s">
        <v>151</v>
      </c>
      <c r="D97" s="55" t="s">
        <v>152</v>
      </c>
      <c r="E97" s="55" t="s">
        <v>153</v>
      </c>
      <c r="F97" s="55" t="s">
        <v>154</v>
      </c>
      <c r="G97" s="55" t="s">
        <v>155</v>
      </c>
      <c r="H97" s="55" t="s">
        <v>156</v>
      </c>
      <c r="I97" s="55" t="s">
        <v>157</v>
      </c>
      <c r="J97" s="55" t="s">
        <v>158</v>
      </c>
      <c r="K97" s="55" t="s">
        <v>159</v>
      </c>
      <c r="L97" s="55" t="s">
        <v>160</v>
      </c>
      <c r="M97" s="56" t="s">
        <v>161</v>
      </c>
    </row>
    <row r="98" ht="13.5" customHeight="1">
      <c r="A98" s="57" t="s">
        <v>16</v>
      </c>
      <c r="B98" s="79" t="s">
        <v>21</v>
      </c>
      <c r="C98" s="59">
        <v>1.0</v>
      </c>
      <c r="D98" s="60">
        <v>1.0</v>
      </c>
      <c r="E98" s="60">
        <v>1.0</v>
      </c>
      <c r="F98" s="60">
        <v>1.0</v>
      </c>
      <c r="G98" s="60">
        <v>1.0</v>
      </c>
      <c r="H98" s="60">
        <v>1.0</v>
      </c>
      <c r="I98" s="61"/>
      <c r="J98" s="61"/>
      <c r="K98" s="61"/>
      <c r="L98" s="60">
        <v>1.0</v>
      </c>
      <c r="M98" s="62">
        <f t="shared" ref="M98:M118" si="5">SUM(C98:L98)</f>
        <v>7</v>
      </c>
    </row>
    <row r="99" ht="13.5" customHeight="1">
      <c r="A99" s="63" t="s">
        <v>23</v>
      </c>
      <c r="B99" s="80" t="s">
        <v>28</v>
      </c>
      <c r="C99" s="59">
        <v>1.0</v>
      </c>
      <c r="D99" s="61"/>
      <c r="E99" s="60">
        <v>1.0</v>
      </c>
      <c r="F99" s="61"/>
      <c r="G99" s="61"/>
      <c r="H99" s="60">
        <v>1.0</v>
      </c>
      <c r="I99" s="60">
        <v>1.0</v>
      </c>
      <c r="J99" s="60">
        <v>1.0</v>
      </c>
      <c r="K99" s="60">
        <v>1.0</v>
      </c>
      <c r="L99" s="60">
        <v>1.0</v>
      </c>
      <c r="M99" s="62">
        <f t="shared" si="5"/>
        <v>7</v>
      </c>
    </row>
    <row r="100" ht="13.5" customHeight="1">
      <c r="A100" s="57" t="s">
        <v>30</v>
      </c>
      <c r="B100" s="80" t="s">
        <v>35</v>
      </c>
      <c r="C100" s="65"/>
      <c r="D100" s="60">
        <v>1.0</v>
      </c>
      <c r="E100" s="61"/>
      <c r="F100" s="60">
        <v>1.0</v>
      </c>
      <c r="G100" s="60">
        <v>1.0</v>
      </c>
      <c r="H100" s="61"/>
      <c r="I100" s="60">
        <v>1.0</v>
      </c>
      <c r="J100" s="67">
        <v>1.0</v>
      </c>
      <c r="K100" s="60">
        <v>1.0</v>
      </c>
      <c r="L100" s="60"/>
      <c r="M100" s="62">
        <f t="shared" si="5"/>
        <v>6</v>
      </c>
    </row>
    <row r="101" ht="13.5" customHeight="1">
      <c r="A101" s="57" t="s">
        <v>37</v>
      </c>
      <c r="B101" s="80" t="s">
        <v>42</v>
      </c>
      <c r="C101" s="59"/>
      <c r="D101" s="60">
        <v>1.0</v>
      </c>
      <c r="E101" s="61"/>
      <c r="F101" s="60">
        <v>1.0</v>
      </c>
      <c r="G101" s="60">
        <v>1.0</v>
      </c>
      <c r="H101" s="60">
        <v>1.0</v>
      </c>
      <c r="I101" s="60">
        <v>1.0</v>
      </c>
      <c r="J101" s="60">
        <v>1.0</v>
      </c>
      <c r="K101" s="61"/>
      <c r="L101" s="60">
        <v>1.0</v>
      </c>
      <c r="M101" s="62">
        <f t="shared" si="5"/>
        <v>7</v>
      </c>
    </row>
    <row r="102" ht="13.5" customHeight="1">
      <c r="A102" s="57" t="s">
        <v>44</v>
      </c>
      <c r="B102" s="80" t="s">
        <v>49</v>
      </c>
      <c r="C102" s="59">
        <v>1.0</v>
      </c>
      <c r="D102" s="61"/>
      <c r="E102" s="60">
        <v>1.0</v>
      </c>
      <c r="F102" s="60">
        <v>1.0</v>
      </c>
      <c r="G102" s="60">
        <v>1.0</v>
      </c>
      <c r="H102" s="61"/>
      <c r="I102" s="60">
        <v>1.0</v>
      </c>
      <c r="J102" s="61"/>
      <c r="K102" s="60">
        <v>1.0</v>
      </c>
      <c r="L102" s="60">
        <v>1.0</v>
      </c>
      <c r="M102" s="62">
        <f t="shared" si="5"/>
        <v>7</v>
      </c>
    </row>
    <row r="103" ht="13.5" customHeight="1">
      <c r="A103" s="57" t="s">
        <v>51</v>
      </c>
      <c r="B103" s="81" t="s">
        <v>13</v>
      </c>
      <c r="C103" s="59">
        <v>1.0</v>
      </c>
      <c r="D103" s="60">
        <v>1.0</v>
      </c>
      <c r="E103" s="60">
        <v>1.0</v>
      </c>
      <c r="F103" s="61"/>
      <c r="G103" s="61"/>
      <c r="H103" s="60">
        <v>1.0</v>
      </c>
      <c r="I103" s="61"/>
      <c r="J103" s="60">
        <v>1.0</v>
      </c>
      <c r="K103" s="60">
        <v>1.0</v>
      </c>
      <c r="L103" s="61"/>
      <c r="M103" s="62">
        <f t="shared" si="5"/>
        <v>6</v>
      </c>
    </row>
    <row r="104" ht="13.5" customHeight="1">
      <c r="A104" s="57" t="s">
        <v>57</v>
      </c>
      <c r="B104" s="80" t="s">
        <v>62</v>
      </c>
      <c r="C104" s="59">
        <v>1.0</v>
      </c>
      <c r="D104" s="60"/>
      <c r="E104" s="60">
        <v>1.0</v>
      </c>
      <c r="F104" s="61"/>
      <c r="G104" s="60">
        <v>1.0</v>
      </c>
      <c r="H104" s="61"/>
      <c r="I104" s="60">
        <v>1.0</v>
      </c>
      <c r="J104" s="60">
        <v>1.0</v>
      </c>
      <c r="K104" s="60">
        <v>1.0</v>
      </c>
      <c r="L104" s="60">
        <v>1.0</v>
      </c>
      <c r="M104" s="62">
        <f t="shared" si="5"/>
        <v>7</v>
      </c>
    </row>
    <row r="105" ht="13.5" customHeight="1">
      <c r="A105" s="57" t="s">
        <v>64</v>
      </c>
      <c r="B105" s="80" t="s">
        <v>68</v>
      </c>
      <c r="C105" s="65"/>
      <c r="D105" s="60">
        <v>1.0</v>
      </c>
      <c r="E105" s="61"/>
      <c r="F105" s="60">
        <v>1.0</v>
      </c>
      <c r="G105" s="60">
        <v>1.0</v>
      </c>
      <c r="H105" s="60">
        <v>1.0</v>
      </c>
      <c r="I105" s="60">
        <v>1.0</v>
      </c>
      <c r="J105" s="60">
        <v>1.0</v>
      </c>
      <c r="K105" s="61"/>
      <c r="L105" s="61"/>
      <c r="M105" s="62">
        <f t="shared" si="5"/>
        <v>6</v>
      </c>
    </row>
    <row r="106" ht="13.5" customHeight="1">
      <c r="A106" s="57" t="s">
        <v>70</v>
      </c>
      <c r="B106" s="82" t="s">
        <v>168</v>
      </c>
      <c r="C106" s="59">
        <v>1.0</v>
      </c>
      <c r="D106" s="60">
        <v>1.0</v>
      </c>
      <c r="E106" s="60">
        <v>1.0</v>
      </c>
      <c r="F106" s="60">
        <v>1.0</v>
      </c>
      <c r="G106" s="61"/>
      <c r="H106" s="60">
        <v>1.0</v>
      </c>
      <c r="I106" s="61"/>
      <c r="J106" s="61"/>
      <c r="K106" s="67">
        <v>1.0</v>
      </c>
      <c r="L106" s="60">
        <v>1.0</v>
      </c>
      <c r="M106" s="62">
        <f t="shared" si="5"/>
        <v>7</v>
      </c>
    </row>
    <row r="107" ht="13.5" customHeight="1">
      <c r="A107" s="57" t="s">
        <v>75</v>
      </c>
      <c r="B107" s="80" t="s">
        <v>80</v>
      </c>
      <c r="C107" s="59">
        <v>1.0</v>
      </c>
      <c r="D107" s="60">
        <v>1.0</v>
      </c>
      <c r="E107" s="61"/>
      <c r="F107" s="60">
        <v>1.0</v>
      </c>
      <c r="G107" s="61"/>
      <c r="H107" s="60">
        <v>1.0</v>
      </c>
      <c r="I107" s="60">
        <v>1.0</v>
      </c>
      <c r="J107" s="60">
        <v>1.0</v>
      </c>
      <c r="K107" s="60">
        <v>1.0</v>
      </c>
      <c r="L107" s="60">
        <v>1.0</v>
      </c>
      <c r="M107" s="62">
        <f t="shared" si="5"/>
        <v>8</v>
      </c>
    </row>
    <row r="108" ht="13.5" customHeight="1">
      <c r="A108" s="57" t="s">
        <v>82</v>
      </c>
      <c r="B108" s="80" t="s">
        <v>87</v>
      </c>
      <c r="C108" s="65"/>
      <c r="D108" s="60">
        <v>1.0</v>
      </c>
      <c r="E108" s="60">
        <v>1.0</v>
      </c>
      <c r="F108" s="61"/>
      <c r="G108" s="60">
        <v>1.0</v>
      </c>
      <c r="H108" s="61"/>
      <c r="I108" s="60">
        <v>1.0</v>
      </c>
      <c r="J108" s="61"/>
      <c r="K108" s="60">
        <v>1.0</v>
      </c>
      <c r="L108" s="60">
        <v>1.0</v>
      </c>
      <c r="M108" s="62">
        <f t="shared" si="5"/>
        <v>6</v>
      </c>
    </row>
    <row r="109" ht="13.5" customHeight="1">
      <c r="A109" s="57" t="s">
        <v>89</v>
      </c>
      <c r="B109" s="80" t="s">
        <v>94</v>
      </c>
      <c r="C109" s="59">
        <v>1.0</v>
      </c>
      <c r="D109" s="61"/>
      <c r="E109" s="60">
        <v>1.0</v>
      </c>
      <c r="F109" s="60">
        <v>1.0</v>
      </c>
      <c r="G109" s="60">
        <v>1.0</v>
      </c>
      <c r="H109" s="60">
        <v>1.0</v>
      </c>
      <c r="I109" s="61"/>
      <c r="J109" s="60">
        <v>1.0</v>
      </c>
      <c r="K109" s="61"/>
      <c r="L109" s="61"/>
      <c r="M109" s="62">
        <f t="shared" si="5"/>
        <v>6</v>
      </c>
    </row>
    <row r="110" ht="13.5" customHeight="1">
      <c r="A110" s="68" t="s">
        <v>16</v>
      </c>
      <c r="B110" s="83" t="s">
        <v>169</v>
      </c>
      <c r="C110" s="59">
        <v>1.0</v>
      </c>
      <c r="D110" s="60">
        <v>1.0</v>
      </c>
      <c r="E110" s="60">
        <v>1.0</v>
      </c>
      <c r="F110" s="60">
        <v>1.0</v>
      </c>
      <c r="G110" s="60">
        <v>1.0</v>
      </c>
      <c r="H110" s="60">
        <v>1.0</v>
      </c>
      <c r="I110" s="60">
        <v>1.0</v>
      </c>
      <c r="J110" s="61"/>
      <c r="K110" s="61"/>
      <c r="L110" s="61"/>
      <c r="M110" s="62">
        <f t="shared" si="5"/>
        <v>7</v>
      </c>
    </row>
    <row r="111" ht="13.5" customHeight="1">
      <c r="A111" s="68" t="s">
        <v>23</v>
      </c>
      <c r="B111" s="84" t="s">
        <v>107</v>
      </c>
      <c r="C111" s="65"/>
      <c r="D111" s="60">
        <v>1.0</v>
      </c>
      <c r="E111" s="60">
        <v>1.0</v>
      </c>
      <c r="F111" s="61"/>
      <c r="G111" s="60">
        <v>1.0</v>
      </c>
      <c r="H111" s="61"/>
      <c r="I111" s="60">
        <v>1.0</v>
      </c>
      <c r="J111" s="60">
        <v>1.0</v>
      </c>
      <c r="K111" s="60">
        <v>1.0</v>
      </c>
      <c r="L111" s="60">
        <v>1.0</v>
      </c>
      <c r="M111" s="62">
        <f t="shared" si="5"/>
        <v>7</v>
      </c>
    </row>
    <row r="112" ht="13.5" customHeight="1">
      <c r="A112" s="68" t="s">
        <v>30</v>
      </c>
      <c r="B112" s="84" t="s">
        <v>113</v>
      </c>
      <c r="C112" s="59">
        <v>1.0</v>
      </c>
      <c r="D112" s="61"/>
      <c r="E112" s="61"/>
      <c r="F112" s="60">
        <v>1.0</v>
      </c>
      <c r="G112" s="61"/>
      <c r="H112" s="60">
        <v>1.0</v>
      </c>
      <c r="I112" s="61"/>
      <c r="J112" s="60">
        <v>1.0</v>
      </c>
      <c r="K112" s="67">
        <v>1.0</v>
      </c>
      <c r="L112" s="60">
        <v>1.0</v>
      </c>
      <c r="M112" s="62">
        <f t="shared" si="5"/>
        <v>6</v>
      </c>
    </row>
    <row r="113" ht="13.5" customHeight="1">
      <c r="A113" s="68" t="s">
        <v>37</v>
      </c>
      <c r="B113" s="84" t="s">
        <v>119</v>
      </c>
      <c r="C113" s="59">
        <v>1.0</v>
      </c>
      <c r="D113" s="61"/>
      <c r="E113" s="60">
        <v>1.0</v>
      </c>
      <c r="F113" s="60">
        <v>1.0</v>
      </c>
      <c r="G113" s="60">
        <v>1.0</v>
      </c>
      <c r="H113" s="61"/>
      <c r="I113" s="61"/>
      <c r="J113" s="60">
        <v>1.0</v>
      </c>
      <c r="K113" s="60">
        <v>1.0</v>
      </c>
      <c r="L113" s="60">
        <v>1.0</v>
      </c>
      <c r="M113" s="62">
        <f t="shared" si="5"/>
        <v>7</v>
      </c>
    </row>
    <row r="114" ht="13.5" customHeight="1">
      <c r="A114" s="68" t="s">
        <v>44</v>
      </c>
      <c r="B114" s="84" t="s">
        <v>125</v>
      </c>
      <c r="C114" s="59">
        <v>1.0</v>
      </c>
      <c r="D114" s="60">
        <v>1.0</v>
      </c>
      <c r="E114" s="60">
        <v>1.0</v>
      </c>
      <c r="F114" s="61"/>
      <c r="G114" s="61"/>
      <c r="H114" s="60">
        <v>1.0</v>
      </c>
      <c r="I114" s="60">
        <v>1.0</v>
      </c>
      <c r="J114" s="60">
        <v>1.0</v>
      </c>
      <c r="K114" s="61"/>
      <c r="L114" s="60">
        <v>1.0</v>
      </c>
      <c r="M114" s="62">
        <f t="shared" si="5"/>
        <v>7</v>
      </c>
    </row>
    <row r="115" ht="13.5" customHeight="1">
      <c r="A115" s="68" t="s">
        <v>51</v>
      </c>
      <c r="B115" s="84" t="s">
        <v>131</v>
      </c>
      <c r="C115" s="65"/>
      <c r="D115" s="60">
        <v>1.0</v>
      </c>
      <c r="E115" s="61"/>
      <c r="F115" s="60">
        <v>1.0</v>
      </c>
      <c r="G115" s="60">
        <v>1.0</v>
      </c>
      <c r="H115" s="60">
        <v>1.0</v>
      </c>
      <c r="I115" s="60">
        <v>1.0</v>
      </c>
      <c r="J115" s="61"/>
      <c r="K115" s="60">
        <v>1.0</v>
      </c>
      <c r="L115" s="61"/>
      <c r="M115" s="62">
        <f t="shared" si="5"/>
        <v>6</v>
      </c>
    </row>
    <row r="116" ht="13.5" customHeight="1">
      <c r="A116" s="71" t="s">
        <v>57</v>
      </c>
      <c r="B116" s="87" t="s">
        <v>137</v>
      </c>
      <c r="C116" s="65"/>
      <c r="D116" s="60">
        <v>1.0</v>
      </c>
      <c r="E116" s="60">
        <v>1.0</v>
      </c>
      <c r="F116" s="60">
        <v>1.0</v>
      </c>
      <c r="G116" s="61"/>
      <c r="H116" s="60">
        <v>1.0</v>
      </c>
      <c r="I116" s="60">
        <v>1.0</v>
      </c>
      <c r="J116" s="60">
        <v>1.0</v>
      </c>
      <c r="K116" s="60">
        <v>1.0</v>
      </c>
      <c r="L116" s="67">
        <v>1.0</v>
      </c>
      <c r="M116" s="62">
        <f t="shared" si="5"/>
        <v>8</v>
      </c>
    </row>
    <row r="117" ht="13.5" customHeight="1">
      <c r="A117" s="71" t="s">
        <v>64</v>
      </c>
      <c r="B117" s="87" t="s">
        <v>143</v>
      </c>
      <c r="C117" s="59">
        <v>1.0</v>
      </c>
      <c r="D117" s="61"/>
      <c r="E117" s="60">
        <v>1.0</v>
      </c>
      <c r="F117" s="61"/>
      <c r="G117" s="60">
        <v>1.0</v>
      </c>
      <c r="H117" s="61"/>
      <c r="I117" s="60">
        <v>1.0</v>
      </c>
      <c r="J117" s="61"/>
      <c r="K117" s="60">
        <v>1.0</v>
      </c>
      <c r="L117" s="67">
        <v>1.0</v>
      </c>
      <c r="M117" s="62">
        <f t="shared" si="5"/>
        <v>6</v>
      </c>
    </row>
    <row r="118" ht="13.5" customHeight="1">
      <c r="A118" s="71" t="s">
        <v>70</v>
      </c>
      <c r="B118" s="87" t="s">
        <v>148</v>
      </c>
      <c r="C118" s="59">
        <v>1.0</v>
      </c>
      <c r="D118" s="60">
        <v>1.0</v>
      </c>
      <c r="E118" s="61"/>
      <c r="F118" s="60">
        <v>1.0</v>
      </c>
      <c r="G118" s="60">
        <v>1.0</v>
      </c>
      <c r="H118" s="60">
        <v>1.0</v>
      </c>
      <c r="I118" s="61"/>
      <c r="J118" s="60">
        <v>1.0</v>
      </c>
      <c r="K118" s="61"/>
      <c r="L118" s="61"/>
      <c r="M118" s="62">
        <f t="shared" si="5"/>
        <v>6</v>
      </c>
    </row>
    <row r="119" ht="12.75" customHeight="1">
      <c r="A119" s="74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</row>
    <row r="120" ht="13.5" customHeight="1">
      <c r="A120" s="77" t="s">
        <v>170</v>
      </c>
      <c r="B120" s="95" t="s">
        <v>14</v>
      </c>
      <c r="C120" s="55" t="s">
        <v>151</v>
      </c>
      <c r="D120" s="55" t="s">
        <v>152</v>
      </c>
      <c r="E120" s="55" t="s">
        <v>153</v>
      </c>
      <c r="F120" s="55" t="s">
        <v>154</v>
      </c>
      <c r="G120" s="55" t="s">
        <v>155</v>
      </c>
      <c r="H120" s="55" t="s">
        <v>156</v>
      </c>
      <c r="I120" s="55" t="s">
        <v>157</v>
      </c>
      <c r="J120" s="55" t="s">
        <v>158</v>
      </c>
      <c r="K120" s="55" t="s">
        <v>159</v>
      </c>
      <c r="L120" s="55" t="s">
        <v>160</v>
      </c>
      <c r="M120" s="56" t="s">
        <v>161</v>
      </c>
    </row>
    <row r="121" ht="13.5" customHeight="1">
      <c r="A121" s="57" t="s">
        <v>16</v>
      </c>
      <c r="B121" s="96" t="s">
        <v>22</v>
      </c>
      <c r="C121" s="97"/>
      <c r="D121" s="98">
        <v>1.0</v>
      </c>
      <c r="E121" s="98">
        <v>1.0</v>
      </c>
      <c r="F121" s="98">
        <v>1.0</v>
      </c>
      <c r="G121" s="62"/>
      <c r="H121" s="98">
        <v>1.0</v>
      </c>
      <c r="I121" s="98">
        <v>1.0</v>
      </c>
      <c r="J121" s="98">
        <v>1.0</v>
      </c>
      <c r="K121" s="98">
        <v>1.0</v>
      </c>
      <c r="L121" s="98">
        <v>1.0</v>
      </c>
      <c r="M121" s="62">
        <f t="shared" ref="M121:M141" si="6">SUM(C121:L121)</f>
        <v>8</v>
      </c>
    </row>
    <row r="122" ht="13.5" customHeight="1">
      <c r="A122" s="63" t="s">
        <v>23</v>
      </c>
      <c r="B122" s="99" t="s">
        <v>29</v>
      </c>
      <c r="C122" s="100">
        <v>1.0</v>
      </c>
      <c r="D122" s="62"/>
      <c r="E122" s="98">
        <v>1.0</v>
      </c>
      <c r="F122" s="98">
        <v>1.0</v>
      </c>
      <c r="G122" s="67">
        <v>1.0</v>
      </c>
      <c r="H122" s="98">
        <v>1.0</v>
      </c>
      <c r="I122" s="62"/>
      <c r="J122" s="60">
        <v>1.0</v>
      </c>
      <c r="K122" s="62"/>
      <c r="L122" s="62"/>
      <c r="M122" s="62">
        <f t="shared" si="6"/>
        <v>6</v>
      </c>
    </row>
    <row r="123" ht="13.5" customHeight="1">
      <c r="A123" s="57" t="s">
        <v>30</v>
      </c>
      <c r="B123" s="99" t="s">
        <v>36</v>
      </c>
      <c r="C123" s="100">
        <v>1.0</v>
      </c>
      <c r="D123" s="98">
        <v>1.0</v>
      </c>
      <c r="E123" s="62"/>
      <c r="F123" s="62"/>
      <c r="G123" s="98">
        <v>1.0</v>
      </c>
      <c r="H123" s="62"/>
      <c r="I123" s="98">
        <v>1.0</v>
      </c>
      <c r="J123" s="62"/>
      <c r="K123" s="98">
        <v>1.0</v>
      </c>
      <c r="L123" s="98">
        <v>1.0</v>
      </c>
      <c r="M123" s="62">
        <f t="shared" si="6"/>
        <v>6</v>
      </c>
    </row>
    <row r="124" ht="13.5" customHeight="1">
      <c r="A124" s="57" t="s">
        <v>37</v>
      </c>
      <c r="B124" s="99" t="s">
        <v>43</v>
      </c>
      <c r="C124" s="100">
        <v>1.0</v>
      </c>
      <c r="D124" s="98">
        <v>1.0</v>
      </c>
      <c r="E124" s="98">
        <v>1.0</v>
      </c>
      <c r="F124" s="98">
        <v>1.0</v>
      </c>
      <c r="G124" s="98">
        <v>1.0</v>
      </c>
      <c r="H124" s="62"/>
      <c r="I124" s="98">
        <v>1.0</v>
      </c>
      <c r="J124" s="98">
        <v>1.0</v>
      </c>
      <c r="K124" s="98">
        <v>1.0</v>
      </c>
      <c r="L124" s="62"/>
      <c r="M124" s="62">
        <f t="shared" si="6"/>
        <v>8</v>
      </c>
    </row>
    <row r="125" ht="13.5" customHeight="1">
      <c r="A125" s="57" t="s">
        <v>44</v>
      </c>
      <c r="B125" s="99" t="s">
        <v>50</v>
      </c>
      <c r="C125" s="97"/>
      <c r="D125" s="98">
        <v>1.0</v>
      </c>
      <c r="E125" s="62"/>
      <c r="F125" s="98">
        <v>1.0</v>
      </c>
      <c r="G125" s="62"/>
      <c r="H125" s="98">
        <v>1.0</v>
      </c>
      <c r="I125" s="98">
        <v>1.0</v>
      </c>
      <c r="J125" s="62"/>
      <c r="K125" s="98">
        <v>1.0</v>
      </c>
      <c r="L125" s="60">
        <v>1.0</v>
      </c>
      <c r="M125" s="62">
        <f t="shared" si="6"/>
        <v>6</v>
      </c>
    </row>
    <row r="126" ht="13.5" customHeight="1">
      <c r="A126" s="57" t="s">
        <v>51</v>
      </c>
      <c r="B126" s="99" t="s">
        <v>56</v>
      </c>
      <c r="C126" s="100">
        <v>1.0</v>
      </c>
      <c r="D126" s="62"/>
      <c r="E126" s="98">
        <v>1.0</v>
      </c>
      <c r="F126" s="62"/>
      <c r="G126" s="98">
        <v>1.0</v>
      </c>
      <c r="H126" s="98">
        <v>1.0</v>
      </c>
      <c r="I126" s="62"/>
      <c r="J126" s="98">
        <v>1.0</v>
      </c>
      <c r="K126" s="62"/>
      <c r="L126" s="60">
        <v>1.0</v>
      </c>
      <c r="M126" s="62">
        <f t="shared" si="6"/>
        <v>6</v>
      </c>
    </row>
    <row r="127" ht="13.5" customHeight="1">
      <c r="A127" s="57" t="s">
        <v>57</v>
      </c>
      <c r="B127" s="99" t="s">
        <v>63</v>
      </c>
      <c r="C127" s="100">
        <v>1.0</v>
      </c>
      <c r="D127" s="98">
        <v>1.0</v>
      </c>
      <c r="E127" s="62"/>
      <c r="F127" s="62"/>
      <c r="G127" s="98">
        <v>1.0</v>
      </c>
      <c r="H127" s="62"/>
      <c r="I127" s="98">
        <v>1.0</v>
      </c>
      <c r="J127" s="98">
        <v>1.0</v>
      </c>
      <c r="K127" s="98">
        <v>1.0</v>
      </c>
      <c r="L127" s="60">
        <v>1.0</v>
      </c>
      <c r="M127" s="62">
        <f t="shared" si="6"/>
        <v>7</v>
      </c>
    </row>
    <row r="128" ht="13.5" customHeight="1">
      <c r="A128" s="57" t="s">
        <v>64</v>
      </c>
      <c r="B128" s="101" t="s">
        <v>69</v>
      </c>
      <c r="C128" s="100">
        <v>1.0</v>
      </c>
      <c r="D128" s="62"/>
      <c r="E128" s="98">
        <v>1.0</v>
      </c>
      <c r="F128" s="98">
        <v>1.0</v>
      </c>
      <c r="G128" s="62"/>
      <c r="H128" s="98">
        <v>1.0</v>
      </c>
      <c r="I128" s="98">
        <v>1.0</v>
      </c>
      <c r="J128" s="98">
        <v>1.0</v>
      </c>
      <c r="K128" s="62"/>
      <c r="L128" s="60">
        <v>1.0</v>
      </c>
      <c r="M128" s="62">
        <f t="shared" si="6"/>
        <v>7</v>
      </c>
    </row>
    <row r="129" ht="13.5" customHeight="1">
      <c r="A129" s="57" t="s">
        <v>70</v>
      </c>
      <c r="B129" s="58" t="s">
        <v>74</v>
      </c>
      <c r="C129" s="97"/>
      <c r="D129" s="98">
        <v>1.0</v>
      </c>
      <c r="E129" s="60">
        <v>1.0</v>
      </c>
      <c r="F129" s="98">
        <v>1.0</v>
      </c>
      <c r="G129" s="98">
        <v>1.0</v>
      </c>
      <c r="H129" s="98">
        <v>1.0</v>
      </c>
      <c r="I129" s="62"/>
      <c r="J129" s="62"/>
      <c r="K129" s="98">
        <v>1.0</v>
      </c>
      <c r="L129" s="62"/>
      <c r="M129" s="62">
        <f t="shared" si="6"/>
        <v>6</v>
      </c>
    </row>
    <row r="130" ht="13.5" customHeight="1">
      <c r="A130" s="57" t="s">
        <v>75</v>
      </c>
      <c r="B130" s="80" t="s">
        <v>81</v>
      </c>
      <c r="C130" s="97"/>
      <c r="D130" s="98">
        <v>1.0</v>
      </c>
      <c r="E130" s="98">
        <v>1.0</v>
      </c>
      <c r="F130" s="98">
        <v>1.0</v>
      </c>
      <c r="G130" s="62"/>
      <c r="H130" s="98">
        <v>1.0</v>
      </c>
      <c r="I130" s="98">
        <v>1.0</v>
      </c>
      <c r="J130" s="98">
        <v>1.0</v>
      </c>
      <c r="K130" s="98">
        <v>1.0</v>
      </c>
      <c r="L130" s="98">
        <v>1.0</v>
      </c>
      <c r="M130" s="62">
        <f t="shared" si="6"/>
        <v>8</v>
      </c>
    </row>
    <row r="131" ht="13.5" customHeight="1">
      <c r="A131" s="57" t="s">
        <v>82</v>
      </c>
      <c r="B131" s="80" t="s">
        <v>88</v>
      </c>
      <c r="C131" s="100">
        <v>1.0</v>
      </c>
      <c r="D131" s="62"/>
      <c r="E131" s="98">
        <v>1.0</v>
      </c>
      <c r="F131" s="62"/>
      <c r="G131" s="98">
        <v>1.0</v>
      </c>
      <c r="H131" s="62"/>
      <c r="I131" s="98">
        <v>1.0</v>
      </c>
      <c r="J131" s="98">
        <v>1.0</v>
      </c>
      <c r="K131" s="62"/>
      <c r="L131" s="98">
        <v>1.0</v>
      </c>
      <c r="M131" s="62">
        <f t="shared" si="6"/>
        <v>6</v>
      </c>
    </row>
    <row r="132" ht="13.5" customHeight="1">
      <c r="A132" s="57" t="s">
        <v>89</v>
      </c>
      <c r="B132" s="80" t="s">
        <v>95</v>
      </c>
      <c r="C132" s="100">
        <v>1.0</v>
      </c>
      <c r="D132" s="98">
        <v>1.0</v>
      </c>
      <c r="E132" s="62"/>
      <c r="F132" s="98">
        <v>1.0</v>
      </c>
      <c r="G132" s="98">
        <v>1.0</v>
      </c>
      <c r="H132" s="98">
        <v>1.0</v>
      </c>
      <c r="I132" s="62"/>
      <c r="J132" s="62"/>
      <c r="K132" s="98">
        <v>1.0</v>
      </c>
      <c r="L132" s="62"/>
      <c r="M132" s="62">
        <f t="shared" si="6"/>
        <v>6</v>
      </c>
    </row>
    <row r="133" ht="13.5" customHeight="1">
      <c r="A133" s="68" t="s">
        <v>16</v>
      </c>
      <c r="B133" s="102" t="s">
        <v>102</v>
      </c>
      <c r="C133" s="100">
        <v>1.0</v>
      </c>
      <c r="D133" s="62"/>
      <c r="E133" s="98">
        <v>1.0</v>
      </c>
      <c r="F133" s="98">
        <v>1.0</v>
      </c>
      <c r="G133" s="98">
        <v>1.0</v>
      </c>
      <c r="H133" s="62"/>
      <c r="I133" s="98">
        <v>1.0</v>
      </c>
      <c r="J133" s="98">
        <v>1.0</v>
      </c>
      <c r="K133" s="98">
        <v>1.0</v>
      </c>
      <c r="L133" s="98">
        <v>1.0</v>
      </c>
      <c r="M133" s="62">
        <f t="shared" si="6"/>
        <v>8</v>
      </c>
    </row>
    <row r="134" ht="13.5" customHeight="1">
      <c r="A134" s="68" t="s">
        <v>23</v>
      </c>
      <c r="B134" s="103" t="s">
        <v>108</v>
      </c>
      <c r="C134" s="97"/>
      <c r="D134" s="98">
        <v>1.0</v>
      </c>
      <c r="E134" s="62"/>
      <c r="F134" s="98">
        <v>1.0</v>
      </c>
      <c r="G134" s="98">
        <v>1.0</v>
      </c>
      <c r="H134" s="98">
        <v>1.0</v>
      </c>
      <c r="I134" s="98">
        <v>1.0</v>
      </c>
      <c r="J134" s="62"/>
      <c r="K134" s="62"/>
      <c r="L134" s="98">
        <v>1.0</v>
      </c>
      <c r="M134" s="62">
        <f t="shared" si="6"/>
        <v>6</v>
      </c>
    </row>
    <row r="135" ht="13.5" customHeight="1">
      <c r="A135" s="68" t="s">
        <v>30</v>
      </c>
      <c r="B135" s="103" t="s">
        <v>114</v>
      </c>
      <c r="C135" s="100">
        <v>1.0</v>
      </c>
      <c r="D135" s="98">
        <v>1.0</v>
      </c>
      <c r="E135" s="98">
        <v>1.0</v>
      </c>
      <c r="F135" s="62"/>
      <c r="G135" s="62"/>
      <c r="H135" s="98">
        <v>1.0</v>
      </c>
      <c r="I135" s="62"/>
      <c r="J135" s="98">
        <v>1.0</v>
      </c>
      <c r="K135" s="98">
        <v>1.0</v>
      </c>
      <c r="L135" s="62"/>
      <c r="M135" s="62">
        <f t="shared" si="6"/>
        <v>6</v>
      </c>
    </row>
    <row r="136" ht="13.5" customHeight="1">
      <c r="A136" s="68" t="s">
        <v>37</v>
      </c>
      <c r="B136" s="104" t="s">
        <v>120</v>
      </c>
      <c r="C136" s="97"/>
      <c r="D136" s="98">
        <v>1.0</v>
      </c>
      <c r="E136" s="98">
        <v>1.0</v>
      </c>
      <c r="F136" s="62"/>
      <c r="G136" s="98">
        <v>1.0</v>
      </c>
      <c r="H136" s="98">
        <v>1.0</v>
      </c>
      <c r="I136" s="98">
        <v>1.0</v>
      </c>
      <c r="J136" s="98">
        <v>1.0</v>
      </c>
      <c r="K136" s="98">
        <v>1.0</v>
      </c>
      <c r="L136" s="98">
        <v>1.0</v>
      </c>
      <c r="M136" s="62">
        <f t="shared" si="6"/>
        <v>8</v>
      </c>
    </row>
    <row r="137" ht="13.5" customHeight="1">
      <c r="A137" s="68" t="s">
        <v>44</v>
      </c>
      <c r="B137" s="103" t="s">
        <v>126</v>
      </c>
      <c r="C137" s="100">
        <v>1.0</v>
      </c>
      <c r="D137" s="98">
        <v>1.0</v>
      </c>
      <c r="E137" s="98">
        <v>1.0</v>
      </c>
      <c r="F137" s="98">
        <v>1.0</v>
      </c>
      <c r="G137" s="62"/>
      <c r="H137" s="98">
        <v>1.0</v>
      </c>
      <c r="I137" s="62"/>
      <c r="J137" s="98">
        <v>1.0</v>
      </c>
      <c r="K137" s="62"/>
      <c r="L137" s="62"/>
      <c r="M137" s="62">
        <f t="shared" si="6"/>
        <v>6</v>
      </c>
    </row>
    <row r="138" ht="13.5" customHeight="1">
      <c r="A138" s="68" t="s">
        <v>51</v>
      </c>
      <c r="B138" s="103" t="s">
        <v>132</v>
      </c>
      <c r="C138" s="100">
        <v>1.0</v>
      </c>
      <c r="D138" s="62"/>
      <c r="E138" s="62"/>
      <c r="F138" s="98">
        <v>1.0</v>
      </c>
      <c r="G138" s="98">
        <v>1.0</v>
      </c>
      <c r="H138" s="62"/>
      <c r="I138" s="98">
        <v>1.0</v>
      </c>
      <c r="J138" s="61"/>
      <c r="K138" s="98">
        <v>1.0</v>
      </c>
      <c r="L138" s="60">
        <v>1.0</v>
      </c>
      <c r="M138" s="62">
        <f t="shared" si="6"/>
        <v>6</v>
      </c>
    </row>
    <row r="139" ht="13.5" customHeight="1">
      <c r="A139" s="71" t="s">
        <v>57</v>
      </c>
      <c r="B139" s="87" t="s">
        <v>138</v>
      </c>
      <c r="C139" s="97"/>
      <c r="D139" s="98">
        <v>1.0</v>
      </c>
      <c r="E139" s="98">
        <v>1.0</v>
      </c>
      <c r="F139" s="62"/>
      <c r="G139" s="98">
        <v>1.0</v>
      </c>
      <c r="H139" s="98">
        <v>1.0</v>
      </c>
      <c r="I139" s="98">
        <v>1.0</v>
      </c>
      <c r="J139" s="98">
        <v>1.0</v>
      </c>
      <c r="K139" s="98">
        <v>1.0</v>
      </c>
      <c r="L139" s="98">
        <v>1.0</v>
      </c>
      <c r="M139" s="62">
        <f t="shared" si="6"/>
        <v>8</v>
      </c>
    </row>
    <row r="140" ht="13.5" customHeight="1">
      <c r="A140" s="71" t="s">
        <v>64</v>
      </c>
      <c r="B140" s="87" t="s">
        <v>144</v>
      </c>
      <c r="C140" s="100">
        <v>1.0</v>
      </c>
      <c r="D140" s="62"/>
      <c r="E140" s="98">
        <v>1.0</v>
      </c>
      <c r="F140" s="98">
        <v>1.0</v>
      </c>
      <c r="G140" s="62"/>
      <c r="H140" s="62"/>
      <c r="I140" s="98">
        <v>1.0</v>
      </c>
      <c r="J140" s="62"/>
      <c r="K140" s="98">
        <v>1.0</v>
      </c>
      <c r="L140" s="98">
        <v>1.0</v>
      </c>
      <c r="M140" s="62">
        <f t="shared" si="6"/>
        <v>6</v>
      </c>
    </row>
    <row r="141" ht="13.5" customHeight="1">
      <c r="A141" s="71" t="s">
        <v>70</v>
      </c>
      <c r="B141" s="87" t="s">
        <v>149</v>
      </c>
      <c r="C141" s="100">
        <v>1.0</v>
      </c>
      <c r="D141" s="98">
        <v>1.0</v>
      </c>
      <c r="E141" s="62"/>
      <c r="F141" s="98">
        <v>1.0</v>
      </c>
      <c r="G141" s="98">
        <v>1.0</v>
      </c>
      <c r="H141" s="98">
        <v>1.0</v>
      </c>
      <c r="I141" s="62"/>
      <c r="J141" s="98">
        <v>1.0</v>
      </c>
      <c r="K141" s="62"/>
      <c r="L141" s="62"/>
      <c r="M141" s="62">
        <f t="shared" si="6"/>
        <v>6</v>
      </c>
    </row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</sheetData>
  <mergeCells count="2">
    <mergeCell ref="B1:M1"/>
    <mergeCell ref="B2:M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8.13"/>
    <col customWidth="1" min="3" max="3" width="10.13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63"/>
    <col customWidth="1" min="30" max="30" width="13.38"/>
    <col customWidth="1" min="31" max="31" width="7.63"/>
  </cols>
  <sheetData>
    <row r="1" ht="22.5" customHeight="1">
      <c r="B1" s="1" t="s">
        <v>0</v>
      </c>
    </row>
    <row r="2" ht="22.5" customHeight="1">
      <c r="B2" s="105" t="s">
        <v>1</v>
      </c>
    </row>
    <row r="3" ht="12.7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4"/>
      <c r="Z3" s="4"/>
      <c r="AA3" s="4"/>
      <c r="AB3" s="4"/>
      <c r="AC3" s="4"/>
      <c r="AD3" s="4"/>
    </row>
    <row r="4" ht="12.75" customHeigh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4"/>
      <c r="Z4" s="4"/>
      <c r="AA4" s="4"/>
      <c r="AB4" s="4"/>
      <c r="AC4" s="4"/>
      <c r="AD4" s="4"/>
    </row>
    <row r="5" ht="13.5" customHeight="1">
      <c r="A5" s="4"/>
      <c r="B5" s="107"/>
      <c r="C5" s="10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4.25" customHeight="1">
      <c r="B6" s="107"/>
      <c r="C6" s="10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12.75" customHeight="1">
      <c r="B7" s="110"/>
      <c r="C7" s="111" t="s">
        <v>171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3"/>
    </row>
    <row r="8" ht="12.75" customHeight="1">
      <c r="B8" s="114"/>
      <c r="C8" s="115"/>
      <c r="AD8" s="116"/>
      <c r="AE8" s="117"/>
    </row>
    <row r="9" ht="23.25" customHeight="1">
      <c r="A9" s="118"/>
      <c r="B9" s="119"/>
      <c r="C9" s="120"/>
      <c r="D9" s="121" t="s">
        <v>151</v>
      </c>
      <c r="E9" s="122"/>
      <c r="F9" s="121" t="s">
        <v>172</v>
      </c>
      <c r="G9" s="122"/>
      <c r="H9" s="123"/>
      <c r="I9" s="121" t="s">
        <v>152</v>
      </c>
      <c r="J9" s="122"/>
      <c r="K9" s="121" t="s">
        <v>173</v>
      </c>
      <c r="L9" s="122"/>
      <c r="M9" s="123"/>
      <c r="N9" s="121" t="s">
        <v>153</v>
      </c>
      <c r="O9" s="122"/>
      <c r="P9" s="121" t="s">
        <v>174</v>
      </c>
      <c r="Q9" s="122"/>
      <c r="R9" s="123"/>
      <c r="S9" s="121" t="s">
        <v>154</v>
      </c>
      <c r="T9" s="122"/>
      <c r="U9" s="121" t="s">
        <v>175</v>
      </c>
      <c r="V9" s="122"/>
      <c r="W9" s="123"/>
      <c r="X9" s="121" t="s">
        <v>155</v>
      </c>
      <c r="Y9" s="122"/>
      <c r="Z9" s="121" t="s">
        <v>176</v>
      </c>
      <c r="AA9" s="122"/>
      <c r="AB9" s="123"/>
      <c r="AC9" s="121" t="s">
        <v>177</v>
      </c>
      <c r="AD9" s="124"/>
      <c r="AE9" s="118"/>
    </row>
    <row r="10" ht="15.0" customHeight="1">
      <c r="A10" s="125"/>
      <c r="B10" s="126"/>
      <c r="C10" s="127"/>
      <c r="D10" s="128" t="s">
        <v>178</v>
      </c>
      <c r="E10" s="129" t="s">
        <v>179</v>
      </c>
      <c r="F10" s="128" t="s">
        <v>178</v>
      </c>
      <c r="G10" s="129" t="s">
        <v>179</v>
      </c>
      <c r="H10" s="130"/>
      <c r="I10" s="128" t="s">
        <v>178</v>
      </c>
      <c r="J10" s="129" t="s">
        <v>179</v>
      </c>
      <c r="K10" s="128" t="s">
        <v>178</v>
      </c>
      <c r="L10" s="129" t="s">
        <v>179</v>
      </c>
      <c r="M10" s="130"/>
      <c r="N10" s="128" t="s">
        <v>178</v>
      </c>
      <c r="O10" s="129" t="s">
        <v>179</v>
      </c>
      <c r="P10" s="128" t="s">
        <v>178</v>
      </c>
      <c r="Q10" s="129" t="s">
        <v>179</v>
      </c>
      <c r="R10" s="130"/>
      <c r="S10" s="128" t="s">
        <v>178</v>
      </c>
      <c r="T10" s="129" t="s">
        <v>179</v>
      </c>
      <c r="U10" s="128" t="s">
        <v>178</v>
      </c>
      <c r="V10" s="129" t="s">
        <v>179</v>
      </c>
      <c r="W10" s="130"/>
      <c r="X10" s="128" t="s">
        <v>178</v>
      </c>
      <c r="Y10" s="129" t="s">
        <v>179</v>
      </c>
      <c r="Z10" s="128" t="s">
        <v>178</v>
      </c>
      <c r="AA10" s="129" t="s">
        <v>179</v>
      </c>
      <c r="AB10" s="130"/>
      <c r="AC10" s="128" t="s">
        <v>178</v>
      </c>
      <c r="AD10" s="131" t="s">
        <v>179</v>
      </c>
      <c r="AE10" s="125"/>
    </row>
    <row r="11" ht="7.5" customHeight="1">
      <c r="A11" s="125"/>
      <c r="B11" s="132"/>
      <c r="C11" s="133"/>
      <c r="D11" s="134"/>
      <c r="E11" s="135"/>
      <c r="F11" s="134"/>
      <c r="G11" s="135"/>
      <c r="H11" s="135"/>
      <c r="I11" s="134"/>
      <c r="J11" s="135"/>
      <c r="K11" s="134"/>
      <c r="L11" s="135"/>
      <c r="M11" s="135"/>
      <c r="N11" s="134"/>
      <c r="O11" s="135"/>
      <c r="P11" s="134"/>
      <c r="Q11" s="135"/>
      <c r="R11" s="135"/>
      <c r="S11" s="134"/>
      <c r="T11" s="135"/>
      <c r="U11" s="134"/>
      <c r="V11" s="135"/>
      <c r="W11" s="135"/>
      <c r="X11" s="134"/>
      <c r="Y11" s="135"/>
      <c r="Z11" s="134"/>
      <c r="AA11" s="135"/>
      <c r="AB11" s="135"/>
      <c r="AC11" s="134"/>
      <c r="AD11" s="136"/>
      <c r="AE11" s="125"/>
    </row>
    <row r="12" ht="15.0" customHeight="1">
      <c r="A12" s="125"/>
      <c r="B12" s="137" t="s">
        <v>180</v>
      </c>
      <c r="C12" s="138" t="s">
        <v>181</v>
      </c>
      <c r="D12" s="139">
        <f>'Day 1'!J25</f>
        <v>40</v>
      </c>
      <c r="E12" s="140">
        <f>'Day 1'!L25</f>
        <v>4</v>
      </c>
      <c r="F12" s="141">
        <f>D12+D13</f>
        <v>66</v>
      </c>
      <c r="G12" s="142">
        <f>SUM(E12+E13)</f>
        <v>5</v>
      </c>
      <c r="H12" s="143"/>
      <c r="I12" s="139">
        <f>'Day 2 '!J60</f>
        <v>47</v>
      </c>
      <c r="J12" s="140">
        <f>'Day 2 '!L60</f>
        <v>7</v>
      </c>
      <c r="K12" s="141">
        <f t="shared" ref="K12:L12" si="1">I12+I13</f>
        <v>67</v>
      </c>
      <c r="L12" s="142">
        <f t="shared" si="1"/>
        <v>8</v>
      </c>
      <c r="M12" s="143"/>
      <c r="N12" s="139">
        <f>'Day 3'!J95</f>
        <v>25</v>
      </c>
      <c r="O12" s="140">
        <f>'Day 3'!L95</f>
        <v>3</v>
      </c>
      <c r="P12" s="141">
        <f t="shared" ref="P12:Q12" si="2">N12+N13</f>
        <v>60</v>
      </c>
      <c r="Q12" s="142">
        <f t="shared" si="2"/>
        <v>5</v>
      </c>
      <c r="R12" s="143"/>
      <c r="S12" s="139">
        <f>'Day 4'!J95</f>
        <v>30</v>
      </c>
      <c r="T12" s="140">
        <f>'Day 4'!L95</f>
        <v>2</v>
      </c>
      <c r="U12" s="141">
        <f t="shared" ref="U12:V12" si="3">S12+S13</f>
        <v>49</v>
      </c>
      <c r="V12" s="142">
        <f t="shared" si="3"/>
        <v>3</v>
      </c>
      <c r="W12" s="143"/>
      <c r="X12" s="139">
        <f>'Day 5'!J25</f>
        <v>37</v>
      </c>
      <c r="Y12" s="140">
        <f>'Day 5'!L25</f>
        <v>6</v>
      </c>
      <c r="Z12" s="141">
        <f t="shared" ref="Z12:AA12" si="4">X12+X13</f>
        <v>76</v>
      </c>
      <c r="AA12" s="142">
        <f t="shared" si="4"/>
        <v>9</v>
      </c>
      <c r="AB12" s="143"/>
      <c r="AC12" s="144">
        <f>D12+D13+I12+I13+N12+N13+S12+S13+X12+X13</f>
        <v>318</v>
      </c>
      <c r="AD12" s="145">
        <f>SUM(G12+G13+L12+L13+Q12+Q13+V12+V13+AA12+AA13)</f>
        <v>30</v>
      </c>
      <c r="AE12" s="125"/>
    </row>
    <row r="13" ht="15.0" customHeight="1">
      <c r="A13" s="125"/>
      <c r="B13" s="146"/>
      <c r="C13" s="147" t="s">
        <v>182</v>
      </c>
      <c r="D13" s="139">
        <f>'Day 1'!J40</f>
        <v>26</v>
      </c>
      <c r="E13" s="140">
        <f>'Day 1'!L40</f>
        <v>1</v>
      </c>
      <c r="F13" s="148"/>
      <c r="G13" s="148"/>
      <c r="H13" s="143"/>
      <c r="I13" s="139">
        <f>'Day 2 '!J75</f>
        <v>20</v>
      </c>
      <c r="J13" s="140">
        <f>'Day 2 '!L75</f>
        <v>1</v>
      </c>
      <c r="K13" s="148"/>
      <c r="L13" s="148"/>
      <c r="M13" s="143"/>
      <c r="N13" s="139">
        <f>'Day 3'!J110</f>
        <v>35</v>
      </c>
      <c r="O13" s="140">
        <f>'Day 3'!L110</f>
        <v>2</v>
      </c>
      <c r="P13" s="148"/>
      <c r="Q13" s="148"/>
      <c r="R13" s="143"/>
      <c r="S13" s="139">
        <f>'Day 4'!J110</f>
        <v>19</v>
      </c>
      <c r="T13" s="140">
        <f>'Day 4'!L110</f>
        <v>1</v>
      </c>
      <c r="U13" s="148"/>
      <c r="V13" s="148"/>
      <c r="W13" s="143"/>
      <c r="X13" s="139">
        <f>'Day 5'!J40</f>
        <v>39</v>
      </c>
      <c r="Y13" s="140">
        <f>'Day 5'!L40</f>
        <v>3</v>
      </c>
      <c r="Z13" s="148"/>
      <c r="AA13" s="148"/>
      <c r="AB13" s="143"/>
      <c r="AC13" s="149"/>
      <c r="AD13" s="150"/>
      <c r="AE13" s="125"/>
    </row>
    <row r="14" ht="3.75" customHeight="1">
      <c r="A14" s="125"/>
      <c r="B14" s="151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3"/>
      <c r="AE14" s="125"/>
    </row>
    <row r="15" ht="15.0" customHeight="1">
      <c r="A15" s="125"/>
      <c r="B15" s="137" t="s">
        <v>183</v>
      </c>
      <c r="C15" s="147" t="s">
        <v>181</v>
      </c>
      <c r="D15" s="139">
        <f>'Day 1'!J95</f>
        <v>36</v>
      </c>
      <c r="E15" s="140">
        <f>'Day 1'!L95</f>
        <v>5</v>
      </c>
      <c r="F15" s="141">
        <f>SUM(D15+D16)</f>
        <v>68</v>
      </c>
      <c r="G15" s="142">
        <f>SUM(E15:E16)</f>
        <v>7</v>
      </c>
      <c r="H15" s="143"/>
      <c r="I15" s="139">
        <f>'Day 2 '!J25</f>
        <v>42</v>
      </c>
      <c r="J15" s="140">
        <f>'Day 2 '!L25</f>
        <v>4</v>
      </c>
      <c r="K15" s="141">
        <f t="shared" ref="K15:L15" si="5">SUM(I15+I16)</f>
        <v>68</v>
      </c>
      <c r="L15" s="142">
        <f t="shared" si="5"/>
        <v>6</v>
      </c>
      <c r="M15" s="143"/>
      <c r="N15" s="139">
        <f>'Day 3'!K60</f>
        <v>41</v>
      </c>
      <c r="O15" s="140">
        <f>'Day 3'!M60</f>
        <v>3</v>
      </c>
      <c r="P15" s="141">
        <f t="shared" ref="P15:Q15" si="6">SUM(N15+N16)</f>
        <v>73</v>
      </c>
      <c r="Q15" s="142">
        <f t="shared" si="6"/>
        <v>7</v>
      </c>
      <c r="R15" s="143"/>
      <c r="S15" s="139">
        <f>'Day 4'!K95</f>
        <v>41</v>
      </c>
      <c r="T15" s="140">
        <f>'Day 4'!M95</f>
        <v>6</v>
      </c>
      <c r="U15" s="141">
        <f>SUM(S15+S16)</f>
        <v>75</v>
      </c>
      <c r="V15" s="142">
        <f>T15+T16</f>
        <v>11</v>
      </c>
      <c r="W15" s="143"/>
      <c r="X15" s="139">
        <f>'Day 5'!J60</f>
        <v>41</v>
      </c>
      <c r="Y15" s="140">
        <f>'Day 5'!L60</f>
        <v>5</v>
      </c>
      <c r="Z15" s="141">
        <f t="shared" ref="Z15:AA15" si="7">SUM(X15+X16)</f>
        <v>70</v>
      </c>
      <c r="AA15" s="142">
        <f t="shared" si="7"/>
        <v>8</v>
      </c>
      <c r="AB15" s="143"/>
      <c r="AC15" s="144">
        <f>D15+D16+I15+I16+N15+N16+S15+S16+X15+X16</f>
        <v>354</v>
      </c>
      <c r="AD15" s="145">
        <f>SUM(G15+G16+L15+L16+Q15+Q16+V15+V16+AA15+AA16)</f>
        <v>39</v>
      </c>
      <c r="AE15" s="125"/>
    </row>
    <row r="16" ht="15.75" customHeight="1">
      <c r="A16" s="125"/>
      <c r="B16" s="146"/>
      <c r="C16" s="147" t="s">
        <v>182</v>
      </c>
      <c r="D16" s="139">
        <f>'Day 1'!J110</f>
        <v>32</v>
      </c>
      <c r="E16" s="140">
        <f>'Day 1'!L110</f>
        <v>2</v>
      </c>
      <c r="F16" s="148"/>
      <c r="G16" s="148"/>
      <c r="H16" s="143"/>
      <c r="I16" s="139">
        <f>'Day 2 '!J40</f>
        <v>26</v>
      </c>
      <c r="J16" s="140">
        <f>'Day 2 '!L40</f>
        <v>2</v>
      </c>
      <c r="K16" s="148"/>
      <c r="L16" s="148"/>
      <c r="M16" s="143"/>
      <c r="N16" s="139">
        <f>'Day 3'!K75</f>
        <v>32</v>
      </c>
      <c r="O16" s="140">
        <f>'Day 3'!M75</f>
        <v>4</v>
      </c>
      <c r="P16" s="148"/>
      <c r="Q16" s="148"/>
      <c r="R16" s="143"/>
      <c r="S16" s="154">
        <f>'Day 4'!K110</f>
        <v>34</v>
      </c>
      <c r="T16" s="155">
        <f>'Day 4'!M110</f>
        <v>5</v>
      </c>
      <c r="U16" s="148"/>
      <c r="V16" s="148"/>
      <c r="W16" s="143"/>
      <c r="X16" s="139">
        <f>'Day 5'!J75</f>
        <v>29</v>
      </c>
      <c r="Y16" s="140">
        <f>'Day 5'!L75</f>
        <v>3</v>
      </c>
      <c r="Z16" s="148"/>
      <c r="AA16" s="148"/>
      <c r="AB16" s="143"/>
      <c r="AC16" s="149"/>
      <c r="AD16" s="150"/>
      <c r="AE16" s="125"/>
    </row>
    <row r="17" ht="3.75" customHeight="1">
      <c r="A17" s="125"/>
      <c r="B17" s="151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3"/>
      <c r="AE17" s="125"/>
    </row>
    <row r="18" ht="15.0" customHeight="1">
      <c r="A18" s="125"/>
      <c r="B18" s="137" t="s">
        <v>184</v>
      </c>
      <c r="C18" s="147" t="s">
        <v>181</v>
      </c>
      <c r="D18" s="139">
        <f>'Day 1'!K25</f>
        <v>33</v>
      </c>
      <c r="E18" s="140">
        <f>'Day 1'!M25</f>
        <v>4</v>
      </c>
      <c r="F18" s="141">
        <f t="shared" ref="F18:G18" si="8">D18+D19</f>
        <v>69</v>
      </c>
      <c r="G18" s="142">
        <f t="shared" si="8"/>
        <v>9</v>
      </c>
      <c r="H18" s="143"/>
      <c r="I18" s="139">
        <f>'Day 2 '!J95</f>
        <v>46</v>
      </c>
      <c r="J18" s="140">
        <f>'Day 2 '!L95</f>
        <v>6</v>
      </c>
      <c r="K18" s="141">
        <f t="shared" ref="K18:L18" si="9">I18+I19</f>
        <v>69</v>
      </c>
      <c r="L18" s="142">
        <f t="shared" si="9"/>
        <v>8</v>
      </c>
      <c r="M18" s="143"/>
      <c r="N18" s="139">
        <f>'Day 3'!J25</f>
        <v>34</v>
      </c>
      <c r="O18" s="140">
        <f>'Day 3'!L25</f>
        <v>2</v>
      </c>
      <c r="P18" s="141">
        <f t="shared" ref="P18:Q18" si="10">N18+N19</f>
        <v>53</v>
      </c>
      <c r="Q18" s="142">
        <f t="shared" si="10"/>
        <v>3</v>
      </c>
      <c r="R18" s="143"/>
      <c r="S18" s="139">
        <f>'Day 4'!J60</f>
        <v>31</v>
      </c>
      <c r="T18" s="140">
        <f>'Day 4'!L60</f>
        <v>4</v>
      </c>
      <c r="U18" s="141">
        <f t="shared" ref="U18:V18" si="11">S18+S19</f>
        <v>53</v>
      </c>
      <c r="V18" s="142">
        <f t="shared" si="11"/>
        <v>6</v>
      </c>
      <c r="W18" s="143"/>
      <c r="X18" s="139">
        <f>'Day 5'!K60</f>
        <v>31</v>
      </c>
      <c r="Y18" s="140">
        <f>'Day 5'!M60</f>
        <v>3</v>
      </c>
      <c r="Z18" s="141">
        <f>X18+X19</f>
        <v>59</v>
      </c>
      <c r="AA18" s="142">
        <f>SUM(Y18+Y19)</f>
        <v>6</v>
      </c>
      <c r="AB18" s="143"/>
      <c r="AC18" s="144">
        <f>D18+D19+I18+I19+N18+N19+S18+S19+X18+X19</f>
        <v>303</v>
      </c>
      <c r="AD18" s="145">
        <f>SUM(E18+E19+J18+J19+O18+O19+T18+T19+Y18+Y19)</f>
        <v>32</v>
      </c>
      <c r="AE18" s="125"/>
    </row>
    <row r="19" ht="15.75" customHeight="1">
      <c r="A19" s="125"/>
      <c r="B19" s="146"/>
      <c r="C19" s="147" t="s">
        <v>182</v>
      </c>
      <c r="D19" s="154">
        <f>'Day 1'!K40</f>
        <v>36</v>
      </c>
      <c r="E19" s="155">
        <f>'Day 1'!M40</f>
        <v>5</v>
      </c>
      <c r="F19" s="148"/>
      <c r="G19" s="148"/>
      <c r="H19" s="143"/>
      <c r="I19" s="139">
        <f>'Day 2 '!J110</f>
        <v>23</v>
      </c>
      <c r="J19" s="140">
        <f>'Day 2 '!L110</f>
        <v>2</v>
      </c>
      <c r="K19" s="148"/>
      <c r="L19" s="148"/>
      <c r="M19" s="143"/>
      <c r="N19" s="139">
        <f>'Day 3'!J40</f>
        <v>19</v>
      </c>
      <c r="O19" s="140">
        <f>'Day 3'!L40</f>
        <v>1</v>
      </c>
      <c r="P19" s="148"/>
      <c r="Q19" s="148"/>
      <c r="R19" s="143"/>
      <c r="S19" s="139">
        <f>'Day 4'!J75</f>
        <v>22</v>
      </c>
      <c r="T19" s="140">
        <f>'Day 4'!L75</f>
        <v>2</v>
      </c>
      <c r="U19" s="148"/>
      <c r="V19" s="148"/>
      <c r="W19" s="143"/>
      <c r="X19" s="139">
        <f>'Day 5'!K75</f>
        <v>28</v>
      </c>
      <c r="Y19" s="140">
        <f>'Day 5'!M75</f>
        <v>3</v>
      </c>
      <c r="Z19" s="148"/>
      <c r="AA19" s="148"/>
      <c r="AB19" s="143"/>
      <c r="AC19" s="149"/>
      <c r="AD19" s="150"/>
      <c r="AE19" s="125"/>
    </row>
    <row r="20" ht="3.75" customHeight="1">
      <c r="A20" s="125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3"/>
      <c r="AE20" s="125"/>
    </row>
    <row r="21" ht="15.0" customHeight="1">
      <c r="A21" s="125"/>
      <c r="B21" s="137" t="s">
        <v>185</v>
      </c>
      <c r="C21" s="147" t="s">
        <v>181</v>
      </c>
      <c r="D21" s="139">
        <f>'Day 1'!J60</f>
        <v>26</v>
      </c>
      <c r="E21" s="140">
        <f>'Day 1'!L60</f>
        <v>1</v>
      </c>
      <c r="F21" s="141">
        <f>D21+D22</f>
        <v>52</v>
      </c>
      <c r="G21" s="142">
        <f>SUM(E21+E22)</f>
        <v>4</v>
      </c>
      <c r="H21" s="143"/>
      <c r="I21" s="139">
        <f>'Day 2 '!K95</f>
        <v>28</v>
      </c>
      <c r="J21" s="140">
        <f>'Day 2 '!M95</f>
        <v>2</v>
      </c>
      <c r="K21" s="141">
        <f t="shared" ref="K21:L21" si="12">I21+I22</f>
        <v>56</v>
      </c>
      <c r="L21" s="142">
        <f t="shared" si="12"/>
        <v>6</v>
      </c>
      <c r="M21" s="143"/>
      <c r="N21" s="139">
        <f>'Day 3'!J60</f>
        <v>43</v>
      </c>
      <c r="O21" s="140">
        <f>'Day 3'!L60</f>
        <v>5</v>
      </c>
      <c r="P21" s="141">
        <f t="shared" ref="P21:Q21" si="13">N21+N22</f>
        <v>68</v>
      </c>
      <c r="Q21" s="142">
        <f t="shared" si="13"/>
        <v>7</v>
      </c>
      <c r="R21" s="143"/>
      <c r="S21" s="139">
        <f>'Day 4'!J25</f>
        <v>35</v>
      </c>
      <c r="T21" s="140">
        <f>'Day 4'!L25</f>
        <v>4</v>
      </c>
      <c r="U21" s="141">
        <f t="shared" ref="U21:V21" si="14">S21+S22</f>
        <v>72</v>
      </c>
      <c r="V21" s="142">
        <f t="shared" si="14"/>
        <v>9</v>
      </c>
      <c r="W21" s="143"/>
      <c r="X21" s="139">
        <f>'Day 5'!K25</f>
        <v>13</v>
      </c>
      <c r="Y21" s="140">
        <f>'Day 5'!M25</f>
        <v>0</v>
      </c>
      <c r="Z21" s="141">
        <f>X21+X22</f>
        <v>55</v>
      </c>
      <c r="AA21" s="142">
        <f>SUM(Y21+Y22)</f>
        <v>5</v>
      </c>
      <c r="AB21" s="143"/>
      <c r="AC21" s="144">
        <f>D21+D22+I21+I22+N21+N22+S21+S22+X21+X22</f>
        <v>303</v>
      </c>
      <c r="AD21" s="145">
        <f>SUM(E21+E22+J21+J22+O21+O22+T21+T22+Y21+Y22)</f>
        <v>31</v>
      </c>
      <c r="AE21" s="125"/>
    </row>
    <row r="22" ht="15.0" customHeight="1">
      <c r="A22" s="125"/>
      <c r="B22" s="146"/>
      <c r="C22" s="147" t="s">
        <v>182</v>
      </c>
      <c r="D22" s="139">
        <f>'Day 1'!J75</f>
        <v>26</v>
      </c>
      <c r="E22" s="140">
        <f>'Day 1'!L75</f>
        <v>3</v>
      </c>
      <c r="F22" s="148"/>
      <c r="G22" s="148"/>
      <c r="H22" s="143"/>
      <c r="I22" s="139">
        <f>'Day 2 '!K110</f>
        <v>28</v>
      </c>
      <c r="J22" s="140">
        <f>'Day 2 '!M110</f>
        <v>4</v>
      </c>
      <c r="K22" s="148"/>
      <c r="L22" s="148"/>
      <c r="M22" s="143"/>
      <c r="N22" s="139">
        <f>'Day 3'!J75</f>
        <v>25</v>
      </c>
      <c r="O22" s="140">
        <f>'Day 3'!L75</f>
        <v>2</v>
      </c>
      <c r="P22" s="148"/>
      <c r="Q22" s="148"/>
      <c r="R22" s="143"/>
      <c r="S22" s="139">
        <f>'Day 4'!J40</f>
        <v>37</v>
      </c>
      <c r="T22" s="140">
        <f>'Day 4'!L40</f>
        <v>5</v>
      </c>
      <c r="U22" s="148"/>
      <c r="V22" s="148"/>
      <c r="W22" s="143"/>
      <c r="X22" s="139">
        <f>'Day 5'!K40</f>
        <v>42</v>
      </c>
      <c r="Y22" s="140">
        <f>'Day 5'!M40</f>
        <v>5</v>
      </c>
      <c r="Z22" s="148"/>
      <c r="AA22" s="148"/>
      <c r="AB22" s="143"/>
      <c r="AC22" s="149"/>
      <c r="AD22" s="150"/>
      <c r="AE22" s="125"/>
    </row>
    <row r="23" ht="3.75" customHeight="1">
      <c r="A23" s="125"/>
      <c r="B23" s="151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3"/>
      <c r="AE23" s="125"/>
    </row>
    <row r="24" ht="15.0" customHeight="1">
      <c r="A24" s="125"/>
      <c r="B24" s="137" t="s">
        <v>186</v>
      </c>
      <c r="C24" s="147" t="s">
        <v>181</v>
      </c>
      <c r="D24" s="139">
        <f>'Day 1'!K60</f>
        <v>45</v>
      </c>
      <c r="E24" s="140">
        <f>'Day 1'!M60</f>
        <v>7</v>
      </c>
      <c r="F24" s="141">
        <f t="shared" ref="F24:G24" si="15">D24+D25</f>
        <v>72</v>
      </c>
      <c r="G24" s="142">
        <f t="shared" si="15"/>
        <v>10</v>
      </c>
      <c r="H24" s="143"/>
      <c r="I24" s="139">
        <f>'Day 2 '!K25</f>
        <v>36</v>
      </c>
      <c r="J24" s="140">
        <f>'Day 2 '!M25</f>
        <v>4</v>
      </c>
      <c r="K24" s="141">
        <f t="shared" ref="K24:L24" si="16">I24+I25</f>
        <v>66</v>
      </c>
      <c r="L24" s="142">
        <f t="shared" si="16"/>
        <v>8</v>
      </c>
      <c r="M24" s="143"/>
      <c r="N24" s="139">
        <f>'Day 3'!K95</f>
        <v>27</v>
      </c>
      <c r="O24" s="140">
        <f>'Day 3'!M95</f>
        <v>3</v>
      </c>
      <c r="P24" s="141">
        <f t="shared" ref="P24:Q24" si="17">N24+N25</f>
        <v>67</v>
      </c>
      <c r="Q24" s="142">
        <f t="shared" si="17"/>
        <v>9</v>
      </c>
      <c r="R24" s="143"/>
      <c r="S24" s="139">
        <f>'Day 4'!K60</f>
        <v>35</v>
      </c>
      <c r="T24" s="140">
        <f>'Day 4'!M60</f>
        <v>4</v>
      </c>
      <c r="U24" s="141">
        <f t="shared" ref="U24:V24" si="18">S24+S25</f>
        <v>68</v>
      </c>
      <c r="V24" s="142">
        <f t="shared" si="18"/>
        <v>8</v>
      </c>
      <c r="W24" s="143"/>
      <c r="X24" s="139">
        <f>'Day 5'!J95</f>
        <v>40</v>
      </c>
      <c r="Y24" s="140">
        <f>'Day 5'!L95</f>
        <v>4</v>
      </c>
      <c r="Z24" s="141">
        <f t="shared" ref="Z24:AA24" si="19">X24+X25</f>
        <v>75</v>
      </c>
      <c r="AA24" s="142">
        <f t="shared" si="19"/>
        <v>9</v>
      </c>
      <c r="AB24" s="143"/>
      <c r="AC24" s="144">
        <f t="shared" ref="AC24:AD24" si="20">D24+D25+I24+I25+N24+N25+S24+S25+X24+X25</f>
        <v>348</v>
      </c>
      <c r="AD24" s="145">
        <f t="shared" si="20"/>
        <v>44</v>
      </c>
      <c r="AE24" s="125"/>
    </row>
    <row r="25" ht="15.75" customHeight="1">
      <c r="A25" s="125"/>
      <c r="B25" s="146"/>
      <c r="C25" s="147" t="s">
        <v>182</v>
      </c>
      <c r="D25" s="139">
        <f>'Day 1'!K75</f>
        <v>27</v>
      </c>
      <c r="E25" s="140">
        <f>'Day 1'!M75</f>
        <v>3</v>
      </c>
      <c r="F25" s="148"/>
      <c r="G25" s="148"/>
      <c r="H25" s="143"/>
      <c r="I25" s="154">
        <f>'Day 2 '!K40</f>
        <v>30</v>
      </c>
      <c r="J25" s="155">
        <f>'Day 2 '!M40</f>
        <v>4</v>
      </c>
      <c r="K25" s="148"/>
      <c r="L25" s="148"/>
      <c r="M25" s="143"/>
      <c r="N25" s="139">
        <f>'Day 3'!K110</f>
        <v>40</v>
      </c>
      <c r="O25" s="140">
        <f>'Day 3'!M110</f>
        <v>6</v>
      </c>
      <c r="P25" s="148"/>
      <c r="Q25" s="148"/>
      <c r="R25" s="143"/>
      <c r="S25" s="139">
        <f>'Day 4'!K75</f>
        <v>33</v>
      </c>
      <c r="T25" s="140">
        <f>'Day 4'!M75</f>
        <v>4</v>
      </c>
      <c r="U25" s="148"/>
      <c r="V25" s="148"/>
      <c r="W25" s="143"/>
      <c r="X25" s="139">
        <f>'Day 5'!J110</f>
        <v>35</v>
      </c>
      <c r="Y25" s="140">
        <f>'Day 5'!L110</f>
        <v>5</v>
      </c>
      <c r="Z25" s="148"/>
      <c r="AA25" s="148"/>
      <c r="AB25" s="143"/>
      <c r="AC25" s="149"/>
      <c r="AD25" s="150"/>
      <c r="AE25" s="125"/>
    </row>
    <row r="26" ht="3.75" customHeight="1">
      <c r="A26" s="125"/>
      <c r="B26" s="151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3"/>
      <c r="AE26" s="125"/>
    </row>
    <row r="27" ht="15.0" customHeight="1">
      <c r="A27" s="125"/>
      <c r="B27" s="137" t="s">
        <v>187</v>
      </c>
      <c r="C27" s="147" t="s">
        <v>181</v>
      </c>
      <c r="D27" s="139">
        <f>'Day 1'!K95</f>
        <v>25</v>
      </c>
      <c r="E27" s="140">
        <f>'Day 1'!M95</f>
        <v>3</v>
      </c>
      <c r="F27" s="141">
        <f t="shared" ref="F27:G27" si="21">D27+D28</f>
        <v>59</v>
      </c>
      <c r="G27" s="142">
        <f t="shared" si="21"/>
        <v>7</v>
      </c>
      <c r="H27" s="143"/>
      <c r="I27" s="139">
        <f>'Day 2 '!K60</f>
        <v>33</v>
      </c>
      <c r="J27" s="140">
        <f>'Day 2 '!M60</f>
        <v>1</v>
      </c>
      <c r="K27" s="141">
        <f t="shared" ref="K27:L27" si="22">I27+I28</f>
        <v>65</v>
      </c>
      <c r="L27" s="142">
        <f t="shared" si="22"/>
        <v>6</v>
      </c>
      <c r="M27" s="143"/>
      <c r="N27" s="139">
        <f>'Day 3'!K25</f>
        <v>40</v>
      </c>
      <c r="O27" s="140">
        <f>'Day 3'!M25</f>
        <v>6</v>
      </c>
      <c r="P27" s="141">
        <f t="shared" ref="P27:Q27" si="23">N27+N28</f>
        <v>74</v>
      </c>
      <c r="Q27" s="142">
        <f t="shared" si="23"/>
        <v>11</v>
      </c>
      <c r="R27" s="143"/>
      <c r="S27" s="139">
        <f>'Day 4'!K25</f>
        <v>26</v>
      </c>
      <c r="T27" s="140">
        <f>'Day 4'!M25</f>
        <v>2</v>
      </c>
      <c r="U27" s="141">
        <f>S27+S28</f>
        <v>57</v>
      </c>
      <c r="V27" s="142">
        <f>SUM(T27+T28)</f>
        <v>5</v>
      </c>
      <c r="W27" s="143"/>
      <c r="X27" s="139">
        <f>'Day 5'!K95</f>
        <v>40</v>
      </c>
      <c r="Y27" s="140">
        <f>'Day 5'!M95</f>
        <v>4</v>
      </c>
      <c r="Z27" s="141">
        <f t="shared" ref="Z27:AA27" si="24">X27+X28</f>
        <v>67</v>
      </c>
      <c r="AA27" s="142">
        <f t="shared" si="24"/>
        <v>5</v>
      </c>
      <c r="AB27" s="143"/>
      <c r="AC27" s="144">
        <f t="shared" ref="AC27:AD27" si="25">D27+D28+I27+I28+N27+N28+S27+S28+X27+X28</f>
        <v>322</v>
      </c>
      <c r="AD27" s="145">
        <f t="shared" si="25"/>
        <v>34</v>
      </c>
      <c r="AE27" s="125"/>
    </row>
    <row r="28" ht="15.75" customHeight="1">
      <c r="A28" s="125"/>
      <c r="B28" s="156"/>
      <c r="C28" s="157" t="s">
        <v>182</v>
      </c>
      <c r="D28" s="139">
        <f>'Day 1'!K110</f>
        <v>34</v>
      </c>
      <c r="E28" s="140">
        <f>'Day 1'!M110</f>
        <v>4</v>
      </c>
      <c r="F28" s="158"/>
      <c r="G28" s="158"/>
      <c r="H28" s="159"/>
      <c r="I28" s="139">
        <f>'Day 2 '!K75</f>
        <v>32</v>
      </c>
      <c r="J28" s="140">
        <f>'Day 2 '!M75</f>
        <v>5</v>
      </c>
      <c r="K28" s="158"/>
      <c r="L28" s="158"/>
      <c r="M28" s="159"/>
      <c r="N28" s="154">
        <f>'Day 3'!K40</f>
        <v>34</v>
      </c>
      <c r="O28" s="155">
        <f>'Day 3'!M40</f>
        <v>5</v>
      </c>
      <c r="P28" s="158"/>
      <c r="Q28" s="158"/>
      <c r="R28" s="159"/>
      <c r="S28" s="139">
        <f>'Day 4'!K40</f>
        <v>31</v>
      </c>
      <c r="T28" s="140">
        <f>'Day 4'!M40</f>
        <v>3</v>
      </c>
      <c r="U28" s="158"/>
      <c r="V28" s="158"/>
      <c r="W28" s="159"/>
      <c r="X28" s="154">
        <f>'Day 5'!K110</f>
        <v>27</v>
      </c>
      <c r="Y28" s="155">
        <f>'Day 5'!M110</f>
        <v>1</v>
      </c>
      <c r="Z28" s="158"/>
      <c r="AA28" s="158"/>
      <c r="AB28" s="159"/>
      <c r="AC28" s="160"/>
      <c r="AD28" s="161"/>
      <c r="AE28" s="125"/>
    </row>
    <row r="29" ht="3.75" customHeight="1">
      <c r="A29" s="162"/>
      <c r="B29" s="163"/>
      <c r="C29" s="164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6"/>
      <c r="T29" s="165"/>
      <c r="U29" s="166"/>
      <c r="V29" s="165"/>
      <c r="W29" s="165"/>
      <c r="X29" s="166"/>
      <c r="Y29" s="165"/>
      <c r="Z29" s="165"/>
      <c r="AA29" s="165"/>
      <c r="AB29" s="165"/>
      <c r="AC29" s="166"/>
      <c r="AD29" s="167"/>
      <c r="AE29" s="125"/>
    </row>
    <row r="30" ht="15.0" customHeight="1">
      <c r="B30" s="168"/>
      <c r="C30" s="169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</row>
    <row r="31" ht="17.25" customHeight="1">
      <c r="B31" s="171"/>
      <c r="C31" s="172" t="s">
        <v>188</v>
      </c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3"/>
    </row>
    <row r="32" ht="17.25" customHeight="1">
      <c r="B32" s="173"/>
      <c r="C32" s="115"/>
      <c r="AD32" s="116"/>
    </row>
    <row r="33" ht="30.0" customHeight="1">
      <c r="B33" s="174"/>
      <c r="C33" s="175"/>
      <c r="D33" s="176" t="s">
        <v>156</v>
      </c>
      <c r="E33" s="122"/>
      <c r="F33" s="176" t="s">
        <v>189</v>
      </c>
      <c r="G33" s="122"/>
      <c r="H33" s="123"/>
      <c r="I33" s="176" t="s">
        <v>157</v>
      </c>
      <c r="J33" s="122"/>
      <c r="K33" s="176" t="s">
        <v>190</v>
      </c>
      <c r="L33" s="122"/>
      <c r="M33" s="123"/>
      <c r="N33" s="176" t="s">
        <v>158</v>
      </c>
      <c r="O33" s="122"/>
      <c r="P33" s="176" t="s">
        <v>191</v>
      </c>
      <c r="Q33" s="122"/>
      <c r="R33" s="123"/>
      <c r="S33" s="176" t="s">
        <v>159</v>
      </c>
      <c r="T33" s="122"/>
      <c r="U33" s="176" t="s">
        <v>192</v>
      </c>
      <c r="V33" s="122"/>
      <c r="W33" s="123"/>
      <c r="X33" s="176" t="s">
        <v>160</v>
      </c>
      <c r="Y33" s="122"/>
      <c r="Z33" s="176" t="s">
        <v>193</v>
      </c>
      <c r="AA33" s="122"/>
      <c r="AB33" s="123"/>
      <c r="AC33" s="177" t="s">
        <v>194</v>
      </c>
      <c r="AD33" s="124"/>
    </row>
    <row r="34" ht="17.25" customHeight="1">
      <c r="B34" s="173"/>
      <c r="C34" s="178"/>
      <c r="D34" s="179" t="s">
        <v>178</v>
      </c>
      <c r="E34" s="180" t="s">
        <v>179</v>
      </c>
      <c r="F34" s="179" t="s">
        <v>178</v>
      </c>
      <c r="G34" s="180" t="s">
        <v>179</v>
      </c>
      <c r="H34" s="130"/>
      <c r="I34" s="179" t="s">
        <v>178</v>
      </c>
      <c r="J34" s="180" t="s">
        <v>179</v>
      </c>
      <c r="K34" s="179" t="s">
        <v>178</v>
      </c>
      <c r="L34" s="180" t="s">
        <v>179</v>
      </c>
      <c r="M34" s="130"/>
      <c r="N34" s="179" t="s">
        <v>178</v>
      </c>
      <c r="O34" s="180" t="s">
        <v>179</v>
      </c>
      <c r="P34" s="179" t="s">
        <v>178</v>
      </c>
      <c r="Q34" s="180" t="s">
        <v>179</v>
      </c>
      <c r="R34" s="130"/>
      <c r="S34" s="179" t="s">
        <v>178</v>
      </c>
      <c r="T34" s="180" t="s">
        <v>179</v>
      </c>
      <c r="U34" s="179" t="s">
        <v>178</v>
      </c>
      <c r="V34" s="180" t="s">
        <v>179</v>
      </c>
      <c r="W34" s="130"/>
      <c r="X34" s="179" t="s">
        <v>178</v>
      </c>
      <c r="Y34" s="180" t="s">
        <v>179</v>
      </c>
      <c r="Z34" s="179" t="s">
        <v>178</v>
      </c>
      <c r="AA34" s="180" t="s">
        <v>179</v>
      </c>
      <c r="AB34" s="130"/>
      <c r="AC34" s="179" t="s">
        <v>178</v>
      </c>
      <c r="AD34" s="181" t="s">
        <v>179</v>
      </c>
    </row>
    <row r="35" ht="9.0" customHeight="1">
      <c r="B35" s="182"/>
      <c r="C35" s="183"/>
      <c r="D35" s="184"/>
      <c r="E35" s="185"/>
      <c r="F35" s="184"/>
      <c r="G35" s="185"/>
      <c r="H35" s="185"/>
      <c r="I35" s="184"/>
      <c r="J35" s="185"/>
      <c r="K35" s="184"/>
      <c r="L35" s="185"/>
      <c r="M35" s="185"/>
      <c r="N35" s="184"/>
      <c r="O35" s="185"/>
      <c r="P35" s="184"/>
      <c r="Q35" s="185"/>
      <c r="R35" s="185"/>
      <c r="S35" s="184"/>
      <c r="T35" s="185"/>
      <c r="U35" s="184"/>
      <c r="V35" s="185"/>
      <c r="W35" s="185"/>
      <c r="X35" s="184"/>
      <c r="Y35" s="185"/>
      <c r="Z35" s="184"/>
      <c r="AA35" s="185"/>
      <c r="AB35" s="185"/>
      <c r="AC35" s="184"/>
      <c r="AD35" s="186"/>
    </row>
    <row r="36" ht="15.75" customHeight="1">
      <c r="B36" s="137" t="s">
        <v>180</v>
      </c>
      <c r="C36" s="138" t="s">
        <v>181</v>
      </c>
      <c r="D36" s="139">
        <f>'Day 6'!J25</f>
        <v>40</v>
      </c>
      <c r="E36" s="140">
        <f>'Day 6'!L25</f>
        <v>5</v>
      </c>
      <c r="F36" s="141">
        <f t="shared" ref="F36:G36" si="26">SUM(D36+D37)</f>
        <v>77</v>
      </c>
      <c r="G36" s="142">
        <f t="shared" si="26"/>
        <v>11</v>
      </c>
      <c r="H36" s="143"/>
      <c r="I36" s="139">
        <f>'Day 7'!J60</f>
        <v>24</v>
      </c>
      <c r="J36" s="140">
        <f>'Day 7'!L60</f>
        <v>3</v>
      </c>
      <c r="K36" s="141">
        <f t="shared" ref="K36:L36" si="27">I36+I37</f>
        <v>46</v>
      </c>
      <c r="L36" s="142">
        <f t="shared" si="27"/>
        <v>3</v>
      </c>
      <c r="M36" s="143"/>
      <c r="N36" s="139">
        <f>'Day 8'!J95</f>
        <v>26</v>
      </c>
      <c r="O36" s="140">
        <f>'Day 8'!L95</f>
        <v>2</v>
      </c>
      <c r="P36" s="141">
        <f t="shared" ref="P36:Q36" si="28">N36+N37</f>
        <v>58</v>
      </c>
      <c r="Q36" s="142">
        <f t="shared" si="28"/>
        <v>4</v>
      </c>
      <c r="R36" s="143"/>
      <c r="S36" s="139">
        <f>SUM('Day 9'!J95)</f>
        <v>28</v>
      </c>
      <c r="T36" s="140">
        <f>SUM('Day 9'!L95)</f>
        <v>2</v>
      </c>
      <c r="U36" s="141">
        <f t="shared" ref="U36:V36" si="29">S36+S37</f>
        <v>54</v>
      </c>
      <c r="V36" s="142">
        <f t="shared" si="29"/>
        <v>5</v>
      </c>
      <c r="W36" s="143"/>
      <c r="X36" s="139">
        <f>SUM('Day 10'!J25)</f>
        <v>31</v>
      </c>
      <c r="Y36" s="139">
        <f>SUM('Day 10'!L25)</f>
        <v>4</v>
      </c>
      <c r="Z36" s="141">
        <f t="shared" ref="Z36:AA36" si="30">X36+X37</f>
        <v>67</v>
      </c>
      <c r="AA36" s="141">
        <f t="shared" si="30"/>
        <v>6</v>
      </c>
      <c r="AB36" s="143"/>
      <c r="AC36" s="141">
        <f>SUM(AC12+AC13+F36+F37+K36+K37+P36+P37+U36+U37+Z36+Z37)</f>
        <v>620</v>
      </c>
      <c r="AD36" s="145">
        <f>SUM(AD12+G36+L36+Q36+V36+AA36)</f>
        <v>59</v>
      </c>
    </row>
    <row r="37" ht="15.75" customHeight="1">
      <c r="B37" s="146"/>
      <c r="C37" s="147" t="s">
        <v>182</v>
      </c>
      <c r="D37" s="139">
        <f>'Day 6'!J40</f>
        <v>37</v>
      </c>
      <c r="E37" s="140">
        <f>'Day 6'!L40</f>
        <v>6</v>
      </c>
      <c r="F37" s="148"/>
      <c r="G37" s="148"/>
      <c r="H37" s="143"/>
      <c r="I37" s="139">
        <f>'Day 7'!J75</f>
        <v>22</v>
      </c>
      <c r="J37" s="140">
        <f>'Day 7'!L75</f>
        <v>0</v>
      </c>
      <c r="K37" s="148"/>
      <c r="L37" s="148"/>
      <c r="M37" s="143"/>
      <c r="N37" s="139">
        <f>'Day 8'!J110</f>
        <v>32</v>
      </c>
      <c r="O37" s="140">
        <f>'Day 8'!L110</f>
        <v>2</v>
      </c>
      <c r="P37" s="148"/>
      <c r="Q37" s="148"/>
      <c r="R37" s="143"/>
      <c r="S37" s="139">
        <f>SUM('Day 9'!J110)</f>
        <v>26</v>
      </c>
      <c r="T37" s="140">
        <f>SUM('Day 9'!L110)</f>
        <v>3</v>
      </c>
      <c r="U37" s="148"/>
      <c r="V37" s="148"/>
      <c r="W37" s="143"/>
      <c r="X37" s="139">
        <f>SUM('Day 10'!J40)</f>
        <v>36</v>
      </c>
      <c r="Y37" s="139">
        <f>SUM('Day 10'!L40)</f>
        <v>2</v>
      </c>
      <c r="Z37" s="148"/>
      <c r="AA37" s="148"/>
      <c r="AB37" s="143"/>
      <c r="AC37" s="148"/>
      <c r="AD37" s="150"/>
    </row>
    <row r="38" ht="3.75" customHeight="1">
      <c r="B38" s="151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3"/>
    </row>
    <row r="39" ht="15.75" customHeight="1">
      <c r="B39" s="137" t="s">
        <v>183</v>
      </c>
      <c r="C39" s="147" t="s">
        <v>181</v>
      </c>
      <c r="D39" s="139">
        <f>'Day 6'!J95</f>
        <v>39</v>
      </c>
      <c r="E39" s="140">
        <f>'Day 6'!L95</f>
        <v>4</v>
      </c>
      <c r="F39" s="141">
        <f t="shared" ref="F39:G39" si="31">SUM(D39+D40)</f>
        <v>78</v>
      </c>
      <c r="G39" s="142">
        <f t="shared" si="31"/>
        <v>9</v>
      </c>
      <c r="H39" s="143"/>
      <c r="I39" s="139">
        <f>'Day 7'!J25</f>
        <v>37</v>
      </c>
      <c r="J39" s="140">
        <f>'Day 7'!L25</f>
        <v>4</v>
      </c>
      <c r="K39" s="141">
        <f t="shared" ref="K39:L39" si="32">I39+I40</f>
        <v>72</v>
      </c>
      <c r="L39" s="142">
        <f t="shared" si="32"/>
        <v>7</v>
      </c>
      <c r="M39" s="143"/>
      <c r="N39" s="139">
        <f>'Day 8'!K60</f>
        <v>36</v>
      </c>
      <c r="O39" s="140">
        <f>'Day 8'!M60</f>
        <v>6</v>
      </c>
      <c r="P39" s="141">
        <f t="shared" ref="P39:Q39" si="33">N39+N40</f>
        <v>81</v>
      </c>
      <c r="Q39" s="142">
        <f t="shared" si="33"/>
        <v>10</v>
      </c>
      <c r="R39" s="143"/>
      <c r="S39" s="139">
        <f>SUM('Day 9'!K95)</f>
        <v>42</v>
      </c>
      <c r="T39" s="140">
        <f>SUM('Day 9'!M95)</f>
        <v>6</v>
      </c>
      <c r="U39" s="141">
        <f t="shared" ref="U39:V39" si="34">S39+S40</f>
        <v>74</v>
      </c>
      <c r="V39" s="142">
        <f t="shared" si="34"/>
        <v>9</v>
      </c>
      <c r="W39" s="143"/>
      <c r="X39" s="139">
        <f>SUM('Day 10'!J60)</f>
        <v>29</v>
      </c>
      <c r="Y39" s="139">
        <f>SUM('Day 10'!L60)</f>
        <v>4</v>
      </c>
      <c r="Z39" s="141">
        <f t="shared" ref="Z39:AA39" si="35">X39+X40</f>
        <v>66</v>
      </c>
      <c r="AA39" s="141">
        <f t="shared" si="35"/>
        <v>8</v>
      </c>
      <c r="AB39" s="143"/>
      <c r="AC39" s="141">
        <f>SUM(AC15+AC16+F39+F40+K39+K40+P39+P40+U39+U40+Z39+Z40)</f>
        <v>725</v>
      </c>
      <c r="AD39" s="145">
        <f>SUM(AD15+G39+L39+Q39+V39+AA39)</f>
        <v>82</v>
      </c>
    </row>
    <row r="40" ht="15.75" customHeight="1">
      <c r="B40" s="146"/>
      <c r="C40" s="147" t="s">
        <v>182</v>
      </c>
      <c r="D40" s="139">
        <f>'Day 6'!J110</f>
        <v>39</v>
      </c>
      <c r="E40" s="140">
        <f>'Day 6'!L110</f>
        <v>5</v>
      </c>
      <c r="F40" s="148"/>
      <c r="G40" s="148"/>
      <c r="H40" s="143"/>
      <c r="I40" s="139">
        <f>'Day 7'!J40</f>
        <v>35</v>
      </c>
      <c r="J40" s="140">
        <f>'Day 7'!L40</f>
        <v>3</v>
      </c>
      <c r="K40" s="148"/>
      <c r="L40" s="148"/>
      <c r="M40" s="143"/>
      <c r="N40" s="139">
        <f>'Day 8'!K75</f>
        <v>45</v>
      </c>
      <c r="O40" s="140">
        <f>'Day 8'!M75</f>
        <v>4</v>
      </c>
      <c r="P40" s="148"/>
      <c r="Q40" s="148"/>
      <c r="R40" s="143"/>
      <c r="S40" s="154">
        <f>SUM('Day 9'!K110)</f>
        <v>32</v>
      </c>
      <c r="T40" s="155">
        <f>SUM('Day 9'!M110)</f>
        <v>3</v>
      </c>
      <c r="U40" s="148"/>
      <c r="V40" s="148"/>
      <c r="W40" s="143"/>
      <c r="X40" s="139">
        <f>SUM('Day 10'!J75)</f>
        <v>37</v>
      </c>
      <c r="Y40" s="139">
        <f>SUM('Day 10'!L75)</f>
        <v>4</v>
      </c>
      <c r="Z40" s="148"/>
      <c r="AA40" s="148"/>
      <c r="AB40" s="143"/>
      <c r="AC40" s="148"/>
      <c r="AD40" s="150"/>
    </row>
    <row r="41" ht="3.75" customHeight="1">
      <c r="B41" s="151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</row>
    <row r="42" ht="15.75" customHeight="1">
      <c r="B42" s="137" t="s">
        <v>184</v>
      </c>
      <c r="C42" s="147" t="s">
        <v>181</v>
      </c>
      <c r="D42" s="139">
        <f>'Day 6'!K25</f>
        <v>33</v>
      </c>
      <c r="E42" s="140">
        <f>'Day 6'!M25</f>
        <v>3</v>
      </c>
      <c r="F42" s="141">
        <f t="shared" ref="F42:G42" si="36">SUM(D42+D43)</f>
        <v>48</v>
      </c>
      <c r="G42" s="142">
        <f t="shared" si="36"/>
        <v>3</v>
      </c>
      <c r="H42" s="143"/>
      <c r="I42" s="139">
        <f>'Day 7'!J95</f>
        <v>32</v>
      </c>
      <c r="J42" s="140">
        <f>'Day 7'!L95</f>
        <v>3</v>
      </c>
      <c r="K42" s="141">
        <f t="shared" ref="K42:L42" si="37">I42+I43</f>
        <v>78</v>
      </c>
      <c r="L42" s="142">
        <f t="shared" si="37"/>
        <v>8</v>
      </c>
      <c r="M42" s="143"/>
      <c r="N42" s="139">
        <f>'Day 8'!J25</f>
        <v>46</v>
      </c>
      <c r="O42" s="140">
        <f>'Day 8'!L25</f>
        <v>6</v>
      </c>
      <c r="P42" s="141">
        <f t="shared" ref="P42:Q42" si="38">N42+N43</f>
        <v>74</v>
      </c>
      <c r="Q42" s="142">
        <f t="shared" si="38"/>
        <v>9</v>
      </c>
      <c r="R42" s="143"/>
      <c r="S42" s="139">
        <f>SUM('Day 9'!J60)</f>
        <v>36</v>
      </c>
      <c r="T42" s="140">
        <f>SUM('Day 9'!L60)</f>
        <v>5</v>
      </c>
      <c r="U42" s="141">
        <f t="shared" ref="U42:V42" si="39">S42+S43</f>
        <v>60</v>
      </c>
      <c r="V42" s="142">
        <f t="shared" si="39"/>
        <v>6</v>
      </c>
      <c r="W42" s="143"/>
      <c r="X42" s="139">
        <f>SUM('Day 10'!K60)</f>
        <v>28</v>
      </c>
      <c r="Y42" s="139">
        <f>SUM('Day 10'!M60)</f>
        <v>2</v>
      </c>
      <c r="Z42" s="141">
        <f t="shared" ref="Z42:AA42" si="40">X42+X43</f>
        <v>62</v>
      </c>
      <c r="AA42" s="141">
        <f t="shared" si="40"/>
        <v>6</v>
      </c>
      <c r="AB42" s="143"/>
      <c r="AC42" s="141">
        <f>SUM(AC18+AC19+F42+F43+K42+K43+P42+P43+U42+U43+Z42+Z43)</f>
        <v>625</v>
      </c>
      <c r="AD42" s="145">
        <f>SUM(AD18+G42+L42+Q42+V42+AA42)</f>
        <v>64</v>
      </c>
    </row>
    <row r="43" ht="15.75" customHeight="1">
      <c r="B43" s="146"/>
      <c r="C43" s="147" t="s">
        <v>182</v>
      </c>
      <c r="D43" s="154">
        <f>'Day 6'!K40</f>
        <v>15</v>
      </c>
      <c r="E43" s="155">
        <f>'Day 6'!M40</f>
        <v>0</v>
      </c>
      <c r="F43" s="148"/>
      <c r="G43" s="148"/>
      <c r="H43" s="143"/>
      <c r="I43" s="139">
        <f>'Day 7'!J110</f>
        <v>46</v>
      </c>
      <c r="J43" s="140">
        <f>'Day 7'!L110</f>
        <v>5</v>
      </c>
      <c r="K43" s="148"/>
      <c r="L43" s="148"/>
      <c r="M43" s="143"/>
      <c r="N43" s="139">
        <f>'Day 8'!J40</f>
        <v>28</v>
      </c>
      <c r="O43" s="140">
        <f>'Day 8'!L40</f>
        <v>3</v>
      </c>
      <c r="P43" s="148"/>
      <c r="Q43" s="148"/>
      <c r="R43" s="143"/>
      <c r="S43" s="139">
        <f>SUM('Day 9'!J75)</f>
        <v>24</v>
      </c>
      <c r="T43" s="140">
        <f>SUM('Day 9'!L75)</f>
        <v>1</v>
      </c>
      <c r="U43" s="148"/>
      <c r="V43" s="148"/>
      <c r="W43" s="143"/>
      <c r="X43" s="139">
        <f>SUM('Day 10'!K75)</f>
        <v>34</v>
      </c>
      <c r="Y43" s="139">
        <f>SUM('Day 10'!M75)</f>
        <v>4</v>
      </c>
      <c r="Z43" s="148"/>
      <c r="AA43" s="148"/>
      <c r="AB43" s="143"/>
      <c r="AC43" s="148"/>
      <c r="AD43" s="150"/>
    </row>
    <row r="44" ht="3.75" customHeight="1">
      <c r="B44" s="151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</row>
    <row r="45" ht="15.75" customHeight="1">
      <c r="B45" s="137" t="s">
        <v>185</v>
      </c>
      <c r="C45" s="147" t="s">
        <v>181</v>
      </c>
      <c r="D45" s="139">
        <f>'Day 6'!J60</f>
        <v>17</v>
      </c>
      <c r="E45" s="140">
        <f>'Day 6'!L60</f>
        <v>1</v>
      </c>
      <c r="F45" s="141">
        <f t="shared" ref="F45:G45" si="41">SUM(D45+D46)</f>
        <v>44</v>
      </c>
      <c r="G45" s="142">
        <f t="shared" si="41"/>
        <v>3</v>
      </c>
      <c r="H45" s="143"/>
      <c r="I45" s="139">
        <f>'Day 7'!K95</f>
        <v>33</v>
      </c>
      <c r="J45" s="140">
        <f>'Day 7'!M95</f>
        <v>3</v>
      </c>
      <c r="K45" s="141">
        <f t="shared" ref="K45:L45" si="42">I45+I46</f>
        <v>75</v>
      </c>
      <c r="L45" s="142">
        <f t="shared" si="42"/>
        <v>6</v>
      </c>
      <c r="M45" s="143"/>
      <c r="N45" s="139">
        <f>'Day 8'!J60</f>
        <v>9</v>
      </c>
      <c r="O45" s="140">
        <f>'Day 8'!L60</f>
        <v>0</v>
      </c>
      <c r="P45" s="141">
        <f t="shared" ref="P45:Q45" si="43">N45+N46</f>
        <v>46</v>
      </c>
      <c r="Q45" s="142">
        <f t="shared" si="43"/>
        <v>4</v>
      </c>
      <c r="R45" s="143"/>
      <c r="S45" s="139">
        <f>SUM('Day 9'!J25)</f>
        <v>29</v>
      </c>
      <c r="T45" s="140">
        <f>SUM('Day 9'!L25)</f>
        <v>3</v>
      </c>
      <c r="U45" s="141">
        <f t="shared" ref="U45:V45" si="44">S45+S46</f>
        <v>55</v>
      </c>
      <c r="V45" s="142">
        <f t="shared" si="44"/>
        <v>6</v>
      </c>
      <c r="W45" s="143"/>
      <c r="X45" s="139">
        <f>SUM('Day 10'!K25)</f>
        <v>27</v>
      </c>
      <c r="Y45" s="139">
        <f>SUM('Day 10'!M25)</f>
        <v>2</v>
      </c>
      <c r="Z45" s="141">
        <f t="shared" ref="Z45:AA45" si="45">X45+X46</f>
        <v>69</v>
      </c>
      <c r="AA45" s="141">
        <f t="shared" si="45"/>
        <v>8</v>
      </c>
      <c r="AB45" s="143"/>
      <c r="AC45" s="141">
        <f>SUM(AC21+AC22+F45+F46+K45+K46+P45+P46+U45+U46+Z45+Z46)</f>
        <v>592</v>
      </c>
      <c r="AD45" s="145">
        <f>SUM(AD21+G45+L45+Q45+V45+AA45)</f>
        <v>58</v>
      </c>
    </row>
    <row r="46" ht="15.75" customHeight="1">
      <c r="B46" s="146"/>
      <c r="C46" s="147" t="s">
        <v>182</v>
      </c>
      <c r="D46" s="139">
        <f>'Day 6'!J75</f>
        <v>27</v>
      </c>
      <c r="E46" s="140">
        <f>'Day 6'!L75</f>
        <v>2</v>
      </c>
      <c r="F46" s="148"/>
      <c r="G46" s="148"/>
      <c r="H46" s="143"/>
      <c r="I46" s="139">
        <f>'Day 7'!K110</f>
        <v>42</v>
      </c>
      <c r="J46" s="140">
        <f>'Day 7'!M110</f>
        <v>3</v>
      </c>
      <c r="K46" s="148"/>
      <c r="L46" s="148"/>
      <c r="M46" s="143"/>
      <c r="N46" s="139">
        <f>'Day 8'!J75</f>
        <v>37</v>
      </c>
      <c r="O46" s="140">
        <f>'Day 8'!L75</f>
        <v>4</v>
      </c>
      <c r="P46" s="148"/>
      <c r="Q46" s="148"/>
      <c r="R46" s="143"/>
      <c r="S46" s="139">
        <f>SUM('Day 9'!J40)</f>
        <v>26</v>
      </c>
      <c r="T46" s="140">
        <f>SUM('Day 9'!L40)</f>
        <v>3</v>
      </c>
      <c r="U46" s="148"/>
      <c r="V46" s="148"/>
      <c r="W46" s="143"/>
      <c r="X46" s="139">
        <f>SUM('Day 10'!K40)</f>
        <v>42</v>
      </c>
      <c r="Y46" s="139">
        <f>SUM('Day 10'!M40)</f>
        <v>6</v>
      </c>
      <c r="Z46" s="148"/>
      <c r="AA46" s="148"/>
      <c r="AB46" s="143"/>
      <c r="AC46" s="148"/>
      <c r="AD46" s="150"/>
    </row>
    <row r="47" ht="3.75" customHeight="1">
      <c r="B47" s="151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</row>
    <row r="48" ht="15.75" customHeight="1">
      <c r="B48" s="137" t="s">
        <v>186</v>
      </c>
      <c r="C48" s="147" t="s">
        <v>181</v>
      </c>
      <c r="D48" s="139">
        <f>'Day 6'!K60</f>
        <v>33</v>
      </c>
      <c r="E48" s="140">
        <f>'Day 6'!M60</f>
        <v>5</v>
      </c>
      <c r="F48" s="141">
        <f t="shared" ref="F48:G48" si="46">SUM(D48+D49)</f>
        <v>77</v>
      </c>
      <c r="G48" s="142">
        <f t="shared" si="46"/>
        <v>11</v>
      </c>
      <c r="H48" s="143"/>
      <c r="I48" s="139">
        <f>'Day 7'!K25</f>
        <v>29</v>
      </c>
      <c r="J48" s="140">
        <f>'Day 7'!M25</f>
        <v>2</v>
      </c>
      <c r="K48" s="141">
        <f t="shared" ref="K48:L48" si="47">I48+I49</f>
        <v>65</v>
      </c>
      <c r="L48" s="142">
        <f t="shared" si="47"/>
        <v>7</v>
      </c>
      <c r="M48" s="143"/>
      <c r="N48" s="139">
        <f>'Day 8'!K95</f>
        <v>31</v>
      </c>
      <c r="O48" s="140">
        <f>'Day 8'!M95</f>
        <v>4</v>
      </c>
      <c r="P48" s="141">
        <f t="shared" ref="P48:Q48" si="48">N48+N49</f>
        <v>77</v>
      </c>
      <c r="Q48" s="142">
        <f t="shared" si="48"/>
        <v>10</v>
      </c>
      <c r="R48" s="143"/>
      <c r="S48" s="139">
        <f>SUM('Day 9'!K60)</f>
        <v>25</v>
      </c>
      <c r="T48" s="140">
        <f>SUM('Day 9'!M60)</f>
        <v>1</v>
      </c>
      <c r="U48" s="141">
        <f t="shared" ref="U48:V48" si="49">S48+S49</f>
        <v>71</v>
      </c>
      <c r="V48" s="142">
        <f t="shared" si="49"/>
        <v>8</v>
      </c>
      <c r="W48" s="143"/>
      <c r="X48" s="139">
        <f>SUM('Day 10'!J95)</f>
        <v>25</v>
      </c>
      <c r="Y48" s="139">
        <f>SUM('Day 10'!L95)</f>
        <v>2</v>
      </c>
      <c r="Z48" s="141">
        <f t="shared" ref="Z48:AA48" si="50">X48+X49</f>
        <v>60</v>
      </c>
      <c r="AA48" s="141">
        <f t="shared" si="50"/>
        <v>6</v>
      </c>
      <c r="AB48" s="143"/>
      <c r="AC48" s="141">
        <f>SUM(AC24+AC25+F48+F49+K48+K49+P48+P49+U48+U49+Z48+Z49)</f>
        <v>698</v>
      </c>
      <c r="AD48" s="145">
        <f>SUM(AD24+G48+L48+Q48+V48+AA48)</f>
        <v>86</v>
      </c>
    </row>
    <row r="49" ht="15.75" customHeight="1">
      <c r="B49" s="146"/>
      <c r="C49" s="147" t="s">
        <v>182</v>
      </c>
      <c r="D49" s="139">
        <f>'Day 6'!K75</f>
        <v>44</v>
      </c>
      <c r="E49" s="140">
        <f>'Day 6'!M75</f>
        <v>6</v>
      </c>
      <c r="F49" s="148"/>
      <c r="G49" s="148"/>
      <c r="H49" s="143"/>
      <c r="I49" s="154">
        <f>'Day 7'!K40</f>
        <v>36</v>
      </c>
      <c r="J49" s="155">
        <f>'Day 7'!M40</f>
        <v>5</v>
      </c>
      <c r="K49" s="148"/>
      <c r="L49" s="148"/>
      <c r="M49" s="143"/>
      <c r="N49" s="139">
        <f>'Day 8'!K110</f>
        <v>46</v>
      </c>
      <c r="O49" s="140">
        <f>'Day 8'!M110</f>
        <v>6</v>
      </c>
      <c r="P49" s="148"/>
      <c r="Q49" s="148"/>
      <c r="R49" s="143"/>
      <c r="S49" s="139">
        <f>SUM('Day 9'!K75)</f>
        <v>46</v>
      </c>
      <c r="T49" s="140">
        <f>SUM('Day 9'!M75)</f>
        <v>7</v>
      </c>
      <c r="U49" s="148"/>
      <c r="V49" s="148"/>
      <c r="W49" s="143"/>
      <c r="X49" s="139">
        <f>SUM('Day 10'!J110)</f>
        <v>35</v>
      </c>
      <c r="Y49" s="139">
        <f>SUM('Day 10'!L110)</f>
        <v>4</v>
      </c>
      <c r="Z49" s="148"/>
      <c r="AA49" s="148"/>
      <c r="AB49" s="143"/>
      <c r="AC49" s="148"/>
      <c r="AD49" s="150"/>
    </row>
    <row r="50" ht="3.75" customHeight="1">
      <c r="B50" s="151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</row>
    <row r="51" ht="15.75" customHeight="1">
      <c r="B51" s="137" t="s">
        <v>187</v>
      </c>
      <c r="C51" s="147" t="s">
        <v>181</v>
      </c>
      <c r="D51" s="139">
        <f>'Day 6'!K95</f>
        <v>42</v>
      </c>
      <c r="E51" s="140">
        <f>'Day 6'!M95</f>
        <v>4</v>
      </c>
      <c r="F51" s="141">
        <f t="shared" ref="F51:G51" si="51">SUM(D51+D52)</f>
        <v>70</v>
      </c>
      <c r="G51" s="142">
        <f t="shared" si="51"/>
        <v>5</v>
      </c>
      <c r="H51" s="143"/>
      <c r="I51" s="139">
        <f>'Day 7'!K60</f>
        <v>40</v>
      </c>
      <c r="J51" s="140">
        <f>'Day 7'!M60</f>
        <v>5</v>
      </c>
      <c r="K51" s="141">
        <f t="shared" ref="K51:L51" si="52">I51+I52</f>
        <v>76</v>
      </c>
      <c r="L51" s="142">
        <f t="shared" si="52"/>
        <v>11</v>
      </c>
      <c r="M51" s="143"/>
      <c r="N51" s="139">
        <f>'Day 8'!K25</f>
        <v>25</v>
      </c>
      <c r="O51" s="140">
        <f>'Day 8'!M25</f>
        <v>2</v>
      </c>
      <c r="P51" s="141">
        <f t="shared" ref="P51:Q51" si="53">N51+N52</f>
        <v>54</v>
      </c>
      <c r="Q51" s="142">
        <f t="shared" si="53"/>
        <v>5</v>
      </c>
      <c r="R51" s="143"/>
      <c r="S51" s="139">
        <f>SUM('Day 9'!K25)</f>
        <v>32</v>
      </c>
      <c r="T51" s="140">
        <f>SUM('Day 9'!M25)</f>
        <v>3</v>
      </c>
      <c r="U51" s="141">
        <f t="shared" ref="U51:V51" si="54">S51+S52</f>
        <v>72</v>
      </c>
      <c r="V51" s="142">
        <f t="shared" si="54"/>
        <v>8</v>
      </c>
      <c r="W51" s="143"/>
      <c r="X51" s="139">
        <f>SUM('Day 10'!K95)</f>
        <v>33</v>
      </c>
      <c r="Y51" s="139">
        <f>SUM('Day 10'!M95)</f>
        <v>4</v>
      </c>
      <c r="Z51" s="141">
        <f t="shared" ref="Z51:AA51" si="55">X51+X52</f>
        <v>66</v>
      </c>
      <c r="AA51" s="141">
        <f t="shared" si="55"/>
        <v>8</v>
      </c>
      <c r="AB51" s="143"/>
      <c r="AC51" s="141">
        <f>SUM(AC27+AC28+F51+F52+K51+K52+P51+P52+U51+U52+Z51+Z52)</f>
        <v>660</v>
      </c>
      <c r="AD51" s="145">
        <f>SUM(AD27+G51+L51+Q51+V51+AA51)</f>
        <v>71</v>
      </c>
      <c r="AE51" s="117"/>
    </row>
    <row r="52" ht="15.75" customHeight="1">
      <c r="B52" s="156"/>
      <c r="C52" s="147" t="s">
        <v>182</v>
      </c>
      <c r="D52" s="139">
        <f>'Day 6'!K110</f>
        <v>28</v>
      </c>
      <c r="E52" s="140">
        <f>'Day 6'!M110</f>
        <v>1</v>
      </c>
      <c r="F52" s="158"/>
      <c r="G52" s="158"/>
      <c r="H52" s="159"/>
      <c r="I52" s="139">
        <f>'Day 7'!K75</f>
        <v>36</v>
      </c>
      <c r="J52" s="140">
        <f>'Day 7'!M75</f>
        <v>6</v>
      </c>
      <c r="K52" s="158"/>
      <c r="L52" s="158"/>
      <c r="M52" s="159"/>
      <c r="N52" s="154">
        <f>'Day 8'!K40</f>
        <v>29</v>
      </c>
      <c r="O52" s="155">
        <f>'Day 8'!M40</f>
        <v>3</v>
      </c>
      <c r="P52" s="148"/>
      <c r="Q52" s="158"/>
      <c r="R52" s="159"/>
      <c r="S52" s="139">
        <f>SUM('Day 9'!K40)</f>
        <v>40</v>
      </c>
      <c r="T52" s="140">
        <f>SUM('Day 9'!M40)</f>
        <v>5</v>
      </c>
      <c r="U52" s="158"/>
      <c r="V52" s="158"/>
      <c r="W52" s="159"/>
      <c r="X52" s="139">
        <f>SUM('Day 10'!K110)</f>
        <v>33</v>
      </c>
      <c r="Y52" s="139">
        <f>SUM('Day 10'!M110)</f>
        <v>4</v>
      </c>
      <c r="Z52" s="158"/>
      <c r="AA52" s="158"/>
      <c r="AB52" s="159"/>
      <c r="AC52" s="158"/>
      <c r="AD52" s="150"/>
      <c r="AE52" s="117"/>
    </row>
    <row r="53" ht="3.75" customHeight="1">
      <c r="B53" s="187"/>
      <c r="C53" s="188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6"/>
      <c r="T53" s="165"/>
      <c r="U53" s="166"/>
      <c r="V53" s="165"/>
      <c r="W53" s="165"/>
      <c r="X53" s="166"/>
      <c r="Y53" s="165"/>
      <c r="Z53" s="165"/>
      <c r="AA53" s="165"/>
      <c r="AB53" s="189"/>
      <c r="AC53" s="190"/>
      <c r="AD53" s="191"/>
    </row>
    <row r="54" ht="13.5" customHeight="1">
      <c r="B54" s="107"/>
      <c r="C54" s="109"/>
    </row>
    <row r="55" ht="13.5" customHeight="1">
      <c r="B55" s="107"/>
      <c r="C55" s="109"/>
      <c r="Q55" s="192" t="s">
        <v>195</v>
      </c>
    </row>
    <row r="56" ht="17.25" customHeight="1">
      <c r="B56" s="193"/>
      <c r="C56" s="109"/>
    </row>
    <row r="57" ht="17.25" customHeight="1">
      <c r="B57" s="193"/>
      <c r="C57" s="109"/>
    </row>
    <row r="58" ht="17.25" customHeight="1">
      <c r="B58" s="193"/>
      <c r="C58" s="109"/>
    </row>
    <row r="59" ht="17.25" customHeight="1">
      <c r="B59" s="193"/>
      <c r="C59" s="109"/>
      <c r="AE59" s="194"/>
    </row>
    <row r="60" ht="13.5" customHeight="1">
      <c r="B60" s="107"/>
      <c r="C60" s="109"/>
    </row>
    <row r="61" ht="13.5" customHeight="1">
      <c r="B61" s="107"/>
      <c r="C61" s="109"/>
    </row>
    <row r="62" ht="13.5" customHeight="1">
      <c r="B62" s="107"/>
      <c r="C62" s="109"/>
    </row>
    <row r="63" ht="13.5" customHeight="1">
      <c r="B63" s="107"/>
      <c r="C63" s="109"/>
    </row>
    <row r="64" ht="13.5" customHeight="1">
      <c r="B64" s="107"/>
      <c r="C64" s="109"/>
    </row>
    <row r="65" ht="13.5" customHeight="1">
      <c r="B65" s="107"/>
      <c r="C65" s="109"/>
    </row>
    <row r="66" ht="13.5" customHeight="1">
      <c r="B66" s="107"/>
      <c r="C66" s="109"/>
    </row>
    <row r="67" ht="13.5" customHeight="1">
      <c r="B67" s="107"/>
      <c r="C67" s="109"/>
    </row>
    <row r="68" ht="13.5" customHeight="1">
      <c r="B68" s="107"/>
      <c r="C68" s="109"/>
    </row>
    <row r="69" ht="13.5" customHeight="1">
      <c r="B69" s="107"/>
      <c r="C69" s="109"/>
    </row>
    <row r="70" ht="13.5" customHeight="1">
      <c r="B70" s="107"/>
      <c r="C70" s="109"/>
    </row>
    <row r="71" ht="13.5" customHeight="1">
      <c r="B71" s="107"/>
      <c r="C71" s="109"/>
    </row>
    <row r="72" ht="13.5" customHeight="1">
      <c r="B72" s="107"/>
      <c r="C72" s="109"/>
    </row>
    <row r="73" ht="13.5" customHeight="1">
      <c r="B73" s="107"/>
      <c r="C73" s="109"/>
    </row>
    <row r="74" ht="13.5" customHeight="1">
      <c r="B74" s="107"/>
      <c r="C74" s="109"/>
    </row>
    <row r="75" ht="13.5" customHeight="1">
      <c r="B75" s="107"/>
      <c r="C75" s="109"/>
    </row>
    <row r="76" ht="13.5" customHeight="1">
      <c r="B76" s="107"/>
      <c r="C76" s="109"/>
    </row>
    <row r="77" ht="13.5" customHeight="1">
      <c r="B77" s="107"/>
      <c r="C77" s="109"/>
    </row>
    <row r="78" ht="13.5" customHeight="1">
      <c r="B78" s="107"/>
      <c r="C78" s="109"/>
    </row>
    <row r="79" ht="13.5" customHeight="1">
      <c r="B79" s="107"/>
      <c r="C79" s="109"/>
    </row>
    <row r="80" ht="13.5" customHeight="1">
      <c r="B80" s="107"/>
      <c r="C80" s="109"/>
    </row>
    <row r="81" ht="13.5" customHeight="1">
      <c r="B81" s="107"/>
      <c r="C81" s="109"/>
    </row>
    <row r="82" ht="13.5" customHeight="1">
      <c r="B82" s="107"/>
      <c r="C82" s="109"/>
    </row>
    <row r="83" ht="13.5" customHeight="1">
      <c r="B83" s="107"/>
      <c r="C83" s="109"/>
    </row>
    <row r="84" ht="13.5" customHeight="1">
      <c r="B84" s="107"/>
      <c r="C84" s="109"/>
    </row>
    <row r="85" ht="13.5" customHeight="1">
      <c r="B85" s="107"/>
      <c r="C85" s="109"/>
    </row>
    <row r="86" ht="13.5" customHeight="1">
      <c r="B86" s="107"/>
      <c r="C86" s="109"/>
    </row>
    <row r="87" ht="13.5" customHeight="1">
      <c r="B87" s="107"/>
      <c r="C87" s="109"/>
    </row>
    <row r="88" ht="13.5" customHeight="1">
      <c r="B88" s="107"/>
      <c r="C88" s="109"/>
    </row>
    <row r="89" ht="13.5" customHeight="1">
      <c r="B89" s="107"/>
      <c r="C89" s="109"/>
    </row>
    <row r="90" ht="13.5" customHeight="1">
      <c r="B90" s="107"/>
      <c r="C90" s="109"/>
    </row>
    <row r="91" ht="13.5" customHeight="1">
      <c r="B91" s="107"/>
      <c r="C91" s="109"/>
    </row>
    <row r="92" ht="13.5" customHeight="1">
      <c r="B92" s="107"/>
      <c r="C92" s="109"/>
    </row>
    <row r="93" ht="13.5" customHeight="1">
      <c r="B93" s="107"/>
      <c r="C93" s="109"/>
    </row>
    <row r="94" ht="13.5" customHeight="1">
      <c r="B94" s="107"/>
      <c r="C94" s="109"/>
    </row>
    <row r="95" ht="13.5" customHeight="1">
      <c r="B95" s="107"/>
      <c r="C95" s="109"/>
    </row>
    <row r="96" ht="13.5" customHeight="1">
      <c r="B96" s="107"/>
      <c r="C96" s="109"/>
    </row>
    <row r="97" ht="13.5" customHeight="1">
      <c r="B97" s="107"/>
      <c r="C97" s="109"/>
    </row>
    <row r="98" ht="13.5" customHeight="1">
      <c r="B98" s="107"/>
      <c r="C98" s="109"/>
    </row>
    <row r="99" ht="13.5" customHeight="1">
      <c r="B99" s="107"/>
      <c r="C99" s="109"/>
    </row>
    <row r="100" ht="13.5" customHeight="1">
      <c r="B100" s="107"/>
      <c r="C100" s="109"/>
    </row>
    <row r="101" ht="13.5" customHeight="1">
      <c r="B101" s="107"/>
      <c r="C101" s="109"/>
    </row>
    <row r="102" ht="13.5" customHeight="1">
      <c r="B102" s="107"/>
      <c r="C102" s="109"/>
    </row>
    <row r="103" ht="13.5" customHeight="1">
      <c r="B103" s="107"/>
      <c r="C103" s="109"/>
    </row>
    <row r="104" ht="13.5" customHeight="1">
      <c r="B104" s="107"/>
      <c r="C104" s="109"/>
    </row>
    <row r="105" ht="13.5" customHeight="1">
      <c r="B105" s="107"/>
      <c r="C105" s="109"/>
    </row>
    <row r="106" ht="13.5" customHeight="1">
      <c r="B106" s="107"/>
      <c r="C106" s="109"/>
    </row>
    <row r="107" ht="13.5" customHeight="1">
      <c r="B107" s="107"/>
      <c r="C107" s="109"/>
    </row>
    <row r="108" ht="13.5" customHeight="1">
      <c r="B108" s="107"/>
      <c r="C108" s="109"/>
    </row>
    <row r="109" ht="13.5" customHeight="1">
      <c r="B109" s="107"/>
      <c r="C109" s="109"/>
    </row>
    <row r="110" ht="13.5" customHeight="1">
      <c r="B110" s="107"/>
      <c r="C110" s="109"/>
    </row>
    <row r="111" ht="13.5" customHeight="1">
      <c r="B111" s="107"/>
      <c r="C111" s="109"/>
    </row>
    <row r="112" ht="13.5" customHeight="1">
      <c r="B112" s="107"/>
      <c r="C112" s="109"/>
    </row>
    <row r="113" ht="13.5" customHeight="1">
      <c r="B113" s="107"/>
      <c r="C113" s="109"/>
    </row>
    <row r="114" ht="13.5" customHeight="1">
      <c r="B114" s="107"/>
      <c r="C114" s="109"/>
    </row>
    <row r="115" ht="13.5" customHeight="1">
      <c r="B115" s="107"/>
      <c r="C115" s="109"/>
    </row>
    <row r="116" ht="13.5" customHeight="1">
      <c r="B116" s="107"/>
      <c r="C116" s="109"/>
    </row>
    <row r="117" ht="13.5" customHeight="1">
      <c r="B117" s="107"/>
      <c r="C117" s="109"/>
    </row>
    <row r="118" ht="13.5" customHeight="1">
      <c r="B118" s="107"/>
      <c r="C118" s="109"/>
    </row>
    <row r="119" ht="13.5" customHeight="1">
      <c r="B119" s="107"/>
      <c r="C119" s="109"/>
    </row>
    <row r="120" ht="13.5" customHeight="1">
      <c r="B120" s="107"/>
      <c r="C120" s="109"/>
    </row>
    <row r="121" ht="13.5" customHeight="1">
      <c r="B121" s="107"/>
      <c r="C121" s="109"/>
    </row>
    <row r="122" ht="13.5" customHeight="1">
      <c r="B122" s="107"/>
      <c r="C122" s="109"/>
    </row>
    <row r="123" ht="13.5" customHeight="1">
      <c r="B123" s="107"/>
      <c r="C123" s="109"/>
    </row>
    <row r="124" ht="13.5" customHeight="1">
      <c r="B124" s="107"/>
      <c r="C124" s="109"/>
    </row>
    <row r="125" ht="13.5" customHeight="1">
      <c r="B125" s="107"/>
      <c r="C125" s="109"/>
    </row>
    <row r="126" ht="13.5" customHeight="1">
      <c r="B126" s="107"/>
      <c r="C126" s="109"/>
    </row>
    <row r="127" ht="13.5" customHeight="1">
      <c r="B127" s="107"/>
      <c r="C127" s="109"/>
    </row>
    <row r="128" ht="13.5" customHeight="1">
      <c r="B128" s="107"/>
      <c r="C128" s="109"/>
    </row>
    <row r="129" ht="13.5" customHeight="1">
      <c r="B129" s="107"/>
      <c r="C129" s="109"/>
    </row>
    <row r="130" ht="13.5" customHeight="1">
      <c r="B130" s="107"/>
      <c r="C130" s="109"/>
    </row>
    <row r="131" ht="13.5" customHeight="1">
      <c r="B131" s="107"/>
      <c r="C131" s="109"/>
    </row>
    <row r="132" ht="13.5" customHeight="1">
      <c r="B132" s="107"/>
      <c r="C132" s="109"/>
    </row>
    <row r="133" ht="13.5" customHeight="1">
      <c r="B133" s="107"/>
      <c r="C133" s="109"/>
    </row>
    <row r="134" ht="13.5" customHeight="1">
      <c r="B134" s="107"/>
      <c r="C134" s="109"/>
    </row>
    <row r="135" ht="13.5" customHeight="1">
      <c r="B135" s="107"/>
      <c r="C135" s="109"/>
    </row>
    <row r="136" ht="13.5" customHeight="1">
      <c r="B136" s="107"/>
      <c r="C136" s="109"/>
    </row>
    <row r="137" ht="13.5" customHeight="1">
      <c r="B137" s="107"/>
      <c r="C137" s="109"/>
    </row>
    <row r="138" ht="13.5" customHeight="1">
      <c r="B138" s="107"/>
      <c r="C138" s="109"/>
    </row>
    <row r="139" ht="13.5" customHeight="1">
      <c r="B139" s="107"/>
      <c r="C139" s="109"/>
    </row>
    <row r="140" ht="13.5" customHeight="1">
      <c r="B140" s="107"/>
      <c r="C140" s="109"/>
    </row>
    <row r="141" ht="13.5" customHeight="1">
      <c r="B141" s="107"/>
      <c r="C141" s="109"/>
    </row>
    <row r="142" ht="13.5" customHeight="1">
      <c r="B142" s="107"/>
      <c r="C142" s="109"/>
    </row>
    <row r="143" ht="13.5" customHeight="1">
      <c r="B143" s="107"/>
      <c r="C143" s="109"/>
    </row>
    <row r="144" ht="13.5" customHeight="1">
      <c r="B144" s="107"/>
      <c r="C144" s="109"/>
    </row>
    <row r="145" ht="13.5" customHeight="1">
      <c r="B145" s="107"/>
      <c r="C145" s="109"/>
    </row>
    <row r="146" ht="13.5" customHeight="1">
      <c r="B146" s="107"/>
      <c r="C146" s="109"/>
    </row>
    <row r="147" ht="13.5" customHeight="1">
      <c r="B147" s="107"/>
      <c r="C147" s="109"/>
    </row>
    <row r="148" ht="13.5" customHeight="1">
      <c r="B148" s="107"/>
      <c r="C148" s="109"/>
    </row>
    <row r="149" ht="13.5" customHeight="1">
      <c r="B149" s="107"/>
      <c r="C149" s="109"/>
    </row>
    <row r="150" ht="13.5" customHeight="1">
      <c r="B150" s="107"/>
      <c r="C150" s="109"/>
    </row>
    <row r="151" ht="13.5" customHeight="1">
      <c r="B151" s="107"/>
      <c r="C151" s="109"/>
    </row>
    <row r="152" ht="13.5" customHeight="1">
      <c r="B152" s="107"/>
      <c r="C152" s="109"/>
    </row>
    <row r="153" ht="13.5" customHeight="1">
      <c r="B153" s="107"/>
      <c r="C153" s="109"/>
    </row>
    <row r="154" ht="13.5" customHeight="1">
      <c r="B154" s="107"/>
      <c r="C154" s="109"/>
    </row>
    <row r="155" ht="13.5" customHeight="1">
      <c r="B155" s="107"/>
      <c r="C155" s="109"/>
    </row>
    <row r="156" ht="13.5" customHeight="1">
      <c r="B156" s="107"/>
      <c r="C156" s="109"/>
    </row>
    <row r="157" ht="13.5" customHeight="1">
      <c r="B157" s="107"/>
      <c r="C157" s="109"/>
    </row>
    <row r="158" ht="13.5" customHeight="1">
      <c r="B158" s="107"/>
      <c r="C158" s="109"/>
    </row>
    <row r="159" ht="13.5" customHeight="1">
      <c r="B159" s="107"/>
      <c r="C159" s="109"/>
    </row>
    <row r="160" ht="13.5" customHeight="1">
      <c r="B160" s="107"/>
      <c r="C160" s="109"/>
    </row>
    <row r="161" ht="13.5" customHeight="1">
      <c r="B161" s="107"/>
      <c r="C161" s="109"/>
    </row>
    <row r="162" ht="13.5" customHeight="1">
      <c r="B162" s="107"/>
      <c r="C162" s="109"/>
    </row>
    <row r="163" ht="13.5" customHeight="1">
      <c r="B163" s="107"/>
      <c r="C163" s="109"/>
    </row>
    <row r="164" ht="13.5" customHeight="1">
      <c r="B164" s="107"/>
      <c r="C164" s="109"/>
    </row>
    <row r="165" ht="13.5" customHeight="1">
      <c r="B165" s="107"/>
      <c r="C165" s="109"/>
    </row>
    <row r="166" ht="13.5" customHeight="1">
      <c r="B166" s="107"/>
      <c r="C166" s="109"/>
    </row>
    <row r="167" ht="13.5" customHeight="1">
      <c r="B167" s="107"/>
      <c r="C167" s="109"/>
    </row>
    <row r="168" ht="13.5" customHeight="1">
      <c r="B168" s="107"/>
      <c r="C168" s="109"/>
    </row>
    <row r="169" ht="13.5" customHeight="1">
      <c r="B169" s="107"/>
      <c r="C169" s="109"/>
    </row>
    <row r="170" ht="13.5" customHeight="1">
      <c r="B170" s="107"/>
      <c r="C170" s="109"/>
    </row>
    <row r="171" ht="13.5" customHeight="1">
      <c r="B171" s="107"/>
      <c r="C171" s="109"/>
    </row>
    <row r="172" ht="13.5" customHeight="1">
      <c r="B172" s="107"/>
      <c r="C172" s="109"/>
    </row>
    <row r="173" ht="13.5" customHeight="1">
      <c r="B173" s="107"/>
      <c r="C173" s="109"/>
    </row>
    <row r="174" ht="13.5" customHeight="1">
      <c r="B174" s="107"/>
      <c r="C174" s="109"/>
    </row>
    <row r="175" ht="13.5" customHeight="1">
      <c r="B175" s="107"/>
      <c r="C175" s="109"/>
    </row>
    <row r="176" ht="13.5" customHeight="1">
      <c r="B176" s="107"/>
      <c r="C176" s="109"/>
    </row>
    <row r="177" ht="13.5" customHeight="1">
      <c r="B177" s="107"/>
      <c r="C177" s="109"/>
    </row>
    <row r="178" ht="13.5" customHeight="1">
      <c r="B178" s="107"/>
      <c r="C178" s="109"/>
    </row>
    <row r="179" ht="13.5" customHeight="1">
      <c r="B179" s="107"/>
      <c r="C179" s="109"/>
    </row>
    <row r="180" ht="13.5" customHeight="1">
      <c r="B180" s="107"/>
      <c r="C180" s="109"/>
    </row>
    <row r="181" ht="13.5" customHeight="1">
      <c r="B181" s="107"/>
      <c r="C181" s="109"/>
    </row>
    <row r="182" ht="13.5" customHeight="1">
      <c r="B182" s="107"/>
      <c r="C182" s="109"/>
    </row>
    <row r="183" ht="13.5" customHeight="1">
      <c r="B183" s="107"/>
      <c r="C183" s="109"/>
    </row>
    <row r="184" ht="13.5" customHeight="1">
      <c r="B184" s="107"/>
      <c r="C184" s="109"/>
    </row>
    <row r="185" ht="13.5" customHeight="1">
      <c r="B185" s="107"/>
      <c r="C185" s="109"/>
    </row>
    <row r="186" ht="13.5" customHeight="1">
      <c r="B186" s="107"/>
      <c r="C186" s="109"/>
    </row>
    <row r="187" ht="13.5" customHeight="1">
      <c r="B187" s="107"/>
      <c r="C187" s="109"/>
    </row>
    <row r="188" ht="13.5" customHeight="1">
      <c r="B188" s="107"/>
      <c r="C188" s="109"/>
    </row>
    <row r="189" ht="13.5" customHeight="1">
      <c r="B189" s="107"/>
      <c r="C189" s="109"/>
    </row>
    <row r="190" ht="13.5" customHeight="1">
      <c r="B190" s="107"/>
      <c r="C190" s="109"/>
    </row>
    <row r="191" ht="13.5" customHeight="1">
      <c r="B191" s="107"/>
      <c r="C191" s="109"/>
    </row>
    <row r="192" ht="13.5" customHeight="1">
      <c r="B192" s="107"/>
      <c r="C192" s="109"/>
    </row>
    <row r="193" ht="13.5" customHeight="1">
      <c r="B193" s="107"/>
      <c r="C193" s="109"/>
    </row>
    <row r="194" ht="13.5" customHeight="1">
      <c r="B194" s="107"/>
      <c r="C194" s="109"/>
    </row>
    <row r="195" ht="13.5" customHeight="1">
      <c r="B195" s="107"/>
      <c r="C195" s="109"/>
    </row>
    <row r="196" ht="13.5" customHeight="1">
      <c r="B196" s="107"/>
      <c r="C196" s="109"/>
    </row>
    <row r="197" ht="13.5" customHeight="1">
      <c r="B197" s="107"/>
      <c r="C197" s="109"/>
    </row>
    <row r="198" ht="13.5" customHeight="1">
      <c r="B198" s="107"/>
      <c r="C198" s="109"/>
    </row>
    <row r="199" ht="13.5" customHeight="1">
      <c r="B199" s="107"/>
      <c r="C199" s="109"/>
    </row>
    <row r="200" ht="13.5" customHeight="1">
      <c r="B200" s="107"/>
      <c r="C200" s="109"/>
    </row>
    <row r="201" ht="13.5" customHeight="1">
      <c r="B201" s="107"/>
      <c r="C201" s="109"/>
    </row>
    <row r="202" ht="13.5" customHeight="1">
      <c r="B202" s="107"/>
      <c r="C202" s="109"/>
    </row>
    <row r="203" ht="13.5" customHeight="1">
      <c r="B203" s="107"/>
      <c r="C203" s="109"/>
    </row>
    <row r="204" ht="13.5" customHeight="1">
      <c r="B204" s="107"/>
      <c r="C204" s="109"/>
    </row>
    <row r="205" ht="13.5" customHeight="1">
      <c r="B205" s="107"/>
      <c r="C205" s="109"/>
    </row>
    <row r="206" ht="13.5" customHeight="1">
      <c r="B206" s="107"/>
      <c r="C206" s="109"/>
    </row>
    <row r="207" ht="13.5" customHeight="1">
      <c r="B207" s="107"/>
      <c r="C207" s="109"/>
    </row>
    <row r="208" ht="13.5" customHeight="1">
      <c r="B208" s="107"/>
      <c r="C208" s="109"/>
    </row>
    <row r="209" ht="13.5" customHeight="1">
      <c r="B209" s="107"/>
      <c r="C209" s="109"/>
    </row>
    <row r="210" ht="13.5" customHeight="1">
      <c r="B210" s="107"/>
      <c r="C210" s="109"/>
    </row>
    <row r="211" ht="13.5" customHeight="1">
      <c r="B211" s="107"/>
      <c r="C211" s="109"/>
    </row>
    <row r="212" ht="13.5" customHeight="1">
      <c r="B212" s="107"/>
      <c r="C212" s="109"/>
    </row>
    <row r="213" ht="13.5" customHeight="1">
      <c r="B213" s="107"/>
      <c r="C213" s="109"/>
    </row>
    <row r="214" ht="13.5" customHeight="1">
      <c r="B214" s="107"/>
      <c r="C214" s="109"/>
    </row>
    <row r="215" ht="13.5" customHeight="1">
      <c r="B215" s="107"/>
      <c r="C215" s="109"/>
    </row>
    <row r="216" ht="13.5" customHeight="1">
      <c r="B216" s="107"/>
      <c r="C216" s="109"/>
    </row>
    <row r="217" ht="13.5" customHeight="1">
      <c r="B217" s="107"/>
      <c r="C217" s="109"/>
    </row>
    <row r="218" ht="13.5" customHeight="1">
      <c r="B218" s="107"/>
      <c r="C218" s="109"/>
    </row>
    <row r="219" ht="13.5" customHeight="1">
      <c r="B219" s="107"/>
      <c r="C219" s="109"/>
    </row>
    <row r="220" ht="13.5" customHeight="1">
      <c r="B220" s="107"/>
      <c r="C220" s="109"/>
    </row>
    <row r="221" ht="13.5" customHeight="1">
      <c r="B221" s="107"/>
      <c r="C221" s="109"/>
    </row>
    <row r="222" ht="13.5" customHeight="1">
      <c r="B222" s="107"/>
      <c r="C222" s="109"/>
    </row>
    <row r="223" ht="13.5" customHeight="1">
      <c r="B223" s="107"/>
      <c r="C223" s="109"/>
    </row>
    <row r="224" ht="13.5" customHeight="1">
      <c r="B224" s="107"/>
      <c r="C224" s="109"/>
    </row>
    <row r="225" ht="13.5" customHeight="1">
      <c r="B225" s="107"/>
      <c r="C225" s="109"/>
    </row>
    <row r="226" ht="13.5" customHeight="1">
      <c r="B226" s="107"/>
      <c r="C226" s="109"/>
    </row>
    <row r="227" ht="13.5" customHeight="1">
      <c r="B227" s="107"/>
      <c r="C227" s="109"/>
    </row>
    <row r="228" ht="13.5" customHeight="1">
      <c r="B228" s="107"/>
      <c r="C228" s="109"/>
    </row>
    <row r="229" ht="13.5" customHeight="1">
      <c r="B229" s="107"/>
      <c r="C229" s="109"/>
    </row>
    <row r="230" ht="13.5" customHeight="1">
      <c r="B230" s="107"/>
      <c r="C230" s="109"/>
    </row>
    <row r="231" ht="13.5" customHeight="1">
      <c r="B231" s="107"/>
      <c r="C231" s="109"/>
    </row>
    <row r="232" ht="13.5" customHeight="1">
      <c r="B232" s="107"/>
      <c r="C232" s="109"/>
    </row>
    <row r="233" ht="13.5" customHeight="1">
      <c r="B233" s="107"/>
      <c r="C233" s="109"/>
    </row>
    <row r="234" ht="13.5" customHeight="1">
      <c r="B234" s="107"/>
      <c r="C234" s="109"/>
    </row>
    <row r="235" ht="13.5" customHeight="1">
      <c r="B235" s="107"/>
      <c r="C235" s="109"/>
    </row>
    <row r="236" ht="13.5" customHeight="1">
      <c r="B236" s="107"/>
      <c r="C236" s="109"/>
    </row>
    <row r="237" ht="13.5" customHeight="1">
      <c r="B237" s="107"/>
      <c r="C237" s="109"/>
    </row>
    <row r="238" ht="13.5" customHeight="1">
      <c r="B238" s="107"/>
      <c r="C238" s="109"/>
    </row>
    <row r="239" ht="13.5" customHeight="1">
      <c r="B239" s="107"/>
      <c r="C239" s="109"/>
    </row>
    <row r="240" ht="13.5" customHeight="1">
      <c r="B240" s="107"/>
      <c r="C240" s="109"/>
    </row>
    <row r="241" ht="13.5" customHeight="1">
      <c r="B241" s="107"/>
      <c r="C241" s="109"/>
    </row>
    <row r="242" ht="13.5" customHeight="1">
      <c r="B242" s="107"/>
      <c r="C242" s="109"/>
    </row>
    <row r="243" ht="13.5" customHeight="1">
      <c r="B243" s="107"/>
      <c r="C243" s="109"/>
    </row>
    <row r="244" ht="13.5" customHeight="1">
      <c r="B244" s="107"/>
      <c r="C244" s="109"/>
    </row>
    <row r="245" ht="13.5" customHeight="1">
      <c r="B245" s="107"/>
      <c r="C245" s="109"/>
    </row>
    <row r="246" ht="13.5" customHeight="1">
      <c r="B246" s="107"/>
      <c r="C246" s="109"/>
    </row>
    <row r="247" ht="13.5" customHeight="1">
      <c r="B247" s="107"/>
      <c r="C247" s="109"/>
    </row>
    <row r="248" ht="13.5" customHeight="1">
      <c r="B248" s="107"/>
      <c r="C248" s="109"/>
    </row>
    <row r="249" ht="13.5" customHeight="1">
      <c r="B249" s="107"/>
      <c r="C249" s="109"/>
    </row>
    <row r="250" ht="13.5" customHeight="1">
      <c r="B250" s="107"/>
      <c r="C250" s="109"/>
    </row>
    <row r="251" ht="13.5" customHeight="1">
      <c r="B251" s="107"/>
      <c r="C251" s="109"/>
    </row>
    <row r="252" ht="13.5" customHeight="1">
      <c r="B252" s="107"/>
      <c r="C252" s="109"/>
    </row>
    <row r="253" ht="13.5" customHeight="1">
      <c r="B253" s="107"/>
      <c r="C253" s="109"/>
    </row>
    <row r="254" ht="13.5" customHeight="1">
      <c r="B254" s="107"/>
      <c r="C254" s="109"/>
    </row>
    <row r="255" ht="13.5" customHeight="1">
      <c r="B255" s="107"/>
      <c r="C255" s="109"/>
    </row>
    <row r="256" ht="13.5" customHeight="1">
      <c r="B256" s="107"/>
      <c r="C256" s="109"/>
    </row>
    <row r="257" ht="13.5" customHeight="1">
      <c r="B257" s="107"/>
      <c r="C257" s="109"/>
    </row>
    <row r="258" ht="13.5" customHeight="1">
      <c r="B258" s="107"/>
      <c r="C258" s="109"/>
    </row>
    <row r="259" ht="13.5" customHeight="1">
      <c r="B259" s="107"/>
      <c r="C259" s="109"/>
    </row>
    <row r="260" ht="13.5" customHeight="1">
      <c r="B260" s="107"/>
      <c r="C260" s="109"/>
    </row>
    <row r="261" ht="13.5" customHeight="1">
      <c r="B261" s="107"/>
      <c r="C261" s="109"/>
    </row>
    <row r="262" ht="13.5" customHeight="1">
      <c r="B262" s="107"/>
      <c r="C262" s="109"/>
    </row>
    <row r="263" ht="13.5" customHeight="1">
      <c r="B263" s="107"/>
      <c r="C263" s="109"/>
    </row>
    <row r="264" ht="13.5" customHeight="1">
      <c r="B264" s="107"/>
      <c r="C264" s="109"/>
    </row>
    <row r="265" ht="13.5" customHeight="1">
      <c r="B265" s="107"/>
      <c r="C265" s="109"/>
    </row>
    <row r="266" ht="13.5" customHeight="1">
      <c r="B266" s="107"/>
      <c r="C266" s="109"/>
    </row>
    <row r="267" ht="13.5" customHeight="1">
      <c r="B267" s="107"/>
      <c r="C267" s="109"/>
    </row>
    <row r="268" ht="13.5" customHeight="1">
      <c r="B268" s="107"/>
      <c r="C268" s="109"/>
    </row>
    <row r="269" ht="13.5" customHeight="1">
      <c r="B269" s="107"/>
      <c r="C269" s="109"/>
    </row>
    <row r="270" ht="13.5" customHeight="1">
      <c r="B270" s="107"/>
      <c r="C270" s="109"/>
    </row>
    <row r="271" ht="13.5" customHeight="1">
      <c r="B271" s="107"/>
      <c r="C271" s="109"/>
    </row>
    <row r="272" ht="13.5" customHeight="1">
      <c r="B272" s="107"/>
      <c r="C272" s="109"/>
    </row>
    <row r="273" ht="13.5" customHeight="1">
      <c r="B273" s="107"/>
      <c r="C273" s="109"/>
    </row>
    <row r="274" ht="13.5" customHeight="1">
      <c r="B274" s="107"/>
      <c r="C274" s="109"/>
    </row>
    <row r="275" ht="13.5" customHeight="1">
      <c r="B275" s="107"/>
      <c r="C275" s="109"/>
    </row>
    <row r="276" ht="13.5" customHeight="1">
      <c r="B276" s="107"/>
      <c r="C276" s="109"/>
    </row>
    <row r="277" ht="13.5" customHeight="1">
      <c r="B277" s="107"/>
      <c r="C277" s="109"/>
    </row>
    <row r="278" ht="13.5" customHeight="1">
      <c r="B278" s="107"/>
      <c r="C278" s="109"/>
    </row>
    <row r="279" ht="13.5" customHeight="1">
      <c r="B279" s="107"/>
      <c r="C279" s="109"/>
    </row>
    <row r="280" ht="13.5" customHeight="1">
      <c r="B280" s="107"/>
      <c r="C280" s="109"/>
    </row>
    <row r="281" ht="13.5" customHeight="1">
      <c r="B281" s="107"/>
      <c r="C281" s="109"/>
    </row>
    <row r="282" ht="13.5" customHeight="1">
      <c r="B282" s="107"/>
      <c r="C282" s="109"/>
    </row>
    <row r="283" ht="13.5" customHeight="1">
      <c r="B283" s="107"/>
      <c r="C283" s="109"/>
    </row>
    <row r="284" ht="13.5" customHeight="1">
      <c r="B284" s="107"/>
      <c r="C284" s="109"/>
    </row>
    <row r="285" ht="13.5" customHeight="1">
      <c r="B285" s="107"/>
      <c r="C285" s="109"/>
    </row>
    <row r="286" ht="13.5" customHeight="1">
      <c r="B286" s="107"/>
      <c r="C286" s="109"/>
    </row>
    <row r="287" ht="13.5" customHeight="1">
      <c r="B287" s="107"/>
      <c r="C287" s="109"/>
    </row>
    <row r="288" ht="13.5" customHeight="1">
      <c r="B288" s="107"/>
      <c r="C288" s="109"/>
    </row>
    <row r="289" ht="13.5" customHeight="1">
      <c r="B289" s="107"/>
      <c r="C289" s="109"/>
    </row>
    <row r="290" ht="13.5" customHeight="1">
      <c r="B290" s="107"/>
      <c r="C290" s="109"/>
    </row>
    <row r="291" ht="13.5" customHeight="1">
      <c r="B291" s="107"/>
      <c r="C291" s="109"/>
    </row>
    <row r="292" ht="13.5" customHeight="1">
      <c r="B292" s="107"/>
      <c r="C292" s="109"/>
    </row>
    <row r="293" ht="13.5" customHeight="1">
      <c r="B293" s="107"/>
      <c r="C293" s="109"/>
    </row>
    <row r="294" ht="13.5" customHeight="1">
      <c r="B294" s="107"/>
      <c r="C294" s="109"/>
    </row>
    <row r="295" ht="13.5" customHeight="1">
      <c r="B295" s="107"/>
      <c r="C295" s="109"/>
    </row>
    <row r="296" ht="13.5" customHeight="1">
      <c r="B296" s="107"/>
      <c r="C296" s="109"/>
    </row>
    <row r="297" ht="13.5" customHeight="1">
      <c r="B297" s="107"/>
      <c r="C297" s="109"/>
    </row>
    <row r="298" ht="13.5" customHeight="1">
      <c r="B298" s="107"/>
      <c r="C298" s="109"/>
    </row>
    <row r="299" ht="13.5" customHeight="1">
      <c r="B299" s="107"/>
      <c r="C299" s="109"/>
    </row>
    <row r="300" ht="13.5" customHeight="1">
      <c r="B300" s="107"/>
      <c r="C300" s="109"/>
    </row>
    <row r="301" ht="13.5" customHeight="1">
      <c r="B301" s="107"/>
      <c r="C301" s="109"/>
    </row>
    <row r="302" ht="13.5" customHeight="1">
      <c r="B302" s="107"/>
      <c r="C302" s="109"/>
    </row>
    <row r="303" ht="13.5" customHeight="1">
      <c r="B303" s="107"/>
      <c r="C303" s="109"/>
    </row>
    <row r="304" ht="13.5" customHeight="1">
      <c r="B304" s="107"/>
      <c r="C304" s="109"/>
    </row>
    <row r="305" ht="13.5" customHeight="1">
      <c r="B305" s="107"/>
      <c r="C305" s="109"/>
    </row>
    <row r="306" ht="13.5" customHeight="1">
      <c r="B306" s="107"/>
      <c r="C306" s="109"/>
    </row>
    <row r="307" ht="13.5" customHeight="1">
      <c r="B307" s="107"/>
      <c r="C307" s="109"/>
    </row>
    <row r="308" ht="13.5" customHeight="1">
      <c r="B308" s="107"/>
      <c r="C308" s="109"/>
    </row>
    <row r="309" ht="13.5" customHeight="1">
      <c r="B309" s="107"/>
      <c r="C309" s="109"/>
    </row>
    <row r="310" ht="13.5" customHeight="1">
      <c r="B310" s="107"/>
      <c r="C310" s="109"/>
    </row>
    <row r="311" ht="13.5" customHeight="1">
      <c r="B311" s="107"/>
      <c r="C311" s="109"/>
    </row>
    <row r="312" ht="13.5" customHeight="1">
      <c r="B312" s="107"/>
      <c r="C312" s="109"/>
    </row>
    <row r="313" ht="13.5" customHeight="1">
      <c r="B313" s="107"/>
      <c r="C313" s="109"/>
    </row>
    <row r="314" ht="13.5" customHeight="1">
      <c r="B314" s="107"/>
      <c r="C314" s="109"/>
    </row>
    <row r="315" ht="13.5" customHeight="1">
      <c r="B315" s="107"/>
      <c r="C315" s="109"/>
    </row>
    <row r="316" ht="13.5" customHeight="1">
      <c r="B316" s="107"/>
      <c r="C316" s="109"/>
    </row>
    <row r="317" ht="13.5" customHeight="1">
      <c r="B317" s="107"/>
      <c r="C317" s="109"/>
    </row>
    <row r="318" ht="13.5" customHeight="1">
      <c r="B318" s="107"/>
      <c r="C318" s="109"/>
    </row>
    <row r="319" ht="13.5" customHeight="1">
      <c r="B319" s="107"/>
      <c r="C319" s="109"/>
    </row>
    <row r="320" ht="13.5" customHeight="1">
      <c r="B320" s="107"/>
      <c r="C320" s="109"/>
    </row>
    <row r="321" ht="13.5" customHeight="1">
      <c r="B321" s="107"/>
      <c r="C321" s="109"/>
    </row>
    <row r="322" ht="13.5" customHeight="1">
      <c r="B322" s="107"/>
      <c r="C322" s="109"/>
    </row>
    <row r="323" ht="13.5" customHeight="1">
      <c r="B323" s="107"/>
      <c r="C323" s="109"/>
    </row>
    <row r="324" ht="13.5" customHeight="1">
      <c r="B324" s="107"/>
      <c r="C324" s="109"/>
    </row>
    <row r="325" ht="13.5" customHeight="1">
      <c r="B325" s="107"/>
      <c r="C325" s="109"/>
    </row>
    <row r="326" ht="13.5" customHeight="1">
      <c r="B326" s="107"/>
      <c r="C326" s="109"/>
    </row>
    <row r="327" ht="13.5" customHeight="1">
      <c r="B327" s="107"/>
      <c r="C327" s="109"/>
    </row>
    <row r="328" ht="13.5" customHeight="1">
      <c r="B328" s="107"/>
      <c r="C328" s="109"/>
    </row>
    <row r="329" ht="13.5" customHeight="1">
      <c r="B329" s="107"/>
      <c r="C329" s="109"/>
    </row>
    <row r="330" ht="13.5" customHeight="1">
      <c r="B330" s="107"/>
      <c r="C330" s="109"/>
    </row>
    <row r="331" ht="13.5" customHeight="1">
      <c r="B331" s="107"/>
      <c r="C331" s="109"/>
    </row>
    <row r="332" ht="13.5" customHeight="1">
      <c r="B332" s="107"/>
      <c r="C332" s="109"/>
    </row>
    <row r="333" ht="13.5" customHeight="1">
      <c r="B333" s="107"/>
      <c r="C333" s="109"/>
    </row>
    <row r="334" ht="13.5" customHeight="1">
      <c r="B334" s="107"/>
      <c r="C334" s="109"/>
    </row>
    <row r="335" ht="13.5" customHeight="1">
      <c r="B335" s="107"/>
      <c r="C335" s="109"/>
    </row>
    <row r="336" ht="13.5" customHeight="1">
      <c r="B336" s="107"/>
      <c r="C336" s="109"/>
    </row>
    <row r="337" ht="13.5" customHeight="1">
      <c r="B337" s="107"/>
      <c r="C337" s="109"/>
    </row>
    <row r="338" ht="13.5" customHeight="1">
      <c r="B338" s="107"/>
      <c r="C338" s="109"/>
    </row>
    <row r="339" ht="13.5" customHeight="1">
      <c r="B339" s="107"/>
      <c r="C339" s="109"/>
    </row>
    <row r="340" ht="13.5" customHeight="1">
      <c r="B340" s="107"/>
      <c r="C340" s="109"/>
    </row>
    <row r="341" ht="13.5" customHeight="1">
      <c r="B341" s="107"/>
      <c r="C341" s="109"/>
    </row>
    <row r="342" ht="13.5" customHeight="1">
      <c r="B342" s="107"/>
      <c r="C342" s="109"/>
    </row>
    <row r="343" ht="13.5" customHeight="1">
      <c r="B343" s="107"/>
      <c r="C343" s="109"/>
    </row>
    <row r="344" ht="13.5" customHeight="1">
      <c r="B344" s="107"/>
      <c r="C344" s="109"/>
    </row>
    <row r="345" ht="13.5" customHeight="1">
      <c r="B345" s="107"/>
      <c r="C345" s="109"/>
    </row>
    <row r="346" ht="13.5" customHeight="1">
      <c r="B346" s="107"/>
      <c r="C346" s="109"/>
    </row>
    <row r="347" ht="13.5" customHeight="1">
      <c r="B347" s="107"/>
      <c r="C347" s="109"/>
    </row>
    <row r="348" ht="13.5" customHeight="1">
      <c r="B348" s="107"/>
      <c r="C348" s="109"/>
    </row>
    <row r="349" ht="13.5" customHeight="1">
      <c r="B349" s="107"/>
      <c r="C349" s="109"/>
    </row>
    <row r="350" ht="13.5" customHeight="1">
      <c r="B350" s="107"/>
      <c r="C350" s="109"/>
    </row>
    <row r="351" ht="13.5" customHeight="1">
      <c r="B351" s="107"/>
      <c r="C351" s="109"/>
    </row>
    <row r="352" ht="13.5" customHeight="1">
      <c r="B352" s="107"/>
      <c r="C352" s="109"/>
    </row>
    <row r="353" ht="13.5" customHeight="1">
      <c r="B353" s="107"/>
      <c r="C353" s="109"/>
    </row>
    <row r="354" ht="13.5" customHeight="1">
      <c r="B354" s="107"/>
      <c r="C354" s="109"/>
    </row>
    <row r="355" ht="13.5" customHeight="1">
      <c r="B355" s="107"/>
      <c r="C355" s="109"/>
    </row>
    <row r="356" ht="13.5" customHeight="1">
      <c r="B356" s="107"/>
      <c r="C356" s="109"/>
    </row>
    <row r="357" ht="13.5" customHeight="1">
      <c r="B357" s="107"/>
      <c r="C357" s="109"/>
    </row>
    <row r="358" ht="13.5" customHeight="1">
      <c r="B358" s="107"/>
      <c r="C358" s="109"/>
    </row>
    <row r="359" ht="13.5" customHeight="1">
      <c r="B359" s="107"/>
      <c r="C359" s="109"/>
    </row>
    <row r="360" ht="13.5" customHeight="1">
      <c r="B360" s="107"/>
      <c r="C360" s="109"/>
    </row>
    <row r="361" ht="13.5" customHeight="1">
      <c r="B361" s="107"/>
      <c r="C361" s="109"/>
    </row>
    <row r="362" ht="13.5" customHeight="1">
      <c r="B362" s="107"/>
      <c r="C362" s="109"/>
    </row>
    <row r="363" ht="13.5" customHeight="1">
      <c r="B363" s="107"/>
      <c r="C363" s="109"/>
    </row>
    <row r="364" ht="13.5" customHeight="1">
      <c r="B364" s="107"/>
      <c r="C364" s="109"/>
    </row>
    <row r="365" ht="13.5" customHeight="1">
      <c r="B365" s="107"/>
      <c r="C365" s="109"/>
    </row>
    <row r="366" ht="13.5" customHeight="1">
      <c r="B366" s="107"/>
      <c r="C366" s="109"/>
    </row>
    <row r="367" ht="13.5" customHeight="1">
      <c r="B367" s="107"/>
      <c r="C367" s="109"/>
    </row>
    <row r="368" ht="13.5" customHeight="1">
      <c r="B368" s="107"/>
      <c r="C368" s="109"/>
    </row>
    <row r="369" ht="13.5" customHeight="1">
      <c r="B369" s="107"/>
      <c r="C369" s="109"/>
    </row>
    <row r="370" ht="13.5" customHeight="1">
      <c r="B370" s="107"/>
      <c r="C370" s="109"/>
    </row>
    <row r="371" ht="13.5" customHeight="1">
      <c r="B371" s="107"/>
      <c r="C371" s="109"/>
    </row>
    <row r="372" ht="13.5" customHeight="1">
      <c r="B372" s="107"/>
      <c r="C372" s="109"/>
    </row>
    <row r="373" ht="13.5" customHeight="1">
      <c r="B373" s="107"/>
      <c r="C373" s="109"/>
    </row>
    <row r="374" ht="13.5" customHeight="1">
      <c r="B374" s="107"/>
      <c r="C374" s="109"/>
    </row>
    <row r="375" ht="13.5" customHeight="1">
      <c r="B375" s="107"/>
      <c r="C375" s="109"/>
    </row>
    <row r="376" ht="13.5" customHeight="1">
      <c r="B376" s="107"/>
      <c r="C376" s="109"/>
    </row>
    <row r="377" ht="13.5" customHeight="1">
      <c r="B377" s="107"/>
      <c r="C377" s="109"/>
    </row>
    <row r="378" ht="13.5" customHeight="1">
      <c r="B378" s="107"/>
      <c r="C378" s="109"/>
    </row>
    <row r="379" ht="13.5" customHeight="1">
      <c r="B379" s="107"/>
      <c r="C379" s="109"/>
    </row>
    <row r="380" ht="13.5" customHeight="1">
      <c r="B380" s="107"/>
      <c r="C380" s="109"/>
    </row>
    <row r="381" ht="13.5" customHeight="1">
      <c r="B381" s="107"/>
      <c r="C381" s="109"/>
    </row>
    <row r="382" ht="13.5" customHeight="1">
      <c r="B382" s="107"/>
      <c r="C382" s="109"/>
    </row>
    <row r="383" ht="13.5" customHeight="1">
      <c r="B383" s="107"/>
      <c r="C383" s="109"/>
    </row>
    <row r="384" ht="13.5" customHeight="1">
      <c r="B384" s="107"/>
      <c r="C384" s="109"/>
    </row>
    <row r="385" ht="13.5" customHeight="1">
      <c r="B385" s="107"/>
      <c r="C385" s="109"/>
    </row>
    <row r="386" ht="13.5" customHeight="1">
      <c r="B386" s="107"/>
      <c r="C386" s="109"/>
    </row>
    <row r="387" ht="13.5" customHeight="1">
      <c r="B387" s="107"/>
      <c r="C387" s="109"/>
    </row>
    <row r="388" ht="13.5" customHeight="1">
      <c r="B388" s="107"/>
      <c r="C388" s="109"/>
    </row>
    <row r="389" ht="13.5" customHeight="1">
      <c r="B389" s="107"/>
      <c r="C389" s="109"/>
    </row>
    <row r="390" ht="13.5" customHeight="1">
      <c r="B390" s="107"/>
      <c r="C390" s="109"/>
    </row>
    <row r="391" ht="13.5" customHeight="1">
      <c r="B391" s="107"/>
      <c r="C391" s="109"/>
    </row>
    <row r="392" ht="13.5" customHeight="1">
      <c r="B392" s="107"/>
      <c r="C392" s="109"/>
    </row>
    <row r="393" ht="13.5" customHeight="1">
      <c r="B393" s="107"/>
      <c r="C393" s="109"/>
    </row>
    <row r="394" ht="13.5" customHeight="1">
      <c r="B394" s="107"/>
      <c r="C394" s="109"/>
    </row>
    <row r="395" ht="13.5" customHeight="1">
      <c r="B395" s="107"/>
      <c r="C395" s="109"/>
    </row>
    <row r="396" ht="13.5" customHeight="1">
      <c r="B396" s="107"/>
      <c r="C396" s="109"/>
    </row>
    <row r="397" ht="13.5" customHeight="1">
      <c r="B397" s="107"/>
      <c r="C397" s="109"/>
    </row>
    <row r="398" ht="13.5" customHeight="1">
      <c r="B398" s="107"/>
      <c r="C398" s="109"/>
    </row>
    <row r="399" ht="13.5" customHeight="1">
      <c r="B399" s="107"/>
      <c r="C399" s="109"/>
    </row>
    <row r="400" ht="13.5" customHeight="1">
      <c r="B400" s="107"/>
      <c r="C400" s="109"/>
    </row>
    <row r="401" ht="13.5" customHeight="1">
      <c r="B401" s="107"/>
      <c r="C401" s="109"/>
    </row>
    <row r="402" ht="13.5" customHeight="1">
      <c r="B402" s="107"/>
      <c r="C402" s="109"/>
    </row>
    <row r="403" ht="13.5" customHeight="1">
      <c r="B403" s="107"/>
      <c r="C403" s="109"/>
    </row>
    <row r="404" ht="13.5" customHeight="1">
      <c r="B404" s="107"/>
      <c r="C404" s="109"/>
    </row>
    <row r="405" ht="13.5" customHeight="1">
      <c r="B405" s="107"/>
      <c r="C405" s="109"/>
    </row>
    <row r="406" ht="13.5" customHeight="1">
      <c r="B406" s="107"/>
      <c r="C406" s="109"/>
    </row>
    <row r="407" ht="13.5" customHeight="1">
      <c r="B407" s="107"/>
      <c r="C407" s="109"/>
    </row>
    <row r="408" ht="13.5" customHeight="1">
      <c r="B408" s="107"/>
      <c r="C408" s="109"/>
    </row>
    <row r="409" ht="13.5" customHeight="1">
      <c r="B409" s="107"/>
      <c r="C409" s="109"/>
    </row>
    <row r="410" ht="13.5" customHeight="1">
      <c r="B410" s="107"/>
      <c r="C410" s="109"/>
    </row>
    <row r="411" ht="13.5" customHeight="1">
      <c r="B411" s="107"/>
      <c r="C411" s="109"/>
    </row>
    <row r="412" ht="13.5" customHeight="1">
      <c r="B412" s="107"/>
      <c r="C412" s="109"/>
    </row>
    <row r="413" ht="13.5" customHeight="1">
      <c r="B413" s="107"/>
      <c r="C413" s="109"/>
    </row>
    <row r="414" ht="13.5" customHeight="1">
      <c r="B414" s="107"/>
      <c r="C414" s="109"/>
    </row>
    <row r="415" ht="13.5" customHeight="1">
      <c r="B415" s="107"/>
      <c r="C415" s="109"/>
    </row>
    <row r="416" ht="13.5" customHeight="1">
      <c r="B416" s="107"/>
      <c r="C416" s="109"/>
    </row>
    <row r="417" ht="13.5" customHeight="1">
      <c r="B417" s="107"/>
      <c r="C417" s="109"/>
    </row>
    <row r="418" ht="13.5" customHeight="1">
      <c r="B418" s="107"/>
      <c r="C418" s="109"/>
    </row>
    <row r="419" ht="13.5" customHeight="1">
      <c r="B419" s="107"/>
      <c r="C419" s="109"/>
    </row>
    <row r="420" ht="13.5" customHeight="1">
      <c r="B420" s="107"/>
      <c r="C420" s="109"/>
    </row>
    <row r="421" ht="13.5" customHeight="1">
      <c r="B421" s="107"/>
      <c r="C421" s="109"/>
    </row>
    <row r="422" ht="13.5" customHeight="1">
      <c r="B422" s="107"/>
      <c r="C422" s="109"/>
    </row>
    <row r="423" ht="13.5" customHeight="1">
      <c r="B423" s="107"/>
      <c r="C423" s="109"/>
    </row>
    <row r="424" ht="13.5" customHeight="1">
      <c r="B424" s="107"/>
      <c r="C424" s="109"/>
    </row>
    <row r="425" ht="13.5" customHeight="1">
      <c r="B425" s="107"/>
      <c r="C425" s="109"/>
    </row>
    <row r="426" ht="13.5" customHeight="1">
      <c r="B426" s="107"/>
      <c r="C426" s="109"/>
    </row>
    <row r="427" ht="13.5" customHeight="1">
      <c r="B427" s="107"/>
      <c r="C427" s="109"/>
    </row>
    <row r="428" ht="13.5" customHeight="1">
      <c r="B428" s="107"/>
      <c r="C428" s="109"/>
    </row>
    <row r="429" ht="13.5" customHeight="1">
      <c r="B429" s="107"/>
      <c r="C429" s="109"/>
    </row>
    <row r="430" ht="13.5" customHeight="1">
      <c r="B430" s="107"/>
      <c r="C430" s="109"/>
    </row>
    <row r="431" ht="13.5" customHeight="1">
      <c r="B431" s="107"/>
      <c r="C431" s="109"/>
    </row>
    <row r="432" ht="13.5" customHeight="1">
      <c r="B432" s="107"/>
      <c r="C432" s="109"/>
    </row>
    <row r="433" ht="13.5" customHeight="1">
      <c r="B433" s="107"/>
      <c r="C433" s="109"/>
    </row>
    <row r="434" ht="13.5" customHeight="1">
      <c r="B434" s="107"/>
      <c r="C434" s="109"/>
    </row>
    <row r="435" ht="13.5" customHeight="1">
      <c r="B435" s="107"/>
      <c r="C435" s="109"/>
    </row>
    <row r="436" ht="13.5" customHeight="1">
      <c r="B436" s="107"/>
      <c r="C436" s="109"/>
    </row>
    <row r="437" ht="13.5" customHeight="1">
      <c r="B437" s="107"/>
      <c r="C437" s="109"/>
    </row>
    <row r="438" ht="13.5" customHeight="1">
      <c r="B438" s="107"/>
      <c r="C438" s="109"/>
    </row>
    <row r="439" ht="13.5" customHeight="1">
      <c r="B439" s="107"/>
      <c r="C439" s="109"/>
    </row>
    <row r="440" ht="13.5" customHeight="1">
      <c r="B440" s="107"/>
      <c r="C440" s="109"/>
    </row>
    <row r="441" ht="13.5" customHeight="1">
      <c r="B441" s="107"/>
      <c r="C441" s="109"/>
    </row>
    <row r="442" ht="13.5" customHeight="1">
      <c r="B442" s="107"/>
      <c r="C442" s="109"/>
    </row>
    <row r="443" ht="13.5" customHeight="1">
      <c r="B443" s="107"/>
      <c r="C443" s="109"/>
    </row>
    <row r="444" ht="13.5" customHeight="1">
      <c r="B444" s="107"/>
      <c r="C444" s="109"/>
    </row>
    <row r="445" ht="13.5" customHeight="1">
      <c r="B445" s="107"/>
      <c r="C445" s="109"/>
    </row>
    <row r="446" ht="13.5" customHeight="1">
      <c r="B446" s="107"/>
      <c r="C446" s="109"/>
    </row>
    <row r="447" ht="13.5" customHeight="1">
      <c r="B447" s="107"/>
      <c r="C447" s="109"/>
    </row>
    <row r="448" ht="13.5" customHeight="1">
      <c r="B448" s="107"/>
      <c r="C448" s="109"/>
    </row>
    <row r="449" ht="13.5" customHeight="1">
      <c r="B449" s="107"/>
      <c r="C449" s="109"/>
    </row>
    <row r="450" ht="13.5" customHeight="1">
      <c r="B450" s="107"/>
      <c r="C450" s="109"/>
    </row>
    <row r="451" ht="13.5" customHeight="1">
      <c r="B451" s="107"/>
      <c r="C451" s="109"/>
    </row>
    <row r="452" ht="13.5" customHeight="1">
      <c r="B452" s="107"/>
      <c r="C452" s="109"/>
    </row>
    <row r="453" ht="13.5" customHeight="1">
      <c r="B453" s="107"/>
      <c r="C453" s="109"/>
    </row>
    <row r="454" ht="13.5" customHeight="1">
      <c r="B454" s="107"/>
      <c r="C454" s="109"/>
    </row>
    <row r="455" ht="13.5" customHeight="1">
      <c r="B455" s="107"/>
      <c r="C455" s="109"/>
    </row>
    <row r="456" ht="13.5" customHeight="1">
      <c r="B456" s="107"/>
      <c r="C456" s="109"/>
    </row>
    <row r="457" ht="13.5" customHeight="1">
      <c r="B457" s="107"/>
      <c r="C457" s="109"/>
    </row>
    <row r="458" ht="13.5" customHeight="1">
      <c r="B458" s="107"/>
      <c r="C458" s="109"/>
    </row>
    <row r="459" ht="13.5" customHeight="1">
      <c r="B459" s="107"/>
      <c r="C459" s="109"/>
    </row>
    <row r="460" ht="13.5" customHeight="1">
      <c r="B460" s="107"/>
      <c r="C460" s="109"/>
    </row>
    <row r="461" ht="13.5" customHeight="1">
      <c r="B461" s="107"/>
      <c r="C461" s="109"/>
    </row>
    <row r="462" ht="13.5" customHeight="1">
      <c r="B462" s="107"/>
      <c r="C462" s="109"/>
    </row>
    <row r="463" ht="13.5" customHeight="1">
      <c r="B463" s="107"/>
      <c r="C463" s="109"/>
    </row>
    <row r="464" ht="13.5" customHeight="1">
      <c r="B464" s="107"/>
      <c r="C464" s="109"/>
    </row>
    <row r="465" ht="13.5" customHeight="1">
      <c r="B465" s="107"/>
      <c r="C465" s="109"/>
    </row>
    <row r="466" ht="13.5" customHeight="1">
      <c r="B466" s="107"/>
      <c r="C466" s="109"/>
    </row>
    <row r="467" ht="13.5" customHeight="1">
      <c r="B467" s="107"/>
      <c r="C467" s="109"/>
    </row>
    <row r="468" ht="13.5" customHeight="1">
      <c r="B468" s="107"/>
      <c r="C468" s="109"/>
    </row>
    <row r="469" ht="13.5" customHeight="1">
      <c r="B469" s="107"/>
      <c r="C469" s="109"/>
    </row>
    <row r="470" ht="13.5" customHeight="1">
      <c r="B470" s="107"/>
      <c r="C470" s="109"/>
    </row>
    <row r="471" ht="13.5" customHeight="1">
      <c r="B471" s="107"/>
      <c r="C471" s="109"/>
    </row>
    <row r="472" ht="13.5" customHeight="1">
      <c r="B472" s="107"/>
      <c r="C472" s="109"/>
    </row>
    <row r="473" ht="13.5" customHeight="1">
      <c r="B473" s="107"/>
      <c r="C473" s="109"/>
    </row>
    <row r="474" ht="13.5" customHeight="1">
      <c r="B474" s="107"/>
      <c r="C474" s="109"/>
    </row>
    <row r="475" ht="13.5" customHeight="1">
      <c r="B475" s="107"/>
      <c r="C475" s="109"/>
    </row>
    <row r="476" ht="13.5" customHeight="1">
      <c r="B476" s="107"/>
      <c r="C476" s="109"/>
    </row>
    <row r="477" ht="13.5" customHeight="1">
      <c r="B477" s="107"/>
      <c r="C477" s="109"/>
    </row>
    <row r="478" ht="13.5" customHeight="1">
      <c r="B478" s="107"/>
      <c r="C478" s="109"/>
    </row>
    <row r="479" ht="13.5" customHeight="1">
      <c r="B479" s="107"/>
      <c r="C479" s="109"/>
    </row>
    <row r="480" ht="13.5" customHeight="1">
      <c r="B480" s="107"/>
      <c r="C480" s="109"/>
    </row>
    <row r="481" ht="13.5" customHeight="1">
      <c r="B481" s="107"/>
      <c r="C481" s="109"/>
    </row>
    <row r="482" ht="13.5" customHeight="1">
      <c r="B482" s="107"/>
      <c r="C482" s="109"/>
    </row>
    <row r="483" ht="13.5" customHeight="1">
      <c r="B483" s="107"/>
      <c r="C483" s="109"/>
    </row>
    <row r="484" ht="13.5" customHeight="1">
      <c r="B484" s="107"/>
      <c r="C484" s="109"/>
    </row>
    <row r="485" ht="13.5" customHeight="1">
      <c r="B485" s="107"/>
      <c r="C485" s="109"/>
    </row>
    <row r="486" ht="13.5" customHeight="1">
      <c r="B486" s="107"/>
      <c r="C486" s="109"/>
    </row>
    <row r="487" ht="13.5" customHeight="1">
      <c r="B487" s="107"/>
      <c r="C487" s="109"/>
    </row>
    <row r="488" ht="13.5" customHeight="1">
      <c r="B488" s="107"/>
      <c r="C488" s="109"/>
    </row>
    <row r="489" ht="13.5" customHeight="1">
      <c r="B489" s="107"/>
      <c r="C489" s="109"/>
    </row>
    <row r="490" ht="13.5" customHeight="1">
      <c r="B490" s="107"/>
      <c r="C490" s="109"/>
    </row>
    <row r="491" ht="13.5" customHeight="1">
      <c r="B491" s="107"/>
      <c r="C491" s="109"/>
    </row>
    <row r="492" ht="13.5" customHeight="1">
      <c r="B492" s="107"/>
      <c r="C492" s="109"/>
    </row>
    <row r="493" ht="13.5" customHeight="1">
      <c r="B493" s="107"/>
      <c r="C493" s="109"/>
    </row>
    <row r="494" ht="13.5" customHeight="1">
      <c r="B494" s="107"/>
      <c r="C494" s="109"/>
    </row>
    <row r="495" ht="13.5" customHeight="1">
      <c r="B495" s="107"/>
      <c r="C495" s="109"/>
    </row>
    <row r="496" ht="13.5" customHeight="1">
      <c r="B496" s="107"/>
      <c r="C496" s="109"/>
    </row>
    <row r="497" ht="13.5" customHeight="1">
      <c r="B497" s="107"/>
      <c r="C497" s="109"/>
    </row>
    <row r="498" ht="13.5" customHeight="1">
      <c r="B498" s="107"/>
      <c r="C498" s="109"/>
    </row>
    <row r="499" ht="13.5" customHeight="1">
      <c r="B499" s="107"/>
      <c r="C499" s="109"/>
    </row>
    <row r="500" ht="13.5" customHeight="1">
      <c r="B500" s="107"/>
      <c r="C500" s="109"/>
    </row>
    <row r="501" ht="13.5" customHeight="1">
      <c r="B501" s="107"/>
      <c r="C501" s="109"/>
    </row>
    <row r="502" ht="13.5" customHeight="1">
      <c r="B502" s="107"/>
      <c r="C502" s="109"/>
    </row>
    <row r="503" ht="13.5" customHeight="1">
      <c r="B503" s="107"/>
      <c r="C503" s="109"/>
    </row>
    <row r="504" ht="13.5" customHeight="1">
      <c r="B504" s="107"/>
      <c r="C504" s="109"/>
    </row>
    <row r="505" ht="13.5" customHeight="1">
      <c r="B505" s="107"/>
      <c r="C505" s="109"/>
    </row>
    <row r="506" ht="13.5" customHeight="1">
      <c r="B506" s="107"/>
      <c r="C506" s="109"/>
    </row>
    <row r="507" ht="13.5" customHeight="1">
      <c r="B507" s="107"/>
      <c r="C507" s="109"/>
    </row>
    <row r="508" ht="13.5" customHeight="1">
      <c r="B508" s="107"/>
      <c r="C508" s="109"/>
    </row>
    <row r="509" ht="13.5" customHeight="1">
      <c r="B509" s="107"/>
      <c r="C509" s="109"/>
    </row>
    <row r="510" ht="13.5" customHeight="1">
      <c r="B510" s="107"/>
      <c r="C510" s="109"/>
    </row>
    <row r="511" ht="13.5" customHeight="1">
      <c r="B511" s="107"/>
      <c r="C511" s="109"/>
    </row>
    <row r="512" ht="13.5" customHeight="1">
      <c r="B512" s="107"/>
      <c r="C512" s="109"/>
    </row>
    <row r="513" ht="13.5" customHeight="1">
      <c r="B513" s="107"/>
      <c r="C513" s="109"/>
    </row>
    <row r="514" ht="13.5" customHeight="1">
      <c r="B514" s="107"/>
      <c r="C514" s="109"/>
    </row>
    <row r="515" ht="13.5" customHeight="1">
      <c r="B515" s="107"/>
      <c r="C515" s="109"/>
    </row>
    <row r="516" ht="13.5" customHeight="1">
      <c r="B516" s="107"/>
      <c r="C516" s="109"/>
    </row>
    <row r="517" ht="13.5" customHeight="1">
      <c r="B517" s="107"/>
      <c r="C517" s="109"/>
    </row>
    <row r="518" ht="13.5" customHeight="1">
      <c r="B518" s="107"/>
      <c r="C518" s="109"/>
    </row>
    <row r="519" ht="13.5" customHeight="1">
      <c r="B519" s="107"/>
      <c r="C519" s="109"/>
    </row>
    <row r="520" ht="13.5" customHeight="1">
      <c r="B520" s="107"/>
      <c r="C520" s="109"/>
    </row>
    <row r="521" ht="13.5" customHeight="1">
      <c r="B521" s="107"/>
      <c r="C521" s="109"/>
    </row>
    <row r="522" ht="13.5" customHeight="1">
      <c r="B522" s="107"/>
      <c r="C522" s="109"/>
    </row>
    <row r="523" ht="13.5" customHeight="1">
      <c r="B523" s="107"/>
      <c r="C523" s="109"/>
    </row>
    <row r="524" ht="13.5" customHeight="1">
      <c r="B524" s="107"/>
      <c r="C524" s="109"/>
    </row>
    <row r="525" ht="13.5" customHeight="1">
      <c r="B525" s="107"/>
      <c r="C525" s="109"/>
    </row>
    <row r="526" ht="13.5" customHeight="1">
      <c r="B526" s="107"/>
      <c r="C526" s="109"/>
    </row>
    <row r="527" ht="13.5" customHeight="1">
      <c r="B527" s="107"/>
      <c r="C527" s="109"/>
    </row>
    <row r="528" ht="13.5" customHeight="1">
      <c r="B528" s="107"/>
      <c r="C528" s="109"/>
    </row>
    <row r="529" ht="13.5" customHeight="1">
      <c r="B529" s="107"/>
      <c r="C529" s="109"/>
    </row>
    <row r="530" ht="13.5" customHeight="1">
      <c r="B530" s="107"/>
      <c r="C530" s="109"/>
    </row>
    <row r="531" ht="13.5" customHeight="1">
      <c r="B531" s="107"/>
      <c r="C531" s="109"/>
    </row>
    <row r="532" ht="13.5" customHeight="1">
      <c r="B532" s="107"/>
      <c r="C532" s="109"/>
    </row>
    <row r="533" ht="13.5" customHeight="1">
      <c r="B533" s="107"/>
      <c r="C533" s="109"/>
    </row>
    <row r="534" ht="13.5" customHeight="1">
      <c r="B534" s="107"/>
      <c r="C534" s="109"/>
    </row>
    <row r="535" ht="13.5" customHeight="1">
      <c r="B535" s="107"/>
      <c r="C535" s="109"/>
    </row>
    <row r="536" ht="13.5" customHeight="1">
      <c r="B536" s="107"/>
      <c r="C536" s="109"/>
    </row>
    <row r="537" ht="13.5" customHeight="1">
      <c r="B537" s="107"/>
      <c r="C537" s="109"/>
    </row>
    <row r="538" ht="13.5" customHeight="1">
      <c r="B538" s="107"/>
      <c r="C538" s="109"/>
    </row>
    <row r="539" ht="13.5" customHeight="1">
      <c r="B539" s="107"/>
      <c r="C539" s="109"/>
    </row>
    <row r="540" ht="13.5" customHeight="1">
      <c r="B540" s="107"/>
      <c r="C540" s="109"/>
    </row>
    <row r="541" ht="13.5" customHeight="1">
      <c r="B541" s="107"/>
      <c r="C541" s="109"/>
    </row>
    <row r="542" ht="13.5" customHeight="1">
      <c r="B542" s="107"/>
      <c r="C542" s="109"/>
    </row>
    <row r="543" ht="13.5" customHeight="1">
      <c r="B543" s="107"/>
      <c r="C543" s="109"/>
    </row>
    <row r="544" ht="13.5" customHeight="1">
      <c r="B544" s="107"/>
      <c r="C544" s="109"/>
    </row>
    <row r="545" ht="13.5" customHeight="1">
      <c r="B545" s="107"/>
      <c r="C545" s="109"/>
    </row>
    <row r="546" ht="13.5" customHeight="1">
      <c r="B546" s="107"/>
      <c r="C546" s="109"/>
    </row>
    <row r="547" ht="13.5" customHeight="1">
      <c r="B547" s="107"/>
      <c r="C547" s="109"/>
    </row>
    <row r="548" ht="13.5" customHeight="1">
      <c r="B548" s="107"/>
      <c r="C548" s="109"/>
    </row>
    <row r="549" ht="13.5" customHeight="1">
      <c r="B549" s="107"/>
      <c r="C549" s="109"/>
    </row>
    <row r="550" ht="13.5" customHeight="1">
      <c r="B550" s="107"/>
      <c r="C550" s="109"/>
    </row>
    <row r="551" ht="13.5" customHeight="1">
      <c r="B551" s="107"/>
      <c r="C551" s="109"/>
    </row>
    <row r="552" ht="13.5" customHeight="1">
      <c r="B552" s="107"/>
      <c r="C552" s="109"/>
    </row>
    <row r="553" ht="13.5" customHeight="1">
      <c r="B553" s="107"/>
      <c r="C553" s="109"/>
    </row>
    <row r="554" ht="13.5" customHeight="1">
      <c r="B554" s="107"/>
      <c r="C554" s="109"/>
    </row>
    <row r="555" ht="13.5" customHeight="1">
      <c r="B555" s="107"/>
      <c r="C555" s="109"/>
    </row>
    <row r="556" ht="13.5" customHeight="1">
      <c r="B556" s="107"/>
      <c r="C556" s="109"/>
    </row>
    <row r="557" ht="13.5" customHeight="1">
      <c r="B557" s="107"/>
      <c r="C557" s="109"/>
    </row>
    <row r="558" ht="13.5" customHeight="1">
      <c r="B558" s="107"/>
      <c r="C558" s="109"/>
    </row>
    <row r="559" ht="13.5" customHeight="1">
      <c r="B559" s="107"/>
      <c r="C559" s="109"/>
    </row>
    <row r="560" ht="13.5" customHeight="1">
      <c r="B560" s="107"/>
      <c r="C560" s="109"/>
    </row>
    <row r="561" ht="13.5" customHeight="1">
      <c r="B561" s="107"/>
      <c r="C561" s="109"/>
    </row>
    <row r="562" ht="13.5" customHeight="1">
      <c r="B562" s="107"/>
      <c r="C562" s="109"/>
    </row>
    <row r="563" ht="13.5" customHeight="1">
      <c r="B563" s="107"/>
      <c r="C563" s="109"/>
    </row>
    <row r="564" ht="13.5" customHeight="1">
      <c r="B564" s="107"/>
      <c r="C564" s="109"/>
    </row>
    <row r="565" ht="13.5" customHeight="1">
      <c r="B565" s="107"/>
      <c r="C565" s="109"/>
    </row>
    <row r="566" ht="13.5" customHeight="1">
      <c r="B566" s="107"/>
      <c r="C566" s="109"/>
    </row>
    <row r="567" ht="13.5" customHeight="1">
      <c r="B567" s="107"/>
      <c r="C567" s="109"/>
    </row>
    <row r="568" ht="13.5" customHeight="1">
      <c r="B568" s="107"/>
      <c r="C568" s="109"/>
    </row>
    <row r="569" ht="13.5" customHeight="1">
      <c r="B569" s="107"/>
      <c r="C569" s="109"/>
    </row>
    <row r="570" ht="13.5" customHeight="1">
      <c r="B570" s="107"/>
      <c r="C570" s="109"/>
    </row>
    <row r="571" ht="13.5" customHeight="1">
      <c r="B571" s="107"/>
      <c r="C571" s="109"/>
    </row>
    <row r="572" ht="13.5" customHeight="1">
      <c r="B572" s="107"/>
      <c r="C572" s="109"/>
    </row>
    <row r="573" ht="13.5" customHeight="1">
      <c r="B573" s="107"/>
      <c r="C573" s="109"/>
    </row>
    <row r="574" ht="13.5" customHeight="1">
      <c r="B574" s="107"/>
      <c r="C574" s="109"/>
    </row>
    <row r="575" ht="13.5" customHeight="1">
      <c r="B575" s="107"/>
      <c r="C575" s="109"/>
    </row>
    <row r="576" ht="13.5" customHeight="1">
      <c r="B576" s="107"/>
      <c r="C576" s="109"/>
    </row>
    <row r="577" ht="13.5" customHeight="1">
      <c r="B577" s="107"/>
      <c r="C577" s="109"/>
    </row>
    <row r="578" ht="13.5" customHeight="1">
      <c r="B578" s="107"/>
      <c r="C578" s="109"/>
    </row>
    <row r="579" ht="13.5" customHeight="1">
      <c r="B579" s="107"/>
      <c r="C579" s="109"/>
    </row>
    <row r="580" ht="13.5" customHeight="1">
      <c r="B580" s="107"/>
      <c r="C580" s="109"/>
    </row>
    <row r="581" ht="13.5" customHeight="1">
      <c r="B581" s="107"/>
      <c r="C581" s="109"/>
    </row>
    <row r="582" ht="13.5" customHeight="1">
      <c r="B582" s="107"/>
      <c r="C582" s="109"/>
    </row>
    <row r="583" ht="13.5" customHeight="1">
      <c r="B583" s="107"/>
      <c r="C583" s="109"/>
    </row>
    <row r="584" ht="13.5" customHeight="1">
      <c r="B584" s="107"/>
      <c r="C584" s="109"/>
    </row>
    <row r="585" ht="13.5" customHeight="1">
      <c r="B585" s="107"/>
      <c r="C585" s="109"/>
    </row>
    <row r="586" ht="13.5" customHeight="1">
      <c r="B586" s="107"/>
      <c r="C586" s="109"/>
    </row>
    <row r="587" ht="13.5" customHeight="1">
      <c r="B587" s="107"/>
      <c r="C587" s="109"/>
    </row>
    <row r="588" ht="13.5" customHeight="1">
      <c r="B588" s="107"/>
      <c r="C588" s="109"/>
    </row>
    <row r="589" ht="13.5" customHeight="1">
      <c r="B589" s="107"/>
      <c r="C589" s="109"/>
    </row>
    <row r="590" ht="13.5" customHeight="1">
      <c r="B590" s="107"/>
      <c r="C590" s="109"/>
    </row>
    <row r="591" ht="13.5" customHeight="1">
      <c r="B591" s="107"/>
      <c r="C591" s="109"/>
    </row>
    <row r="592" ht="13.5" customHeight="1">
      <c r="B592" s="107"/>
      <c r="C592" s="109"/>
    </row>
    <row r="593" ht="13.5" customHeight="1">
      <c r="B593" s="107"/>
      <c r="C593" s="109"/>
    </row>
    <row r="594" ht="13.5" customHeight="1">
      <c r="B594" s="107"/>
      <c r="C594" s="109"/>
    </row>
    <row r="595" ht="13.5" customHeight="1">
      <c r="B595" s="107"/>
      <c r="C595" s="109"/>
    </row>
    <row r="596" ht="13.5" customHeight="1">
      <c r="B596" s="107"/>
      <c r="C596" s="109"/>
    </row>
    <row r="597" ht="13.5" customHeight="1">
      <c r="B597" s="107"/>
      <c r="C597" s="109"/>
    </row>
    <row r="598" ht="13.5" customHeight="1">
      <c r="B598" s="107"/>
      <c r="C598" s="109"/>
    </row>
    <row r="599" ht="13.5" customHeight="1">
      <c r="B599" s="107"/>
      <c r="C599" s="109"/>
    </row>
    <row r="600" ht="13.5" customHeight="1">
      <c r="B600" s="107"/>
      <c r="C600" s="109"/>
    </row>
    <row r="601" ht="13.5" customHeight="1">
      <c r="B601" s="107"/>
      <c r="C601" s="109"/>
    </row>
    <row r="602" ht="13.5" customHeight="1">
      <c r="B602" s="107"/>
      <c r="C602" s="109"/>
    </row>
    <row r="603" ht="13.5" customHeight="1">
      <c r="B603" s="107"/>
      <c r="C603" s="109"/>
    </row>
    <row r="604" ht="13.5" customHeight="1">
      <c r="B604" s="107"/>
      <c r="C604" s="109"/>
    </row>
    <row r="605" ht="13.5" customHeight="1">
      <c r="B605" s="107"/>
      <c r="C605" s="109"/>
    </row>
    <row r="606" ht="13.5" customHeight="1">
      <c r="B606" s="107"/>
      <c r="C606" s="109"/>
    </row>
    <row r="607" ht="13.5" customHeight="1">
      <c r="B607" s="107"/>
      <c r="C607" s="109"/>
    </row>
    <row r="608" ht="13.5" customHeight="1">
      <c r="B608" s="107"/>
      <c r="C608" s="109"/>
    </row>
    <row r="609" ht="13.5" customHeight="1">
      <c r="B609" s="107"/>
      <c r="C609" s="109"/>
    </row>
    <row r="610" ht="13.5" customHeight="1">
      <c r="B610" s="107"/>
      <c r="C610" s="109"/>
    </row>
    <row r="611" ht="13.5" customHeight="1">
      <c r="B611" s="107"/>
      <c r="C611" s="109"/>
    </row>
    <row r="612" ht="13.5" customHeight="1">
      <c r="B612" s="107"/>
      <c r="C612" s="109"/>
    </row>
    <row r="613" ht="13.5" customHeight="1">
      <c r="B613" s="107"/>
      <c r="C613" s="109"/>
    </row>
    <row r="614" ht="13.5" customHeight="1">
      <c r="B614" s="107"/>
      <c r="C614" s="109"/>
    </row>
    <row r="615" ht="13.5" customHeight="1">
      <c r="B615" s="107"/>
      <c r="C615" s="109"/>
    </row>
    <row r="616" ht="13.5" customHeight="1">
      <c r="B616" s="107"/>
      <c r="C616" s="109"/>
    </row>
    <row r="617" ht="13.5" customHeight="1">
      <c r="B617" s="107"/>
      <c r="C617" s="109"/>
    </row>
    <row r="618" ht="13.5" customHeight="1">
      <c r="B618" s="107"/>
      <c r="C618" s="109"/>
    </row>
    <row r="619" ht="13.5" customHeight="1">
      <c r="B619" s="107"/>
      <c r="C619" s="109"/>
    </row>
    <row r="620" ht="13.5" customHeight="1">
      <c r="B620" s="107"/>
      <c r="C620" s="109"/>
    </row>
    <row r="621" ht="13.5" customHeight="1">
      <c r="B621" s="107"/>
      <c r="C621" s="109"/>
    </row>
    <row r="622" ht="13.5" customHeight="1">
      <c r="B622" s="107"/>
      <c r="C622" s="109"/>
    </row>
    <row r="623" ht="13.5" customHeight="1">
      <c r="B623" s="107"/>
      <c r="C623" s="109"/>
    </row>
    <row r="624" ht="13.5" customHeight="1">
      <c r="B624" s="107"/>
      <c r="C624" s="109"/>
    </row>
    <row r="625" ht="13.5" customHeight="1">
      <c r="B625" s="107"/>
      <c r="C625" s="109"/>
    </row>
    <row r="626" ht="13.5" customHeight="1">
      <c r="B626" s="107"/>
      <c r="C626" s="109"/>
    </row>
    <row r="627" ht="13.5" customHeight="1">
      <c r="B627" s="107"/>
      <c r="C627" s="109"/>
    </row>
    <row r="628" ht="13.5" customHeight="1">
      <c r="B628" s="107"/>
      <c r="C628" s="109"/>
    </row>
    <row r="629" ht="13.5" customHeight="1">
      <c r="B629" s="107"/>
      <c r="C629" s="109"/>
    </row>
    <row r="630" ht="13.5" customHeight="1">
      <c r="B630" s="107"/>
      <c r="C630" s="109"/>
    </row>
    <row r="631" ht="13.5" customHeight="1">
      <c r="B631" s="107"/>
      <c r="C631" s="109"/>
    </row>
    <row r="632" ht="13.5" customHeight="1">
      <c r="B632" s="107"/>
      <c r="C632" s="109"/>
    </row>
    <row r="633" ht="13.5" customHeight="1">
      <c r="B633" s="107"/>
      <c r="C633" s="109"/>
    </row>
    <row r="634" ht="13.5" customHeight="1">
      <c r="B634" s="107"/>
      <c r="C634" s="109"/>
    </row>
    <row r="635" ht="13.5" customHeight="1">
      <c r="B635" s="107"/>
      <c r="C635" s="109"/>
    </row>
    <row r="636" ht="13.5" customHeight="1">
      <c r="B636" s="107"/>
      <c r="C636" s="109"/>
    </row>
    <row r="637" ht="13.5" customHeight="1">
      <c r="B637" s="107"/>
      <c r="C637" s="109"/>
    </row>
    <row r="638" ht="13.5" customHeight="1">
      <c r="B638" s="107"/>
      <c r="C638" s="109"/>
    </row>
    <row r="639" ht="13.5" customHeight="1">
      <c r="B639" s="107"/>
      <c r="C639" s="109"/>
    </row>
    <row r="640" ht="13.5" customHeight="1">
      <c r="B640" s="107"/>
      <c r="C640" s="109"/>
    </row>
    <row r="641" ht="13.5" customHeight="1">
      <c r="B641" s="107"/>
      <c r="C641" s="109"/>
    </row>
    <row r="642" ht="13.5" customHeight="1">
      <c r="B642" s="107"/>
      <c r="C642" s="109"/>
    </row>
    <row r="643" ht="13.5" customHeight="1">
      <c r="B643" s="107"/>
      <c r="C643" s="109"/>
    </row>
    <row r="644" ht="13.5" customHeight="1">
      <c r="B644" s="107"/>
      <c r="C644" s="109"/>
    </row>
    <row r="645" ht="13.5" customHeight="1">
      <c r="B645" s="107"/>
      <c r="C645" s="109"/>
    </row>
    <row r="646" ht="13.5" customHeight="1">
      <c r="B646" s="107"/>
      <c r="C646" s="109"/>
    </row>
    <row r="647" ht="13.5" customHeight="1">
      <c r="B647" s="107"/>
      <c r="C647" s="109"/>
    </row>
    <row r="648" ht="13.5" customHeight="1">
      <c r="B648" s="107"/>
      <c r="C648" s="109"/>
    </row>
    <row r="649" ht="13.5" customHeight="1">
      <c r="B649" s="107"/>
      <c r="C649" s="109"/>
    </row>
    <row r="650" ht="13.5" customHeight="1">
      <c r="B650" s="107"/>
      <c r="C650" s="109"/>
    </row>
    <row r="651" ht="13.5" customHeight="1">
      <c r="B651" s="107"/>
      <c r="C651" s="109"/>
    </row>
    <row r="652" ht="13.5" customHeight="1">
      <c r="B652" s="107"/>
      <c r="C652" s="109"/>
    </row>
    <row r="653" ht="13.5" customHeight="1">
      <c r="B653" s="107"/>
      <c r="C653" s="109"/>
    </row>
    <row r="654" ht="13.5" customHeight="1">
      <c r="B654" s="107"/>
      <c r="C654" s="109"/>
    </row>
    <row r="655" ht="13.5" customHeight="1">
      <c r="B655" s="107"/>
      <c r="C655" s="109"/>
    </row>
    <row r="656" ht="13.5" customHeight="1">
      <c r="B656" s="107"/>
      <c r="C656" s="109"/>
    </row>
    <row r="657" ht="13.5" customHeight="1">
      <c r="B657" s="107"/>
      <c r="C657" s="109"/>
    </row>
    <row r="658" ht="13.5" customHeight="1">
      <c r="B658" s="107"/>
      <c r="C658" s="109"/>
    </row>
    <row r="659" ht="13.5" customHeight="1">
      <c r="B659" s="107"/>
      <c r="C659" s="109"/>
    </row>
    <row r="660" ht="13.5" customHeight="1">
      <c r="B660" s="107"/>
      <c r="C660" s="109"/>
    </row>
    <row r="661" ht="13.5" customHeight="1">
      <c r="B661" s="107"/>
      <c r="C661" s="109"/>
    </row>
    <row r="662" ht="13.5" customHeight="1">
      <c r="B662" s="107"/>
      <c r="C662" s="109"/>
    </row>
    <row r="663" ht="13.5" customHeight="1">
      <c r="B663" s="107"/>
      <c r="C663" s="109"/>
    </row>
    <row r="664" ht="13.5" customHeight="1">
      <c r="B664" s="107"/>
      <c r="C664" s="109"/>
    </row>
    <row r="665" ht="13.5" customHeight="1">
      <c r="B665" s="107"/>
      <c r="C665" s="109"/>
    </row>
    <row r="666" ht="13.5" customHeight="1">
      <c r="B666" s="107"/>
      <c r="C666" s="109"/>
    </row>
    <row r="667" ht="13.5" customHeight="1">
      <c r="B667" s="107"/>
      <c r="C667" s="109"/>
    </row>
    <row r="668" ht="13.5" customHeight="1">
      <c r="B668" s="107"/>
      <c r="C668" s="109"/>
    </row>
    <row r="669" ht="13.5" customHeight="1">
      <c r="B669" s="107"/>
      <c r="C669" s="109"/>
    </row>
    <row r="670" ht="13.5" customHeight="1">
      <c r="B670" s="107"/>
      <c r="C670" s="109"/>
    </row>
    <row r="671" ht="13.5" customHeight="1">
      <c r="B671" s="107"/>
      <c r="C671" s="109"/>
    </row>
    <row r="672" ht="13.5" customHeight="1">
      <c r="B672" s="107"/>
      <c r="C672" s="109"/>
    </row>
    <row r="673" ht="13.5" customHeight="1">
      <c r="B673" s="107"/>
      <c r="C673" s="109"/>
    </row>
    <row r="674" ht="13.5" customHeight="1">
      <c r="B674" s="107"/>
      <c r="C674" s="109"/>
    </row>
    <row r="675" ht="13.5" customHeight="1">
      <c r="B675" s="107"/>
      <c r="C675" s="109"/>
    </row>
    <row r="676" ht="13.5" customHeight="1">
      <c r="B676" s="107"/>
      <c r="C676" s="109"/>
    </row>
    <row r="677" ht="13.5" customHeight="1">
      <c r="B677" s="107"/>
      <c r="C677" s="109"/>
    </row>
    <row r="678" ht="13.5" customHeight="1">
      <c r="B678" s="107"/>
      <c r="C678" s="109"/>
    </row>
    <row r="679" ht="13.5" customHeight="1">
      <c r="B679" s="107"/>
      <c r="C679" s="109"/>
    </row>
    <row r="680" ht="13.5" customHeight="1">
      <c r="B680" s="107"/>
      <c r="C680" s="109"/>
    </row>
    <row r="681" ht="13.5" customHeight="1">
      <c r="B681" s="107"/>
      <c r="C681" s="109"/>
    </row>
    <row r="682" ht="13.5" customHeight="1">
      <c r="B682" s="107"/>
      <c r="C682" s="109"/>
    </row>
    <row r="683" ht="13.5" customHeight="1">
      <c r="B683" s="107"/>
      <c r="C683" s="109"/>
    </row>
    <row r="684" ht="13.5" customHeight="1">
      <c r="B684" s="107"/>
      <c r="C684" s="109"/>
    </row>
    <row r="685" ht="13.5" customHeight="1">
      <c r="B685" s="107"/>
      <c r="C685" s="109"/>
    </row>
    <row r="686" ht="13.5" customHeight="1">
      <c r="B686" s="107"/>
      <c r="C686" s="109"/>
    </row>
    <row r="687" ht="13.5" customHeight="1">
      <c r="B687" s="107"/>
      <c r="C687" s="109"/>
    </row>
    <row r="688" ht="13.5" customHeight="1">
      <c r="B688" s="107"/>
      <c r="C688" s="109"/>
    </row>
    <row r="689" ht="13.5" customHeight="1">
      <c r="B689" s="107"/>
      <c r="C689" s="109"/>
    </row>
    <row r="690" ht="13.5" customHeight="1">
      <c r="B690" s="107"/>
      <c r="C690" s="109"/>
    </row>
    <row r="691" ht="13.5" customHeight="1">
      <c r="B691" s="107"/>
      <c r="C691" s="109"/>
    </row>
    <row r="692" ht="13.5" customHeight="1">
      <c r="B692" s="107"/>
      <c r="C692" s="109"/>
    </row>
    <row r="693" ht="13.5" customHeight="1">
      <c r="B693" s="107"/>
      <c r="C693" s="109"/>
    </row>
    <row r="694" ht="13.5" customHeight="1">
      <c r="B694" s="107"/>
      <c r="C694" s="109"/>
    </row>
    <row r="695" ht="13.5" customHeight="1">
      <c r="B695" s="107"/>
      <c r="C695" s="109"/>
    </row>
    <row r="696" ht="13.5" customHeight="1">
      <c r="B696" s="107"/>
      <c r="C696" s="109"/>
    </row>
    <row r="697" ht="13.5" customHeight="1">
      <c r="B697" s="107"/>
      <c r="C697" s="109"/>
    </row>
    <row r="698" ht="13.5" customHeight="1">
      <c r="B698" s="107"/>
      <c r="C698" s="109"/>
    </row>
    <row r="699" ht="13.5" customHeight="1">
      <c r="B699" s="107"/>
      <c r="C699" s="109"/>
    </row>
    <row r="700" ht="13.5" customHeight="1">
      <c r="B700" s="107"/>
      <c r="C700" s="109"/>
    </row>
    <row r="701" ht="13.5" customHeight="1">
      <c r="B701" s="107"/>
      <c r="C701" s="109"/>
    </row>
    <row r="702" ht="13.5" customHeight="1">
      <c r="B702" s="107"/>
      <c r="C702" s="109"/>
    </row>
    <row r="703" ht="13.5" customHeight="1">
      <c r="B703" s="107"/>
      <c r="C703" s="109"/>
    </row>
    <row r="704" ht="13.5" customHeight="1">
      <c r="B704" s="107"/>
      <c r="C704" s="109"/>
    </row>
    <row r="705" ht="13.5" customHeight="1">
      <c r="B705" s="107"/>
      <c r="C705" s="109"/>
    </row>
    <row r="706" ht="13.5" customHeight="1">
      <c r="B706" s="107"/>
      <c r="C706" s="109"/>
    </row>
    <row r="707" ht="13.5" customHeight="1">
      <c r="B707" s="107"/>
      <c r="C707" s="109"/>
    </row>
    <row r="708" ht="13.5" customHeight="1">
      <c r="B708" s="107"/>
      <c r="C708" s="109"/>
    </row>
    <row r="709" ht="13.5" customHeight="1">
      <c r="B709" s="107"/>
      <c r="C709" s="109"/>
    </row>
    <row r="710" ht="13.5" customHeight="1">
      <c r="B710" s="107"/>
      <c r="C710" s="109"/>
    </row>
    <row r="711" ht="13.5" customHeight="1">
      <c r="B711" s="107"/>
      <c r="C711" s="109"/>
    </row>
    <row r="712" ht="13.5" customHeight="1">
      <c r="B712" s="107"/>
      <c r="C712" s="109"/>
    </row>
    <row r="713" ht="13.5" customHeight="1">
      <c r="B713" s="107"/>
      <c r="C713" s="109"/>
    </row>
    <row r="714" ht="13.5" customHeight="1">
      <c r="B714" s="107"/>
      <c r="C714" s="109"/>
    </row>
    <row r="715" ht="13.5" customHeight="1">
      <c r="B715" s="107"/>
      <c r="C715" s="109"/>
    </row>
    <row r="716" ht="13.5" customHeight="1">
      <c r="B716" s="107"/>
      <c r="C716" s="109"/>
    </row>
    <row r="717" ht="13.5" customHeight="1">
      <c r="B717" s="107"/>
      <c r="C717" s="109"/>
    </row>
    <row r="718" ht="13.5" customHeight="1">
      <c r="B718" s="107"/>
      <c r="C718" s="109"/>
    </row>
    <row r="719" ht="13.5" customHeight="1">
      <c r="B719" s="107"/>
      <c r="C719" s="109"/>
    </row>
    <row r="720" ht="13.5" customHeight="1">
      <c r="B720" s="107"/>
      <c r="C720" s="109"/>
    </row>
    <row r="721" ht="13.5" customHeight="1">
      <c r="B721" s="107"/>
      <c r="C721" s="109"/>
    </row>
    <row r="722" ht="13.5" customHeight="1">
      <c r="B722" s="107"/>
      <c r="C722" s="109"/>
    </row>
    <row r="723" ht="13.5" customHeight="1">
      <c r="B723" s="107"/>
      <c r="C723" s="109"/>
    </row>
    <row r="724" ht="13.5" customHeight="1">
      <c r="B724" s="107"/>
      <c r="C724" s="109"/>
    </row>
    <row r="725" ht="13.5" customHeight="1">
      <c r="B725" s="107"/>
      <c r="C725" s="109"/>
    </row>
    <row r="726" ht="13.5" customHeight="1">
      <c r="B726" s="107"/>
      <c r="C726" s="109"/>
    </row>
    <row r="727" ht="13.5" customHeight="1">
      <c r="B727" s="107"/>
      <c r="C727" s="109"/>
    </row>
    <row r="728" ht="13.5" customHeight="1">
      <c r="B728" s="107"/>
      <c r="C728" s="109"/>
    </row>
    <row r="729" ht="13.5" customHeight="1">
      <c r="B729" s="107"/>
      <c r="C729" s="109"/>
    </row>
    <row r="730" ht="13.5" customHeight="1">
      <c r="B730" s="107"/>
      <c r="C730" s="109"/>
    </row>
    <row r="731" ht="13.5" customHeight="1">
      <c r="B731" s="107"/>
      <c r="C731" s="109"/>
    </row>
    <row r="732" ht="13.5" customHeight="1">
      <c r="B732" s="107"/>
      <c r="C732" s="109"/>
    </row>
    <row r="733" ht="13.5" customHeight="1">
      <c r="B733" s="107"/>
      <c r="C733" s="109"/>
    </row>
    <row r="734" ht="13.5" customHeight="1">
      <c r="B734" s="107"/>
      <c r="C734" s="109"/>
    </row>
    <row r="735" ht="13.5" customHeight="1">
      <c r="B735" s="107"/>
      <c r="C735" s="109"/>
    </row>
    <row r="736" ht="13.5" customHeight="1">
      <c r="B736" s="107"/>
      <c r="C736" s="109"/>
    </row>
    <row r="737" ht="13.5" customHeight="1">
      <c r="B737" s="107"/>
      <c r="C737" s="109"/>
    </row>
    <row r="738" ht="13.5" customHeight="1">
      <c r="B738" s="107"/>
      <c r="C738" s="109"/>
    </row>
    <row r="739" ht="13.5" customHeight="1">
      <c r="B739" s="107"/>
      <c r="C739" s="109"/>
    </row>
    <row r="740" ht="13.5" customHeight="1">
      <c r="B740" s="107"/>
      <c r="C740" s="109"/>
    </row>
    <row r="741" ht="13.5" customHeight="1">
      <c r="B741" s="107"/>
      <c r="C741" s="109"/>
    </row>
    <row r="742" ht="13.5" customHeight="1">
      <c r="B742" s="107"/>
      <c r="C742" s="109"/>
    </row>
    <row r="743" ht="13.5" customHeight="1">
      <c r="B743" s="107"/>
      <c r="C743" s="109"/>
    </row>
    <row r="744" ht="13.5" customHeight="1">
      <c r="B744" s="107"/>
      <c r="C744" s="109"/>
    </row>
    <row r="745" ht="13.5" customHeight="1">
      <c r="B745" s="107"/>
      <c r="C745" s="109"/>
    </row>
    <row r="746" ht="13.5" customHeight="1">
      <c r="B746" s="107"/>
      <c r="C746" s="109"/>
    </row>
    <row r="747" ht="13.5" customHeight="1">
      <c r="B747" s="107"/>
      <c r="C747" s="109"/>
    </row>
    <row r="748" ht="13.5" customHeight="1">
      <c r="B748" s="107"/>
      <c r="C748" s="109"/>
    </row>
    <row r="749" ht="13.5" customHeight="1">
      <c r="B749" s="107"/>
      <c r="C749" s="109"/>
    </row>
    <row r="750" ht="13.5" customHeight="1">
      <c r="B750" s="107"/>
      <c r="C750" s="109"/>
    </row>
    <row r="751" ht="13.5" customHeight="1">
      <c r="B751" s="107"/>
      <c r="C751" s="109"/>
    </row>
    <row r="752" ht="13.5" customHeight="1">
      <c r="B752" s="107"/>
      <c r="C752" s="109"/>
    </row>
    <row r="753" ht="13.5" customHeight="1">
      <c r="B753" s="107"/>
      <c r="C753" s="109"/>
    </row>
    <row r="754" ht="13.5" customHeight="1">
      <c r="B754" s="107"/>
      <c r="C754" s="109"/>
    </row>
    <row r="755" ht="13.5" customHeight="1">
      <c r="B755" s="107"/>
      <c r="C755" s="109"/>
    </row>
    <row r="756" ht="13.5" customHeight="1">
      <c r="B756" s="107"/>
      <c r="C756" s="109"/>
    </row>
    <row r="757" ht="13.5" customHeight="1">
      <c r="B757" s="107"/>
      <c r="C757" s="109"/>
    </row>
    <row r="758" ht="13.5" customHeight="1">
      <c r="B758" s="107"/>
      <c r="C758" s="109"/>
    </row>
    <row r="759" ht="13.5" customHeight="1">
      <c r="B759" s="107"/>
      <c r="C759" s="109"/>
    </row>
    <row r="760" ht="13.5" customHeight="1">
      <c r="B760" s="107"/>
      <c r="C760" s="109"/>
    </row>
    <row r="761" ht="13.5" customHeight="1">
      <c r="B761" s="107"/>
      <c r="C761" s="109"/>
    </row>
    <row r="762" ht="13.5" customHeight="1">
      <c r="B762" s="107"/>
      <c r="C762" s="109"/>
    </row>
    <row r="763" ht="13.5" customHeight="1">
      <c r="B763" s="107"/>
      <c r="C763" s="109"/>
    </row>
    <row r="764" ht="13.5" customHeight="1">
      <c r="B764" s="107"/>
      <c r="C764" s="109"/>
    </row>
    <row r="765" ht="13.5" customHeight="1">
      <c r="B765" s="107"/>
      <c r="C765" s="109"/>
    </row>
    <row r="766" ht="13.5" customHeight="1">
      <c r="B766" s="107"/>
      <c r="C766" s="109"/>
    </row>
    <row r="767" ht="13.5" customHeight="1">
      <c r="B767" s="107"/>
      <c r="C767" s="109"/>
    </row>
    <row r="768" ht="13.5" customHeight="1">
      <c r="B768" s="107"/>
      <c r="C768" s="109"/>
    </row>
    <row r="769" ht="13.5" customHeight="1">
      <c r="B769" s="107"/>
      <c r="C769" s="109"/>
    </row>
    <row r="770" ht="13.5" customHeight="1">
      <c r="B770" s="107"/>
      <c r="C770" s="109"/>
    </row>
    <row r="771" ht="13.5" customHeight="1">
      <c r="B771" s="107"/>
      <c r="C771" s="109"/>
    </row>
    <row r="772" ht="13.5" customHeight="1">
      <c r="B772" s="107"/>
      <c r="C772" s="109"/>
    </row>
    <row r="773" ht="13.5" customHeight="1">
      <c r="B773" s="107"/>
      <c r="C773" s="109"/>
    </row>
    <row r="774" ht="13.5" customHeight="1">
      <c r="B774" s="107"/>
      <c r="C774" s="109"/>
    </row>
    <row r="775" ht="13.5" customHeight="1">
      <c r="B775" s="107"/>
      <c r="C775" s="109"/>
    </row>
    <row r="776" ht="13.5" customHeight="1">
      <c r="B776" s="107"/>
      <c r="C776" s="109"/>
    </row>
    <row r="777" ht="13.5" customHeight="1">
      <c r="B777" s="107"/>
      <c r="C777" s="109"/>
    </row>
    <row r="778" ht="13.5" customHeight="1">
      <c r="B778" s="107"/>
      <c r="C778" s="109"/>
    </row>
    <row r="779" ht="13.5" customHeight="1">
      <c r="B779" s="107"/>
      <c r="C779" s="109"/>
    </row>
    <row r="780" ht="13.5" customHeight="1">
      <c r="B780" s="107"/>
      <c r="C780" s="109"/>
    </row>
    <row r="781" ht="13.5" customHeight="1">
      <c r="B781" s="107"/>
      <c r="C781" s="109"/>
    </row>
    <row r="782" ht="13.5" customHeight="1">
      <c r="B782" s="107"/>
      <c r="C782" s="109"/>
    </row>
    <row r="783" ht="13.5" customHeight="1">
      <c r="B783" s="107"/>
      <c r="C783" s="109"/>
    </row>
    <row r="784" ht="13.5" customHeight="1">
      <c r="B784" s="107"/>
      <c r="C784" s="109"/>
    </row>
    <row r="785" ht="13.5" customHeight="1">
      <c r="B785" s="107"/>
      <c r="C785" s="109"/>
    </row>
    <row r="786" ht="13.5" customHeight="1">
      <c r="B786" s="107"/>
      <c r="C786" s="109"/>
    </row>
    <row r="787" ht="13.5" customHeight="1">
      <c r="B787" s="107"/>
      <c r="C787" s="109"/>
    </row>
    <row r="788" ht="13.5" customHeight="1">
      <c r="B788" s="107"/>
      <c r="C788" s="109"/>
    </row>
    <row r="789" ht="13.5" customHeight="1">
      <c r="B789" s="107"/>
      <c r="C789" s="109"/>
    </row>
    <row r="790" ht="13.5" customHeight="1">
      <c r="B790" s="107"/>
      <c r="C790" s="109"/>
    </row>
    <row r="791" ht="13.5" customHeight="1">
      <c r="B791" s="107"/>
      <c r="C791" s="109"/>
    </row>
    <row r="792" ht="13.5" customHeight="1">
      <c r="B792" s="107"/>
      <c r="C792" s="109"/>
    </row>
    <row r="793" ht="13.5" customHeight="1">
      <c r="B793" s="107"/>
      <c r="C793" s="109"/>
    </row>
    <row r="794" ht="13.5" customHeight="1">
      <c r="B794" s="107"/>
      <c r="C794" s="109"/>
    </row>
    <row r="795" ht="13.5" customHeight="1">
      <c r="B795" s="107"/>
      <c r="C795" s="109"/>
    </row>
    <row r="796" ht="13.5" customHeight="1">
      <c r="B796" s="107"/>
      <c r="C796" s="109"/>
    </row>
    <row r="797" ht="13.5" customHeight="1">
      <c r="B797" s="107"/>
      <c r="C797" s="109"/>
    </row>
    <row r="798" ht="13.5" customHeight="1">
      <c r="B798" s="107"/>
      <c r="C798" s="109"/>
    </row>
    <row r="799" ht="13.5" customHeight="1">
      <c r="B799" s="107"/>
      <c r="C799" s="109"/>
    </row>
    <row r="800" ht="13.5" customHeight="1">
      <c r="B800" s="107"/>
      <c r="C800" s="109"/>
    </row>
    <row r="801" ht="13.5" customHeight="1">
      <c r="B801" s="107"/>
      <c r="C801" s="109"/>
    </row>
    <row r="802" ht="13.5" customHeight="1">
      <c r="B802" s="107"/>
      <c r="C802" s="109"/>
    </row>
    <row r="803" ht="13.5" customHeight="1">
      <c r="B803" s="107"/>
      <c r="C803" s="109"/>
    </row>
    <row r="804" ht="13.5" customHeight="1">
      <c r="B804" s="107"/>
      <c r="C804" s="109"/>
    </row>
    <row r="805" ht="13.5" customHeight="1">
      <c r="B805" s="107"/>
      <c r="C805" s="109"/>
    </row>
    <row r="806" ht="13.5" customHeight="1">
      <c r="B806" s="107"/>
      <c r="C806" s="109"/>
    </row>
    <row r="807" ht="13.5" customHeight="1">
      <c r="B807" s="107"/>
      <c r="C807" s="109"/>
    </row>
    <row r="808" ht="13.5" customHeight="1">
      <c r="B808" s="107"/>
      <c r="C808" s="109"/>
    </row>
    <row r="809" ht="13.5" customHeight="1">
      <c r="B809" s="107"/>
      <c r="C809" s="109"/>
    </row>
    <row r="810" ht="13.5" customHeight="1">
      <c r="B810" s="107"/>
      <c r="C810" s="109"/>
    </row>
    <row r="811" ht="13.5" customHeight="1">
      <c r="B811" s="107"/>
      <c r="C811" s="109"/>
    </row>
    <row r="812" ht="13.5" customHeight="1">
      <c r="B812" s="107"/>
      <c r="C812" s="109"/>
    </row>
    <row r="813" ht="13.5" customHeight="1">
      <c r="B813" s="107"/>
      <c r="C813" s="109"/>
    </row>
    <row r="814" ht="13.5" customHeight="1">
      <c r="B814" s="107"/>
      <c r="C814" s="109"/>
    </row>
    <row r="815" ht="13.5" customHeight="1">
      <c r="B815" s="107"/>
      <c r="C815" s="109"/>
    </row>
    <row r="816" ht="13.5" customHeight="1">
      <c r="B816" s="107"/>
      <c r="C816" s="109"/>
    </row>
    <row r="817" ht="13.5" customHeight="1">
      <c r="B817" s="107"/>
      <c r="C817" s="109"/>
    </row>
    <row r="818" ht="13.5" customHeight="1">
      <c r="B818" s="107"/>
      <c r="C818" s="109"/>
    </row>
    <row r="819" ht="13.5" customHeight="1">
      <c r="B819" s="107"/>
      <c r="C819" s="109"/>
    </row>
    <row r="820" ht="13.5" customHeight="1">
      <c r="B820" s="107"/>
      <c r="C820" s="109"/>
    </row>
    <row r="821" ht="13.5" customHeight="1">
      <c r="B821" s="107"/>
      <c r="C821" s="109"/>
    </row>
    <row r="822" ht="13.5" customHeight="1">
      <c r="B822" s="107"/>
      <c r="C822" s="109"/>
    </row>
    <row r="823" ht="13.5" customHeight="1">
      <c r="B823" s="107"/>
      <c r="C823" s="109"/>
    </row>
    <row r="824" ht="13.5" customHeight="1">
      <c r="B824" s="107"/>
      <c r="C824" s="109"/>
    </row>
    <row r="825" ht="13.5" customHeight="1">
      <c r="B825" s="107"/>
      <c r="C825" s="109"/>
    </row>
    <row r="826" ht="13.5" customHeight="1">
      <c r="B826" s="107"/>
      <c r="C826" s="109"/>
    </row>
    <row r="827" ht="13.5" customHeight="1">
      <c r="B827" s="107"/>
      <c r="C827" s="109"/>
    </row>
    <row r="828" ht="13.5" customHeight="1">
      <c r="B828" s="107"/>
      <c r="C828" s="109"/>
    </row>
    <row r="829" ht="13.5" customHeight="1">
      <c r="B829" s="107"/>
      <c r="C829" s="109"/>
    </row>
    <row r="830" ht="13.5" customHeight="1">
      <c r="B830" s="107"/>
      <c r="C830" s="109"/>
    </row>
    <row r="831" ht="13.5" customHeight="1">
      <c r="B831" s="107"/>
      <c r="C831" s="109"/>
    </row>
    <row r="832" ht="13.5" customHeight="1">
      <c r="B832" s="107"/>
      <c r="C832" s="109"/>
    </row>
    <row r="833" ht="13.5" customHeight="1">
      <c r="B833" s="107"/>
      <c r="C833" s="109"/>
    </row>
    <row r="834" ht="13.5" customHeight="1">
      <c r="B834" s="107"/>
      <c r="C834" s="109"/>
    </row>
    <row r="835" ht="13.5" customHeight="1">
      <c r="B835" s="107"/>
      <c r="C835" s="109"/>
    </row>
    <row r="836" ht="13.5" customHeight="1">
      <c r="B836" s="107"/>
      <c r="C836" s="109"/>
    </row>
    <row r="837" ht="13.5" customHeight="1">
      <c r="B837" s="107"/>
      <c r="C837" s="109"/>
    </row>
    <row r="838" ht="13.5" customHeight="1">
      <c r="B838" s="107"/>
      <c r="C838" s="109"/>
    </row>
    <row r="839" ht="13.5" customHeight="1">
      <c r="B839" s="107"/>
      <c r="C839" s="109"/>
    </row>
    <row r="840" ht="13.5" customHeight="1">
      <c r="B840" s="107"/>
      <c r="C840" s="109"/>
    </row>
    <row r="841" ht="13.5" customHeight="1">
      <c r="B841" s="107"/>
      <c r="C841" s="109"/>
    </row>
    <row r="842" ht="13.5" customHeight="1">
      <c r="B842" s="107"/>
      <c r="C842" s="109"/>
    </row>
    <row r="843" ht="13.5" customHeight="1">
      <c r="B843" s="107"/>
      <c r="C843" s="109"/>
    </row>
    <row r="844" ht="13.5" customHeight="1">
      <c r="B844" s="107"/>
      <c r="C844" s="109"/>
    </row>
    <row r="845" ht="13.5" customHeight="1">
      <c r="B845" s="107"/>
      <c r="C845" s="109"/>
    </row>
    <row r="846" ht="13.5" customHeight="1">
      <c r="B846" s="107"/>
      <c r="C846" s="109"/>
    </row>
    <row r="847" ht="13.5" customHeight="1">
      <c r="B847" s="107"/>
      <c r="C847" s="109"/>
    </row>
    <row r="848" ht="13.5" customHeight="1">
      <c r="B848" s="107"/>
      <c r="C848" s="109"/>
    </row>
    <row r="849" ht="13.5" customHeight="1">
      <c r="B849" s="107"/>
      <c r="C849" s="109"/>
    </row>
    <row r="850" ht="13.5" customHeight="1">
      <c r="B850" s="107"/>
      <c r="C850" s="109"/>
    </row>
    <row r="851" ht="13.5" customHeight="1">
      <c r="B851" s="107"/>
      <c r="C851" s="109"/>
    </row>
    <row r="852" ht="13.5" customHeight="1">
      <c r="B852" s="107"/>
      <c r="C852" s="109"/>
    </row>
    <row r="853" ht="13.5" customHeight="1">
      <c r="B853" s="107"/>
      <c r="C853" s="109"/>
    </row>
    <row r="854" ht="13.5" customHeight="1">
      <c r="B854" s="107"/>
      <c r="C854" s="109"/>
    </row>
    <row r="855" ht="13.5" customHeight="1">
      <c r="B855" s="107"/>
      <c r="C855" s="109"/>
    </row>
    <row r="856" ht="13.5" customHeight="1">
      <c r="B856" s="107"/>
      <c r="C856" s="109"/>
    </row>
    <row r="857" ht="13.5" customHeight="1">
      <c r="B857" s="107"/>
      <c r="C857" s="109"/>
    </row>
    <row r="858" ht="13.5" customHeight="1">
      <c r="B858" s="107"/>
      <c r="C858" s="109"/>
    </row>
    <row r="859" ht="13.5" customHeight="1">
      <c r="B859" s="107"/>
      <c r="C859" s="109"/>
    </row>
    <row r="860" ht="13.5" customHeight="1">
      <c r="B860" s="107"/>
      <c r="C860" s="109"/>
    </row>
    <row r="861" ht="13.5" customHeight="1">
      <c r="B861" s="107"/>
      <c r="C861" s="109"/>
    </row>
    <row r="862" ht="13.5" customHeight="1">
      <c r="B862" s="107"/>
      <c r="C862" s="109"/>
    </row>
    <row r="863" ht="13.5" customHeight="1">
      <c r="B863" s="107"/>
      <c r="C863" s="109"/>
    </row>
    <row r="864" ht="13.5" customHeight="1">
      <c r="B864" s="107"/>
      <c r="C864" s="109"/>
    </row>
    <row r="865" ht="13.5" customHeight="1">
      <c r="B865" s="107"/>
      <c r="C865" s="109"/>
    </row>
    <row r="866" ht="13.5" customHeight="1">
      <c r="B866" s="107"/>
      <c r="C866" s="109"/>
    </row>
    <row r="867" ht="13.5" customHeight="1">
      <c r="B867" s="107"/>
      <c r="C867" s="109"/>
    </row>
    <row r="868" ht="13.5" customHeight="1">
      <c r="B868" s="107"/>
      <c r="C868" s="109"/>
    </row>
    <row r="869" ht="13.5" customHeight="1">
      <c r="B869" s="107"/>
      <c r="C869" s="109"/>
    </row>
    <row r="870" ht="13.5" customHeight="1">
      <c r="B870" s="107"/>
      <c r="C870" s="109"/>
    </row>
    <row r="871" ht="13.5" customHeight="1">
      <c r="B871" s="107"/>
      <c r="C871" s="109"/>
    </row>
    <row r="872" ht="13.5" customHeight="1">
      <c r="B872" s="107"/>
      <c r="C872" s="109"/>
    </row>
    <row r="873" ht="13.5" customHeight="1">
      <c r="B873" s="107"/>
      <c r="C873" s="109"/>
    </row>
    <row r="874" ht="13.5" customHeight="1">
      <c r="B874" s="107"/>
      <c r="C874" s="109"/>
    </row>
    <row r="875" ht="13.5" customHeight="1">
      <c r="B875" s="107"/>
      <c r="C875" s="109"/>
    </row>
    <row r="876" ht="13.5" customHeight="1">
      <c r="B876" s="107"/>
      <c r="C876" s="109"/>
    </row>
    <row r="877" ht="13.5" customHeight="1">
      <c r="B877" s="107"/>
      <c r="C877" s="109"/>
    </row>
    <row r="878" ht="13.5" customHeight="1">
      <c r="B878" s="107"/>
      <c r="C878" s="109"/>
    </row>
    <row r="879" ht="13.5" customHeight="1">
      <c r="B879" s="107"/>
      <c r="C879" s="109"/>
    </row>
    <row r="880" ht="13.5" customHeight="1">
      <c r="B880" s="107"/>
      <c r="C880" s="109"/>
    </row>
    <row r="881" ht="13.5" customHeight="1">
      <c r="B881" s="107"/>
      <c r="C881" s="109"/>
    </row>
    <row r="882" ht="13.5" customHeight="1">
      <c r="B882" s="107"/>
      <c r="C882" s="109"/>
    </row>
    <row r="883" ht="13.5" customHeight="1">
      <c r="B883" s="107"/>
      <c r="C883" s="109"/>
    </row>
    <row r="884" ht="13.5" customHeight="1">
      <c r="B884" s="107"/>
      <c r="C884" s="109"/>
    </row>
    <row r="885" ht="13.5" customHeight="1">
      <c r="B885" s="107"/>
      <c r="C885" s="109"/>
    </row>
    <row r="886" ht="13.5" customHeight="1">
      <c r="B886" s="107"/>
      <c r="C886" s="109"/>
    </row>
    <row r="887" ht="13.5" customHeight="1">
      <c r="B887" s="107"/>
      <c r="C887" s="109"/>
    </row>
    <row r="888" ht="13.5" customHeight="1">
      <c r="B888" s="107"/>
      <c r="C888" s="109"/>
    </row>
    <row r="889" ht="13.5" customHeight="1">
      <c r="B889" s="107"/>
      <c r="C889" s="109"/>
    </row>
    <row r="890" ht="13.5" customHeight="1">
      <c r="B890" s="107"/>
      <c r="C890" s="109"/>
    </row>
    <row r="891" ht="13.5" customHeight="1">
      <c r="B891" s="107"/>
      <c r="C891" s="109"/>
    </row>
    <row r="892" ht="13.5" customHeight="1">
      <c r="B892" s="107"/>
      <c r="C892" s="109"/>
    </row>
    <row r="893" ht="13.5" customHeight="1">
      <c r="B893" s="107"/>
      <c r="C893" s="109"/>
    </row>
    <row r="894" ht="13.5" customHeight="1">
      <c r="B894" s="107"/>
      <c r="C894" s="109"/>
    </row>
    <row r="895" ht="13.5" customHeight="1">
      <c r="B895" s="107"/>
      <c r="C895" s="109"/>
    </row>
    <row r="896" ht="13.5" customHeight="1">
      <c r="B896" s="107"/>
      <c r="C896" s="109"/>
    </row>
    <row r="897" ht="13.5" customHeight="1">
      <c r="B897" s="107"/>
      <c r="C897" s="109"/>
    </row>
    <row r="898" ht="13.5" customHeight="1">
      <c r="B898" s="107"/>
      <c r="C898" s="109"/>
    </row>
    <row r="899" ht="13.5" customHeight="1">
      <c r="B899" s="107"/>
      <c r="C899" s="109"/>
    </row>
    <row r="900" ht="13.5" customHeight="1">
      <c r="B900" s="107"/>
      <c r="C900" s="109"/>
    </row>
    <row r="901" ht="13.5" customHeight="1">
      <c r="B901" s="107"/>
      <c r="C901" s="109"/>
    </row>
    <row r="902" ht="13.5" customHeight="1">
      <c r="B902" s="107"/>
      <c r="C902" s="109"/>
    </row>
    <row r="903" ht="13.5" customHeight="1">
      <c r="B903" s="107"/>
      <c r="C903" s="109"/>
    </row>
    <row r="904" ht="13.5" customHeight="1">
      <c r="B904" s="107"/>
      <c r="C904" s="109"/>
    </row>
    <row r="905" ht="13.5" customHeight="1">
      <c r="B905" s="107"/>
      <c r="C905" s="109"/>
    </row>
    <row r="906" ht="13.5" customHeight="1">
      <c r="B906" s="107"/>
      <c r="C906" s="109"/>
    </row>
    <row r="907" ht="13.5" customHeight="1">
      <c r="B907" s="107"/>
      <c r="C907" s="109"/>
    </row>
    <row r="908" ht="13.5" customHeight="1">
      <c r="B908" s="107"/>
      <c r="C908" s="109"/>
    </row>
    <row r="909" ht="13.5" customHeight="1">
      <c r="B909" s="107"/>
      <c r="C909" s="109"/>
    </row>
    <row r="910" ht="13.5" customHeight="1">
      <c r="B910" s="107"/>
      <c r="C910" s="109"/>
    </row>
    <row r="911" ht="13.5" customHeight="1">
      <c r="B911" s="107"/>
      <c r="C911" s="109"/>
    </row>
    <row r="912" ht="13.5" customHeight="1">
      <c r="B912" s="107"/>
      <c r="C912" s="109"/>
    </row>
    <row r="913" ht="13.5" customHeight="1">
      <c r="B913" s="107"/>
      <c r="C913" s="109"/>
    </row>
    <row r="914" ht="13.5" customHeight="1">
      <c r="B914" s="107"/>
      <c r="C914" s="109"/>
    </row>
    <row r="915" ht="13.5" customHeight="1">
      <c r="B915" s="107"/>
      <c r="C915" s="109"/>
    </row>
    <row r="916" ht="13.5" customHeight="1">
      <c r="B916" s="107"/>
      <c r="C916" s="109"/>
    </row>
    <row r="917" ht="13.5" customHeight="1">
      <c r="B917" s="107"/>
      <c r="C917" s="109"/>
    </row>
    <row r="918" ht="13.5" customHeight="1">
      <c r="B918" s="107"/>
      <c r="C918" s="109"/>
    </row>
    <row r="919" ht="13.5" customHeight="1">
      <c r="B919" s="107"/>
      <c r="C919" s="109"/>
    </row>
    <row r="920" ht="13.5" customHeight="1">
      <c r="B920" s="107"/>
      <c r="C920" s="109"/>
    </row>
    <row r="921" ht="13.5" customHeight="1">
      <c r="B921" s="107"/>
      <c r="C921" s="109"/>
    </row>
    <row r="922" ht="13.5" customHeight="1">
      <c r="B922" s="107"/>
      <c r="C922" s="109"/>
    </row>
    <row r="923" ht="13.5" customHeight="1">
      <c r="B923" s="107"/>
      <c r="C923" s="109"/>
    </row>
    <row r="924" ht="13.5" customHeight="1">
      <c r="B924" s="107"/>
      <c r="C924" s="109"/>
    </row>
    <row r="925" ht="13.5" customHeight="1">
      <c r="B925" s="107"/>
      <c r="C925" s="109"/>
    </row>
    <row r="926" ht="13.5" customHeight="1">
      <c r="B926" s="107"/>
      <c r="C926" s="109"/>
    </row>
    <row r="927" ht="13.5" customHeight="1">
      <c r="B927" s="107"/>
      <c r="C927" s="109"/>
    </row>
    <row r="928" ht="13.5" customHeight="1">
      <c r="B928" s="107"/>
      <c r="C928" s="109"/>
    </row>
    <row r="929" ht="13.5" customHeight="1">
      <c r="B929" s="107"/>
      <c r="C929" s="109"/>
    </row>
    <row r="930" ht="13.5" customHeight="1">
      <c r="B930" s="107"/>
      <c r="C930" s="109"/>
    </row>
    <row r="931" ht="13.5" customHeight="1">
      <c r="B931" s="107"/>
      <c r="C931" s="109"/>
    </row>
    <row r="932" ht="13.5" customHeight="1">
      <c r="B932" s="107"/>
      <c r="C932" s="109"/>
    </row>
    <row r="933" ht="13.5" customHeight="1">
      <c r="B933" s="107"/>
      <c r="C933" s="109"/>
    </row>
    <row r="934" ht="13.5" customHeight="1">
      <c r="B934" s="107"/>
      <c r="C934" s="109"/>
    </row>
    <row r="935" ht="13.5" customHeight="1">
      <c r="B935" s="107"/>
      <c r="C935" s="109"/>
    </row>
    <row r="936" ht="13.5" customHeight="1">
      <c r="B936" s="107"/>
      <c r="C936" s="109"/>
    </row>
    <row r="937" ht="13.5" customHeight="1">
      <c r="B937" s="107"/>
      <c r="C937" s="109"/>
    </row>
    <row r="938" ht="13.5" customHeight="1">
      <c r="B938" s="107"/>
      <c r="C938" s="109"/>
    </row>
    <row r="939" ht="13.5" customHeight="1">
      <c r="B939" s="107"/>
      <c r="C939" s="109"/>
    </row>
    <row r="940" ht="13.5" customHeight="1">
      <c r="B940" s="107"/>
      <c r="C940" s="109"/>
    </row>
    <row r="941" ht="13.5" customHeight="1">
      <c r="B941" s="107"/>
      <c r="C941" s="109"/>
    </row>
    <row r="942" ht="13.5" customHeight="1">
      <c r="B942" s="107"/>
      <c r="C942" s="109"/>
    </row>
    <row r="943" ht="13.5" customHeight="1">
      <c r="B943" s="107"/>
      <c r="C943" s="109"/>
    </row>
    <row r="944" ht="13.5" customHeight="1">
      <c r="B944" s="107"/>
      <c r="C944" s="109"/>
    </row>
    <row r="945" ht="13.5" customHeight="1">
      <c r="B945" s="107"/>
      <c r="C945" s="109"/>
    </row>
    <row r="946" ht="13.5" customHeight="1">
      <c r="B946" s="107"/>
      <c r="C946" s="109"/>
    </row>
    <row r="947" ht="13.5" customHeight="1">
      <c r="B947" s="107"/>
      <c r="C947" s="109"/>
    </row>
    <row r="948" ht="13.5" customHeight="1">
      <c r="B948" s="107"/>
      <c r="C948" s="109"/>
    </row>
    <row r="949" ht="13.5" customHeight="1">
      <c r="B949" s="107"/>
      <c r="C949" s="109"/>
    </row>
    <row r="950" ht="13.5" customHeight="1">
      <c r="B950" s="107"/>
      <c r="C950" s="109"/>
    </row>
    <row r="951" ht="13.5" customHeight="1">
      <c r="B951" s="107"/>
      <c r="C951" s="109"/>
    </row>
    <row r="952" ht="13.5" customHeight="1">
      <c r="B952" s="107"/>
      <c r="C952" s="109"/>
    </row>
    <row r="953" ht="13.5" customHeight="1">
      <c r="B953" s="107"/>
      <c r="C953" s="109"/>
    </row>
    <row r="954" ht="13.5" customHeight="1">
      <c r="B954" s="107"/>
      <c r="C954" s="109"/>
    </row>
    <row r="955" ht="13.5" customHeight="1">
      <c r="B955" s="107"/>
      <c r="C955" s="109"/>
    </row>
    <row r="956" ht="13.5" customHeight="1">
      <c r="B956" s="107"/>
      <c r="C956" s="109"/>
    </row>
    <row r="957" ht="13.5" customHeight="1">
      <c r="B957" s="107"/>
      <c r="C957" s="109"/>
    </row>
    <row r="958" ht="13.5" customHeight="1">
      <c r="B958" s="107"/>
      <c r="C958" s="109"/>
    </row>
    <row r="959" ht="13.5" customHeight="1">
      <c r="B959" s="107"/>
      <c r="C959" s="109"/>
    </row>
    <row r="960" ht="13.5" customHeight="1">
      <c r="B960" s="107"/>
      <c r="C960" s="109"/>
    </row>
    <row r="961" ht="13.5" customHeight="1">
      <c r="B961" s="107"/>
      <c r="C961" s="109"/>
    </row>
    <row r="962" ht="13.5" customHeight="1">
      <c r="B962" s="107"/>
      <c r="C962" s="109"/>
    </row>
    <row r="963" ht="13.5" customHeight="1">
      <c r="B963" s="107"/>
      <c r="C963" s="109"/>
    </row>
    <row r="964" ht="13.5" customHeight="1">
      <c r="B964" s="107"/>
      <c r="C964" s="109"/>
    </row>
    <row r="965" ht="13.5" customHeight="1">
      <c r="B965" s="107"/>
      <c r="C965" s="109"/>
    </row>
    <row r="966" ht="13.5" customHeight="1">
      <c r="B966" s="107"/>
      <c r="C966" s="109"/>
    </row>
    <row r="967" ht="13.5" customHeight="1">
      <c r="B967" s="107"/>
      <c r="C967" s="109"/>
    </row>
    <row r="968" ht="13.5" customHeight="1">
      <c r="B968" s="107"/>
      <c r="C968" s="109"/>
    </row>
    <row r="969" ht="13.5" customHeight="1">
      <c r="B969" s="107"/>
      <c r="C969" s="109"/>
    </row>
    <row r="970" ht="13.5" customHeight="1">
      <c r="B970" s="107"/>
      <c r="C970" s="109"/>
    </row>
    <row r="971" ht="13.5" customHeight="1">
      <c r="B971" s="107"/>
      <c r="C971" s="109"/>
    </row>
    <row r="972" ht="13.5" customHeight="1">
      <c r="B972" s="107"/>
      <c r="C972" s="109"/>
    </row>
    <row r="973" ht="13.5" customHeight="1">
      <c r="B973" s="107"/>
      <c r="C973" s="109"/>
    </row>
    <row r="974" ht="13.5" customHeight="1">
      <c r="B974" s="107"/>
      <c r="C974" s="109"/>
    </row>
    <row r="975" ht="13.5" customHeight="1">
      <c r="B975" s="107"/>
      <c r="C975" s="109"/>
    </row>
    <row r="976" ht="13.5" customHeight="1">
      <c r="B976" s="107"/>
      <c r="C976" s="109"/>
    </row>
    <row r="977" ht="13.5" customHeight="1">
      <c r="B977" s="107"/>
      <c r="C977" s="109"/>
    </row>
    <row r="978" ht="13.5" customHeight="1">
      <c r="B978" s="107"/>
      <c r="C978" s="109"/>
    </row>
    <row r="979" ht="13.5" customHeight="1">
      <c r="B979" s="107"/>
      <c r="C979" s="109"/>
    </row>
    <row r="980" ht="13.5" customHeight="1">
      <c r="B980" s="107"/>
      <c r="C980" s="109"/>
    </row>
    <row r="981" ht="13.5" customHeight="1">
      <c r="B981" s="107"/>
      <c r="C981" s="109"/>
    </row>
    <row r="982" ht="13.5" customHeight="1">
      <c r="B982" s="107"/>
      <c r="C982" s="109"/>
    </row>
    <row r="983" ht="13.5" customHeight="1">
      <c r="B983" s="107"/>
      <c r="C983" s="109"/>
    </row>
    <row r="984" ht="13.5" customHeight="1">
      <c r="B984" s="107"/>
      <c r="C984" s="109"/>
    </row>
    <row r="985" ht="13.5" customHeight="1">
      <c r="B985" s="107"/>
      <c r="C985" s="109"/>
    </row>
    <row r="986" ht="13.5" customHeight="1">
      <c r="B986" s="107"/>
      <c r="C986" s="109"/>
    </row>
    <row r="987" ht="13.5" customHeight="1">
      <c r="B987" s="107"/>
      <c r="C987" s="109"/>
    </row>
    <row r="988" ht="13.5" customHeight="1">
      <c r="B988" s="107"/>
      <c r="C988" s="109"/>
    </row>
    <row r="989" ht="13.5" customHeight="1">
      <c r="B989" s="107"/>
      <c r="C989" s="109"/>
    </row>
    <row r="990" ht="13.5" customHeight="1">
      <c r="B990" s="107"/>
      <c r="C990" s="109"/>
    </row>
    <row r="991" ht="13.5" customHeight="1">
      <c r="B991" s="107"/>
      <c r="C991" s="109"/>
    </row>
    <row r="992" ht="13.5" customHeight="1">
      <c r="B992" s="107"/>
      <c r="C992" s="109"/>
    </row>
    <row r="993" ht="13.5" customHeight="1">
      <c r="B993" s="107"/>
      <c r="C993" s="109"/>
    </row>
    <row r="994" ht="13.5" customHeight="1">
      <c r="B994" s="107"/>
      <c r="C994" s="109"/>
    </row>
    <row r="995" ht="13.5" customHeight="1">
      <c r="B995" s="107"/>
      <c r="C995" s="109"/>
    </row>
    <row r="996" ht="13.5" customHeight="1">
      <c r="B996" s="107"/>
      <c r="C996" s="109"/>
    </row>
    <row r="997" ht="13.5" customHeight="1">
      <c r="B997" s="107"/>
      <c r="C997" s="109"/>
    </row>
    <row r="998" ht="13.5" customHeight="1">
      <c r="B998" s="107"/>
      <c r="C998" s="109"/>
    </row>
    <row r="999" ht="13.5" customHeight="1">
      <c r="B999" s="107"/>
      <c r="C999" s="109"/>
    </row>
    <row r="1000" ht="13.5" customHeight="1">
      <c r="B1000" s="107"/>
      <c r="C1000" s="109"/>
    </row>
  </sheetData>
  <mergeCells count="182">
    <mergeCell ref="S9:T9"/>
    <mergeCell ref="U9:V9"/>
    <mergeCell ref="X9:Y9"/>
    <mergeCell ref="Z9:AA9"/>
    <mergeCell ref="B1:AD1"/>
    <mergeCell ref="B2:AD2"/>
    <mergeCell ref="C7:AD8"/>
    <mergeCell ref="D9:E9"/>
    <mergeCell ref="F9:G9"/>
    <mergeCell ref="I9:J9"/>
    <mergeCell ref="K9:L9"/>
    <mergeCell ref="AC9:AD9"/>
    <mergeCell ref="P12:P13"/>
    <mergeCell ref="Q12:Q13"/>
    <mergeCell ref="U12:U13"/>
    <mergeCell ref="V12:V13"/>
    <mergeCell ref="Z12:Z13"/>
    <mergeCell ref="AA12:AA13"/>
    <mergeCell ref="AC12:AC13"/>
    <mergeCell ref="AD12:AD13"/>
    <mergeCell ref="F12:F13"/>
    <mergeCell ref="F15:F16"/>
    <mergeCell ref="B18:B19"/>
    <mergeCell ref="F18:F19"/>
    <mergeCell ref="G18:G19"/>
    <mergeCell ref="L15:L16"/>
    <mergeCell ref="P15:P16"/>
    <mergeCell ref="U15:U16"/>
    <mergeCell ref="V15:V16"/>
    <mergeCell ref="Z15:Z16"/>
    <mergeCell ref="AA15:AA16"/>
    <mergeCell ref="AC15:AC16"/>
    <mergeCell ref="AD15:AD16"/>
    <mergeCell ref="V18:V19"/>
    <mergeCell ref="Z18:Z19"/>
    <mergeCell ref="AA18:AA19"/>
    <mergeCell ref="AC18:AC19"/>
    <mergeCell ref="AD18:AD19"/>
    <mergeCell ref="K21:K22"/>
    <mergeCell ref="K24:K25"/>
    <mergeCell ref="B15:B16"/>
    <mergeCell ref="B21:B22"/>
    <mergeCell ref="G21:G22"/>
    <mergeCell ref="L21:L22"/>
    <mergeCell ref="B24:B25"/>
    <mergeCell ref="G24:G25"/>
    <mergeCell ref="L24:L25"/>
    <mergeCell ref="U27:U28"/>
    <mergeCell ref="V27:V28"/>
    <mergeCell ref="Z27:Z28"/>
    <mergeCell ref="AA27:AA28"/>
    <mergeCell ref="AC27:AC28"/>
    <mergeCell ref="AD27:AD28"/>
    <mergeCell ref="B27:B28"/>
    <mergeCell ref="G27:G28"/>
    <mergeCell ref="K27:K28"/>
    <mergeCell ref="L27:L28"/>
    <mergeCell ref="P27:P28"/>
    <mergeCell ref="Q27:Q28"/>
    <mergeCell ref="C31:AD32"/>
    <mergeCell ref="K12:K13"/>
    <mergeCell ref="K15:K16"/>
    <mergeCell ref="K18:K19"/>
    <mergeCell ref="L18:L19"/>
    <mergeCell ref="P18:P19"/>
    <mergeCell ref="Q18:Q19"/>
    <mergeCell ref="U18:U19"/>
    <mergeCell ref="N9:O9"/>
    <mergeCell ref="P9:Q9"/>
    <mergeCell ref="B12:B13"/>
    <mergeCell ref="G12:G13"/>
    <mergeCell ref="L12:L13"/>
    <mergeCell ref="G15:G16"/>
    <mergeCell ref="Q15:Q16"/>
    <mergeCell ref="Q21:Q22"/>
    <mergeCell ref="U21:U22"/>
    <mergeCell ref="V21:V22"/>
    <mergeCell ref="Z21:Z22"/>
    <mergeCell ref="AA21:AA22"/>
    <mergeCell ref="AC21:AC22"/>
    <mergeCell ref="AD21:AD22"/>
    <mergeCell ref="F21:F22"/>
    <mergeCell ref="F24:F25"/>
    <mergeCell ref="AC24:AC25"/>
    <mergeCell ref="AD24:AD25"/>
    <mergeCell ref="P21:P22"/>
    <mergeCell ref="P24:P25"/>
    <mergeCell ref="Q24:Q25"/>
    <mergeCell ref="U24:U25"/>
    <mergeCell ref="V24:V25"/>
    <mergeCell ref="Z24:Z25"/>
    <mergeCell ref="AA24:AA25"/>
    <mergeCell ref="S33:T33"/>
    <mergeCell ref="U33:V33"/>
    <mergeCell ref="X33:Y33"/>
    <mergeCell ref="Z33:AA33"/>
    <mergeCell ref="AC33:AD33"/>
    <mergeCell ref="Q39:Q40"/>
    <mergeCell ref="U39:U40"/>
    <mergeCell ref="V39:V40"/>
    <mergeCell ref="Z39:Z40"/>
    <mergeCell ref="AA39:AA40"/>
    <mergeCell ref="AC39:AC40"/>
    <mergeCell ref="AD39:AD40"/>
    <mergeCell ref="P36:P37"/>
    <mergeCell ref="P39:P40"/>
    <mergeCell ref="P42:P43"/>
    <mergeCell ref="Q42:Q43"/>
    <mergeCell ref="U42:U43"/>
    <mergeCell ref="V42:V43"/>
    <mergeCell ref="Z42:Z43"/>
    <mergeCell ref="F36:F37"/>
    <mergeCell ref="F39:F40"/>
    <mergeCell ref="B42:B43"/>
    <mergeCell ref="F42:F43"/>
    <mergeCell ref="G42:G43"/>
    <mergeCell ref="F45:F46"/>
    <mergeCell ref="G45:G46"/>
    <mergeCell ref="P51:P52"/>
    <mergeCell ref="Q51:Q52"/>
    <mergeCell ref="U51:U52"/>
    <mergeCell ref="V51:V52"/>
    <mergeCell ref="Z51:Z52"/>
    <mergeCell ref="AA51:AA52"/>
    <mergeCell ref="AC51:AC52"/>
    <mergeCell ref="AD51:AD52"/>
    <mergeCell ref="B45:B46"/>
    <mergeCell ref="B48:B49"/>
    <mergeCell ref="B51:B52"/>
    <mergeCell ref="F51:F52"/>
    <mergeCell ref="G51:G52"/>
    <mergeCell ref="K51:K52"/>
    <mergeCell ref="L51:L52"/>
    <mergeCell ref="F27:F28"/>
    <mergeCell ref="D33:E33"/>
    <mergeCell ref="F33:G33"/>
    <mergeCell ref="I33:J33"/>
    <mergeCell ref="K33:L33"/>
    <mergeCell ref="N33:O33"/>
    <mergeCell ref="P33:Q33"/>
    <mergeCell ref="U36:U37"/>
    <mergeCell ref="V36:V37"/>
    <mergeCell ref="Z36:Z37"/>
    <mergeCell ref="AA36:AA37"/>
    <mergeCell ref="AC36:AC37"/>
    <mergeCell ref="AD36:AD37"/>
    <mergeCell ref="K36:K37"/>
    <mergeCell ref="K39:K40"/>
    <mergeCell ref="K42:K43"/>
    <mergeCell ref="L42:L43"/>
    <mergeCell ref="K45:K46"/>
    <mergeCell ref="L45:L46"/>
    <mergeCell ref="K48:K49"/>
    <mergeCell ref="L48:L49"/>
    <mergeCell ref="B36:B37"/>
    <mergeCell ref="G36:G37"/>
    <mergeCell ref="L36:L37"/>
    <mergeCell ref="Q36:Q37"/>
    <mergeCell ref="B39:B40"/>
    <mergeCell ref="G39:G40"/>
    <mergeCell ref="L39:L40"/>
    <mergeCell ref="AA42:AA43"/>
    <mergeCell ref="AC42:AC43"/>
    <mergeCell ref="AD42:AD43"/>
    <mergeCell ref="P45:P46"/>
    <mergeCell ref="Q45:Q46"/>
    <mergeCell ref="U45:U46"/>
    <mergeCell ref="V45:V46"/>
    <mergeCell ref="Z45:Z46"/>
    <mergeCell ref="AA45:AA46"/>
    <mergeCell ref="AC45:AC46"/>
    <mergeCell ref="AD45:AD46"/>
    <mergeCell ref="AA48:AA49"/>
    <mergeCell ref="AC48:AC49"/>
    <mergeCell ref="AD48:AD49"/>
    <mergeCell ref="F48:F49"/>
    <mergeCell ref="G48:G49"/>
    <mergeCell ref="P48:P49"/>
    <mergeCell ref="Q48:Q49"/>
    <mergeCell ref="U48:U49"/>
    <mergeCell ref="V48:V49"/>
    <mergeCell ref="Z48:Z4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197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180</v>
      </c>
      <c r="F11" s="208"/>
      <c r="G11" s="206" t="s">
        <v>201</v>
      </c>
      <c r="H11" s="207" t="s">
        <v>184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205</v>
      </c>
      <c r="E13" s="214" t="s">
        <v>103</v>
      </c>
      <c r="F13" s="214" t="s">
        <v>109</v>
      </c>
      <c r="G13" s="215" t="s">
        <v>201</v>
      </c>
      <c r="H13" s="214" t="s">
        <v>99</v>
      </c>
      <c r="I13" s="214" t="s">
        <v>105</v>
      </c>
      <c r="J13" s="216">
        <v>4.0</v>
      </c>
      <c r="K13" s="217">
        <v>6.0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3.0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207</v>
      </c>
      <c r="E16" s="214" t="s">
        <v>58</v>
      </c>
      <c r="F16" s="214" t="s">
        <v>65</v>
      </c>
      <c r="G16" s="215" t="s">
        <v>201</v>
      </c>
      <c r="H16" s="214" t="s">
        <v>60</v>
      </c>
      <c r="I16" s="214" t="s">
        <v>67</v>
      </c>
      <c r="J16" s="216">
        <v>5.0</v>
      </c>
      <c r="K16" s="217">
        <v>7.0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4.0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209</v>
      </c>
      <c r="E19" s="214" t="s">
        <v>17</v>
      </c>
      <c r="F19" s="214" t="s">
        <v>24</v>
      </c>
      <c r="G19" s="215" t="s">
        <v>201</v>
      </c>
      <c r="H19" s="214" t="s">
        <v>26</v>
      </c>
      <c r="I19" s="214" t="s">
        <v>210</v>
      </c>
      <c r="J19" s="216">
        <v>6.0</v>
      </c>
      <c r="K19" s="217">
        <v>0.0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2.0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211</v>
      </c>
      <c r="D22" s="213" t="s">
        <v>212</v>
      </c>
      <c r="E22" s="214" t="s">
        <v>115</v>
      </c>
      <c r="F22" s="214" t="s">
        <v>121</v>
      </c>
      <c r="G22" s="215" t="s">
        <v>201</v>
      </c>
      <c r="H22" s="214" t="s">
        <v>117</v>
      </c>
      <c r="I22" s="214" t="s">
        <v>123</v>
      </c>
      <c r="J22" s="216">
        <v>3.0</v>
      </c>
      <c r="K22" s="217">
        <v>6.0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3.0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213</v>
      </c>
      <c r="D25" s="24"/>
      <c r="E25" s="24"/>
      <c r="F25" s="24"/>
      <c r="G25" s="24"/>
      <c r="H25" s="24"/>
      <c r="I25" s="208"/>
      <c r="J25" s="226">
        <f t="shared" ref="J25:M25" si="1">SUM(J13:J23)</f>
        <v>40</v>
      </c>
      <c r="K25" s="227">
        <f t="shared" si="1"/>
        <v>33</v>
      </c>
      <c r="L25" s="226">
        <f t="shared" si="1"/>
        <v>4</v>
      </c>
      <c r="M25" s="228">
        <f t="shared" si="1"/>
        <v>4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214</v>
      </c>
      <c r="D28" s="213" t="s">
        <v>215</v>
      </c>
      <c r="E28" s="214" t="s">
        <v>83</v>
      </c>
      <c r="F28" s="214" t="s">
        <v>90</v>
      </c>
      <c r="G28" s="215" t="s">
        <v>201</v>
      </c>
      <c r="H28" s="214" t="s">
        <v>85</v>
      </c>
      <c r="I28" s="214" t="s">
        <v>78</v>
      </c>
      <c r="J28" s="216">
        <v>5.0</v>
      </c>
      <c r="K28" s="217">
        <v>7.0</v>
      </c>
      <c r="L28" s="218">
        <f>IF(AND(J28&gt;K28,J29&gt;K29),2,IF(J28&gt;K28,1,IF(J29&gt;K29,1,0)))</f>
        <v>0</v>
      </c>
      <c r="M28" s="218">
        <f>IF(AND(K28&gt;J28,K29&gt;J29),2,IF(K28&gt;J28,1,IF(K29&gt;J29,1,0)))</f>
        <v>2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4.0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12" t="s">
        <v>216</v>
      </c>
      <c r="D31" s="213" t="s">
        <v>217</v>
      </c>
      <c r="E31" s="214" t="s">
        <v>218</v>
      </c>
      <c r="F31" s="232" t="s">
        <v>45</v>
      </c>
      <c r="G31" s="215" t="s">
        <v>201</v>
      </c>
      <c r="H31" s="214" t="s">
        <v>219</v>
      </c>
      <c r="I31" s="214" t="s">
        <v>54</v>
      </c>
      <c r="J31" s="216">
        <v>6.0</v>
      </c>
      <c r="K31" s="217">
        <v>4.0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7.0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211</v>
      </c>
      <c r="D34" s="213" t="s">
        <v>220</v>
      </c>
      <c r="E34" s="214" t="s">
        <v>133</v>
      </c>
      <c r="F34" s="214" t="s">
        <v>139</v>
      </c>
      <c r="G34" s="215" t="s">
        <v>201</v>
      </c>
      <c r="H34" s="214" t="s">
        <v>141</v>
      </c>
      <c r="I34" s="214" t="s">
        <v>221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1.0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/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222</v>
      </c>
      <c r="D40" s="24"/>
      <c r="E40" s="24"/>
      <c r="F40" s="24"/>
      <c r="G40" s="24"/>
      <c r="H40" s="24"/>
      <c r="I40" s="208"/>
      <c r="J40" s="226">
        <f t="shared" ref="J40:M40" si="2">SUM(J28:J38)</f>
        <v>26</v>
      </c>
      <c r="K40" s="227">
        <f t="shared" si="2"/>
        <v>36</v>
      </c>
      <c r="L40" s="226">
        <f t="shared" si="2"/>
        <v>1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223</v>
      </c>
      <c r="D42" s="24"/>
      <c r="E42" s="24"/>
      <c r="F42" s="24"/>
      <c r="G42" s="24"/>
      <c r="H42" s="24"/>
      <c r="I42" s="208"/>
      <c r="J42" s="239">
        <f t="shared" ref="J42:M42" si="3">J40+J25</f>
        <v>66</v>
      </c>
      <c r="K42" s="240">
        <f t="shared" si="3"/>
        <v>69</v>
      </c>
      <c r="L42" s="241">
        <f t="shared" si="3"/>
        <v>5</v>
      </c>
      <c r="M42" s="242">
        <f t="shared" si="3"/>
        <v>9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225</v>
      </c>
      <c r="F46" s="208"/>
      <c r="G46" s="206" t="s">
        <v>201</v>
      </c>
      <c r="H46" s="207" t="s">
        <v>186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215</v>
      </c>
      <c r="E48" s="214" t="s">
        <v>79</v>
      </c>
      <c r="F48" s="214" t="s">
        <v>86</v>
      </c>
      <c r="G48" s="215" t="s">
        <v>201</v>
      </c>
      <c r="H48" s="214" t="s">
        <v>80</v>
      </c>
      <c r="I48" s="214" t="s">
        <v>94</v>
      </c>
      <c r="J48" s="216">
        <v>4.0</v>
      </c>
      <c r="K48" s="217">
        <v>6.0</v>
      </c>
      <c r="L48" s="218">
        <f>IF(AND(J48&gt;K48,J49&gt;K49),2,IF(J48&gt;K48,1,IF(J49&gt;K49,1,0)))</f>
        <v>0</v>
      </c>
      <c r="M48" s="218">
        <f>IF(AND(K48&gt;J48,K49&gt;J49),2,IF(K48&gt;J48,1,IF(K49&gt;J49,1,0)))</f>
        <v>2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2.0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212</v>
      </c>
      <c r="E51" s="214" t="s">
        <v>118</v>
      </c>
      <c r="F51" s="214" t="s">
        <v>124</v>
      </c>
      <c r="G51" s="215" t="s">
        <v>201</v>
      </c>
      <c r="H51" s="214" t="s">
        <v>119</v>
      </c>
      <c r="I51" s="214" t="s">
        <v>125</v>
      </c>
      <c r="J51" s="216">
        <v>0.0</v>
      </c>
      <c r="K51" s="217">
        <v>6.0</v>
      </c>
      <c r="L51" s="218">
        <f>IF(AND(J51&gt;K51,J52&gt;K52),2,IF(J51&gt;K51,1,IF(J52&gt;K52,1,0)))</f>
        <v>1</v>
      </c>
      <c r="M51" s="218">
        <f>IF(AND(K51&gt;J51,K52&gt;J52),2,IF(K51&gt;J51,1,IF(K52&gt;J52,1,0)))</f>
        <v>1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2.0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209</v>
      </c>
      <c r="E54" s="214" t="s">
        <v>20</v>
      </c>
      <c r="F54" s="214" t="s">
        <v>34</v>
      </c>
      <c r="G54" s="215" t="s">
        <v>201</v>
      </c>
      <c r="H54" s="214" t="s">
        <v>21</v>
      </c>
      <c r="I54" s="214" t="s">
        <v>28</v>
      </c>
      <c r="J54" s="216">
        <v>0.0</v>
      </c>
      <c r="K54" s="217">
        <v>6.0</v>
      </c>
      <c r="L54" s="218">
        <f>IF(AND(J54&gt;K54,J55&gt;K55),2,IF(J54&gt;K54,1,IF(J55&gt;K55,1,0)))</f>
        <v>0</v>
      </c>
      <c r="M54" s="218">
        <f>IF(AND(K54&gt;J54,K55&gt;J55),2,IF(K54&gt;J54,1,IF(K55&gt;J55,1,0)))</f>
        <v>2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7.0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206</v>
      </c>
      <c r="D57" s="245" t="s">
        <v>207</v>
      </c>
      <c r="E57" s="214" t="s">
        <v>61</v>
      </c>
      <c r="F57" s="214" t="s">
        <v>72</v>
      </c>
      <c r="G57" s="215" t="s">
        <v>201</v>
      </c>
      <c r="H57" s="214" t="s">
        <v>62</v>
      </c>
      <c r="I57" s="214" t="s">
        <v>168</v>
      </c>
      <c r="J57" s="216">
        <v>4.0</v>
      </c>
      <c r="K57" s="217">
        <v>6.0</v>
      </c>
      <c r="L57" s="218">
        <f>IF(AND(J57&gt;K57,J58&gt;K58),2,IF(J57&gt;K57,1,IF(J58&gt;K58,1,0)))</f>
        <v>0</v>
      </c>
      <c r="M57" s="218">
        <f>IF(AND(K57&gt;J57,K58&gt;J58),2,IF(K57&gt;J57,1,IF(K58&gt;J58,1,0)))</f>
        <v>2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4.0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24"/>
      <c r="D59" s="24"/>
      <c r="E59" s="24"/>
      <c r="F59" s="24"/>
      <c r="G59" s="24"/>
      <c r="H59" s="24"/>
      <c r="I59" s="24"/>
      <c r="J59" s="24"/>
      <c r="K59" s="24"/>
      <c r="L59" s="24"/>
      <c r="M59" s="210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213</v>
      </c>
      <c r="D60" s="24"/>
      <c r="E60" s="24"/>
      <c r="F60" s="24"/>
      <c r="G60" s="24"/>
      <c r="H60" s="24"/>
      <c r="I60" s="208"/>
      <c r="J60" s="226">
        <f t="shared" ref="J60:M60" si="4">SUM(J48:J58)</f>
        <v>26</v>
      </c>
      <c r="K60" s="227">
        <f t="shared" si="4"/>
        <v>45</v>
      </c>
      <c r="L60" s="226">
        <f t="shared" si="4"/>
        <v>1</v>
      </c>
      <c r="M60" s="228">
        <f t="shared" si="4"/>
        <v>7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13" t="s">
        <v>217</v>
      </c>
      <c r="E63" s="214" t="s">
        <v>41</v>
      </c>
      <c r="F63" s="214" t="s">
        <v>48</v>
      </c>
      <c r="G63" s="215" t="s">
        <v>201</v>
      </c>
      <c r="H63" s="214" t="s">
        <v>49</v>
      </c>
      <c r="I63" s="214" t="s">
        <v>13</v>
      </c>
      <c r="J63" s="216">
        <v>7.0</v>
      </c>
      <c r="K63" s="217">
        <v>5.0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3.0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220</v>
      </c>
      <c r="E66" s="214" t="s">
        <v>136</v>
      </c>
      <c r="F66" s="214" t="s">
        <v>142</v>
      </c>
      <c r="G66" s="215" t="s">
        <v>201</v>
      </c>
      <c r="H66" s="214" t="s">
        <v>143</v>
      </c>
      <c r="I66" s="214" t="s">
        <v>148</v>
      </c>
      <c r="J66" s="216">
        <v>6.0</v>
      </c>
      <c r="K66" s="217">
        <v>3.0</v>
      </c>
      <c r="L66" s="218">
        <f>IF(AND(J66&gt;K66,J67&gt;K67),2,IF(J66&gt;K66,1,IF(J67&gt;K67,1,0)))</f>
        <v>2</v>
      </c>
      <c r="M66" s="218">
        <f>IF(AND(K66&gt;J66,K67&gt;J67),2,IF(K66&gt;J66,1,IF(K67&gt;J67,1,0)))</f>
        <v>0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1.0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 t="s">
        <v>211</v>
      </c>
      <c r="D69" s="213" t="s">
        <v>205</v>
      </c>
      <c r="E69" s="214" t="s">
        <v>227</v>
      </c>
      <c r="F69" s="214" t="s">
        <v>100</v>
      </c>
      <c r="G69" s="215" t="s">
        <v>201</v>
      </c>
      <c r="H69" s="214" t="s">
        <v>169</v>
      </c>
      <c r="I69" s="214" t="s">
        <v>113</v>
      </c>
      <c r="J69" s="216">
        <v>2.0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 t="s">
        <v>201</v>
      </c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222</v>
      </c>
      <c r="D75" s="24"/>
      <c r="E75" s="24"/>
      <c r="F75" s="24"/>
      <c r="G75" s="24"/>
      <c r="H75" s="24"/>
      <c r="I75" s="208"/>
      <c r="J75" s="226">
        <f t="shared" ref="J75:M75" si="5">SUM(J63:J73)</f>
        <v>26</v>
      </c>
      <c r="K75" s="227">
        <f t="shared" si="5"/>
        <v>27</v>
      </c>
      <c r="L75" s="226">
        <f t="shared" si="5"/>
        <v>3</v>
      </c>
      <c r="M75" s="228">
        <f t="shared" si="5"/>
        <v>3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223</v>
      </c>
      <c r="D77" s="24"/>
      <c r="E77" s="24"/>
      <c r="F77" s="24"/>
      <c r="G77" s="24"/>
      <c r="H77" s="24"/>
      <c r="I77" s="208"/>
      <c r="J77" s="239">
        <f t="shared" ref="J77:M77" si="6">J75+J60</f>
        <v>52</v>
      </c>
      <c r="K77" s="240">
        <f t="shared" si="6"/>
        <v>72</v>
      </c>
      <c r="L77" s="241">
        <f t="shared" si="6"/>
        <v>4</v>
      </c>
      <c r="M77" s="242">
        <f t="shared" si="6"/>
        <v>10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229</v>
      </c>
      <c r="F81" s="208"/>
      <c r="G81" s="206" t="s">
        <v>201</v>
      </c>
      <c r="H81" s="207" t="s">
        <v>187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212</v>
      </c>
      <c r="E83" s="214" t="s">
        <v>116</v>
      </c>
      <c r="F83" s="214" t="s">
        <v>128</v>
      </c>
      <c r="G83" s="215" t="s">
        <v>201</v>
      </c>
      <c r="H83" s="214" t="s">
        <v>230</v>
      </c>
      <c r="I83" s="214" t="s">
        <v>132</v>
      </c>
      <c r="J83" s="216">
        <v>6.0</v>
      </c>
      <c r="K83" s="217">
        <v>3.0</v>
      </c>
      <c r="L83" s="218">
        <f>IF(AND(J83&gt;K83,J84&gt;K84),2,IF(J83&gt;K83,1,IF(J84&gt;K84,1,0)))</f>
        <v>2</v>
      </c>
      <c r="M83" s="218">
        <f>IF(AND(K83&gt;J83,K84&gt;J84),2,IF(K83&gt;J83,1,IF(K84&gt;J84,1,0)))</f>
        <v>0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0.0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205</v>
      </c>
      <c r="E86" s="214" t="s">
        <v>110</v>
      </c>
      <c r="F86" s="214" t="s">
        <v>231</v>
      </c>
      <c r="G86" s="215" t="s">
        <v>201</v>
      </c>
      <c r="H86" s="214" t="s">
        <v>102</v>
      </c>
      <c r="I86" s="214" t="s">
        <v>114</v>
      </c>
      <c r="J86" s="216">
        <v>1.0</v>
      </c>
      <c r="K86" s="217">
        <v>6.0</v>
      </c>
      <c r="L86" s="218">
        <f>IF(AND(J86&gt;K86,J87&gt;K87),2,IF(J86&gt;K86,1,IF(J87&gt;K87,1,0)))</f>
        <v>0</v>
      </c>
      <c r="M86" s="218">
        <f>IF(AND(K86&gt;J86,K87&gt;J87),2,IF(K86&gt;J86,1,IF(K87&gt;J87,1,0)))</f>
        <v>2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1.0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232</v>
      </c>
      <c r="D89" s="213" t="s">
        <v>207</v>
      </c>
      <c r="E89" s="214" t="s">
        <v>59</v>
      </c>
      <c r="F89" s="214" t="s">
        <v>66</v>
      </c>
      <c r="G89" s="215" t="s">
        <v>201</v>
      </c>
      <c r="H89" s="214" t="s">
        <v>63</v>
      </c>
      <c r="I89" s="214" t="s">
        <v>69</v>
      </c>
      <c r="J89" s="216">
        <v>4.0</v>
      </c>
      <c r="K89" s="217">
        <v>6.0</v>
      </c>
      <c r="L89" s="218">
        <f>IF(AND(J89&gt;K89,J90&gt;K90),2,IF(J89&gt;K89,1,IF(J90&gt;K90,1,0)))</f>
        <v>1</v>
      </c>
      <c r="M89" s="218">
        <f>IF(AND(K89&gt;J89,K90&gt;J90),2,IF(K89&gt;J89,1,IF(K90&gt;J90,1,0)))</f>
        <v>1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1.0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 t="s">
        <v>208</v>
      </c>
      <c r="D92" s="245" t="s">
        <v>220</v>
      </c>
      <c r="E92" s="214" t="s">
        <v>134</v>
      </c>
      <c r="F92" s="214" t="s">
        <v>140</v>
      </c>
      <c r="G92" s="215" t="s">
        <v>201</v>
      </c>
      <c r="H92" s="214" t="s">
        <v>144</v>
      </c>
      <c r="I92" s="214" t="s">
        <v>149</v>
      </c>
      <c r="J92" s="216">
        <v>6.0</v>
      </c>
      <c r="K92" s="217">
        <v>2.0</v>
      </c>
      <c r="L92" s="218">
        <f>IF(AND(J92&gt;K92,J93&gt;K93),2,IF(J92&gt;K92,1,IF(J93&gt;K93,1,0)))</f>
        <v>2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6.0</v>
      </c>
      <c r="K93" s="222">
        <v>1.0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24"/>
      <c r="D94" s="24"/>
      <c r="E94" s="24"/>
      <c r="F94" s="24"/>
      <c r="G94" s="24"/>
      <c r="H94" s="24"/>
      <c r="I94" s="24"/>
      <c r="J94" s="24"/>
      <c r="K94" s="24"/>
      <c r="L94" s="24"/>
      <c r="M94" s="210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213</v>
      </c>
      <c r="D95" s="24"/>
      <c r="E95" s="24"/>
      <c r="F95" s="24"/>
      <c r="G95" s="24"/>
      <c r="H95" s="24"/>
      <c r="I95" s="208"/>
      <c r="J95" s="226">
        <f t="shared" ref="J95:M95" si="7">SUM(J83:J93)</f>
        <v>36</v>
      </c>
      <c r="K95" s="227">
        <f t="shared" si="7"/>
        <v>25</v>
      </c>
      <c r="L95" s="226">
        <f t="shared" si="7"/>
        <v>5</v>
      </c>
      <c r="M95" s="228">
        <f t="shared" si="7"/>
        <v>3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217</v>
      </c>
      <c r="E98" s="214" t="s">
        <v>46</v>
      </c>
      <c r="F98" s="214" t="s">
        <v>53</v>
      </c>
      <c r="G98" s="215" t="s">
        <v>201</v>
      </c>
      <c r="H98" s="214" t="s">
        <v>43</v>
      </c>
      <c r="I98" s="214" t="s">
        <v>56</v>
      </c>
      <c r="J98" s="216">
        <v>6.0</v>
      </c>
      <c r="K98" s="217">
        <v>7.0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5.0</v>
      </c>
      <c r="K99" s="222">
        <v>7.0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215</v>
      </c>
      <c r="E101" s="214" t="s">
        <v>77</v>
      </c>
      <c r="F101" s="214" t="s">
        <v>84</v>
      </c>
      <c r="G101" s="215" t="s">
        <v>201</v>
      </c>
      <c r="H101" s="214" t="s">
        <v>88</v>
      </c>
      <c r="I101" s="214" t="s">
        <v>95</v>
      </c>
      <c r="J101" s="216">
        <v>6.0</v>
      </c>
      <c r="K101" s="217">
        <v>2.0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5.0</v>
      </c>
      <c r="K102" s="222">
        <v>7.0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12" t="s">
        <v>211</v>
      </c>
      <c r="D104" s="213" t="s">
        <v>209</v>
      </c>
      <c r="E104" s="214" t="s">
        <v>18</v>
      </c>
      <c r="F104" s="214" t="s">
        <v>25</v>
      </c>
      <c r="G104" s="215" t="s">
        <v>201</v>
      </c>
      <c r="H104" s="214" t="s">
        <v>29</v>
      </c>
      <c r="I104" s="214" t="s">
        <v>36</v>
      </c>
      <c r="J104" s="216">
        <v>7.0</v>
      </c>
      <c r="K104" s="217">
        <v>5.0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3.0</v>
      </c>
      <c r="K105" s="222">
        <v>6.0</v>
      </c>
      <c r="L105" s="220"/>
      <c r="M105" s="220"/>
      <c r="N105" s="248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211</v>
      </c>
      <c r="D107" s="249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222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32</v>
      </c>
      <c r="K110" s="227">
        <f t="shared" si="8"/>
        <v>34</v>
      </c>
      <c r="L110" s="226">
        <f t="shared" si="8"/>
        <v>2</v>
      </c>
      <c r="M110" s="228">
        <f t="shared" si="8"/>
        <v>4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223</v>
      </c>
      <c r="D112" s="24"/>
      <c r="E112" s="24"/>
      <c r="F112" s="24"/>
      <c r="G112" s="24"/>
      <c r="H112" s="24"/>
      <c r="I112" s="208"/>
      <c r="J112" s="239">
        <f t="shared" ref="J112:M112" si="9">J110+J95</f>
        <v>68</v>
      </c>
      <c r="K112" s="240">
        <f t="shared" si="9"/>
        <v>59</v>
      </c>
      <c r="L112" s="241">
        <f t="shared" si="9"/>
        <v>7</v>
      </c>
      <c r="M112" s="242">
        <f t="shared" si="9"/>
        <v>7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3" t="s">
        <v>234</v>
      </c>
      <c r="D6" s="254"/>
      <c r="E6" s="254"/>
      <c r="F6" s="254"/>
      <c r="G6" s="254"/>
      <c r="H6" s="254"/>
      <c r="I6" s="254"/>
      <c r="J6" s="254"/>
      <c r="K6" s="254"/>
      <c r="L6" s="254"/>
      <c r="M6" s="25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229</v>
      </c>
      <c r="F11" s="208"/>
      <c r="G11" s="206" t="s">
        <v>201</v>
      </c>
      <c r="H11" s="207" t="s">
        <v>235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44"/>
      <c r="D12" s="24"/>
      <c r="E12" s="24"/>
      <c r="F12" s="24"/>
      <c r="G12" s="24"/>
      <c r="H12" s="24"/>
      <c r="I12" s="24"/>
      <c r="J12" s="24"/>
      <c r="K12" s="24"/>
      <c r="L12" s="24"/>
      <c r="M12" s="210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56" t="s">
        <v>211</v>
      </c>
      <c r="D13" s="213" t="s">
        <v>209</v>
      </c>
      <c r="E13" s="214" t="s">
        <v>236</v>
      </c>
      <c r="F13" s="214" t="s">
        <v>32</v>
      </c>
      <c r="G13" s="215" t="s">
        <v>201</v>
      </c>
      <c r="H13" s="214" t="s">
        <v>21</v>
      </c>
      <c r="I13" s="214" t="s">
        <v>35</v>
      </c>
      <c r="J13" s="216">
        <v>6.0</v>
      </c>
      <c r="K13" s="217">
        <v>2.0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2.0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205</v>
      </c>
      <c r="E16" s="214" t="s">
        <v>98</v>
      </c>
      <c r="F16" s="214" t="s">
        <v>110</v>
      </c>
      <c r="G16" s="215" t="s">
        <v>201</v>
      </c>
      <c r="H16" s="214" t="s">
        <v>169</v>
      </c>
      <c r="I16" s="214" t="s">
        <v>107</v>
      </c>
      <c r="J16" s="216">
        <v>5.0</v>
      </c>
      <c r="K16" s="217">
        <v>7.0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4.0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212</v>
      </c>
      <c r="E19" s="214" t="s">
        <v>116</v>
      </c>
      <c r="F19" s="214" t="s">
        <v>122</v>
      </c>
      <c r="G19" s="215" t="s">
        <v>201</v>
      </c>
      <c r="H19" s="214" t="s">
        <v>125</v>
      </c>
      <c r="I19" s="214" t="s">
        <v>131</v>
      </c>
      <c r="J19" s="216">
        <v>6.0</v>
      </c>
      <c r="K19" s="217">
        <v>3.0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7.0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204</v>
      </c>
      <c r="D22" s="245" t="s">
        <v>220</v>
      </c>
      <c r="E22" s="214" t="s">
        <v>140</v>
      </c>
      <c r="F22" s="214" t="s">
        <v>237</v>
      </c>
      <c r="G22" s="215" t="s">
        <v>238</v>
      </c>
      <c r="H22" s="214" t="s">
        <v>137</v>
      </c>
      <c r="I22" s="214" t="s">
        <v>148</v>
      </c>
      <c r="J22" s="216">
        <v>6.0</v>
      </c>
      <c r="K22" s="217">
        <v>3.0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3.0</v>
      </c>
      <c r="K23" s="222">
        <v>6.0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239</v>
      </c>
      <c r="D25" s="24"/>
      <c r="E25" s="24"/>
      <c r="F25" s="24"/>
      <c r="G25" s="24"/>
      <c r="H25" s="24"/>
      <c r="I25" s="208"/>
      <c r="J25" s="226">
        <f t="shared" ref="J25:M25" si="1">SUM(J13:J23)</f>
        <v>42</v>
      </c>
      <c r="K25" s="227">
        <f t="shared" si="1"/>
        <v>36</v>
      </c>
      <c r="L25" s="226">
        <f t="shared" si="1"/>
        <v>4</v>
      </c>
      <c r="M25" s="228">
        <f t="shared" si="1"/>
        <v>4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215</v>
      </c>
      <c r="E28" s="214" t="s">
        <v>84</v>
      </c>
      <c r="F28" s="214" t="s">
        <v>91</v>
      </c>
      <c r="G28" s="215" t="s">
        <v>201</v>
      </c>
      <c r="H28" s="214" t="s">
        <v>80</v>
      </c>
      <c r="I28" s="214" t="s">
        <v>87</v>
      </c>
      <c r="J28" s="216">
        <v>3.0</v>
      </c>
      <c r="K28" s="217">
        <v>6.0</v>
      </c>
      <c r="L28" s="218">
        <f>IF(AND(J28&gt;K28,J29&gt;K29),2,IF(J28&gt;K28,1,IF(J29&gt;K29,1,0)))</f>
        <v>0</v>
      </c>
      <c r="M28" s="218">
        <f>IF(AND(K28&gt;J28,K29&gt;J29),2,IF(K28&gt;J28,1,IF(K29&gt;J29,1,0)))</f>
        <v>2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2.0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13" t="s">
        <v>207</v>
      </c>
      <c r="E31" s="214" t="s">
        <v>66</v>
      </c>
      <c r="F31" s="214" t="s">
        <v>10</v>
      </c>
      <c r="G31" s="215" t="s">
        <v>201</v>
      </c>
      <c r="H31" s="214" t="s">
        <v>168</v>
      </c>
      <c r="I31" s="214" t="s">
        <v>68</v>
      </c>
      <c r="J31" s="216">
        <v>5.0</v>
      </c>
      <c r="K31" s="217">
        <v>7.0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1.0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204</v>
      </c>
      <c r="D34" s="213" t="s">
        <v>217</v>
      </c>
      <c r="E34" s="214" t="s">
        <v>39</v>
      </c>
      <c r="F34" s="214" t="s">
        <v>46</v>
      </c>
      <c r="G34" s="215" t="s">
        <v>201</v>
      </c>
      <c r="H34" s="214" t="s">
        <v>42</v>
      </c>
      <c r="I34" s="214" t="s">
        <v>13</v>
      </c>
      <c r="J34" s="216">
        <v>4.0</v>
      </c>
      <c r="K34" s="217">
        <v>6.0</v>
      </c>
      <c r="L34" s="218">
        <f>IF(AND(J34&gt;K34,J35&gt;K35),2,IF(J34&gt;K34,1,IF(J35&gt;K35,1,0)))</f>
        <v>1</v>
      </c>
      <c r="M34" s="218">
        <f>IF(AND(K34&gt;J34,K35&gt;J35),2,IF(K34&gt;J34,1,IF(K35&gt;J35,1,0)))</f>
        <v>1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6.0</v>
      </c>
      <c r="K35" s="222">
        <v>4.0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241</v>
      </c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242</v>
      </c>
      <c r="D40" s="24"/>
      <c r="E40" s="24"/>
      <c r="F40" s="24"/>
      <c r="G40" s="24"/>
      <c r="H40" s="24"/>
      <c r="I40" s="208"/>
      <c r="J40" s="226">
        <f t="shared" ref="J40:M40" si="2">SUM(J28:J38)</f>
        <v>26</v>
      </c>
      <c r="K40" s="227">
        <f t="shared" si="2"/>
        <v>30</v>
      </c>
      <c r="L40" s="226">
        <f t="shared" si="2"/>
        <v>2</v>
      </c>
      <c r="M40" s="228">
        <f t="shared" si="2"/>
        <v>4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243</v>
      </c>
      <c r="D42" s="24"/>
      <c r="E42" s="24"/>
      <c r="F42" s="24"/>
      <c r="G42" s="24"/>
      <c r="H42" s="24"/>
      <c r="I42" s="208"/>
      <c r="J42" s="239">
        <f t="shared" ref="J42:M42" si="3">J40+J25</f>
        <v>68</v>
      </c>
      <c r="K42" s="240">
        <f t="shared" si="3"/>
        <v>66</v>
      </c>
      <c r="L42" s="241">
        <f t="shared" si="3"/>
        <v>6</v>
      </c>
      <c r="M42" s="242">
        <f t="shared" si="3"/>
        <v>8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244</v>
      </c>
      <c r="F46" s="208"/>
      <c r="G46" s="206" t="s">
        <v>201</v>
      </c>
      <c r="H46" s="207" t="s">
        <v>245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220</v>
      </c>
      <c r="E48" s="214" t="s">
        <v>133</v>
      </c>
      <c r="F48" s="214" t="s">
        <v>9</v>
      </c>
      <c r="G48" s="215" t="s">
        <v>201</v>
      </c>
      <c r="H48" s="214" t="s">
        <v>138</v>
      </c>
      <c r="I48" s="214" t="s">
        <v>149</v>
      </c>
      <c r="J48" s="216">
        <v>6.0</v>
      </c>
      <c r="K48" s="217">
        <v>4.0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3.0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209</v>
      </c>
      <c r="E51" s="214" t="s">
        <v>17</v>
      </c>
      <c r="F51" s="214" t="s">
        <v>31</v>
      </c>
      <c r="G51" s="215" t="s">
        <v>201</v>
      </c>
      <c r="H51" s="214" t="s">
        <v>22</v>
      </c>
      <c r="I51" s="214" t="s">
        <v>36</v>
      </c>
      <c r="J51" s="216">
        <v>6.0</v>
      </c>
      <c r="K51" s="217">
        <v>4.0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4.0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208</v>
      </c>
      <c r="D54" s="213" t="s">
        <v>205</v>
      </c>
      <c r="E54" s="214" t="s">
        <v>97</v>
      </c>
      <c r="F54" s="214" t="s">
        <v>103</v>
      </c>
      <c r="G54" s="215" t="s">
        <v>201</v>
      </c>
      <c r="H54" s="214" t="s">
        <v>108</v>
      </c>
      <c r="I54" s="214" t="s">
        <v>114</v>
      </c>
      <c r="J54" s="216">
        <v>7.0</v>
      </c>
      <c r="K54" s="217">
        <v>6.0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4.0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56" t="s">
        <v>206</v>
      </c>
      <c r="D57" s="245" t="s">
        <v>215</v>
      </c>
      <c r="E57" s="214" t="s">
        <v>76</v>
      </c>
      <c r="F57" s="214" t="s">
        <v>90</v>
      </c>
      <c r="G57" s="215" t="s">
        <v>201</v>
      </c>
      <c r="H57" s="214" t="s">
        <v>81</v>
      </c>
      <c r="I57" s="214" t="s">
        <v>95</v>
      </c>
      <c r="J57" s="216">
        <v>6.0</v>
      </c>
      <c r="K57" s="217">
        <v>2.0</v>
      </c>
      <c r="L57" s="218">
        <f>IF(AND(J57&gt;K57,J58&gt;K58),2,IF(J57&gt;K57,1,IF(J58&gt;K58,1,0)))</f>
        <v>1</v>
      </c>
      <c r="M57" s="218">
        <f>IF(AND(K57&gt;J57,K58&gt;J58),2,IF(K57&gt;J57,1,IF(K58&gt;J58,1,0)))</f>
        <v>1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4.0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24"/>
      <c r="D59" s="24"/>
      <c r="E59" s="24"/>
      <c r="F59" s="24"/>
      <c r="G59" s="24"/>
      <c r="H59" s="24"/>
      <c r="I59" s="24"/>
      <c r="J59" s="24"/>
      <c r="K59" s="24"/>
      <c r="L59" s="24"/>
      <c r="M59" s="210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239</v>
      </c>
      <c r="D60" s="24"/>
      <c r="E60" s="24"/>
      <c r="F60" s="24"/>
      <c r="G60" s="24"/>
      <c r="H60" s="24"/>
      <c r="I60" s="208"/>
      <c r="J60" s="226">
        <f t="shared" ref="J60:M60" si="4">SUM(J48:J58)</f>
        <v>47</v>
      </c>
      <c r="K60" s="227">
        <f t="shared" si="4"/>
        <v>33</v>
      </c>
      <c r="L60" s="226">
        <f t="shared" si="4"/>
        <v>7</v>
      </c>
      <c r="M60" s="228">
        <f t="shared" si="4"/>
        <v>1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214</v>
      </c>
      <c r="D63" s="213" t="s">
        <v>217</v>
      </c>
      <c r="E63" s="214" t="s">
        <v>38</v>
      </c>
      <c r="F63" s="214" t="s">
        <v>52</v>
      </c>
      <c r="G63" s="215" t="s">
        <v>201</v>
      </c>
      <c r="H63" s="214" t="s">
        <v>43</v>
      </c>
      <c r="I63" s="214" t="s">
        <v>50</v>
      </c>
      <c r="J63" s="216">
        <v>1.0</v>
      </c>
      <c r="K63" s="217">
        <v>6.0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2.0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216</v>
      </c>
      <c r="D66" s="213" t="s">
        <v>212</v>
      </c>
      <c r="E66" s="214" t="s">
        <v>121</v>
      </c>
      <c r="F66" s="214" t="s">
        <v>127</v>
      </c>
      <c r="G66" s="215" t="s">
        <v>201</v>
      </c>
      <c r="H66" s="214" t="s">
        <v>120</v>
      </c>
      <c r="I66" s="214" t="s">
        <v>230</v>
      </c>
      <c r="J66" s="216">
        <v>3.0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3.0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204</v>
      </c>
      <c r="D69" s="213" t="s">
        <v>207</v>
      </c>
      <c r="E69" s="214" t="s">
        <v>58</v>
      </c>
      <c r="F69" s="214" t="s">
        <v>71</v>
      </c>
      <c r="G69" s="215" t="s">
        <v>201</v>
      </c>
      <c r="H69" s="214" t="s">
        <v>63</v>
      </c>
      <c r="I69" s="214" t="s">
        <v>74</v>
      </c>
      <c r="J69" s="216">
        <v>3.0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4.0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 t="s">
        <v>246</v>
      </c>
      <c r="D72" s="233"/>
      <c r="E72" s="218"/>
      <c r="F72" s="218"/>
      <c r="G72" s="215" t="s">
        <v>201</v>
      </c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242</v>
      </c>
      <c r="D75" s="24"/>
      <c r="E75" s="24"/>
      <c r="F75" s="24"/>
      <c r="G75" s="24"/>
      <c r="H75" s="24"/>
      <c r="I75" s="208"/>
      <c r="J75" s="226">
        <f t="shared" ref="J75:M75" si="5">SUM(J63:J73)</f>
        <v>20</v>
      </c>
      <c r="K75" s="227">
        <f t="shared" si="5"/>
        <v>32</v>
      </c>
      <c r="L75" s="226">
        <f t="shared" si="5"/>
        <v>1</v>
      </c>
      <c r="M75" s="228">
        <f t="shared" si="5"/>
        <v>5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243</v>
      </c>
      <c r="D77" s="24"/>
      <c r="E77" s="24"/>
      <c r="F77" s="24"/>
      <c r="G77" s="24"/>
      <c r="H77" s="24"/>
      <c r="I77" s="208"/>
      <c r="J77" s="239">
        <f t="shared" ref="J77:M77" si="6">J75+J60</f>
        <v>67</v>
      </c>
      <c r="K77" s="240">
        <f t="shared" si="6"/>
        <v>65</v>
      </c>
      <c r="L77" s="241">
        <f t="shared" si="6"/>
        <v>8</v>
      </c>
      <c r="M77" s="242">
        <f t="shared" si="6"/>
        <v>6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247</v>
      </c>
      <c r="F81" s="208"/>
      <c r="G81" s="206" t="s">
        <v>201</v>
      </c>
      <c r="H81" s="207" t="s">
        <v>248</v>
      </c>
      <c r="I81" s="208"/>
      <c r="J81" s="209" t="s">
        <v>202</v>
      </c>
      <c r="K81" s="208"/>
      <c r="L81" s="209" t="s">
        <v>203</v>
      </c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44"/>
      <c r="D82" s="24"/>
      <c r="E82" s="24"/>
      <c r="F82" s="24"/>
      <c r="G82" s="24"/>
      <c r="H82" s="24"/>
      <c r="I82" s="24"/>
      <c r="J82" s="24"/>
      <c r="K82" s="24"/>
      <c r="L82" s="24"/>
      <c r="M82" s="210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209</v>
      </c>
      <c r="E83" s="214" t="s">
        <v>19</v>
      </c>
      <c r="F83" s="214" t="s">
        <v>26</v>
      </c>
      <c r="G83" s="215" t="s">
        <v>201</v>
      </c>
      <c r="H83" s="214" t="s">
        <v>27</v>
      </c>
      <c r="I83" s="214" t="s">
        <v>34</v>
      </c>
      <c r="J83" s="216">
        <v>6.0</v>
      </c>
      <c r="K83" s="217">
        <v>2.0</v>
      </c>
      <c r="L83" s="218">
        <f>IF(AND(J83&gt;K83,J84&gt;K84),2,IF(J83&gt;K83,1,IF(J84&gt;K84,1,0)))</f>
        <v>2</v>
      </c>
      <c r="M83" s="218">
        <f>IF(AND(K83&gt;J83,K84&gt;J84),2,IF(K83&gt;J83,1,IF(K84&gt;J84,1,0)))</f>
        <v>0</v>
      </c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2.0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215</v>
      </c>
      <c r="E86" s="214" t="s">
        <v>78</v>
      </c>
      <c r="F86" s="214" t="s">
        <v>85</v>
      </c>
      <c r="G86" s="215" t="s">
        <v>201</v>
      </c>
      <c r="H86" s="214" t="s">
        <v>79</v>
      </c>
      <c r="I86" s="214" t="s">
        <v>86</v>
      </c>
      <c r="J86" s="216">
        <v>6.0</v>
      </c>
      <c r="K86" s="217">
        <v>1.0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7.0</v>
      </c>
      <c r="L87" s="220"/>
      <c r="M87" s="220"/>
      <c r="N87" s="248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205</v>
      </c>
      <c r="E89" s="214" t="s">
        <v>99</v>
      </c>
      <c r="F89" s="214" t="s">
        <v>111</v>
      </c>
      <c r="G89" s="215" t="s">
        <v>201</v>
      </c>
      <c r="H89" s="214" t="s">
        <v>100</v>
      </c>
      <c r="I89" s="214" t="s">
        <v>112</v>
      </c>
      <c r="J89" s="216">
        <v>7.0</v>
      </c>
      <c r="K89" s="217">
        <v>5.0</v>
      </c>
      <c r="L89" s="218">
        <f>IF(AND(J89&gt;K89,J90&gt;K90),2,IF(J89&gt;K89,1,IF(J90&gt;K90,1,0)))</f>
        <v>2</v>
      </c>
      <c r="M89" s="218">
        <f>IF(AND(K89&gt;J89,K90&gt;J90),2,IF(K89&gt;J89,1,IF(K90&gt;J90,1,0)))</f>
        <v>0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3.0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 t="s">
        <v>208</v>
      </c>
      <c r="D92" s="245" t="s">
        <v>212</v>
      </c>
      <c r="E92" s="214" t="s">
        <v>117</v>
      </c>
      <c r="F92" s="214" t="s">
        <v>129</v>
      </c>
      <c r="G92" s="215" t="s">
        <v>201</v>
      </c>
      <c r="H92" s="214" t="s">
        <v>118</v>
      </c>
      <c r="I92" s="214" t="s">
        <v>130</v>
      </c>
      <c r="J92" s="216">
        <v>6.0</v>
      </c>
      <c r="K92" s="217">
        <v>2.0</v>
      </c>
      <c r="L92" s="218">
        <f>IF(AND(J92&gt;K92,J93&gt;K93),2,IF(J92&gt;K92,1,IF(J93&gt;K93,1,0)))</f>
        <v>1</v>
      </c>
      <c r="M92" s="218">
        <f>IF(AND(K92&gt;J92,K93&gt;J93),2,IF(K92&gt;J92,1,IF(K93&gt;J93,1,0)))</f>
        <v>1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3.0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24"/>
      <c r="D94" s="24"/>
      <c r="E94" s="24"/>
      <c r="F94" s="24"/>
      <c r="G94" s="24"/>
      <c r="H94" s="24"/>
      <c r="I94" s="24"/>
      <c r="J94" s="24"/>
      <c r="K94" s="24"/>
      <c r="L94" s="24"/>
      <c r="M94" s="210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239</v>
      </c>
      <c r="D95" s="24"/>
      <c r="E95" s="24"/>
      <c r="F95" s="24"/>
      <c r="G95" s="24"/>
      <c r="H95" s="24"/>
      <c r="I95" s="208"/>
      <c r="J95" s="226">
        <f t="shared" ref="J95:M95" si="7">SUM(J83:J93)</f>
        <v>46</v>
      </c>
      <c r="K95" s="227">
        <f t="shared" si="7"/>
        <v>28</v>
      </c>
      <c r="L95" s="226">
        <f t="shared" si="7"/>
        <v>6</v>
      </c>
      <c r="M95" s="228">
        <f t="shared" si="7"/>
        <v>2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214</v>
      </c>
      <c r="D98" s="213" t="s">
        <v>217</v>
      </c>
      <c r="E98" s="214" t="s">
        <v>40</v>
      </c>
      <c r="F98" s="214" t="s">
        <v>164</v>
      </c>
      <c r="G98" s="215" t="s">
        <v>201</v>
      </c>
      <c r="H98" s="214" t="s">
        <v>48</v>
      </c>
      <c r="I98" s="214" t="s">
        <v>55</v>
      </c>
      <c r="J98" s="216">
        <v>4.0</v>
      </c>
      <c r="K98" s="217">
        <v>6.0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6.0</v>
      </c>
      <c r="K99" s="222">
        <v>4.0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240</v>
      </c>
      <c r="D101" s="213" t="s">
        <v>220</v>
      </c>
      <c r="E101" s="214" t="s">
        <v>141</v>
      </c>
      <c r="F101" s="214" t="s">
        <v>146</v>
      </c>
      <c r="G101" s="215" t="s">
        <v>201</v>
      </c>
      <c r="H101" s="214" t="s">
        <v>142</v>
      </c>
      <c r="I101" s="214" t="s">
        <v>147</v>
      </c>
      <c r="J101" s="216">
        <v>2.0</v>
      </c>
      <c r="K101" s="217">
        <v>6.0</v>
      </c>
      <c r="L101" s="218">
        <f>IF(AND(J101&gt;K101,J102&gt;K102),2,IF(J101&gt;K101,1,IF(J102&gt;K102,1,0)))</f>
        <v>0</v>
      </c>
      <c r="M101" s="218">
        <f>IF(AND(K101&gt;J101,K102&gt;J102),2,IF(K101&gt;J101,1,IF(K102&gt;J102,1,0)))</f>
        <v>2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1.0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57" t="s">
        <v>233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204</v>
      </c>
      <c r="D104" s="213" t="s">
        <v>207</v>
      </c>
      <c r="E104" s="214" t="s">
        <v>11</v>
      </c>
      <c r="F104" s="214" t="s">
        <v>60</v>
      </c>
      <c r="G104" s="215" t="s">
        <v>201</v>
      </c>
      <c r="H104" s="214" t="s">
        <v>61</v>
      </c>
      <c r="I104" s="214" t="s">
        <v>12</v>
      </c>
      <c r="J104" s="216">
        <v>6.0</v>
      </c>
      <c r="K104" s="217">
        <v>0.0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258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4.0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242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23</v>
      </c>
      <c r="K110" s="227">
        <f t="shared" si="8"/>
        <v>28</v>
      </c>
      <c r="L110" s="226">
        <f t="shared" si="8"/>
        <v>2</v>
      </c>
      <c r="M110" s="228">
        <f t="shared" si="8"/>
        <v>4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243</v>
      </c>
      <c r="D112" s="24"/>
      <c r="E112" s="24"/>
      <c r="F112" s="24"/>
      <c r="G112" s="24"/>
      <c r="H112" s="24"/>
      <c r="I112" s="208"/>
      <c r="J112" s="239">
        <f t="shared" ref="J112:M112" si="9">J110+J95</f>
        <v>69</v>
      </c>
      <c r="K112" s="240">
        <f t="shared" si="9"/>
        <v>56</v>
      </c>
      <c r="L112" s="241">
        <f t="shared" si="9"/>
        <v>8</v>
      </c>
      <c r="M112" s="242">
        <f t="shared" si="9"/>
        <v>6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3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N104:O104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9" t="s">
        <v>249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250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251</v>
      </c>
      <c r="F11" s="208"/>
      <c r="G11" s="206" t="s">
        <v>201</v>
      </c>
      <c r="H11" s="207" t="s">
        <v>252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49" t="s">
        <v>205</v>
      </c>
      <c r="E13" s="214" t="s">
        <v>99</v>
      </c>
      <c r="F13" s="214" t="s">
        <v>105</v>
      </c>
      <c r="G13" s="215" t="s">
        <v>201</v>
      </c>
      <c r="H13" s="214" t="s">
        <v>102</v>
      </c>
      <c r="I13" s="214" t="s">
        <v>114</v>
      </c>
      <c r="J13" s="216">
        <v>4.0</v>
      </c>
      <c r="K13" s="217">
        <v>6.0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1.0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204</v>
      </c>
      <c r="D16" s="213" t="s">
        <v>209</v>
      </c>
      <c r="E16" s="214" t="s">
        <v>26</v>
      </c>
      <c r="F16" s="214" t="s">
        <v>33</v>
      </c>
      <c r="G16" s="215" t="s">
        <v>201</v>
      </c>
      <c r="H16" s="214" t="s">
        <v>22</v>
      </c>
      <c r="I16" s="214" t="s">
        <v>29</v>
      </c>
      <c r="J16" s="216">
        <v>3.0</v>
      </c>
      <c r="K16" s="217">
        <v>6.0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4.0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207</v>
      </c>
      <c r="E19" s="214" t="s">
        <v>11</v>
      </c>
      <c r="F19" s="214" t="s">
        <v>60</v>
      </c>
      <c r="G19" s="215" t="s">
        <v>201</v>
      </c>
      <c r="H19" s="214" t="s">
        <v>69</v>
      </c>
      <c r="I19" s="214" t="s">
        <v>74</v>
      </c>
      <c r="J19" s="216">
        <v>3.0</v>
      </c>
      <c r="K19" s="217">
        <v>6.0</v>
      </c>
      <c r="L19" s="218">
        <f>IF(AND(J19&gt;K19,J20&gt;K20),2,IF(J19&gt;K19,1,IF(J20&gt;K20,1,0)))</f>
        <v>0</v>
      </c>
      <c r="M19" s="218">
        <f>IF(AND(K19&gt;J19,K20&gt;J20),2,IF(K19&gt;J19,1,IF(K20&gt;J20,1,0)))</f>
        <v>2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4.0</v>
      </c>
      <c r="K20" s="222">
        <v>6.0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208</v>
      </c>
      <c r="D22" s="245" t="s">
        <v>212</v>
      </c>
      <c r="E22" s="214" t="s">
        <v>117</v>
      </c>
      <c r="F22" s="214" t="s">
        <v>129</v>
      </c>
      <c r="G22" s="260" t="s">
        <v>201</v>
      </c>
      <c r="H22" s="214" t="s">
        <v>120</v>
      </c>
      <c r="I22" s="214" t="s">
        <v>230</v>
      </c>
      <c r="J22" s="216">
        <v>4.0</v>
      </c>
      <c r="K22" s="217">
        <v>6.0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3.0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253</v>
      </c>
      <c r="D25" s="24"/>
      <c r="E25" s="24"/>
      <c r="F25" s="24"/>
      <c r="G25" s="24"/>
      <c r="H25" s="24"/>
      <c r="I25" s="208"/>
      <c r="J25" s="226">
        <f t="shared" ref="J25:M25" si="1">SUM(J13:J23)</f>
        <v>34</v>
      </c>
      <c r="K25" s="227">
        <f t="shared" si="1"/>
        <v>40</v>
      </c>
      <c r="L25" s="226">
        <f t="shared" si="1"/>
        <v>2</v>
      </c>
      <c r="M25" s="228">
        <f t="shared" si="1"/>
        <v>6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215</v>
      </c>
      <c r="E28" s="214" t="s">
        <v>85</v>
      </c>
      <c r="F28" s="214" t="s">
        <v>92</v>
      </c>
      <c r="G28" s="215" t="s">
        <v>201</v>
      </c>
      <c r="H28" s="214" t="s">
        <v>81</v>
      </c>
      <c r="I28" s="214" t="s">
        <v>88</v>
      </c>
      <c r="J28" s="216">
        <v>6.0</v>
      </c>
      <c r="K28" s="217">
        <v>3.0</v>
      </c>
      <c r="L28" s="218">
        <f>IF(AND(J28&gt;K28,J29&gt;K29),2,IF(J28&gt;K28,1,IF(J29&gt;K29,1,0)))</f>
        <v>1</v>
      </c>
      <c r="M28" s="218">
        <f>IF(AND(K28&gt;J28,K29&gt;J29),2,IF(K28&gt;J28,1,IF(K29&gt;J29,1,0)))</f>
        <v>1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7.0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12" t="s">
        <v>216</v>
      </c>
      <c r="D31" s="213" t="s">
        <v>217</v>
      </c>
      <c r="E31" s="214" t="s">
        <v>40</v>
      </c>
      <c r="F31" s="214" t="s">
        <v>54</v>
      </c>
      <c r="G31" s="215" t="s">
        <v>201</v>
      </c>
      <c r="H31" s="214" t="s">
        <v>43</v>
      </c>
      <c r="I31" s="214" t="s">
        <v>56</v>
      </c>
      <c r="J31" s="216">
        <v>1.0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3.0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211</v>
      </c>
      <c r="D34" s="213" t="s">
        <v>220</v>
      </c>
      <c r="E34" s="214" t="s">
        <v>146</v>
      </c>
      <c r="F34" s="214" t="s">
        <v>135</v>
      </c>
      <c r="G34" s="215" t="s">
        <v>201</v>
      </c>
      <c r="H34" s="214" t="s">
        <v>138</v>
      </c>
      <c r="I34" s="214" t="s">
        <v>144</v>
      </c>
      <c r="J34" s="216">
        <v>1.0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2.0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/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254</v>
      </c>
      <c r="D40" s="24"/>
      <c r="E40" s="24"/>
      <c r="F40" s="24"/>
      <c r="G40" s="24"/>
      <c r="H40" s="24"/>
      <c r="I40" s="208"/>
      <c r="J40" s="226">
        <f t="shared" ref="J40:M40" si="2">SUM(J28:J38)</f>
        <v>19</v>
      </c>
      <c r="K40" s="227">
        <f t="shared" si="2"/>
        <v>34</v>
      </c>
      <c r="L40" s="226">
        <f t="shared" si="2"/>
        <v>1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255</v>
      </c>
      <c r="D42" s="24"/>
      <c r="E42" s="24"/>
      <c r="F42" s="24"/>
      <c r="G42" s="24"/>
      <c r="H42" s="24"/>
      <c r="I42" s="208"/>
      <c r="J42" s="239">
        <f t="shared" ref="J42:M42" si="3">J40+J25</f>
        <v>53</v>
      </c>
      <c r="K42" s="240">
        <f t="shared" si="3"/>
        <v>74</v>
      </c>
      <c r="L42" s="241">
        <f t="shared" si="3"/>
        <v>3</v>
      </c>
      <c r="M42" s="242">
        <f t="shared" si="3"/>
        <v>11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256</v>
      </c>
      <c r="F46" s="208"/>
      <c r="G46" s="206" t="s">
        <v>201</v>
      </c>
      <c r="H46" s="207" t="s">
        <v>257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220</v>
      </c>
      <c r="E48" s="214" t="s">
        <v>136</v>
      </c>
      <c r="F48" s="214" t="s">
        <v>142</v>
      </c>
      <c r="G48" s="215" t="s">
        <v>201</v>
      </c>
      <c r="H48" s="214" t="s">
        <v>134</v>
      </c>
      <c r="I48" s="214" t="s">
        <v>237</v>
      </c>
      <c r="J48" s="216">
        <v>6.0</v>
      </c>
      <c r="K48" s="217">
        <v>3.0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7.0</v>
      </c>
      <c r="K49" s="222">
        <v>5.0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215</v>
      </c>
      <c r="E51" s="214" t="s">
        <v>86</v>
      </c>
      <c r="F51" s="214" t="s">
        <v>258</v>
      </c>
      <c r="G51" s="215" t="s">
        <v>201</v>
      </c>
      <c r="H51" s="214" t="s">
        <v>77</v>
      </c>
      <c r="I51" s="214" t="s">
        <v>91</v>
      </c>
      <c r="J51" s="216">
        <v>6.0</v>
      </c>
      <c r="K51" s="217">
        <v>7.0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206</v>
      </c>
      <c r="D54" s="213" t="s">
        <v>205</v>
      </c>
      <c r="E54" s="214" t="s">
        <v>100</v>
      </c>
      <c r="F54" s="214" t="s">
        <v>106</v>
      </c>
      <c r="G54" s="260" t="s">
        <v>201</v>
      </c>
      <c r="H54" s="214" t="s">
        <v>98</v>
      </c>
      <c r="I54" s="214" t="s">
        <v>104</v>
      </c>
      <c r="J54" s="216">
        <v>6.0</v>
      </c>
      <c r="K54" s="217">
        <v>3.0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7.0</v>
      </c>
      <c r="K55" s="222">
        <v>5.0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208</v>
      </c>
      <c r="D57" s="245" t="s">
        <v>217</v>
      </c>
      <c r="E57" s="214" t="s">
        <v>41</v>
      </c>
      <c r="F57" s="214" t="s">
        <v>55</v>
      </c>
      <c r="G57" s="215" t="s">
        <v>201</v>
      </c>
      <c r="H57" s="214" t="s">
        <v>39</v>
      </c>
      <c r="I57" s="214" t="s">
        <v>53</v>
      </c>
      <c r="J57" s="216">
        <v>7.0</v>
      </c>
      <c r="K57" s="217">
        <v>6.0</v>
      </c>
      <c r="L57" s="218">
        <f>IF(AND(J57&gt;K57,J58&gt;K58),2,IF(J57&gt;K57,1,IF(J58&gt;K58,1,0)))</f>
        <v>1</v>
      </c>
      <c r="M57" s="218">
        <f>IF(AND(K57&gt;J57,K58&gt;J58),2,IF(K57&gt;J57,1,IF(K58&gt;J58,1,0)))</f>
        <v>1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2.0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253</v>
      </c>
      <c r="D60" s="24"/>
      <c r="E60" s="24"/>
      <c r="F60" s="24"/>
      <c r="G60" s="24"/>
      <c r="H60" s="24"/>
      <c r="I60" s="208"/>
      <c r="J60" s="226">
        <f t="shared" ref="J60:M60" si="4">SUM(J48:J58)</f>
        <v>43</v>
      </c>
      <c r="K60" s="227">
        <f t="shared" si="4"/>
        <v>41</v>
      </c>
      <c r="L60" s="226">
        <f t="shared" si="4"/>
        <v>5</v>
      </c>
      <c r="M60" s="228">
        <f t="shared" si="4"/>
        <v>3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49" t="s">
        <v>207</v>
      </c>
      <c r="E63" s="214" t="s">
        <v>61</v>
      </c>
      <c r="F63" s="214" t="s">
        <v>72</v>
      </c>
      <c r="G63" s="215" t="s">
        <v>201</v>
      </c>
      <c r="H63" s="214" t="s">
        <v>59</v>
      </c>
      <c r="I63" s="214" t="s">
        <v>66</v>
      </c>
      <c r="J63" s="216">
        <v>6.0</v>
      </c>
      <c r="K63" s="217">
        <v>7.0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3.0</v>
      </c>
      <c r="K64" s="222">
        <v>6.0</v>
      </c>
      <c r="L64" s="220"/>
      <c r="M64" s="220"/>
      <c r="N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209</v>
      </c>
      <c r="E66" s="214" t="s">
        <v>259</v>
      </c>
      <c r="F66" s="214" t="s">
        <v>260</v>
      </c>
      <c r="G66" s="215" t="s">
        <v>201</v>
      </c>
      <c r="H66" s="214" t="s">
        <v>18</v>
      </c>
      <c r="I66" s="214" t="s">
        <v>32</v>
      </c>
      <c r="J66" s="216">
        <v>2.0</v>
      </c>
      <c r="K66" s="217">
        <v>6.0</v>
      </c>
      <c r="L66" s="218">
        <f>IF(AND(J66&gt;K66,J67&gt;K67),2,IF(J66&gt;K66,1,IF(J67&gt;K67,1,0)))</f>
        <v>1</v>
      </c>
      <c r="M66" s="218">
        <f>IF(AND(K66&gt;J66,K67&gt;J67),2,IF(K66&gt;J66,1,IF(K67&gt;J67,1,0)))</f>
        <v>1</v>
      </c>
      <c r="N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4.0</v>
      </c>
      <c r="L67" s="220"/>
      <c r="M67" s="220"/>
      <c r="N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204</v>
      </c>
      <c r="D69" s="213" t="s">
        <v>212</v>
      </c>
      <c r="E69" s="214" t="s">
        <v>124</v>
      </c>
      <c r="F69" s="214" t="s">
        <v>130</v>
      </c>
      <c r="G69" s="215" t="s">
        <v>201</v>
      </c>
      <c r="H69" s="214" t="s">
        <v>122</v>
      </c>
      <c r="I69" s="214" t="s">
        <v>128</v>
      </c>
      <c r="J69" s="216">
        <v>6.0</v>
      </c>
      <c r="K69" s="217">
        <v>3.0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/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254</v>
      </c>
      <c r="D75" s="24"/>
      <c r="E75" s="24"/>
      <c r="F75" s="24"/>
      <c r="G75" s="24"/>
      <c r="H75" s="24"/>
      <c r="I75" s="208"/>
      <c r="J75" s="226">
        <f t="shared" ref="J75:M75" si="5">SUM(J63:J73)</f>
        <v>25</v>
      </c>
      <c r="K75" s="227">
        <f t="shared" si="5"/>
        <v>32</v>
      </c>
      <c r="L75" s="226">
        <f t="shared" si="5"/>
        <v>2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255</v>
      </c>
      <c r="D77" s="24"/>
      <c r="E77" s="24"/>
      <c r="F77" s="24"/>
      <c r="G77" s="24"/>
      <c r="H77" s="24"/>
      <c r="I77" s="208"/>
      <c r="J77" s="239">
        <f t="shared" ref="J77:M77" si="6">J75+J60</f>
        <v>68</v>
      </c>
      <c r="K77" s="240">
        <f t="shared" si="6"/>
        <v>73</v>
      </c>
      <c r="L77" s="241">
        <f t="shared" si="6"/>
        <v>7</v>
      </c>
      <c r="M77" s="242">
        <f t="shared" si="6"/>
        <v>7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261</v>
      </c>
      <c r="F81" s="208"/>
      <c r="G81" s="206" t="s">
        <v>201</v>
      </c>
      <c r="H81" s="207" t="s">
        <v>262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215</v>
      </c>
      <c r="E83" s="214" t="s">
        <v>90</v>
      </c>
      <c r="F83" s="214" t="s">
        <v>83</v>
      </c>
      <c r="G83" s="215" t="s">
        <v>201</v>
      </c>
      <c r="H83" s="214" t="s">
        <v>87</v>
      </c>
      <c r="I83" s="214" t="s">
        <v>94</v>
      </c>
      <c r="J83" s="216">
        <v>2.0</v>
      </c>
      <c r="K83" s="217">
        <v>6.0</v>
      </c>
      <c r="L83" s="218">
        <f>IF(AND(J83&gt;K83,J84&gt;K84),2,IF(J83&gt;K83,1,IF(J84&gt;K84,1,0)))</f>
        <v>1</v>
      </c>
      <c r="M83" s="218">
        <f>IF(AND(K83&gt;J83,K84&gt;J84),2,IF(K83&gt;J83,1,IF(K84&gt;J84,1,0)))</f>
        <v>1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1.0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207</v>
      </c>
      <c r="E86" s="214" t="s">
        <v>65</v>
      </c>
      <c r="F86" s="214" t="s">
        <v>71</v>
      </c>
      <c r="G86" s="215" t="s">
        <v>201</v>
      </c>
      <c r="H86" s="214" t="s">
        <v>62</v>
      </c>
      <c r="I86" s="214" t="s">
        <v>168</v>
      </c>
      <c r="J86" s="216">
        <v>6.0</v>
      </c>
      <c r="K86" s="217">
        <v>4.0</v>
      </c>
      <c r="L86" s="218">
        <f>IF(AND(J86&gt;K86,J87&gt;K87),2,IF(J86&gt;K86,1,IF(J87&gt;K87,1,0)))</f>
        <v>2</v>
      </c>
      <c r="M86" s="218">
        <f>IF(AND(K86&gt;J86,K87&gt;J87),2,IF(K86&gt;J86,1,IF(K87&gt;J87,1,0)))</f>
        <v>0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4.0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212</v>
      </c>
      <c r="E89" s="214" t="s">
        <v>121</v>
      </c>
      <c r="F89" s="214" t="s">
        <v>127</v>
      </c>
      <c r="G89" s="215" t="s">
        <v>201</v>
      </c>
      <c r="H89" s="214" t="s">
        <v>119</v>
      </c>
      <c r="I89" s="214" t="s">
        <v>125</v>
      </c>
      <c r="J89" s="216">
        <v>3.0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2.0</v>
      </c>
      <c r="K90" s="222">
        <v>6.0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33"/>
      <c r="E92" s="218"/>
      <c r="F92" s="218"/>
      <c r="G92" s="215"/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253</v>
      </c>
      <c r="D95" s="24"/>
      <c r="E95" s="24"/>
      <c r="F95" s="24"/>
      <c r="G95" s="24"/>
      <c r="H95" s="24"/>
      <c r="I95" s="208"/>
      <c r="J95" s="226">
        <f t="shared" ref="J95:M95" si="7">SUM(J83:J93)</f>
        <v>25</v>
      </c>
      <c r="K95" s="227">
        <f t="shared" si="7"/>
        <v>27</v>
      </c>
      <c r="L95" s="226">
        <f t="shared" si="7"/>
        <v>3</v>
      </c>
      <c r="M95" s="228">
        <f t="shared" si="7"/>
        <v>3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220</v>
      </c>
      <c r="E98" s="214" t="s">
        <v>139</v>
      </c>
      <c r="F98" s="214" t="s">
        <v>9</v>
      </c>
      <c r="G98" s="215" t="s">
        <v>201</v>
      </c>
      <c r="H98" s="214" t="s">
        <v>137</v>
      </c>
      <c r="I98" s="214" t="s">
        <v>143</v>
      </c>
      <c r="J98" s="216">
        <v>4.0</v>
      </c>
      <c r="K98" s="217">
        <v>6.0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3.0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209</v>
      </c>
      <c r="E101" s="214" t="s">
        <v>17</v>
      </c>
      <c r="F101" s="214" t="s">
        <v>24</v>
      </c>
      <c r="G101" s="215" t="s">
        <v>201</v>
      </c>
      <c r="H101" s="214" t="s">
        <v>21</v>
      </c>
      <c r="I101" s="214" t="s">
        <v>28</v>
      </c>
      <c r="J101" s="216">
        <v>2.0</v>
      </c>
      <c r="K101" s="217">
        <v>6.0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6.0</v>
      </c>
      <c r="K102" s="222">
        <v>0.0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216</v>
      </c>
      <c r="D104" s="213" t="s">
        <v>205</v>
      </c>
      <c r="E104" s="214" t="s">
        <v>97</v>
      </c>
      <c r="F104" s="214" t="s">
        <v>109</v>
      </c>
      <c r="G104" s="215" t="s">
        <v>201</v>
      </c>
      <c r="H104" s="214" t="s">
        <v>169</v>
      </c>
      <c r="I104" s="214" t="s">
        <v>107</v>
      </c>
      <c r="J104" s="216">
        <v>4.0</v>
      </c>
      <c r="K104" s="217">
        <v>6.0</v>
      </c>
      <c r="L104" s="218">
        <f>IF(AND(J104&gt;K104,J105&gt;K105),2,IF(J104&gt;K104,1,IF(J105&gt;K105,1,0)))</f>
        <v>0</v>
      </c>
      <c r="M104" s="218">
        <f>IF(AND(K104&gt;J104,K105&gt;J105),2,IF(K104&gt;J104,1,IF(K105&gt;J105,1,0)))</f>
        <v>2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6.0</v>
      </c>
      <c r="K105" s="222">
        <v>7.0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211</v>
      </c>
      <c r="D107" s="245" t="s">
        <v>217</v>
      </c>
      <c r="E107" s="214" t="s">
        <v>38</v>
      </c>
      <c r="F107" s="214" t="s">
        <v>45</v>
      </c>
      <c r="G107" s="215" t="s">
        <v>201</v>
      </c>
      <c r="H107" s="214" t="s">
        <v>49</v>
      </c>
      <c r="I107" s="214" t="s">
        <v>13</v>
      </c>
      <c r="J107" s="216">
        <v>6.0</v>
      </c>
      <c r="K107" s="217">
        <v>3.0</v>
      </c>
      <c r="L107" s="218">
        <f>IF(AND(J107&gt;K107,J108&gt;K108),2,IF(J107&gt;K107,1,IF(J108&gt;K108,1,0)))</f>
        <v>1</v>
      </c>
      <c r="M107" s="218">
        <f>IF(AND(K107&gt;J107,K108&gt;J108),2,IF(K107&gt;J107,1,IF(K108&gt;J108,1,0)))</f>
        <v>1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4.0</v>
      </c>
      <c r="K108" s="222">
        <v>6.0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254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35</v>
      </c>
      <c r="K110" s="227">
        <f t="shared" si="8"/>
        <v>40</v>
      </c>
      <c r="L110" s="226">
        <f t="shared" si="8"/>
        <v>2</v>
      </c>
      <c r="M110" s="228">
        <f t="shared" si="8"/>
        <v>6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255</v>
      </c>
      <c r="D112" s="24"/>
      <c r="E112" s="24"/>
      <c r="F112" s="24"/>
      <c r="G112" s="24"/>
      <c r="H112" s="24"/>
      <c r="I112" s="208"/>
      <c r="J112" s="239">
        <f t="shared" ref="J112:M112" si="9">J110+J95</f>
        <v>60</v>
      </c>
      <c r="K112" s="240">
        <f t="shared" si="9"/>
        <v>67</v>
      </c>
      <c r="L112" s="241">
        <f t="shared" si="9"/>
        <v>5</v>
      </c>
      <c r="M112" s="242">
        <f t="shared" si="9"/>
        <v>9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4" width="15.25"/>
    <col customWidth="1" min="15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263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264</v>
      </c>
      <c r="F11" s="208"/>
      <c r="G11" s="206"/>
      <c r="H11" s="207" t="s">
        <v>265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220</v>
      </c>
      <c r="E13" s="214" t="s">
        <v>136</v>
      </c>
      <c r="F13" s="214" t="s">
        <v>147</v>
      </c>
      <c r="G13" s="215" t="s">
        <v>201</v>
      </c>
      <c r="H13" s="214" t="s">
        <v>144</v>
      </c>
      <c r="I13" s="214" t="s">
        <v>149</v>
      </c>
      <c r="J13" s="216">
        <v>6.0</v>
      </c>
      <c r="K13" s="217">
        <v>4.0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264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1.0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209</v>
      </c>
      <c r="E16" s="214" t="s">
        <v>20</v>
      </c>
      <c r="F16" s="214" t="s">
        <v>34</v>
      </c>
      <c r="G16" s="215" t="s">
        <v>201</v>
      </c>
      <c r="H16" s="214" t="s">
        <v>22</v>
      </c>
      <c r="I16" s="214" t="s">
        <v>29</v>
      </c>
      <c r="J16" s="216">
        <v>5.0</v>
      </c>
      <c r="K16" s="217">
        <v>7.0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5.0</v>
      </c>
      <c r="K17" s="222">
        <v>7.0</v>
      </c>
      <c r="L17" s="220"/>
      <c r="M17" s="220"/>
      <c r="N17" s="265" t="s">
        <v>266</v>
      </c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212</v>
      </c>
      <c r="E19" s="214" t="s">
        <v>124</v>
      </c>
      <c r="F19" s="214" t="s">
        <v>130</v>
      </c>
      <c r="G19" s="215" t="s">
        <v>201</v>
      </c>
      <c r="H19" s="214" t="s">
        <v>267</v>
      </c>
      <c r="I19" s="214" t="s">
        <v>132</v>
      </c>
      <c r="J19" s="216">
        <v>6.0</v>
      </c>
      <c r="K19" s="217">
        <v>2.0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26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5.0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206</v>
      </c>
      <c r="D22" s="233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268</v>
      </c>
      <c r="D25" s="24"/>
      <c r="E25" s="24"/>
      <c r="F25" s="24"/>
      <c r="G25" s="24"/>
      <c r="H25" s="24"/>
      <c r="I25" s="208"/>
      <c r="J25" s="226">
        <f t="shared" ref="J25:M25" si="1">SUM(J13:J23)</f>
        <v>35</v>
      </c>
      <c r="K25" s="227">
        <f t="shared" si="1"/>
        <v>26</v>
      </c>
      <c r="L25" s="226">
        <f t="shared" si="1"/>
        <v>4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226</v>
      </c>
      <c r="D28" s="213" t="s">
        <v>215</v>
      </c>
      <c r="E28" s="214" t="s">
        <v>79</v>
      </c>
      <c r="F28" s="214" t="s">
        <v>93</v>
      </c>
      <c r="G28" s="215" t="s">
        <v>201</v>
      </c>
      <c r="H28" s="214" t="s">
        <v>81</v>
      </c>
      <c r="I28" s="214" t="s">
        <v>95</v>
      </c>
      <c r="J28" s="216">
        <v>6.0</v>
      </c>
      <c r="K28" s="217">
        <v>4.0</v>
      </c>
      <c r="L28" s="218">
        <f>IF(AND(J28&gt;K28,J29&gt;K29),2,IF(J28&gt;K28,1,IF(J29&gt;K29,1,0)))</f>
        <v>1</v>
      </c>
      <c r="M28" s="218">
        <f>IF(AND(K28&gt;J28,K29&gt;J29),2,IF(K28&gt;J28,1,IF(K29&gt;J29,1,0)))</f>
        <v>1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4.0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49" t="s">
        <v>205</v>
      </c>
      <c r="E31" s="214" t="s">
        <v>106</v>
      </c>
      <c r="F31" s="214" t="s">
        <v>112</v>
      </c>
      <c r="G31" s="215" t="s">
        <v>201</v>
      </c>
      <c r="H31" s="214" t="s">
        <v>102</v>
      </c>
      <c r="I31" s="214" t="s">
        <v>108</v>
      </c>
      <c r="J31" s="216">
        <v>0.0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3.0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240</v>
      </c>
      <c r="D34" s="213" t="s">
        <v>207</v>
      </c>
      <c r="E34" s="214" t="s">
        <v>61</v>
      </c>
      <c r="F34" s="214" t="s">
        <v>12</v>
      </c>
      <c r="G34" s="215" t="s">
        <v>201</v>
      </c>
      <c r="H34" s="214" t="s">
        <v>69</v>
      </c>
      <c r="I34" s="214" t="s">
        <v>74</v>
      </c>
      <c r="J34" s="216">
        <v>6.0</v>
      </c>
      <c r="K34" s="217">
        <v>3.0</v>
      </c>
      <c r="L34" s="218">
        <f>IF(AND(J34&gt;K34,J35&gt;K35),2,IF(J34&gt;K34,1,IF(J35&gt;K35,1,0)))</f>
        <v>2</v>
      </c>
      <c r="M34" s="218">
        <f>IF(AND(K34&gt;J34,K35&gt;J35),2,IF(K34&gt;J34,1,IF(K35&gt;J35,1,0)))</f>
        <v>0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6.0</v>
      </c>
      <c r="K35" s="222">
        <v>2.0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204</v>
      </c>
      <c r="D37" s="266" t="s">
        <v>217</v>
      </c>
      <c r="E37" s="214" t="s">
        <v>41</v>
      </c>
      <c r="F37" s="214" t="s">
        <v>48</v>
      </c>
      <c r="G37" s="215" t="s">
        <v>201</v>
      </c>
      <c r="H37" s="214" t="s">
        <v>43</v>
      </c>
      <c r="I37" s="214" t="s">
        <v>50</v>
      </c>
      <c r="J37" s="216">
        <v>6.0</v>
      </c>
      <c r="K37" s="217">
        <v>4.0</v>
      </c>
      <c r="L37" s="218">
        <f>IF(AND(J37&gt;K37,J38&gt;K38),2,IF(J37&gt;K37,1,IF(J38&gt;K38,1,0)))</f>
        <v>2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0.0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269</v>
      </c>
      <c r="D40" s="24"/>
      <c r="E40" s="24"/>
      <c r="F40" s="24"/>
      <c r="G40" s="24"/>
      <c r="H40" s="24"/>
      <c r="I40" s="208"/>
      <c r="J40" s="226">
        <f t="shared" ref="J40:M40" si="2">SUM(J28:J38)</f>
        <v>37</v>
      </c>
      <c r="K40" s="227">
        <f t="shared" si="2"/>
        <v>31</v>
      </c>
      <c r="L40" s="226">
        <f t="shared" si="2"/>
        <v>5</v>
      </c>
      <c r="M40" s="228">
        <f t="shared" si="2"/>
        <v>3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270</v>
      </c>
      <c r="D42" s="24"/>
      <c r="E42" s="24"/>
      <c r="F42" s="24"/>
      <c r="G42" s="24"/>
      <c r="H42" s="24"/>
      <c r="I42" s="208"/>
      <c r="J42" s="239">
        <f t="shared" ref="J42:M42" si="3">J40+J25</f>
        <v>72</v>
      </c>
      <c r="K42" s="240">
        <f t="shared" si="3"/>
        <v>57</v>
      </c>
      <c r="L42" s="241">
        <f t="shared" si="3"/>
        <v>9</v>
      </c>
      <c r="M42" s="242">
        <f t="shared" si="3"/>
        <v>5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271</v>
      </c>
      <c r="F46" s="208"/>
      <c r="G46" s="206"/>
      <c r="H46" s="207" t="s">
        <v>272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49" t="s">
        <v>205</v>
      </c>
      <c r="E48" s="214" t="s">
        <v>99</v>
      </c>
      <c r="F48" s="214" t="s">
        <v>111</v>
      </c>
      <c r="G48" s="215" t="s">
        <v>201</v>
      </c>
      <c r="H48" s="214" t="s">
        <v>169</v>
      </c>
      <c r="I48" s="214" t="s">
        <v>113</v>
      </c>
      <c r="J48" s="216">
        <v>0.0</v>
      </c>
      <c r="K48" s="217">
        <v>6.0</v>
      </c>
      <c r="L48" s="218">
        <f>IF(AND(J48&gt;K48,J49&gt;K49),2,IF(J48&gt;K48,1,IF(J49&gt;K49,1,0)))</f>
        <v>0</v>
      </c>
      <c r="M48" s="218">
        <f>IF(AND(K48&gt;J48,K49&gt;J49),2,IF(K48&gt;J48,1,IF(K49&gt;J49,1,0)))</f>
        <v>2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3.0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49" t="s">
        <v>220</v>
      </c>
      <c r="E51" s="214" t="s">
        <v>135</v>
      </c>
      <c r="F51" s="214" t="s">
        <v>141</v>
      </c>
      <c r="G51" s="215" t="s">
        <v>201</v>
      </c>
      <c r="H51" s="214" t="s">
        <v>137</v>
      </c>
      <c r="I51" s="214" t="s">
        <v>148</v>
      </c>
      <c r="J51" s="216">
        <v>6.0</v>
      </c>
      <c r="K51" s="217">
        <v>0.0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26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7.0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67" t="s">
        <v>209</v>
      </c>
      <c r="E54" s="214" t="s">
        <v>19</v>
      </c>
      <c r="F54" s="214" t="s">
        <v>33</v>
      </c>
      <c r="G54" s="215" t="s">
        <v>201</v>
      </c>
      <c r="H54" s="214" t="s">
        <v>21</v>
      </c>
      <c r="I54" s="214" t="s">
        <v>35</v>
      </c>
      <c r="J54" s="216">
        <v>6.0</v>
      </c>
      <c r="K54" s="217">
        <v>2.0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26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3.0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204</v>
      </c>
      <c r="D57" s="266" t="s">
        <v>217</v>
      </c>
      <c r="E57" s="214" t="s">
        <v>54</v>
      </c>
      <c r="F57" s="214" t="s">
        <v>164</v>
      </c>
      <c r="G57" s="215" t="s">
        <v>201</v>
      </c>
      <c r="H57" s="214" t="s">
        <v>42</v>
      </c>
      <c r="I57" s="214" t="s">
        <v>49</v>
      </c>
      <c r="J57" s="216">
        <v>3.0</v>
      </c>
      <c r="K57" s="217">
        <v>6.0</v>
      </c>
      <c r="L57" s="218">
        <f>IF(AND(J57&gt;K57,J58&gt;K58),2,IF(J57&gt;K57,1,IF(J58&gt;K58,1,0)))</f>
        <v>0</v>
      </c>
      <c r="M57" s="218">
        <f>IF(AND(K57&gt;J57,K58&gt;J58),2,IF(K57&gt;J57,1,IF(K58&gt;J58,1,0)))</f>
        <v>2</v>
      </c>
      <c r="N57" s="26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0.0</v>
      </c>
      <c r="K58" s="222">
        <v>6.0</v>
      </c>
      <c r="L58" s="220"/>
      <c r="M58" s="220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268</v>
      </c>
      <c r="D60" s="24"/>
      <c r="E60" s="24"/>
      <c r="F60" s="24"/>
      <c r="G60" s="24"/>
      <c r="H60" s="24"/>
      <c r="I60" s="208"/>
      <c r="J60" s="226">
        <f t="shared" ref="J60:M60" si="4">SUM(J48:J58)</f>
        <v>31</v>
      </c>
      <c r="K60" s="227">
        <f t="shared" si="4"/>
        <v>35</v>
      </c>
      <c r="L60" s="226">
        <f t="shared" si="4"/>
        <v>4</v>
      </c>
      <c r="M60" s="228">
        <f t="shared" si="4"/>
        <v>4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226</v>
      </c>
      <c r="D63" s="213" t="s">
        <v>215</v>
      </c>
      <c r="E63" s="214" t="s">
        <v>85</v>
      </c>
      <c r="F63" s="214" t="s">
        <v>273</v>
      </c>
      <c r="G63" s="215" t="s">
        <v>201</v>
      </c>
      <c r="H63" s="214" t="s">
        <v>80</v>
      </c>
      <c r="I63" s="214" t="s">
        <v>94</v>
      </c>
      <c r="J63" s="216">
        <v>3.0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4.0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216</v>
      </c>
      <c r="D66" s="213" t="s">
        <v>207</v>
      </c>
      <c r="E66" s="214" t="s">
        <v>67</v>
      </c>
      <c r="F66" s="214" t="s">
        <v>11</v>
      </c>
      <c r="G66" s="215" t="s">
        <v>201</v>
      </c>
      <c r="H66" s="214" t="s">
        <v>168</v>
      </c>
      <c r="I66" s="214" t="s">
        <v>68</v>
      </c>
      <c r="J66" s="216">
        <v>6.0</v>
      </c>
      <c r="K66" s="217">
        <v>4.0</v>
      </c>
      <c r="L66" s="218">
        <f>IF(AND(J66&gt;K66,J67&gt;K67),2,IF(J66&gt;K66,1,IF(J67&gt;K67,1,0)))</f>
        <v>2</v>
      </c>
      <c r="M66" s="218">
        <f>IF(AND(K66&gt;J66,K67&gt;J67),2,IF(K66&gt;J66,1,IF(K67&gt;J67,1,0)))</f>
        <v>0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7.0</v>
      </c>
      <c r="K67" s="222">
        <v>5.0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/>
      <c r="D69" s="213" t="s">
        <v>212</v>
      </c>
      <c r="E69" s="214" t="s">
        <v>123</v>
      </c>
      <c r="F69" s="214" t="s">
        <v>129</v>
      </c>
      <c r="G69" s="215" t="s">
        <v>201</v>
      </c>
      <c r="H69" s="214" t="s">
        <v>119</v>
      </c>
      <c r="I69" s="214" t="s">
        <v>131</v>
      </c>
      <c r="J69" s="216">
        <v>1.0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268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1.0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E72" s="218"/>
      <c r="F72" s="218"/>
      <c r="G72" s="215" t="s">
        <v>201</v>
      </c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269</v>
      </c>
      <c r="D75" s="24"/>
      <c r="E75" s="24"/>
      <c r="F75" s="24"/>
      <c r="G75" s="24"/>
      <c r="H75" s="24"/>
      <c r="I75" s="208"/>
      <c r="J75" s="226">
        <f t="shared" ref="J75:M75" si="5">SUM(J63:J73)</f>
        <v>22</v>
      </c>
      <c r="K75" s="227">
        <f t="shared" si="5"/>
        <v>33</v>
      </c>
      <c r="L75" s="226">
        <f t="shared" si="5"/>
        <v>2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270</v>
      </c>
      <c r="D77" s="24"/>
      <c r="E77" s="24"/>
      <c r="F77" s="24"/>
      <c r="G77" s="24"/>
      <c r="H77" s="24"/>
      <c r="I77" s="208"/>
      <c r="J77" s="239">
        <f t="shared" ref="J77:M77" si="6">J75+J60</f>
        <v>53</v>
      </c>
      <c r="K77" s="240">
        <f t="shared" si="6"/>
        <v>68</v>
      </c>
      <c r="L77" s="241">
        <f t="shared" si="6"/>
        <v>6</v>
      </c>
      <c r="M77" s="242">
        <f t="shared" si="6"/>
        <v>8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274</v>
      </c>
      <c r="F81" s="208"/>
      <c r="G81" s="206"/>
      <c r="H81" s="207" t="s">
        <v>275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220</v>
      </c>
      <c r="E83" s="214" t="s">
        <v>133</v>
      </c>
      <c r="F83" s="214" t="s">
        <v>139</v>
      </c>
      <c r="G83" s="215" t="s">
        <v>201</v>
      </c>
      <c r="H83" s="214" t="s">
        <v>140</v>
      </c>
      <c r="I83" s="214" t="s">
        <v>134</v>
      </c>
      <c r="J83" s="216">
        <v>2.0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26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4.0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209</v>
      </c>
      <c r="E86" s="214" t="s">
        <v>276</v>
      </c>
      <c r="F86" s="214" t="s">
        <v>31</v>
      </c>
      <c r="G86" s="215" t="s">
        <v>201</v>
      </c>
      <c r="H86" s="214" t="s">
        <v>18</v>
      </c>
      <c r="I86" s="214" t="s">
        <v>277</v>
      </c>
      <c r="J86" s="216">
        <v>1.0</v>
      </c>
      <c r="K86" s="217">
        <v>6.0</v>
      </c>
      <c r="L86" s="218">
        <f>IF(AND(J86&gt;K86,J87&gt;K87),2,IF(J86&gt;K86,1,IF(J87&gt;K87,1,0)))</f>
        <v>0</v>
      </c>
      <c r="M86" s="218">
        <f>IF(AND(K86&gt;J86,K87&gt;J87),2,IF(K86&gt;J86,1,IF(K87&gt;J87,1,0)))</f>
        <v>2</v>
      </c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4.0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206</v>
      </c>
      <c r="D89" s="213" t="s">
        <v>217</v>
      </c>
      <c r="E89" s="214" t="s">
        <v>38</v>
      </c>
      <c r="F89" s="214" t="s">
        <v>45</v>
      </c>
      <c r="G89" s="215" t="s">
        <v>201</v>
      </c>
      <c r="H89" s="214" t="s">
        <v>46</v>
      </c>
      <c r="I89" s="214" t="s">
        <v>53</v>
      </c>
      <c r="J89" s="216">
        <v>6.0</v>
      </c>
      <c r="K89" s="217">
        <v>2.0</v>
      </c>
      <c r="L89" s="218">
        <f>IF(AND(J89&gt;K89,J90&gt;K90),2,IF(J89&gt;K89,1,IF(J90&gt;K90,1,0)))</f>
        <v>2</v>
      </c>
      <c r="M89" s="218">
        <f>IF(AND(K89&gt;J89,K90&gt;J90),2,IF(K89&gt;J89,1,IF(K90&gt;J90,1,0)))</f>
        <v>0</v>
      </c>
      <c r="N89" s="269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2.0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67" t="s">
        <v>207</v>
      </c>
      <c r="E92" s="214" t="s">
        <v>65</v>
      </c>
      <c r="F92" s="214" t="s">
        <v>58</v>
      </c>
      <c r="G92" s="215"/>
      <c r="H92" s="214" t="s">
        <v>59</v>
      </c>
      <c r="I92" s="214" t="s">
        <v>10</v>
      </c>
      <c r="J92" s="216">
        <v>2.0</v>
      </c>
      <c r="K92" s="217">
        <v>6.0</v>
      </c>
      <c r="L92" s="218">
        <f>IF(AND(J92&gt;K92,J93&gt;K93),2,IF(J92&gt;K92,1,IF(J93&gt;K93,1,0)))</f>
        <v>0</v>
      </c>
      <c r="M92" s="218">
        <f>IF(AND(K92&gt;J92,K93&gt;J93),2,IF(K92&gt;J92,1,IF(K93&gt;J93,1,0)))</f>
        <v>2</v>
      </c>
      <c r="N92" s="26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5.0</v>
      </c>
      <c r="K93" s="222">
        <v>7.0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268</v>
      </c>
      <c r="D95" s="24"/>
      <c r="E95" s="24"/>
      <c r="F95" s="24"/>
      <c r="G95" s="24"/>
      <c r="H95" s="24"/>
      <c r="I95" s="208"/>
      <c r="J95" s="226">
        <f t="shared" ref="J95:M95" si="7">SUM(J83:J93)</f>
        <v>30</v>
      </c>
      <c r="K95" s="227">
        <f t="shared" si="7"/>
        <v>41</v>
      </c>
      <c r="L95" s="226">
        <f t="shared" si="7"/>
        <v>2</v>
      </c>
      <c r="M95" s="228">
        <f t="shared" si="7"/>
        <v>6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226</v>
      </c>
      <c r="D98" s="213" t="s">
        <v>212</v>
      </c>
      <c r="E98" s="214" t="s">
        <v>278</v>
      </c>
      <c r="F98" s="214" t="s">
        <v>127</v>
      </c>
      <c r="G98" s="215" t="s">
        <v>201</v>
      </c>
      <c r="H98" s="214" t="s">
        <v>116</v>
      </c>
      <c r="I98" s="214" t="s">
        <v>122</v>
      </c>
      <c r="J98" s="216">
        <v>2.0</v>
      </c>
      <c r="K98" s="217">
        <v>6.0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5.0</v>
      </c>
      <c r="K99" s="222">
        <v>7.0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240</v>
      </c>
      <c r="D101" s="213" t="s">
        <v>215</v>
      </c>
      <c r="E101" s="214" t="s">
        <v>76</v>
      </c>
      <c r="F101" s="214" t="s">
        <v>83</v>
      </c>
      <c r="G101" s="215" t="s">
        <v>201</v>
      </c>
      <c r="H101" s="214" t="s">
        <v>77</v>
      </c>
      <c r="I101" s="214" t="s">
        <v>84</v>
      </c>
      <c r="J101" s="216">
        <v>1.0</v>
      </c>
      <c r="K101" s="217">
        <v>6.0</v>
      </c>
      <c r="L101" s="218">
        <f>IF(AND(J101&gt;K101,J102&gt;K102),2,IF(J101&gt;K101,1,IF(J102&gt;K102,1,0)))</f>
        <v>0</v>
      </c>
      <c r="M101" s="218">
        <f>IF(AND(K101&gt;J101,K102&gt;J102),2,IF(K101&gt;J101,1,IF(K102&gt;J102,1,0)))</f>
        <v>2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3.0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204</v>
      </c>
      <c r="D104" s="213" t="s">
        <v>205</v>
      </c>
      <c r="E104" s="214" t="s">
        <v>103</v>
      </c>
      <c r="F104" s="214" t="s">
        <v>97</v>
      </c>
      <c r="G104" s="215" t="s">
        <v>201</v>
      </c>
      <c r="H104" s="214" t="s">
        <v>98</v>
      </c>
      <c r="I104" s="214" t="s">
        <v>110</v>
      </c>
      <c r="J104" s="216">
        <v>6.0</v>
      </c>
      <c r="K104" s="217">
        <v>3.0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2.0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269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19</v>
      </c>
      <c r="K110" s="227">
        <f t="shared" si="8"/>
        <v>34</v>
      </c>
      <c r="L110" s="226">
        <f t="shared" si="8"/>
        <v>1</v>
      </c>
      <c r="M110" s="228">
        <f t="shared" si="8"/>
        <v>5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270</v>
      </c>
      <c r="D112" s="24"/>
      <c r="E112" s="24"/>
      <c r="F112" s="24"/>
      <c r="G112" s="24"/>
      <c r="H112" s="24"/>
      <c r="I112" s="208"/>
      <c r="J112" s="239">
        <f t="shared" ref="J112:M112" si="9">J110+J95</f>
        <v>49</v>
      </c>
      <c r="K112" s="240">
        <f t="shared" si="9"/>
        <v>75</v>
      </c>
      <c r="L112" s="241">
        <f t="shared" si="9"/>
        <v>3</v>
      </c>
      <c r="M112" s="242">
        <f t="shared" si="9"/>
        <v>11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1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C69:C70"/>
    <mergeCell ref="C72:C73"/>
    <mergeCell ref="E72:E73"/>
    <mergeCell ref="F72:F73"/>
    <mergeCell ref="G72:G73"/>
    <mergeCell ref="H72:H73"/>
    <mergeCell ref="I72:I73"/>
    <mergeCell ref="L72:L73"/>
    <mergeCell ref="M72:M73"/>
    <mergeCell ref="C74:M74"/>
    <mergeCell ref="C75:I75"/>
    <mergeCell ref="C76:M76"/>
    <mergeCell ref="C77:I77"/>
    <mergeCell ref="C78:M78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G104:G105"/>
    <mergeCell ref="H104:H105"/>
    <mergeCell ref="M104:M105"/>
    <mergeCell ref="F83:F84"/>
    <mergeCell ref="G83:G84"/>
    <mergeCell ref="H83:H84"/>
    <mergeCell ref="I83:I84"/>
    <mergeCell ref="L83:L84"/>
    <mergeCell ref="M83:M84"/>
    <mergeCell ref="C79:M80"/>
    <mergeCell ref="E81:F81"/>
    <mergeCell ref="H81:I81"/>
    <mergeCell ref="J81:K81"/>
    <mergeCell ref="L81:M81"/>
    <mergeCell ref="C82:M82"/>
    <mergeCell ref="C83:C84"/>
    <mergeCell ref="I86:I87"/>
    <mergeCell ref="L86:L87"/>
    <mergeCell ref="D83:D84"/>
    <mergeCell ref="E83:E84"/>
    <mergeCell ref="C85:M85"/>
    <mergeCell ref="C86:C87"/>
    <mergeCell ref="D86:D87"/>
    <mergeCell ref="E86:E87"/>
    <mergeCell ref="F86:F87"/>
    <mergeCell ref="M86:M87"/>
    <mergeCell ref="I89:I90"/>
    <mergeCell ref="L89:L90"/>
    <mergeCell ref="G86:G87"/>
    <mergeCell ref="H86:H87"/>
    <mergeCell ref="C88:M88"/>
    <mergeCell ref="C89:C90"/>
    <mergeCell ref="D89:D90"/>
    <mergeCell ref="E89:E90"/>
    <mergeCell ref="F89:F90"/>
    <mergeCell ref="M89:M90"/>
    <mergeCell ref="I92:I93"/>
    <mergeCell ref="L92:L93"/>
    <mergeCell ref="G89:G90"/>
    <mergeCell ref="H89:H90"/>
    <mergeCell ref="C91:M91"/>
    <mergeCell ref="C92:C93"/>
    <mergeCell ref="D92:D93"/>
    <mergeCell ref="E92:E93"/>
    <mergeCell ref="F92:F93"/>
    <mergeCell ref="M92:M93"/>
    <mergeCell ref="F98:F99"/>
    <mergeCell ref="G98:G99"/>
    <mergeCell ref="H98:H99"/>
    <mergeCell ref="I98:I99"/>
    <mergeCell ref="L98:L99"/>
    <mergeCell ref="M98:M99"/>
    <mergeCell ref="G92:G93"/>
    <mergeCell ref="H92:H93"/>
    <mergeCell ref="C94:M94"/>
    <mergeCell ref="C95:I95"/>
    <mergeCell ref="C96:M96"/>
    <mergeCell ref="C97:M97"/>
    <mergeCell ref="C98:C99"/>
    <mergeCell ref="I101:I102"/>
    <mergeCell ref="L101:L102"/>
    <mergeCell ref="D98:D99"/>
    <mergeCell ref="E98:E99"/>
    <mergeCell ref="C100:M100"/>
    <mergeCell ref="C101:C102"/>
    <mergeCell ref="D101:D102"/>
    <mergeCell ref="E101:E102"/>
    <mergeCell ref="F101:F102"/>
    <mergeCell ref="M101:M102"/>
    <mergeCell ref="I104:I105"/>
    <mergeCell ref="L104:L105"/>
    <mergeCell ref="L107:L108"/>
    <mergeCell ref="M107:M108"/>
    <mergeCell ref="G101:G102"/>
    <mergeCell ref="H101:H102"/>
    <mergeCell ref="C103:M103"/>
    <mergeCell ref="D104:D105"/>
    <mergeCell ref="E104:E105"/>
    <mergeCell ref="F104:F105"/>
    <mergeCell ref="C106:M106"/>
    <mergeCell ref="I107:I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7" width="9.13"/>
    <col customWidth="1" min="18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279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280</v>
      </c>
      <c r="F11" s="208"/>
      <c r="G11" s="206"/>
      <c r="H11" s="207" t="s">
        <v>185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209</v>
      </c>
      <c r="E13" s="214" t="s">
        <v>17</v>
      </c>
      <c r="F13" s="214" t="s">
        <v>31</v>
      </c>
      <c r="G13" s="215" t="s">
        <v>201</v>
      </c>
      <c r="H13" s="214" t="s">
        <v>259</v>
      </c>
      <c r="I13" s="214" t="s">
        <v>34</v>
      </c>
      <c r="J13" s="216">
        <v>6.0</v>
      </c>
      <c r="K13" s="217">
        <v>1.0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3.0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>
        <v>6.0</v>
      </c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56" t="s">
        <v>204</v>
      </c>
      <c r="D16" s="213" t="s">
        <v>220</v>
      </c>
      <c r="E16" s="214" t="s">
        <v>133</v>
      </c>
      <c r="F16" s="214" t="s">
        <v>9</v>
      </c>
      <c r="G16" s="215" t="s">
        <v>201</v>
      </c>
      <c r="H16" s="214" t="s">
        <v>142</v>
      </c>
      <c r="I16" s="214" t="s">
        <v>147</v>
      </c>
      <c r="J16" s="216">
        <v>7.0</v>
      </c>
      <c r="K16" s="217">
        <v>6.0</v>
      </c>
      <c r="L16" s="218">
        <f>IF(AND(J16&gt;K16,J17&gt;K17),2,IF(J16&gt;K16,1,IF(J17&gt;K17,1,0)))</f>
        <v>2</v>
      </c>
      <c r="M16" s="218">
        <f>IF(AND(K16&gt;J16,K17&gt;J17),2,IF(K16&gt;J16,1,IF(K17&gt;J17,1,0)))</f>
        <v>0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0.0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207</v>
      </c>
      <c r="E19" s="214" t="s">
        <v>65</v>
      </c>
      <c r="F19" s="214" t="s">
        <v>58</v>
      </c>
      <c r="G19" s="215" t="s">
        <v>201</v>
      </c>
      <c r="H19" s="214" t="s">
        <v>12</v>
      </c>
      <c r="I19" s="214" t="s">
        <v>72</v>
      </c>
      <c r="J19" s="216">
        <v>6.0</v>
      </c>
      <c r="K19" s="217">
        <v>2.0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1.0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 t="s">
        <v>233</v>
      </c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/>
      <c r="D22" s="266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281</v>
      </c>
      <c r="D25" s="24"/>
      <c r="E25" s="24"/>
      <c r="F25" s="24"/>
      <c r="G25" s="24"/>
      <c r="H25" s="24"/>
      <c r="I25" s="208"/>
      <c r="J25" s="226">
        <f t="shared" ref="J25:M25" si="1">SUM(J13:J23)</f>
        <v>37</v>
      </c>
      <c r="K25" s="227">
        <f t="shared" si="1"/>
        <v>13</v>
      </c>
      <c r="L25" s="226">
        <f t="shared" si="1"/>
        <v>6</v>
      </c>
      <c r="M25" s="228">
        <f t="shared" si="1"/>
        <v>0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215</v>
      </c>
      <c r="E28" s="214" t="s">
        <v>76</v>
      </c>
      <c r="F28" s="214" t="s">
        <v>90</v>
      </c>
      <c r="G28" s="215" t="s">
        <v>201</v>
      </c>
      <c r="H28" s="214" t="s">
        <v>86</v>
      </c>
      <c r="I28" s="214" t="s">
        <v>93</v>
      </c>
      <c r="J28" s="216">
        <v>7.0</v>
      </c>
      <c r="K28" s="217">
        <v>5.0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0.0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13" t="s">
        <v>217</v>
      </c>
      <c r="E31" s="214" t="s">
        <v>38</v>
      </c>
      <c r="F31" s="214" t="s">
        <v>52</v>
      </c>
      <c r="G31" s="215" t="s">
        <v>201</v>
      </c>
      <c r="H31" s="214" t="s">
        <v>41</v>
      </c>
      <c r="I31" s="214" t="s">
        <v>55</v>
      </c>
      <c r="J31" s="216">
        <v>2.0</v>
      </c>
      <c r="K31" s="217">
        <v>6.0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7.0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216</v>
      </c>
      <c r="D34" s="213" t="s">
        <v>205</v>
      </c>
      <c r="E34" s="214" t="s">
        <v>97</v>
      </c>
      <c r="F34" s="214" t="s">
        <v>109</v>
      </c>
      <c r="G34" s="215" t="s">
        <v>201</v>
      </c>
      <c r="H34" s="214" t="s">
        <v>100</v>
      </c>
      <c r="I34" s="214" t="s">
        <v>106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4.0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211</v>
      </c>
      <c r="D37" s="245" t="s">
        <v>212</v>
      </c>
      <c r="E37" s="214" t="s">
        <v>115</v>
      </c>
      <c r="F37" s="214" t="s">
        <v>127</v>
      </c>
      <c r="G37" s="215" t="s">
        <v>201</v>
      </c>
      <c r="H37" s="214" t="s">
        <v>118</v>
      </c>
      <c r="I37" s="214" t="s">
        <v>130</v>
      </c>
      <c r="J37" s="216">
        <v>5.0</v>
      </c>
      <c r="K37" s="217">
        <v>7.0</v>
      </c>
      <c r="L37" s="218">
        <f>IF(AND(J37&gt;K37,J38&gt;K38),2,IF(J37&gt;K37,1,IF(J38&gt;K38,1,0)))</f>
        <v>0</v>
      </c>
      <c r="M37" s="218">
        <f>IF(AND(K37&gt;J37,K38&gt;J38),2,IF(K37&gt;J37,1,IF(K38&gt;J38,1,0)))</f>
        <v>2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4.0</v>
      </c>
      <c r="K38" s="222">
        <v>6.0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282</v>
      </c>
      <c r="D40" s="24"/>
      <c r="E40" s="24"/>
      <c r="F40" s="24"/>
      <c r="G40" s="24"/>
      <c r="H40" s="24"/>
      <c r="I40" s="208"/>
      <c r="J40" s="226">
        <f t="shared" ref="J40:M40" si="2">SUM(J28:J38)</f>
        <v>39</v>
      </c>
      <c r="K40" s="227">
        <f t="shared" si="2"/>
        <v>42</v>
      </c>
      <c r="L40" s="226">
        <f t="shared" si="2"/>
        <v>3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283</v>
      </c>
      <c r="D42" s="24"/>
      <c r="E42" s="24"/>
      <c r="F42" s="24"/>
      <c r="G42" s="24"/>
      <c r="H42" s="24"/>
      <c r="I42" s="208"/>
      <c r="J42" s="239">
        <f t="shared" ref="J42:M42" si="3">J40+J25</f>
        <v>76</v>
      </c>
      <c r="K42" s="240">
        <f t="shared" si="3"/>
        <v>55</v>
      </c>
      <c r="L42" s="241">
        <f t="shared" si="3"/>
        <v>9</v>
      </c>
      <c r="M42" s="242">
        <f t="shared" si="3"/>
        <v>5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284</v>
      </c>
      <c r="F46" s="208"/>
      <c r="G46" s="206"/>
      <c r="H46" s="207" t="s">
        <v>285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205</v>
      </c>
      <c r="E48" s="214" t="s">
        <v>98</v>
      </c>
      <c r="F48" s="214" t="s">
        <v>104</v>
      </c>
      <c r="G48" s="215" t="s">
        <v>286</v>
      </c>
      <c r="H48" s="214" t="s">
        <v>111</v>
      </c>
      <c r="I48" s="214" t="s">
        <v>105</v>
      </c>
      <c r="J48" s="216">
        <v>6.0</v>
      </c>
      <c r="K48" s="217">
        <v>3.0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1.0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220</v>
      </c>
      <c r="E51" s="214" t="s">
        <v>134</v>
      </c>
      <c r="F51" s="214" t="s">
        <v>237</v>
      </c>
      <c r="G51" s="215" t="s">
        <v>286</v>
      </c>
      <c r="H51" s="214" t="s">
        <v>135</v>
      </c>
      <c r="I51" s="214" t="s">
        <v>146</v>
      </c>
      <c r="J51" s="216">
        <v>6.0</v>
      </c>
      <c r="K51" s="217">
        <v>1.0</v>
      </c>
      <c r="L51" s="218">
        <f>IF(AND(J51&gt;K51,J52&gt;K52),2,IF(J51&gt;K51,1,IF(J52&gt;K52,1,0)))</f>
        <v>1</v>
      </c>
      <c r="M51" s="218">
        <f>IF(AND(K51&gt;J51,K52&gt;J52),2,IF(K51&gt;J51,1,IF(K52&gt;J52,1,0)))</f>
        <v>1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3.0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206</v>
      </c>
      <c r="D54" s="213" t="s">
        <v>207</v>
      </c>
      <c r="E54" s="214" t="s">
        <v>59</v>
      </c>
      <c r="F54" s="214" t="s">
        <v>10</v>
      </c>
      <c r="G54" s="215" t="s">
        <v>201</v>
      </c>
      <c r="H54" s="214" t="s">
        <v>60</v>
      </c>
      <c r="I54" s="214" t="s">
        <v>67</v>
      </c>
      <c r="J54" s="216">
        <v>6.0</v>
      </c>
      <c r="K54" s="217">
        <v>4.0</v>
      </c>
      <c r="L54" s="218">
        <f>IF(AND(J54&gt;K54,J55&gt;K55),2,IF(J54&gt;K54,1,IF(J55&gt;K55,1,0)))</f>
        <v>1</v>
      </c>
      <c r="M54" s="218">
        <f>IF(AND(K54&gt;J54,K55&gt;J55),2,IF(K54&gt;J54,1,IF(K55&gt;J55,1,0)))</f>
        <v>1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3.0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56" t="s">
        <v>208</v>
      </c>
      <c r="D57" s="245" t="s">
        <v>212</v>
      </c>
      <c r="E57" s="214" t="s">
        <v>122</v>
      </c>
      <c r="F57" s="214" t="s">
        <v>128</v>
      </c>
      <c r="G57" s="215" t="s">
        <v>201</v>
      </c>
      <c r="H57" s="214" t="s">
        <v>117</v>
      </c>
      <c r="I57" s="214" t="s">
        <v>123</v>
      </c>
      <c r="J57" s="216">
        <v>6.0</v>
      </c>
      <c r="K57" s="217">
        <v>3.0</v>
      </c>
      <c r="L57" s="218">
        <f>IF(AND(J57&gt;K57,J58&gt;K58),2,IF(J57&gt;K57,1,IF(J58&gt;K58,1,0)))</f>
        <v>1</v>
      </c>
      <c r="M57" s="218">
        <f>IF(AND(K57&gt;J57,K58&gt;J58),2,IF(K57&gt;J57,1,IF(K58&gt;J58,1,0)))</f>
        <v>1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5.0</v>
      </c>
      <c r="K58" s="222">
        <v>7.0</v>
      </c>
      <c r="L58" s="220"/>
      <c r="M58" s="220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281</v>
      </c>
      <c r="D60" s="24"/>
      <c r="E60" s="24"/>
      <c r="F60" s="24"/>
      <c r="G60" s="24"/>
      <c r="H60" s="24"/>
      <c r="I60" s="208"/>
      <c r="J60" s="226">
        <f t="shared" ref="J60:M60" si="4">SUM(J48:J58)</f>
        <v>41</v>
      </c>
      <c r="K60" s="227">
        <f t="shared" si="4"/>
        <v>31</v>
      </c>
      <c r="L60" s="226">
        <f t="shared" si="4"/>
        <v>5</v>
      </c>
      <c r="M60" s="228">
        <f t="shared" si="4"/>
        <v>3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13" t="s">
        <v>215</v>
      </c>
      <c r="E63" s="214" t="s">
        <v>77</v>
      </c>
      <c r="F63" s="214" t="s">
        <v>91</v>
      </c>
      <c r="G63" s="215" t="s">
        <v>286</v>
      </c>
      <c r="H63" s="214" t="s">
        <v>287</v>
      </c>
      <c r="I63" s="214" t="s">
        <v>92</v>
      </c>
      <c r="J63" s="216">
        <v>3.0</v>
      </c>
      <c r="K63" s="217">
        <v>6.0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3.0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217</v>
      </c>
      <c r="E66" s="214" t="s">
        <v>39</v>
      </c>
      <c r="F66" s="214" t="s">
        <v>46</v>
      </c>
      <c r="G66" s="215" t="s">
        <v>201</v>
      </c>
      <c r="H66" s="214" t="s">
        <v>164</v>
      </c>
      <c r="I66" s="214" t="s">
        <v>54</v>
      </c>
      <c r="J66" s="216">
        <v>4.0</v>
      </c>
      <c r="K66" s="217">
        <v>6.0</v>
      </c>
      <c r="L66" s="218">
        <f>IF(AND(J66&gt;K66,J67&gt;K67),2,IF(J66&gt;K66,1,IF(J67&gt;K67,1,0)))</f>
        <v>1</v>
      </c>
      <c r="M66" s="218">
        <f>IF(AND(K66&gt;J66,K67&gt;J67),2,IF(K66&gt;J66,1,IF(K67&gt;J67,1,0)))</f>
        <v>1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4.0</v>
      </c>
      <c r="L67" s="220"/>
      <c r="M67" s="220"/>
      <c r="N67" s="195"/>
      <c r="O67" s="195"/>
      <c r="P67" s="195"/>
      <c r="Q67" s="195" t="s">
        <v>233</v>
      </c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 t="s">
        <v>211</v>
      </c>
      <c r="D69" s="213" t="s">
        <v>209</v>
      </c>
      <c r="E69" s="214" t="s">
        <v>18</v>
      </c>
      <c r="F69" s="214" t="s">
        <v>25</v>
      </c>
      <c r="G69" s="215" t="s">
        <v>201</v>
      </c>
      <c r="H69" s="214" t="s">
        <v>26</v>
      </c>
      <c r="I69" s="214" t="s">
        <v>19</v>
      </c>
      <c r="J69" s="216">
        <v>6.0</v>
      </c>
      <c r="K69" s="217">
        <v>3.0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4.0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/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282</v>
      </c>
      <c r="D75" s="24"/>
      <c r="E75" s="24"/>
      <c r="F75" s="24"/>
      <c r="G75" s="24"/>
      <c r="H75" s="24"/>
      <c r="I75" s="208"/>
      <c r="J75" s="226">
        <f t="shared" ref="J75:M75" si="5">SUM(J63:J73)</f>
        <v>29</v>
      </c>
      <c r="K75" s="227">
        <f t="shared" si="5"/>
        <v>28</v>
      </c>
      <c r="L75" s="226">
        <f t="shared" si="5"/>
        <v>3</v>
      </c>
      <c r="M75" s="228">
        <f t="shared" si="5"/>
        <v>3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283</v>
      </c>
      <c r="D77" s="24"/>
      <c r="E77" s="24"/>
      <c r="F77" s="24"/>
      <c r="G77" s="24"/>
      <c r="H77" s="24"/>
      <c r="I77" s="208"/>
      <c r="J77" s="239">
        <f t="shared" ref="J77:M77" si="6">J75+J60</f>
        <v>70</v>
      </c>
      <c r="K77" s="240">
        <f t="shared" si="6"/>
        <v>59</v>
      </c>
      <c r="L77" s="241">
        <f t="shared" si="6"/>
        <v>8</v>
      </c>
      <c r="M77" s="242">
        <f t="shared" si="6"/>
        <v>6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288</v>
      </c>
      <c r="F81" s="208"/>
      <c r="G81" s="206"/>
      <c r="H81" s="207" t="s">
        <v>289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56" t="s">
        <v>204</v>
      </c>
      <c r="D83" s="213" t="s">
        <v>212</v>
      </c>
      <c r="E83" s="214" t="s">
        <v>119</v>
      </c>
      <c r="F83" s="214" t="s">
        <v>131</v>
      </c>
      <c r="G83" s="215" t="s">
        <v>201</v>
      </c>
      <c r="H83" s="214" t="s">
        <v>120</v>
      </c>
      <c r="I83" s="214" t="s">
        <v>132</v>
      </c>
      <c r="J83" s="216">
        <v>1.0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5.0</v>
      </c>
      <c r="K84" s="222">
        <v>7.0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 t="s">
        <v>233</v>
      </c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205</v>
      </c>
      <c r="E86" s="214" t="s">
        <v>169</v>
      </c>
      <c r="F86" s="214" t="s">
        <v>107</v>
      </c>
      <c r="G86" s="215" t="s">
        <v>201</v>
      </c>
      <c r="H86" s="214" t="s">
        <v>102</v>
      </c>
      <c r="I86" s="214" t="s">
        <v>108</v>
      </c>
      <c r="J86" s="216">
        <v>6.0</v>
      </c>
      <c r="K86" s="217">
        <v>7.0</v>
      </c>
      <c r="L86" s="218">
        <f>IF(AND(J86&gt;K86,J87&gt;K87),2,IF(J86&gt;K86,1,IF(J87&gt;K87,1,0)))</f>
        <v>0</v>
      </c>
      <c r="M86" s="218">
        <f>IF(AND(K86&gt;J86,K87&gt;J87),2,IF(K86&gt;J86,1,IF(K87&gt;J87,1,0)))</f>
        <v>2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3.0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208</v>
      </c>
      <c r="D89" s="213" t="s">
        <v>207</v>
      </c>
      <c r="E89" s="214" t="s">
        <v>62</v>
      </c>
      <c r="F89" s="214" t="s">
        <v>68</v>
      </c>
      <c r="G89" s="215" t="s">
        <v>201</v>
      </c>
      <c r="H89" s="214" t="s">
        <v>63</v>
      </c>
      <c r="I89" s="214" t="s">
        <v>74</v>
      </c>
      <c r="J89" s="216">
        <v>6.0</v>
      </c>
      <c r="K89" s="217">
        <v>4.0</v>
      </c>
      <c r="L89" s="218">
        <f>IF(AND(J89&gt;K89,J90&gt;K90),2,IF(J89&gt;K89,1,IF(J90&gt;K90,1,0)))</f>
        <v>2</v>
      </c>
      <c r="M89" s="218">
        <f>IF(AND(K89&gt;J89,K90&gt;J90),2,IF(K89&gt;J89,1,IF(K90&gt;J90,1,0)))</f>
        <v>0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0.0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56" t="s">
        <v>208</v>
      </c>
      <c r="D92" s="245" t="s">
        <v>209</v>
      </c>
      <c r="E92" s="214" t="s">
        <v>21</v>
      </c>
      <c r="F92" s="214" t="s">
        <v>35</v>
      </c>
      <c r="G92" s="260" t="s">
        <v>201</v>
      </c>
      <c r="H92" s="214" t="s">
        <v>290</v>
      </c>
      <c r="I92" s="214" t="s">
        <v>291</v>
      </c>
      <c r="J92" s="216">
        <v>6.0</v>
      </c>
      <c r="K92" s="217">
        <v>4.0</v>
      </c>
      <c r="L92" s="218">
        <f>IF(AND(J92&gt;K92,J93&gt;K93),2,IF(J92&gt;K92,1,IF(J93&gt;K93,1,0)))</f>
        <v>2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7.0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281</v>
      </c>
      <c r="D95" s="24"/>
      <c r="E95" s="24"/>
      <c r="F95" s="24"/>
      <c r="G95" s="24"/>
      <c r="H95" s="24"/>
      <c r="I95" s="208"/>
      <c r="J95" s="226">
        <f t="shared" ref="J95:M95" si="7">SUM(J83:J93)</f>
        <v>40</v>
      </c>
      <c r="K95" s="227">
        <f t="shared" si="7"/>
        <v>40</v>
      </c>
      <c r="L95" s="226">
        <f t="shared" si="7"/>
        <v>4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215</v>
      </c>
      <c r="E98" s="214" t="s">
        <v>292</v>
      </c>
      <c r="F98" s="214" t="s">
        <v>94</v>
      </c>
      <c r="G98" s="215" t="s">
        <v>286</v>
      </c>
      <c r="H98" s="214" t="s">
        <v>88</v>
      </c>
      <c r="I98" s="214" t="s">
        <v>95</v>
      </c>
      <c r="J98" s="216">
        <v>6.0</v>
      </c>
      <c r="K98" s="217">
        <v>4.0</v>
      </c>
      <c r="L98" s="218">
        <f>IF(AND(J98&gt;K98,J99&gt;K99),2,IF(J98&gt;K98,1,IF(J99&gt;K99,1,0)))</f>
        <v>2</v>
      </c>
      <c r="M98" s="218">
        <f>IF(AND(K98&gt;J98,K99&gt;J99),2,IF(K98&gt;J98,1,IF(K99&gt;J99,1,0)))</f>
        <v>0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7.0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220</v>
      </c>
      <c r="E101" s="214" t="s">
        <v>143</v>
      </c>
      <c r="F101" s="214" t="s">
        <v>148</v>
      </c>
      <c r="G101" s="215" t="s">
        <v>201</v>
      </c>
      <c r="H101" s="214" t="s">
        <v>138</v>
      </c>
      <c r="I101" s="214" t="s">
        <v>149</v>
      </c>
      <c r="J101" s="216">
        <v>3.0</v>
      </c>
      <c r="K101" s="217">
        <v>6.0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7.0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12" t="s">
        <v>211</v>
      </c>
      <c r="D104" s="213" t="s">
        <v>217</v>
      </c>
      <c r="E104" s="214" t="s">
        <v>42</v>
      </c>
      <c r="F104" s="214" t="s">
        <v>49</v>
      </c>
      <c r="G104" s="215" t="s">
        <v>201</v>
      </c>
      <c r="H104" s="214" t="s">
        <v>43</v>
      </c>
      <c r="I104" s="214" t="s">
        <v>56</v>
      </c>
      <c r="J104" s="216">
        <v>6.0</v>
      </c>
      <c r="K104" s="217">
        <v>1.0</v>
      </c>
      <c r="L104" s="218">
        <f>IF(AND(J104&gt;K104,J105&gt;K105),2,IF(J104&gt;K104,1,IF(J105&gt;K105,1,0)))</f>
        <v>2</v>
      </c>
      <c r="M104" s="218">
        <f>IF(AND(K104&gt;J104,K105&gt;J105),2,IF(K104&gt;J104,1,IF(K105&gt;J105,1,0)))</f>
        <v>0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6.0</v>
      </c>
      <c r="K105" s="222">
        <v>4.0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226</v>
      </c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282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35</v>
      </c>
      <c r="K110" s="227">
        <f t="shared" si="8"/>
        <v>27</v>
      </c>
      <c r="L110" s="226">
        <f t="shared" si="8"/>
        <v>5</v>
      </c>
      <c r="M110" s="228">
        <f t="shared" si="8"/>
        <v>1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283</v>
      </c>
      <c r="D112" s="24"/>
      <c r="E112" s="24"/>
      <c r="F112" s="24"/>
      <c r="G112" s="24"/>
      <c r="H112" s="24"/>
      <c r="I112" s="208"/>
      <c r="J112" s="239">
        <f t="shared" ref="J112:M112" si="9">J110+J95</f>
        <v>75</v>
      </c>
      <c r="K112" s="240">
        <f t="shared" si="9"/>
        <v>67</v>
      </c>
      <c r="L112" s="241">
        <f t="shared" si="9"/>
        <v>9</v>
      </c>
      <c r="M112" s="242">
        <f t="shared" si="9"/>
        <v>5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6" t="s">
        <v>196</v>
      </c>
      <c r="M1" s="270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M2" s="270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M3" s="270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293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180</v>
      </c>
      <c r="F11" s="208"/>
      <c r="G11" s="206"/>
      <c r="H11" s="207" t="s">
        <v>285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205</v>
      </c>
      <c r="E13" s="214" t="s">
        <v>97</v>
      </c>
      <c r="F13" s="214" t="s">
        <v>103</v>
      </c>
      <c r="G13" s="215" t="s">
        <v>201</v>
      </c>
      <c r="H13" s="214" t="s">
        <v>99</v>
      </c>
      <c r="I13" s="214" t="s">
        <v>294</v>
      </c>
      <c r="J13" s="216">
        <v>6.0</v>
      </c>
      <c r="K13" s="217">
        <v>3.0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2.0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207</v>
      </c>
      <c r="E16" s="214" t="s">
        <v>58</v>
      </c>
      <c r="F16" s="214" t="s">
        <v>71</v>
      </c>
      <c r="G16" s="215" t="s">
        <v>201</v>
      </c>
      <c r="H16" s="214" t="s">
        <v>60</v>
      </c>
      <c r="I16" s="214" t="s">
        <v>11</v>
      </c>
      <c r="J16" s="216">
        <v>6.0</v>
      </c>
      <c r="K16" s="217">
        <v>7.0</v>
      </c>
      <c r="L16" s="218">
        <f>IF(AND(J16&gt;K16,J17&gt;K17),2,IF(J16&gt;K16,1,IF(J17&gt;K17,1,0)))</f>
        <v>1</v>
      </c>
      <c r="M16" s="218">
        <f>IF(AND(K16&gt;J16,K17&gt;J17),2,IF(K16&gt;J16,1,IF(K17&gt;J17,1,0)))</f>
        <v>1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3.0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220</v>
      </c>
      <c r="E19" s="214" t="s">
        <v>133</v>
      </c>
      <c r="F19" s="214" t="s">
        <v>9</v>
      </c>
      <c r="G19" s="215" t="s">
        <v>201</v>
      </c>
      <c r="H19" s="214" t="s">
        <v>135</v>
      </c>
      <c r="I19" s="214" t="s">
        <v>141</v>
      </c>
      <c r="J19" s="216">
        <v>2.0</v>
      </c>
      <c r="K19" s="217">
        <v>6.0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4.0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56" t="s">
        <v>208</v>
      </c>
      <c r="D22" s="245" t="s">
        <v>212</v>
      </c>
      <c r="E22" s="214" t="s">
        <v>115</v>
      </c>
      <c r="F22" s="214" t="s">
        <v>121</v>
      </c>
      <c r="G22" s="215" t="s">
        <v>201</v>
      </c>
      <c r="H22" s="214" t="s">
        <v>123</v>
      </c>
      <c r="I22" s="214" t="s">
        <v>129</v>
      </c>
      <c r="J22" s="216">
        <v>2.0</v>
      </c>
      <c r="K22" s="217">
        <v>6.0</v>
      </c>
      <c r="L22" s="218">
        <f>IF(AND(J22&gt;K22,J23&gt;K23),2,IF(J22&gt;K22,1,IF(J23&gt;K23,1,0)))</f>
        <v>1</v>
      </c>
      <c r="M22" s="218">
        <f>IF(AND(K22&gt;J22,K23&gt;J23),2,IF(K22&gt;J22,1,IF(K23&gt;J23,1,0)))</f>
        <v>1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2.0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295</v>
      </c>
      <c r="D25" s="24"/>
      <c r="E25" s="24"/>
      <c r="F25" s="24"/>
      <c r="G25" s="24"/>
      <c r="H25" s="24"/>
      <c r="I25" s="208"/>
      <c r="J25" s="226">
        <f t="shared" ref="J25:M25" si="1">SUM(J13:J23)</f>
        <v>40</v>
      </c>
      <c r="K25" s="227">
        <f t="shared" si="1"/>
        <v>33</v>
      </c>
      <c r="L25" s="226">
        <f t="shared" si="1"/>
        <v>5</v>
      </c>
      <c r="M25" s="228">
        <f t="shared" si="1"/>
        <v>3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208</v>
      </c>
      <c r="D28" s="213" t="s">
        <v>209</v>
      </c>
      <c r="E28" s="214" t="s">
        <v>17</v>
      </c>
      <c r="F28" s="214" t="s">
        <v>24</v>
      </c>
      <c r="G28" s="215" t="s">
        <v>201</v>
      </c>
      <c r="H28" s="214" t="s">
        <v>296</v>
      </c>
      <c r="I28" s="214" t="s">
        <v>33</v>
      </c>
      <c r="J28" s="216">
        <v>6.0</v>
      </c>
      <c r="K28" s="217">
        <v>3.0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0.0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226</v>
      </c>
      <c r="D31" s="213" t="s">
        <v>297</v>
      </c>
      <c r="E31" s="214" t="s">
        <v>38</v>
      </c>
      <c r="F31" s="214" t="s">
        <v>45</v>
      </c>
      <c r="G31" s="215" t="s">
        <v>201</v>
      </c>
      <c r="H31" s="214" t="s">
        <v>54</v>
      </c>
      <c r="I31" s="214" t="s">
        <v>164</v>
      </c>
      <c r="J31" s="216">
        <v>6.0</v>
      </c>
      <c r="K31" s="217">
        <v>0.0</v>
      </c>
      <c r="L31" s="218">
        <f>IF(AND(J31&gt;K31,J32&gt;K32),2,IF(J31&gt;K31,1,IF(J32&gt;K32,1,0)))</f>
        <v>2</v>
      </c>
      <c r="M31" s="218">
        <f>IF(AND(K31&gt;J31,K32&gt;J32),2,IF(K31&gt;J31,1,IF(K32&gt;J32,1,0)))</f>
        <v>0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4.0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204</v>
      </c>
      <c r="D34" s="213" t="s">
        <v>215</v>
      </c>
      <c r="E34" s="214" t="s">
        <v>76</v>
      </c>
      <c r="F34" s="214" t="s">
        <v>83</v>
      </c>
      <c r="G34" s="215" t="s">
        <v>201</v>
      </c>
      <c r="H34" s="214" t="s">
        <v>298</v>
      </c>
      <c r="I34" s="214" t="s">
        <v>92</v>
      </c>
      <c r="J34" s="216">
        <v>6.0</v>
      </c>
      <c r="K34" s="217">
        <v>2.0</v>
      </c>
      <c r="L34" s="218">
        <f>IF(AND(J34&gt;K34,J35&gt;K35),2,IF(J34&gt;K34,1,IF(J35&gt;K35,1,0)))</f>
        <v>2</v>
      </c>
      <c r="M34" s="218">
        <f>IF(AND(K34&gt;J34,K35&gt;J35),2,IF(K34&gt;J34,1,IF(K35&gt;J35,1,0)))</f>
        <v>0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7.0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/>
      <c r="D37" s="233"/>
      <c r="E37" s="218"/>
      <c r="F37" s="218"/>
      <c r="G37" s="215"/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299</v>
      </c>
      <c r="D40" s="24"/>
      <c r="E40" s="24"/>
      <c r="F40" s="24"/>
      <c r="G40" s="24"/>
      <c r="H40" s="24"/>
      <c r="I40" s="208"/>
      <c r="J40" s="226">
        <f t="shared" ref="J40:M40" si="2">SUM(J28:J38)</f>
        <v>37</v>
      </c>
      <c r="K40" s="227">
        <f t="shared" si="2"/>
        <v>15</v>
      </c>
      <c r="L40" s="226">
        <f t="shared" si="2"/>
        <v>6</v>
      </c>
      <c r="M40" s="228">
        <f t="shared" si="2"/>
        <v>0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300</v>
      </c>
      <c r="D42" s="24"/>
      <c r="E42" s="24"/>
      <c r="F42" s="24"/>
      <c r="G42" s="24"/>
      <c r="H42" s="24"/>
      <c r="I42" s="208"/>
      <c r="J42" s="239">
        <f t="shared" ref="J42:M42" si="3">J40+J25</f>
        <v>77</v>
      </c>
      <c r="K42" s="240">
        <f t="shared" si="3"/>
        <v>48</v>
      </c>
      <c r="L42" s="241">
        <f t="shared" si="3"/>
        <v>11</v>
      </c>
      <c r="M42" s="242">
        <f t="shared" si="3"/>
        <v>3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185</v>
      </c>
      <c r="F46" s="208"/>
      <c r="G46" s="206"/>
      <c r="H46" s="207" t="s">
        <v>288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220</v>
      </c>
      <c r="E48" s="214" t="s">
        <v>136</v>
      </c>
      <c r="F48" s="214" t="s">
        <v>147</v>
      </c>
      <c r="G48" s="215" t="s">
        <v>201</v>
      </c>
      <c r="H48" s="214" t="s">
        <v>137</v>
      </c>
      <c r="I48" s="214" t="s">
        <v>148</v>
      </c>
      <c r="J48" s="216">
        <v>6.0</v>
      </c>
      <c r="K48" s="217">
        <v>3.0</v>
      </c>
      <c r="L48" s="218">
        <f>IF(AND(J48&gt;K48,J49&gt;K49),2,IF(J48&gt;K48,1,IF(J49&gt;K49,1,0)))</f>
        <v>1</v>
      </c>
      <c r="M48" s="218">
        <f>IF(AND(K48&gt;J48,K49&gt;J49),2,IF(K48&gt;J48,1,IF(K49&gt;J49,1,0)))</f>
        <v>1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2.0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215</v>
      </c>
      <c r="E51" s="214" t="s">
        <v>79</v>
      </c>
      <c r="F51" s="214" t="s">
        <v>93</v>
      </c>
      <c r="G51" s="215" t="s">
        <v>201</v>
      </c>
      <c r="H51" s="214" t="s">
        <v>80</v>
      </c>
      <c r="I51" s="214" t="s">
        <v>94</v>
      </c>
      <c r="J51" s="216">
        <v>3.0</v>
      </c>
      <c r="K51" s="217">
        <v>6.0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212</v>
      </c>
      <c r="E54" s="214" t="s">
        <v>118</v>
      </c>
      <c r="F54" s="214" t="s">
        <v>130</v>
      </c>
      <c r="G54" s="215" t="s">
        <v>201</v>
      </c>
      <c r="H54" s="214" t="s">
        <v>125</v>
      </c>
      <c r="I54" s="214" t="s">
        <v>131</v>
      </c>
      <c r="J54" s="216">
        <v>2.0</v>
      </c>
      <c r="K54" s="217">
        <v>6.0</v>
      </c>
      <c r="L54" s="218">
        <f>IF(AND(J54&gt;K54,J55&gt;K55),2,IF(J54&gt;K54,1,IF(J55&gt;K55,1,0)))</f>
        <v>0</v>
      </c>
      <c r="M54" s="218">
        <f>IF(AND(K54&gt;J54,K55&gt;J55),2,IF(K54&gt;J54,1,IF(K55&gt;J55,1,0)))</f>
        <v>2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2.0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/>
      <c r="D57" s="233"/>
      <c r="E57" s="218"/>
      <c r="F57" s="218"/>
      <c r="G57" s="215"/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295</v>
      </c>
      <c r="D60" s="24"/>
      <c r="E60" s="24"/>
      <c r="F60" s="24"/>
      <c r="G60" s="24"/>
      <c r="H60" s="24"/>
      <c r="I60" s="208"/>
      <c r="J60" s="226">
        <f t="shared" ref="J60:M60" si="4">SUM(J48:J58)</f>
        <v>17</v>
      </c>
      <c r="K60" s="227">
        <f t="shared" si="4"/>
        <v>33</v>
      </c>
      <c r="L60" s="226">
        <f t="shared" si="4"/>
        <v>1</v>
      </c>
      <c r="M60" s="228">
        <f t="shared" si="4"/>
        <v>5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226</v>
      </c>
      <c r="D63" s="213" t="s">
        <v>209</v>
      </c>
      <c r="E63" s="214" t="s">
        <v>27</v>
      </c>
      <c r="F63" s="214" t="s">
        <v>34</v>
      </c>
      <c r="G63" s="215" t="s">
        <v>201</v>
      </c>
      <c r="H63" s="214" t="s">
        <v>21</v>
      </c>
      <c r="I63" s="214" t="s">
        <v>28</v>
      </c>
      <c r="J63" s="216">
        <v>0.0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217</v>
      </c>
      <c r="E66" s="214" t="s">
        <v>48</v>
      </c>
      <c r="F66" s="214" t="s">
        <v>55</v>
      </c>
      <c r="G66" s="215" t="s">
        <v>201</v>
      </c>
      <c r="H66" s="214" t="s">
        <v>42</v>
      </c>
      <c r="I66" s="214" t="s">
        <v>13</v>
      </c>
      <c r="J66" s="216">
        <v>6.0</v>
      </c>
      <c r="K66" s="217">
        <v>1.0</v>
      </c>
      <c r="L66" s="218">
        <f>IF(AND(J66&gt;K66,J67&gt;K67),2,IF(J66&gt;K66,1,IF(J67&gt;K67,1,0)))</f>
        <v>1</v>
      </c>
      <c r="M66" s="218">
        <f>IF(AND(K66&gt;J66,K67&gt;J67),2,IF(K66&gt;J66,1,IF(K67&gt;J67,1,0)))</f>
        <v>1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5.0</v>
      </c>
      <c r="K67" s="222">
        <v>7.0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301</v>
      </c>
      <c r="D69" s="213" t="s">
        <v>207</v>
      </c>
      <c r="E69" s="214" t="s">
        <v>12</v>
      </c>
      <c r="F69" s="214" t="s">
        <v>72</v>
      </c>
      <c r="G69" s="215" t="s">
        <v>201</v>
      </c>
      <c r="H69" s="214" t="s">
        <v>168</v>
      </c>
      <c r="I69" s="214" t="s">
        <v>68</v>
      </c>
      <c r="J69" s="216">
        <v>7.0</v>
      </c>
      <c r="K69" s="217">
        <v>6.0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 t="s">
        <v>211</v>
      </c>
      <c r="D72" s="245" t="s">
        <v>205</v>
      </c>
      <c r="E72" s="214" t="s">
        <v>100</v>
      </c>
      <c r="F72" s="214" t="s">
        <v>106</v>
      </c>
      <c r="G72" s="215" t="s">
        <v>201</v>
      </c>
      <c r="H72" s="214" t="s">
        <v>169</v>
      </c>
      <c r="I72" s="214" t="s">
        <v>113</v>
      </c>
      <c r="J72" s="216">
        <v>4.0</v>
      </c>
      <c r="K72" s="217">
        <v>6.0</v>
      </c>
      <c r="L72" s="218">
        <f>IF(AND(J72&gt;K72,J73&gt;K73),2,IF(J72&gt;K72,1,IF(J73&gt;K73,1,0)))</f>
        <v>0</v>
      </c>
      <c r="M72" s="218">
        <f>IF(AND(K72&gt;J72,K73&gt;J73),2,IF(K72&gt;J72,1,IF(K73&gt;J73,1,0)))</f>
        <v>2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1.0</v>
      </c>
      <c r="K73" s="222">
        <v>6.0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299</v>
      </c>
      <c r="D75" s="24"/>
      <c r="E75" s="24"/>
      <c r="F75" s="24"/>
      <c r="G75" s="24"/>
      <c r="H75" s="24"/>
      <c r="I75" s="208"/>
      <c r="J75" s="226">
        <f t="shared" ref="J75:M75" si="5">SUM(J63:J73)</f>
        <v>27</v>
      </c>
      <c r="K75" s="227">
        <f t="shared" si="5"/>
        <v>44</v>
      </c>
      <c r="L75" s="226">
        <f t="shared" si="5"/>
        <v>2</v>
      </c>
      <c r="M75" s="228">
        <f t="shared" si="5"/>
        <v>6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300</v>
      </c>
      <c r="D77" s="24"/>
      <c r="E77" s="24"/>
      <c r="F77" s="24"/>
      <c r="G77" s="24"/>
      <c r="H77" s="24"/>
      <c r="I77" s="208"/>
      <c r="J77" s="239">
        <f t="shared" ref="J77:M77" si="6">J75+J60</f>
        <v>44</v>
      </c>
      <c r="K77" s="240">
        <f t="shared" si="6"/>
        <v>77</v>
      </c>
      <c r="L77" s="241">
        <f t="shared" si="6"/>
        <v>3</v>
      </c>
      <c r="M77" s="242">
        <f t="shared" si="6"/>
        <v>11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284</v>
      </c>
      <c r="F81" s="208"/>
      <c r="G81" s="206"/>
      <c r="H81" s="207" t="s">
        <v>289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209</v>
      </c>
      <c r="E83" s="214" t="s">
        <v>18</v>
      </c>
      <c r="F83" s="214" t="s">
        <v>32</v>
      </c>
      <c r="G83" s="215" t="s">
        <v>201</v>
      </c>
      <c r="H83" s="214" t="s">
        <v>22</v>
      </c>
      <c r="I83" s="214" t="s">
        <v>29</v>
      </c>
      <c r="J83" s="216">
        <v>6.0</v>
      </c>
      <c r="K83" s="217">
        <v>4.0</v>
      </c>
      <c r="L83" s="218">
        <f>IF(AND(J83&gt;K83,J84&gt;K84),2,IF(J83&gt;K83,1,IF(J84&gt;K84,1,0)))</f>
        <v>2</v>
      </c>
      <c r="M83" s="218">
        <f>IF(AND(K83&gt;J83,K84&gt;J84),2,IF(K83&gt;J83,1,IF(K84&gt;J84,1,0)))</f>
        <v>0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4.0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56" t="s">
        <v>204</v>
      </c>
      <c r="D86" s="213" t="s">
        <v>217</v>
      </c>
      <c r="E86" s="214" t="s">
        <v>39</v>
      </c>
      <c r="F86" s="214" t="s">
        <v>53</v>
      </c>
      <c r="G86" s="215" t="s">
        <v>201</v>
      </c>
      <c r="H86" s="214" t="s">
        <v>50</v>
      </c>
      <c r="I86" s="214" t="s">
        <v>56</v>
      </c>
      <c r="J86" s="216">
        <v>6.0</v>
      </c>
      <c r="K86" s="217">
        <v>3.0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1.0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206</v>
      </c>
      <c r="D89" s="213" t="s">
        <v>205</v>
      </c>
      <c r="E89" s="214" t="s">
        <v>98</v>
      </c>
      <c r="F89" s="214" t="s">
        <v>302</v>
      </c>
      <c r="G89" s="215" t="s">
        <v>201</v>
      </c>
      <c r="H89" s="214" t="s">
        <v>108</v>
      </c>
      <c r="I89" s="214" t="s">
        <v>114</v>
      </c>
      <c r="J89" s="216">
        <v>3.0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7.0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56" t="s">
        <v>208</v>
      </c>
      <c r="D92" s="245" t="s">
        <v>220</v>
      </c>
      <c r="E92" s="214" t="s">
        <v>134</v>
      </c>
      <c r="F92" s="214" t="s">
        <v>140</v>
      </c>
      <c r="G92" s="215" t="s">
        <v>201</v>
      </c>
      <c r="H92" s="214" t="s">
        <v>138</v>
      </c>
      <c r="I92" s="214" t="s">
        <v>149</v>
      </c>
      <c r="J92" s="216">
        <v>4.0</v>
      </c>
      <c r="K92" s="217">
        <v>6.0</v>
      </c>
      <c r="L92" s="218">
        <f>IF(AND(J92&gt;K92,J93&gt;K93),2,IF(J92&gt;K92,1,IF(J93&gt;K93,1,0)))</f>
        <v>1</v>
      </c>
      <c r="M92" s="218">
        <f>IF(AND(K92&gt;J92,K93&gt;J93),2,IF(K92&gt;J92,1,IF(K93&gt;J93,1,0)))</f>
        <v>1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7.0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295</v>
      </c>
      <c r="D95" s="24"/>
      <c r="E95" s="24"/>
      <c r="F95" s="24"/>
      <c r="G95" s="24"/>
      <c r="H95" s="24"/>
      <c r="I95" s="208"/>
      <c r="J95" s="226">
        <f t="shared" ref="J95:M95" si="7">SUM(J83:J93)</f>
        <v>39</v>
      </c>
      <c r="K95" s="227">
        <f t="shared" si="7"/>
        <v>42</v>
      </c>
      <c r="L95" s="226">
        <f t="shared" si="7"/>
        <v>4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207</v>
      </c>
      <c r="E98" s="214" t="s">
        <v>59</v>
      </c>
      <c r="F98" s="214" t="s">
        <v>66</v>
      </c>
      <c r="G98" s="215" t="s">
        <v>201</v>
      </c>
      <c r="H98" s="214" t="s">
        <v>69</v>
      </c>
      <c r="I98" s="214" t="s">
        <v>74</v>
      </c>
      <c r="J98" s="216">
        <v>6.0</v>
      </c>
      <c r="K98" s="217">
        <v>2.0</v>
      </c>
      <c r="L98" s="218">
        <f>IF(AND(J98&gt;K98,J99&gt;K99),2,IF(J98&gt;K98,1,IF(J99&gt;K99,1,0)))</f>
        <v>2</v>
      </c>
      <c r="M98" s="218">
        <f>IF(AND(K98&gt;J98,K99&gt;J99),2,IF(K98&gt;J98,1,IF(K99&gt;J99,1,0)))</f>
        <v>0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7.0</v>
      </c>
      <c r="K99" s="222">
        <v>5.0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215</v>
      </c>
      <c r="E101" s="214" t="s">
        <v>77</v>
      </c>
      <c r="F101" s="214" t="s">
        <v>84</v>
      </c>
      <c r="G101" s="215" t="s">
        <v>201</v>
      </c>
      <c r="H101" s="214" t="s">
        <v>81</v>
      </c>
      <c r="I101" s="214" t="s">
        <v>95</v>
      </c>
      <c r="J101" s="216">
        <v>7.0</v>
      </c>
      <c r="K101" s="217">
        <v>5.0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6.0</v>
      </c>
      <c r="K102" s="222">
        <v>7.0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211</v>
      </c>
      <c r="D104" s="213" t="s">
        <v>212</v>
      </c>
      <c r="E104" s="214" t="s">
        <v>116</v>
      </c>
      <c r="F104" s="214" t="s">
        <v>128</v>
      </c>
      <c r="G104" s="215" t="s">
        <v>201</v>
      </c>
      <c r="H104" s="214" t="s">
        <v>120</v>
      </c>
      <c r="I104" s="214" t="s">
        <v>230</v>
      </c>
      <c r="J104" s="216">
        <v>6.0</v>
      </c>
      <c r="K104" s="217">
        <v>4.0</v>
      </c>
      <c r="L104" s="218">
        <f>IF(AND(J104&gt;K104,J105&gt;K105),2,IF(J104&gt;K104,1,IF(J105&gt;K105,1,0)))</f>
        <v>2</v>
      </c>
      <c r="M104" s="218">
        <f>IF(AND(K104&gt;J104,K105&gt;J105),2,IF(K104&gt;J104,1,IF(K105&gt;J105,1,0)))</f>
        <v>0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7.0</v>
      </c>
      <c r="K105" s="222">
        <v>5.0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 t="s">
        <v>201</v>
      </c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299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39</v>
      </c>
      <c r="K110" s="227">
        <f t="shared" si="8"/>
        <v>28</v>
      </c>
      <c r="L110" s="226">
        <f t="shared" si="8"/>
        <v>5</v>
      </c>
      <c r="M110" s="228">
        <f t="shared" si="8"/>
        <v>1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300</v>
      </c>
      <c r="D112" s="24"/>
      <c r="E112" s="24"/>
      <c r="F112" s="24"/>
      <c r="G112" s="24"/>
      <c r="H112" s="24"/>
      <c r="I112" s="208"/>
      <c r="J112" s="239">
        <f t="shared" ref="J112:M112" si="9">J110+J95</f>
        <v>78</v>
      </c>
      <c r="K112" s="240">
        <f t="shared" si="9"/>
        <v>70</v>
      </c>
      <c r="L112" s="241">
        <f t="shared" si="9"/>
        <v>9</v>
      </c>
      <c r="M112" s="242">
        <f t="shared" si="9"/>
        <v>5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B1:L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303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183</v>
      </c>
      <c r="F11" s="208"/>
      <c r="G11" s="206"/>
      <c r="H11" s="207" t="s">
        <v>186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220</v>
      </c>
      <c r="E13" s="214" t="s">
        <v>134</v>
      </c>
      <c r="F13" s="214" t="s">
        <v>237</v>
      </c>
      <c r="G13" s="215" t="s">
        <v>201</v>
      </c>
      <c r="H13" s="214" t="s">
        <v>137</v>
      </c>
      <c r="I13" s="214" t="s">
        <v>143</v>
      </c>
      <c r="J13" s="216">
        <v>6.0</v>
      </c>
      <c r="K13" s="217">
        <v>4.0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5.0</v>
      </c>
      <c r="K14" s="222">
        <v>7.0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49"/>
      <c r="E16" s="218"/>
      <c r="F16" s="218"/>
      <c r="G16" s="215" t="s">
        <v>201</v>
      </c>
      <c r="H16" s="218"/>
      <c r="I16" s="218"/>
      <c r="J16" s="234"/>
      <c r="K16" s="235"/>
      <c r="L16" s="218">
        <f>IF(AND(J16&gt;K16,J17&gt;K17),2,IF(J16&gt;K16,1,IF(J17&gt;K17,1,0)))</f>
        <v>0</v>
      </c>
      <c r="M16" s="218">
        <f>IF(AND(K16&gt;J16,K17&gt;J17),2,IF(K16&gt;J16,1,IF(K17&gt;J17,1,0)))</f>
        <v>0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36"/>
      <c r="K17" s="237"/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2" t="s">
        <v>208</v>
      </c>
      <c r="D19" s="213" t="s">
        <v>207</v>
      </c>
      <c r="E19" s="214" t="s">
        <v>59</v>
      </c>
      <c r="F19" s="214" t="s">
        <v>10</v>
      </c>
      <c r="G19" s="215" t="s">
        <v>201</v>
      </c>
      <c r="H19" s="214" t="s">
        <v>62</v>
      </c>
      <c r="I19" s="214" t="s">
        <v>68</v>
      </c>
      <c r="J19" s="216">
        <v>7.0</v>
      </c>
      <c r="K19" s="217">
        <v>5.0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7.0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56" t="s">
        <v>226</v>
      </c>
      <c r="D22" s="245" t="s">
        <v>209</v>
      </c>
      <c r="E22" s="214" t="s">
        <v>18</v>
      </c>
      <c r="F22" s="214" t="s">
        <v>25</v>
      </c>
      <c r="G22" s="215" t="s">
        <v>201</v>
      </c>
      <c r="H22" s="214" t="s">
        <v>28</v>
      </c>
      <c r="I22" s="214" t="s">
        <v>35</v>
      </c>
      <c r="J22" s="216">
        <v>6.0</v>
      </c>
      <c r="K22" s="217">
        <v>0.0</v>
      </c>
      <c r="L22" s="218">
        <f>IF(AND(J22&gt;K22,J23&gt;K23),2,IF(J22&gt;K22,1,IF(J23&gt;K23,1,0)))</f>
        <v>2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7.0</v>
      </c>
      <c r="K23" s="222">
        <v>6.0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304</v>
      </c>
      <c r="D25" s="24"/>
      <c r="E25" s="24"/>
      <c r="F25" s="24"/>
      <c r="G25" s="24"/>
      <c r="H25" s="24"/>
      <c r="I25" s="208"/>
      <c r="J25" s="226">
        <f t="shared" ref="J25:M25" si="1">SUM(J13:J23)</f>
        <v>37</v>
      </c>
      <c r="K25" s="227">
        <f t="shared" si="1"/>
        <v>29</v>
      </c>
      <c r="L25" s="226">
        <f t="shared" si="1"/>
        <v>4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226</v>
      </c>
      <c r="D28" s="213" t="s">
        <v>212</v>
      </c>
      <c r="E28" s="214" t="s">
        <v>305</v>
      </c>
      <c r="F28" s="214" t="s">
        <v>122</v>
      </c>
      <c r="G28" s="215" t="s">
        <v>201</v>
      </c>
      <c r="H28" s="214" t="s">
        <v>125</v>
      </c>
      <c r="I28" s="214" t="s">
        <v>306</v>
      </c>
      <c r="J28" s="216">
        <v>6.0</v>
      </c>
      <c r="K28" s="217">
        <v>1.0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3.0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240</v>
      </c>
      <c r="D31" s="213" t="s">
        <v>205</v>
      </c>
      <c r="E31" s="214" t="s">
        <v>98</v>
      </c>
      <c r="F31" s="214" t="s">
        <v>104</v>
      </c>
      <c r="G31" s="215" t="s">
        <v>201</v>
      </c>
      <c r="H31" s="214" t="s">
        <v>169</v>
      </c>
      <c r="I31" s="214" t="s">
        <v>107</v>
      </c>
      <c r="J31" s="216">
        <v>3.0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3.0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240</v>
      </c>
      <c r="D34" s="213" t="s">
        <v>217</v>
      </c>
      <c r="E34" s="214" t="s">
        <v>39</v>
      </c>
      <c r="F34" s="214" t="s">
        <v>53</v>
      </c>
      <c r="G34" s="215" t="s">
        <v>201</v>
      </c>
      <c r="H34" s="214" t="s">
        <v>42</v>
      </c>
      <c r="I34" s="214" t="s">
        <v>49</v>
      </c>
      <c r="J34" s="216">
        <v>6.0</v>
      </c>
      <c r="K34" s="217">
        <v>7.0</v>
      </c>
      <c r="L34" s="218">
        <f>IF(AND(J34&gt;K34,J35&gt;K35),2,IF(J34&gt;K34,1,IF(J35&gt;K35,1,0)))</f>
        <v>1</v>
      </c>
      <c r="M34" s="218">
        <f>IF(AND(K34&gt;J34,K35&gt;J35),2,IF(K34&gt;J34,1,IF(K35&gt;J35,1,0)))</f>
        <v>1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6.0</v>
      </c>
      <c r="K35" s="222">
        <v>1.0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56" t="s">
        <v>204</v>
      </c>
      <c r="D37" s="245" t="s">
        <v>215</v>
      </c>
      <c r="E37" s="214" t="s">
        <v>77</v>
      </c>
      <c r="F37" s="214" t="s">
        <v>91</v>
      </c>
      <c r="G37" s="215" t="s">
        <v>201</v>
      </c>
      <c r="H37" s="214" t="s">
        <v>80</v>
      </c>
      <c r="I37" s="214" t="s">
        <v>87</v>
      </c>
      <c r="J37" s="216">
        <v>2.0</v>
      </c>
      <c r="K37" s="217">
        <v>6.0</v>
      </c>
      <c r="L37" s="218">
        <f>IF(AND(J37&gt;K37,J38&gt;K38),2,IF(J37&gt;K37,1,IF(J38&gt;K38,1,0)))</f>
        <v>0</v>
      </c>
      <c r="M37" s="218">
        <f>IF(AND(K37&gt;J37,K38&gt;J38),2,IF(K37&gt;J37,1,IF(K38&gt;J38,1,0)))</f>
        <v>2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3.0</v>
      </c>
      <c r="K38" s="222">
        <v>6.0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307</v>
      </c>
      <c r="D40" s="24"/>
      <c r="E40" s="24"/>
      <c r="F40" s="24"/>
      <c r="G40" s="24"/>
      <c r="H40" s="24"/>
      <c r="I40" s="208"/>
      <c r="J40" s="226">
        <f t="shared" ref="J40:M40" si="2">SUM(J28:J38)</f>
        <v>35</v>
      </c>
      <c r="K40" s="227">
        <f t="shared" si="2"/>
        <v>36</v>
      </c>
      <c r="L40" s="226">
        <f t="shared" si="2"/>
        <v>3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308</v>
      </c>
      <c r="D42" s="24"/>
      <c r="E42" s="24"/>
      <c r="F42" s="24"/>
      <c r="G42" s="24"/>
      <c r="H42" s="24"/>
      <c r="I42" s="208"/>
      <c r="J42" s="239">
        <f t="shared" ref="J42:M42" si="3">J40+J25</f>
        <v>72</v>
      </c>
      <c r="K42" s="240">
        <f t="shared" si="3"/>
        <v>65</v>
      </c>
      <c r="L42" s="241">
        <f t="shared" si="3"/>
        <v>7</v>
      </c>
      <c r="M42" s="242">
        <f t="shared" si="3"/>
        <v>7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280</v>
      </c>
      <c r="F46" s="208"/>
      <c r="G46" s="206"/>
      <c r="H46" s="207" t="s">
        <v>289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209</v>
      </c>
      <c r="E48" s="214" t="s">
        <v>17</v>
      </c>
      <c r="F48" s="214" t="s">
        <v>31</v>
      </c>
      <c r="G48" s="215" t="s">
        <v>201</v>
      </c>
      <c r="H48" s="214" t="s">
        <v>22</v>
      </c>
      <c r="I48" s="214" t="s">
        <v>36</v>
      </c>
      <c r="J48" s="216">
        <v>6.0</v>
      </c>
      <c r="K48" s="217">
        <v>3.0</v>
      </c>
      <c r="L48" s="218">
        <f>IF(AND(J48&gt;K48,J49&gt;K49),2,IF(J48&gt;K48,1,IF(J49&gt;K49,1,0)))</f>
        <v>2</v>
      </c>
      <c r="M48" s="218">
        <f>IF(AND(K48&gt;J48,K49&gt;J49),2,IF(K48&gt;J48,1,IF(K49&gt;J49,1,0)))</f>
        <v>0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4.0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205</v>
      </c>
      <c r="E51" s="214" t="s">
        <v>97</v>
      </c>
      <c r="F51" s="214" t="s">
        <v>109</v>
      </c>
      <c r="G51" s="215" t="s">
        <v>201</v>
      </c>
      <c r="H51" s="214" t="s">
        <v>102</v>
      </c>
      <c r="I51" s="214" t="s">
        <v>108</v>
      </c>
      <c r="J51" s="216">
        <v>0.0</v>
      </c>
      <c r="K51" s="217">
        <v>6.0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207</v>
      </c>
      <c r="E54" s="214" t="s">
        <v>58</v>
      </c>
      <c r="F54" s="214" t="s">
        <v>65</v>
      </c>
      <c r="G54" s="215" t="s">
        <v>201</v>
      </c>
      <c r="H54" s="214" t="s">
        <v>63</v>
      </c>
      <c r="I54" s="214" t="s">
        <v>69</v>
      </c>
      <c r="J54" s="216">
        <v>3.0</v>
      </c>
      <c r="K54" s="217">
        <v>6.0</v>
      </c>
      <c r="L54" s="218">
        <f>IF(AND(J54&gt;K54,J55&gt;K55),2,IF(J54&gt;K54,1,IF(J55&gt;K55,1,0)))</f>
        <v>1</v>
      </c>
      <c r="M54" s="218">
        <f>IF(AND(K54&gt;J54,K55&gt;J55),2,IF(K54&gt;J54,1,IF(K55&gt;J55,1,0)))</f>
        <v>1</v>
      </c>
      <c r="N54" s="195"/>
      <c r="O54" s="248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3.0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206</v>
      </c>
      <c r="D57" s="245" t="s">
        <v>220</v>
      </c>
      <c r="E57" s="214" t="s">
        <v>139</v>
      </c>
      <c r="F57" s="214" t="s">
        <v>9</v>
      </c>
      <c r="G57" s="215" t="s">
        <v>201</v>
      </c>
      <c r="H57" s="214" t="s">
        <v>138</v>
      </c>
      <c r="I57" s="214" t="s">
        <v>144</v>
      </c>
      <c r="J57" s="216">
        <v>1.0</v>
      </c>
      <c r="K57" s="217">
        <v>6.0</v>
      </c>
      <c r="L57" s="218">
        <f>IF(AND(J57&gt;K57,J58&gt;K58),2,IF(J57&gt;K57,1,IF(J58&gt;K58,1,0)))</f>
        <v>0</v>
      </c>
      <c r="M57" s="218">
        <f>IF(AND(K57&gt;J57,K58&gt;J58),2,IF(K57&gt;J57,1,IF(K58&gt;J58,1,0)))</f>
        <v>2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21">
        <v>0.0</v>
      </c>
      <c r="K58" s="222">
        <v>6.0</v>
      </c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304</v>
      </c>
      <c r="D60" s="24"/>
      <c r="E60" s="24"/>
      <c r="F60" s="24"/>
      <c r="G60" s="24"/>
      <c r="H60" s="24"/>
      <c r="I60" s="208"/>
      <c r="J60" s="226">
        <f t="shared" ref="J60:M60" si="4">SUM(J48:J58)</f>
        <v>24</v>
      </c>
      <c r="K60" s="227">
        <f t="shared" si="4"/>
        <v>40</v>
      </c>
      <c r="L60" s="226">
        <f t="shared" si="4"/>
        <v>3</v>
      </c>
      <c r="M60" s="228">
        <f t="shared" si="4"/>
        <v>5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226</v>
      </c>
      <c r="D63" s="213" t="s">
        <v>217</v>
      </c>
      <c r="E63" s="214" t="s">
        <v>45</v>
      </c>
      <c r="F63" s="214" t="s">
        <v>309</v>
      </c>
      <c r="G63" s="215" t="s">
        <v>201</v>
      </c>
      <c r="H63" s="214" t="s">
        <v>43</v>
      </c>
      <c r="I63" s="214" t="s">
        <v>50</v>
      </c>
      <c r="J63" s="216">
        <v>4.0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4.0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216</v>
      </c>
      <c r="D66" s="213" t="s">
        <v>212</v>
      </c>
      <c r="E66" s="214" t="s">
        <v>127</v>
      </c>
      <c r="F66" s="214" t="s">
        <v>121</v>
      </c>
      <c r="G66" s="215" t="s">
        <v>201</v>
      </c>
      <c r="H66" s="214" t="s">
        <v>120</v>
      </c>
      <c r="I66" s="214" t="s">
        <v>132</v>
      </c>
      <c r="J66" s="216">
        <v>4.0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3.0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204</v>
      </c>
      <c r="D69" s="213" t="s">
        <v>215</v>
      </c>
      <c r="E69" s="214" t="s">
        <v>76</v>
      </c>
      <c r="F69" s="214" t="s">
        <v>90</v>
      </c>
      <c r="G69" s="215" t="s">
        <v>201</v>
      </c>
      <c r="H69" s="214" t="s">
        <v>81</v>
      </c>
      <c r="I69" s="214" t="s">
        <v>88</v>
      </c>
      <c r="J69" s="216">
        <v>4.0</v>
      </c>
      <c r="K69" s="217">
        <v>6.0</v>
      </c>
      <c r="L69" s="218">
        <f>IF(AND(J69&gt;K69,J70&gt;K70),2,IF(J69&gt;K69,1,IF(J70&gt;K70,1,0)))</f>
        <v>0</v>
      </c>
      <c r="M69" s="218">
        <f>IF(AND(K69&gt;J69,K70&gt;J70),2,IF(K69&gt;J69,1,IF(K70&gt;J70,1,0)))</f>
        <v>2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3.0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/>
      <c r="D72" s="233"/>
      <c r="E72" s="218"/>
      <c r="F72" s="218"/>
      <c r="G72" s="215"/>
      <c r="H72" s="218"/>
      <c r="I72" s="218"/>
      <c r="J72" s="234"/>
      <c r="K72" s="235"/>
      <c r="L72" s="218">
        <f>IF(AND(J72&gt;K72,J73&gt;K73),2,IF(J72&gt;K72,1,IF(J73&gt;K73,1,0)))</f>
        <v>0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36"/>
      <c r="K73" s="237"/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307</v>
      </c>
      <c r="D75" s="24"/>
      <c r="E75" s="24"/>
      <c r="F75" s="24"/>
      <c r="G75" s="24"/>
      <c r="H75" s="24"/>
      <c r="I75" s="208"/>
      <c r="J75" s="226">
        <f t="shared" ref="J75:M75" si="5">SUM(J63:J73)</f>
        <v>22</v>
      </c>
      <c r="K75" s="227">
        <f t="shared" si="5"/>
        <v>36</v>
      </c>
      <c r="L75" s="226">
        <f t="shared" si="5"/>
        <v>0</v>
      </c>
      <c r="M75" s="228">
        <f t="shared" si="5"/>
        <v>6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308</v>
      </c>
      <c r="D77" s="24"/>
      <c r="E77" s="24"/>
      <c r="F77" s="24"/>
      <c r="G77" s="24"/>
      <c r="H77" s="24"/>
      <c r="I77" s="208"/>
      <c r="J77" s="239">
        <f t="shared" ref="J77:M77" si="6">J75+J60</f>
        <v>46</v>
      </c>
      <c r="K77" s="240">
        <f t="shared" si="6"/>
        <v>76</v>
      </c>
      <c r="L77" s="241">
        <f t="shared" si="6"/>
        <v>3</v>
      </c>
      <c r="M77" s="242">
        <f t="shared" si="6"/>
        <v>11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184</v>
      </c>
      <c r="F81" s="208"/>
      <c r="G81" s="206"/>
      <c r="H81" s="207" t="s">
        <v>225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215</v>
      </c>
      <c r="E83" s="214" t="s">
        <v>85</v>
      </c>
      <c r="F83" s="214" t="s">
        <v>310</v>
      </c>
      <c r="G83" s="215" t="s">
        <v>201</v>
      </c>
      <c r="H83" s="214" t="s">
        <v>79</v>
      </c>
      <c r="I83" s="214" t="s">
        <v>86</v>
      </c>
      <c r="J83" s="216">
        <v>7.0</v>
      </c>
      <c r="K83" s="217">
        <v>6.0</v>
      </c>
      <c r="L83" s="218">
        <f>IF(AND(J83&gt;K83,J84&gt;K84),2,IF(J83&gt;K83,1,IF(J84&gt;K84,1,0)))</f>
        <v>1</v>
      </c>
      <c r="M83" s="218">
        <f>IF(AND(K83&gt;J83,K84&gt;J84),2,IF(K83&gt;J83,1,IF(K84&gt;J84,1,0)))</f>
        <v>1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3.0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56" t="s">
        <v>206</v>
      </c>
      <c r="D86" s="213" t="s">
        <v>209</v>
      </c>
      <c r="E86" s="214" t="s">
        <v>19</v>
      </c>
      <c r="F86" s="214" t="s">
        <v>33</v>
      </c>
      <c r="G86" s="215" t="s">
        <v>201</v>
      </c>
      <c r="H86" s="214" t="s">
        <v>20</v>
      </c>
      <c r="I86" s="214" t="s">
        <v>27</v>
      </c>
      <c r="J86" s="216">
        <v>6.0</v>
      </c>
      <c r="K86" s="217">
        <v>4.0</v>
      </c>
      <c r="L86" s="218">
        <f>IF(AND(J86&gt;K86,J87&gt;K87),2,IF(J86&gt;K86,1,IF(J87&gt;K87,1,0)))</f>
        <v>2</v>
      </c>
      <c r="M86" s="218">
        <f>IF(AND(K86&gt;J86,K87&gt;J87),2,IF(K86&gt;J86,1,IF(K87&gt;J87,1,0)))</f>
        <v>0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4.0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220</v>
      </c>
      <c r="E89" s="214" t="s">
        <v>146</v>
      </c>
      <c r="F89" s="214" t="s">
        <v>135</v>
      </c>
      <c r="G89" s="215" t="s">
        <v>201</v>
      </c>
      <c r="H89" s="214" t="s">
        <v>136</v>
      </c>
      <c r="I89" s="214" t="s">
        <v>142</v>
      </c>
      <c r="J89" s="216">
        <v>6.0</v>
      </c>
      <c r="K89" s="217">
        <v>7.0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4.0</v>
      </c>
      <c r="K90" s="222">
        <v>6.0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33"/>
      <c r="E92" s="218"/>
      <c r="F92" s="218"/>
      <c r="G92" s="215"/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304</v>
      </c>
      <c r="D95" s="24"/>
      <c r="E95" s="24"/>
      <c r="F95" s="24"/>
      <c r="G95" s="24"/>
      <c r="H95" s="24"/>
      <c r="I95" s="208"/>
      <c r="J95" s="226">
        <f t="shared" ref="J95:M95" si="7">SUM(J83:J93)</f>
        <v>32</v>
      </c>
      <c r="K95" s="227">
        <f t="shared" si="7"/>
        <v>33</v>
      </c>
      <c r="L95" s="226">
        <f t="shared" si="7"/>
        <v>3</v>
      </c>
      <c r="M95" s="228">
        <f t="shared" si="7"/>
        <v>3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226</v>
      </c>
      <c r="D98" s="213" t="s">
        <v>217</v>
      </c>
      <c r="E98" s="214" t="s">
        <v>40</v>
      </c>
      <c r="F98" s="214" t="s">
        <v>164</v>
      </c>
      <c r="G98" s="215" t="s">
        <v>201</v>
      </c>
      <c r="H98" s="214" t="s">
        <v>41</v>
      </c>
      <c r="I98" s="214" t="s">
        <v>48</v>
      </c>
      <c r="J98" s="216">
        <v>6.0</v>
      </c>
      <c r="K98" s="217">
        <v>7.0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7.0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240</v>
      </c>
      <c r="D101" s="213" t="s">
        <v>205</v>
      </c>
      <c r="E101" s="214" t="s">
        <v>99</v>
      </c>
      <c r="F101" s="214" t="s">
        <v>105</v>
      </c>
      <c r="G101" s="215" t="s">
        <v>201</v>
      </c>
      <c r="H101" s="214" t="s">
        <v>106</v>
      </c>
      <c r="I101" s="214" t="s">
        <v>112</v>
      </c>
      <c r="J101" s="216">
        <v>6.0</v>
      </c>
      <c r="K101" s="217">
        <v>3.0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4.0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204</v>
      </c>
      <c r="D104" s="213" t="s">
        <v>212</v>
      </c>
      <c r="E104" s="214" t="s">
        <v>117</v>
      </c>
      <c r="F104" s="214" t="s">
        <v>129</v>
      </c>
      <c r="G104" s="215" t="s">
        <v>201</v>
      </c>
      <c r="H104" s="214" t="s">
        <v>311</v>
      </c>
      <c r="I104" s="214" t="s">
        <v>124</v>
      </c>
      <c r="J104" s="216">
        <v>6.0</v>
      </c>
      <c r="K104" s="217">
        <v>4.0</v>
      </c>
      <c r="L104" s="218">
        <f>IF(AND(J104&gt;K104,J105&gt;K105),2,IF(J104&gt;K104,1,IF(J105&gt;K105,1,0)))</f>
        <v>2</v>
      </c>
      <c r="M104" s="218">
        <f>IF(AND(K104&gt;J104,K105&gt;J105),2,IF(K104&gt;J104,1,IF(K105&gt;J105,1,0)))</f>
        <v>0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7.0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56" t="s">
        <v>204</v>
      </c>
      <c r="D107" s="245" t="s">
        <v>207</v>
      </c>
      <c r="E107" s="214" t="s">
        <v>60</v>
      </c>
      <c r="F107" s="214" t="s">
        <v>67</v>
      </c>
      <c r="G107" s="215" t="s">
        <v>201</v>
      </c>
      <c r="H107" s="214" t="s">
        <v>61</v>
      </c>
      <c r="I107" s="214" t="s">
        <v>12</v>
      </c>
      <c r="J107" s="216">
        <v>4.0</v>
      </c>
      <c r="K107" s="217">
        <v>6.0</v>
      </c>
      <c r="L107" s="218">
        <f>IF(AND(J107&gt;K107,J108&gt;K108),2,IF(J107&gt;K107,1,IF(J108&gt;K108,1,0)))</f>
        <v>1</v>
      </c>
      <c r="M107" s="218">
        <f>IF(AND(K107&gt;J107,K108&gt;J108),2,IF(K107&gt;J107,1,IF(K108&gt;J108,1,0)))</f>
        <v>1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6.0</v>
      </c>
      <c r="K108" s="222">
        <v>4.0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307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46</v>
      </c>
      <c r="K110" s="227">
        <f t="shared" si="8"/>
        <v>42</v>
      </c>
      <c r="L110" s="226">
        <f t="shared" si="8"/>
        <v>5</v>
      </c>
      <c r="M110" s="228">
        <f t="shared" si="8"/>
        <v>3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308</v>
      </c>
      <c r="D112" s="24"/>
      <c r="E112" s="24"/>
      <c r="F112" s="24"/>
      <c r="G112" s="24"/>
      <c r="H112" s="24"/>
      <c r="I112" s="208"/>
      <c r="J112" s="239">
        <f t="shared" ref="J112:M112" si="9">J110+J95</f>
        <v>78</v>
      </c>
      <c r="K112" s="240">
        <f t="shared" si="9"/>
        <v>75</v>
      </c>
      <c r="L112" s="241">
        <f t="shared" si="9"/>
        <v>8</v>
      </c>
      <c r="M112" s="242">
        <f t="shared" si="9"/>
        <v>6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312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184</v>
      </c>
      <c r="F11" s="208"/>
      <c r="G11" s="206"/>
      <c r="H11" s="207" t="s">
        <v>187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209</v>
      </c>
      <c r="E13" s="214" t="s">
        <v>26</v>
      </c>
      <c r="F13" s="214" t="s">
        <v>19</v>
      </c>
      <c r="G13" s="215" t="s">
        <v>201</v>
      </c>
      <c r="H13" s="214" t="s">
        <v>22</v>
      </c>
      <c r="I13" s="214" t="s">
        <v>29</v>
      </c>
      <c r="J13" s="216">
        <v>6.0</v>
      </c>
      <c r="K13" s="217">
        <v>2.0</v>
      </c>
      <c r="L13" s="218">
        <f>IF(AND(J13&gt;K13,J14&gt;K14),2,IF(J13&gt;K13,1,IF(J14&gt;K14,1,0)))</f>
        <v>2</v>
      </c>
      <c r="M13" s="218">
        <f>IF(AND(K13&gt;J13,K14&gt;J14),2,IF(K13&gt;J13,1,IF(K14&gt;J14,1,0)))</f>
        <v>0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0.0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56" t="s">
        <v>204</v>
      </c>
      <c r="D16" s="213" t="s">
        <v>215</v>
      </c>
      <c r="E16" s="214" t="s">
        <v>85</v>
      </c>
      <c r="F16" s="214" t="s">
        <v>92</v>
      </c>
      <c r="G16" s="215" t="s">
        <v>201</v>
      </c>
      <c r="H16" s="214" t="s">
        <v>81</v>
      </c>
      <c r="I16" s="214" t="s">
        <v>88</v>
      </c>
      <c r="J16" s="216">
        <v>3.0</v>
      </c>
      <c r="K16" s="217">
        <v>6.0</v>
      </c>
      <c r="L16" s="218">
        <f>IF(AND(J16&gt;K16,J17&gt;K17),2,IF(J16&gt;K16,1,IF(J17&gt;K17,1,0)))</f>
        <v>0</v>
      </c>
      <c r="M16" s="218">
        <f>IF(AND(K16&gt;J16,K17&gt;J17),2,IF(K16&gt;J16,1,IF(K17&gt;J17,1,0)))</f>
        <v>2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7.0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212</v>
      </c>
      <c r="E19" s="214" t="s">
        <v>117</v>
      </c>
      <c r="F19" s="214" t="s">
        <v>123</v>
      </c>
      <c r="G19" s="215" t="s">
        <v>201</v>
      </c>
      <c r="H19" s="214" t="s">
        <v>120</v>
      </c>
      <c r="I19" s="214" t="s">
        <v>230</v>
      </c>
      <c r="J19" s="216">
        <v>6.0</v>
      </c>
      <c r="K19" s="217">
        <v>3.0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6.0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56" t="s">
        <v>208</v>
      </c>
      <c r="D22" s="245" t="s">
        <v>220</v>
      </c>
      <c r="E22" s="214" t="s">
        <v>135</v>
      </c>
      <c r="F22" s="214" t="s">
        <v>141</v>
      </c>
      <c r="G22" s="215" t="s">
        <v>201</v>
      </c>
      <c r="H22" s="214" t="s">
        <v>138</v>
      </c>
      <c r="I22" s="214" t="s">
        <v>149</v>
      </c>
      <c r="J22" s="216">
        <v>6.0</v>
      </c>
      <c r="K22" s="217">
        <v>1.0</v>
      </c>
      <c r="L22" s="218">
        <f>IF(AND(J22&gt;K22,J23&gt;K23),2,IF(J22&gt;K22,1,IF(J23&gt;K23,1,0)))</f>
        <v>2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0.0</v>
      </c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313</v>
      </c>
      <c r="D25" s="24"/>
      <c r="E25" s="24"/>
      <c r="F25" s="24"/>
      <c r="G25" s="24"/>
      <c r="H25" s="24"/>
      <c r="I25" s="208"/>
      <c r="J25" s="226">
        <f t="shared" ref="J25:M25" si="1">SUM(J13:J23)</f>
        <v>46</v>
      </c>
      <c r="K25" s="227">
        <f t="shared" si="1"/>
        <v>25</v>
      </c>
      <c r="L25" s="226">
        <f t="shared" si="1"/>
        <v>6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226</v>
      </c>
      <c r="D28" s="213" t="s">
        <v>205</v>
      </c>
      <c r="E28" s="214" t="s">
        <v>99</v>
      </c>
      <c r="F28" s="214" t="s">
        <v>111</v>
      </c>
      <c r="G28" s="215" t="s">
        <v>201</v>
      </c>
      <c r="H28" s="214" t="s">
        <v>102</v>
      </c>
      <c r="I28" s="214" t="s">
        <v>114</v>
      </c>
      <c r="J28" s="216">
        <v>3.0</v>
      </c>
      <c r="K28" s="217">
        <v>6.0</v>
      </c>
      <c r="L28" s="218">
        <f>IF(AND(J28&gt;K28,J29&gt;K29),2,IF(J28&gt;K28,1,IF(J29&gt;K29,1,0)))</f>
        <v>0</v>
      </c>
      <c r="M28" s="218">
        <f>IF(AND(K28&gt;J28,K29&gt;J29),2,IF(K28&gt;J28,1,IF(K29&gt;J29,1,0)))</f>
        <v>2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0.0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12" t="s">
        <v>226</v>
      </c>
      <c r="D31" s="213" t="s">
        <v>217</v>
      </c>
      <c r="E31" s="214" t="s">
        <v>40</v>
      </c>
      <c r="F31" s="214" t="s">
        <v>164</v>
      </c>
      <c r="G31" s="215" t="s">
        <v>201</v>
      </c>
      <c r="H31" s="214" t="s">
        <v>43</v>
      </c>
      <c r="I31" s="214" t="s">
        <v>56</v>
      </c>
      <c r="J31" s="216">
        <v>6.0</v>
      </c>
      <c r="K31" s="217">
        <v>3.0</v>
      </c>
      <c r="L31" s="218">
        <f>IF(AND(J31&gt;K31,J32&gt;K32),2,IF(J31&gt;K31,1,IF(J32&gt;K32,1,0)))</f>
        <v>2</v>
      </c>
      <c r="M31" s="218">
        <f>IF(AND(K31&gt;J31,K32&gt;J32),2,IF(K31&gt;J31,1,IF(K32&gt;J32,1,0)))</f>
        <v>0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2.0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240</v>
      </c>
      <c r="D34" s="213" t="s">
        <v>207</v>
      </c>
      <c r="E34" s="214" t="s">
        <v>60</v>
      </c>
      <c r="F34" s="214" t="s">
        <v>11</v>
      </c>
      <c r="G34" s="215" t="s">
        <v>201</v>
      </c>
      <c r="H34" s="214" t="s">
        <v>63</v>
      </c>
      <c r="I34" s="214" t="s">
        <v>69</v>
      </c>
      <c r="J34" s="216">
        <v>6.0</v>
      </c>
      <c r="K34" s="217">
        <v>7.0</v>
      </c>
      <c r="L34" s="218">
        <f>IF(AND(J34&gt;K34,J35&gt;K35),2,IF(J34&gt;K34,1,IF(J35&gt;K35,1,0)))</f>
        <v>1</v>
      </c>
      <c r="M34" s="218">
        <f>IF(AND(K34&gt;J34,K35&gt;J35),2,IF(K34&gt;J34,1,IF(K35&gt;J35,1,0)))</f>
        <v>1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7.0</v>
      </c>
      <c r="K35" s="222">
        <v>5.0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12" t="s">
        <v>204</v>
      </c>
      <c r="D37" s="233"/>
      <c r="E37" s="218"/>
      <c r="F37" s="218"/>
      <c r="G37" s="215" t="s">
        <v>201</v>
      </c>
      <c r="H37" s="218"/>
      <c r="I37" s="218"/>
      <c r="J37" s="234"/>
      <c r="K37" s="235"/>
      <c r="L37" s="218">
        <f>IF(AND(J37&gt;K37,J38&gt;K38),2,IF(J37&gt;K37,1,IF(J38&gt;K38,1,0)))</f>
        <v>0</v>
      </c>
      <c r="M37" s="218">
        <f>IF(AND(K37&gt;J37,K38&gt;J38),2,IF(K37&gt;J37,1,IF(K38&gt;J38,1,0)))</f>
        <v>0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36"/>
      <c r="K38" s="237"/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314</v>
      </c>
      <c r="D40" s="24"/>
      <c r="E40" s="24"/>
      <c r="F40" s="24"/>
      <c r="G40" s="24"/>
      <c r="H40" s="24"/>
      <c r="I40" s="208"/>
      <c r="J40" s="226">
        <f t="shared" ref="J40:M40" si="2">SUM(J28:J38)</f>
        <v>28</v>
      </c>
      <c r="K40" s="227">
        <f t="shared" si="2"/>
        <v>29</v>
      </c>
      <c r="L40" s="226">
        <f t="shared" si="2"/>
        <v>3</v>
      </c>
      <c r="M40" s="228">
        <f t="shared" si="2"/>
        <v>3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315</v>
      </c>
      <c r="D42" s="24"/>
      <c r="E42" s="24"/>
      <c r="F42" s="24"/>
      <c r="G42" s="24"/>
      <c r="H42" s="24"/>
      <c r="I42" s="208"/>
      <c r="J42" s="239">
        <f t="shared" ref="J42:M42" si="3">J40+J25</f>
        <v>74</v>
      </c>
      <c r="K42" s="240">
        <f t="shared" si="3"/>
        <v>54</v>
      </c>
      <c r="L42" s="241">
        <f t="shared" si="3"/>
        <v>9</v>
      </c>
      <c r="M42" s="242">
        <f t="shared" si="3"/>
        <v>5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225</v>
      </c>
      <c r="F46" s="208"/>
      <c r="G46" s="206"/>
      <c r="H46" s="207" t="s">
        <v>183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209</v>
      </c>
      <c r="E48" s="214" t="s">
        <v>20</v>
      </c>
      <c r="F48" s="214" t="s">
        <v>27</v>
      </c>
      <c r="G48" s="215" t="s">
        <v>201</v>
      </c>
      <c r="H48" s="214" t="s">
        <v>18</v>
      </c>
      <c r="I48" s="214" t="s">
        <v>32</v>
      </c>
      <c r="J48" s="216">
        <v>0.0</v>
      </c>
      <c r="K48" s="217">
        <v>6.0</v>
      </c>
      <c r="L48" s="218">
        <f>IF(AND(J48&gt;K48,J49&gt;K49),2,IF(J48&gt;K48,1,IF(J49&gt;K49,1,0)))</f>
        <v>0</v>
      </c>
      <c r="M48" s="218">
        <f>IF(AND(K48&gt;J48,K49&gt;J49),2,IF(K48&gt;J48,1,IF(K49&gt;J49,1,0)))</f>
        <v>2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0.0</v>
      </c>
      <c r="K49" s="222">
        <v>6.0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212</v>
      </c>
      <c r="E51" s="214" t="s">
        <v>118</v>
      </c>
      <c r="F51" s="214" t="s">
        <v>124</v>
      </c>
      <c r="G51" s="215" t="s">
        <v>201</v>
      </c>
      <c r="H51" s="214" t="s">
        <v>116</v>
      </c>
      <c r="I51" s="214" t="s">
        <v>128</v>
      </c>
      <c r="J51" s="216">
        <v>2.0</v>
      </c>
      <c r="K51" s="217">
        <v>6.0</v>
      </c>
      <c r="L51" s="218">
        <f>IF(AND(J51&gt;K51,J52&gt;K52),2,IF(J51&gt;K51,1,IF(J52&gt;K52,1,0)))</f>
        <v>0</v>
      </c>
      <c r="M51" s="218">
        <f>IF(AND(K51&gt;J51,K52&gt;J52),2,IF(K51&gt;J51,1,IF(K52&gt;J52,1,0)))</f>
        <v>2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207</v>
      </c>
      <c r="E54" s="214" t="s">
        <v>61</v>
      </c>
      <c r="F54" s="214" t="s">
        <v>72</v>
      </c>
      <c r="G54" s="215" t="s">
        <v>201</v>
      </c>
      <c r="H54" s="214" t="s">
        <v>59</v>
      </c>
      <c r="I54" s="214" t="s">
        <v>66</v>
      </c>
      <c r="J54" s="216">
        <v>1.0</v>
      </c>
      <c r="K54" s="217">
        <v>6.0</v>
      </c>
      <c r="L54" s="218">
        <f>IF(AND(J54&gt;K54,J55&gt;K55),2,IF(J54&gt;K54,1,IF(J55&gt;K55,1,0)))</f>
        <v>0</v>
      </c>
      <c r="M54" s="218">
        <f>IF(AND(K54&gt;J54,K55&gt;J55),2,IF(K54&gt;J54,1,IF(K55&gt;J55,1,0)))</f>
        <v>2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4.0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 t="s">
        <v>208</v>
      </c>
      <c r="D57" s="233"/>
      <c r="E57" s="218"/>
      <c r="F57" s="218"/>
      <c r="G57" s="215" t="s">
        <v>201</v>
      </c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313</v>
      </c>
      <c r="D60" s="24"/>
      <c r="E60" s="24"/>
      <c r="F60" s="24"/>
      <c r="G60" s="24"/>
      <c r="H60" s="24"/>
      <c r="I60" s="208"/>
      <c r="J60" s="226">
        <f t="shared" ref="J60:M60" si="4">SUM(J48:J58)</f>
        <v>9</v>
      </c>
      <c r="K60" s="227">
        <f t="shared" si="4"/>
        <v>36</v>
      </c>
      <c r="L60" s="226">
        <f t="shared" si="4"/>
        <v>0</v>
      </c>
      <c r="M60" s="228">
        <f t="shared" si="4"/>
        <v>6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71" t="s">
        <v>316</v>
      </c>
      <c r="D63" s="213" t="s">
        <v>215</v>
      </c>
      <c r="E63" s="214" t="s">
        <v>79</v>
      </c>
      <c r="F63" s="214" t="s">
        <v>93</v>
      </c>
      <c r="G63" s="215" t="s">
        <v>201</v>
      </c>
      <c r="H63" s="214" t="s">
        <v>77</v>
      </c>
      <c r="I63" s="214" t="s">
        <v>91</v>
      </c>
      <c r="J63" s="216">
        <v>6.0</v>
      </c>
      <c r="K63" s="217">
        <v>4.0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240</v>
      </c>
      <c r="D66" s="213" t="s">
        <v>220</v>
      </c>
      <c r="E66" s="214" t="s">
        <v>142</v>
      </c>
      <c r="F66" s="214" t="s">
        <v>147</v>
      </c>
      <c r="G66" s="215" t="s">
        <v>201</v>
      </c>
      <c r="H66" s="214" t="s">
        <v>317</v>
      </c>
      <c r="I66" s="214" t="s">
        <v>237</v>
      </c>
      <c r="J66" s="216">
        <v>3.0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5.0</v>
      </c>
      <c r="K67" s="222">
        <v>7.0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12" t="s">
        <v>240</v>
      </c>
      <c r="D69" s="213" t="s">
        <v>205</v>
      </c>
      <c r="E69" s="214" t="s">
        <v>100</v>
      </c>
      <c r="F69" s="214" t="s">
        <v>112</v>
      </c>
      <c r="G69" s="215" t="s">
        <v>201</v>
      </c>
      <c r="H69" s="214" t="s">
        <v>98</v>
      </c>
      <c r="I69" s="214" t="s">
        <v>104</v>
      </c>
      <c r="J69" s="216">
        <v>7.0</v>
      </c>
      <c r="K69" s="217">
        <v>6.0</v>
      </c>
      <c r="L69" s="218">
        <f>IF(AND(J69&gt;K69,J70&gt;K70),2,IF(J69&gt;K69,1,IF(J70&gt;K70,1,0)))</f>
        <v>2</v>
      </c>
      <c r="M69" s="218">
        <f>IF(AND(K69&gt;J69,K70&gt;J70),2,IF(K69&gt;J69,1,IF(K70&gt;J70,1,0)))</f>
        <v>0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7.0</v>
      </c>
      <c r="K70" s="222">
        <v>5.0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12" t="s">
        <v>204</v>
      </c>
      <c r="D72" s="245" t="s">
        <v>217</v>
      </c>
      <c r="E72" s="214" t="s">
        <v>41</v>
      </c>
      <c r="F72" s="214" t="s">
        <v>55</v>
      </c>
      <c r="G72" s="215" t="s">
        <v>201</v>
      </c>
      <c r="H72" s="214" t="s">
        <v>39</v>
      </c>
      <c r="I72" s="214" t="s">
        <v>46</v>
      </c>
      <c r="J72" s="216">
        <v>0.0</v>
      </c>
      <c r="K72" s="217">
        <v>6.0</v>
      </c>
      <c r="L72" s="218">
        <f>IF(AND(J72&gt;K72,J73&gt;K73),2,IF(J72&gt;K72,1,IF(J73&gt;K73,1,0)))</f>
        <v>1</v>
      </c>
      <c r="M72" s="218">
        <f>IF(AND(K72&gt;J72,K73&gt;J73),2,IF(K72&gt;J72,1,IF(K73&gt;J73,1,0)))</f>
        <v>1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7.0</v>
      </c>
      <c r="K73" s="222">
        <v>5.0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314</v>
      </c>
      <c r="D75" s="24"/>
      <c r="E75" s="24"/>
      <c r="F75" s="24"/>
      <c r="G75" s="24"/>
      <c r="H75" s="24"/>
      <c r="I75" s="208"/>
      <c r="J75" s="226">
        <f t="shared" ref="J75:M75" si="5">SUM(J63:J73)</f>
        <v>37</v>
      </c>
      <c r="K75" s="227">
        <f t="shared" si="5"/>
        <v>45</v>
      </c>
      <c r="L75" s="226">
        <f t="shared" si="5"/>
        <v>4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315</v>
      </c>
      <c r="D77" s="24"/>
      <c r="E77" s="24"/>
      <c r="F77" s="24"/>
      <c r="G77" s="24"/>
      <c r="H77" s="24"/>
      <c r="I77" s="208"/>
      <c r="J77" s="239">
        <f t="shared" ref="J77:M77" si="6">J75+J60</f>
        <v>46</v>
      </c>
      <c r="K77" s="240">
        <f t="shared" si="6"/>
        <v>81</v>
      </c>
      <c r="L77" s="241">
        <f t="shared" si="6"/>
        <v>4</v>
      </c>
      <c r="M77" s="242">
        <f t="shared" si="6"/>
        <v>10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180</v>
      </c>
      <c r="F81" s="208"/>
      <c r="G81" s="206"/>
      <c r="H81" s="207" t="s">
        <v>186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220</v>
      </c>
      <c r="E83" s="214" t="s">
        <v>139</v>
      </c>
      <c r="F83" s="214" t="s">
        <v>9</v>
      </c>
      <c r="G83" s="215" t="s">
        <v>201</v>
      </c>
      <c r="H83" s="214" t="s">
        <v>137</v>
      </c>
      <c r="I83" s="214" t="s">
        <v>148</v>
      </c>
      <c r="J83" s="216">
        <v>3.0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3.0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207</v>
      </c>
      <c r="E86" s="214" t="s">
        <v>71</v>
      </c>
      <c r="F86" s="214" t="s">
        <v>58</v>
      </c>
      <c r="G86" s="215" t="s">
        <v>201</v>
      </c>
      <c r="H86" s="214" t="s">
        <v>62</v>
      </c>
      <c r="I86" s="214" t="s">
        <v>68</v>
      </c>
      <c r="J86" s="216">
        <v>6.0</v>
      </c>
      <c r="K86" s="217">
        <v>4.0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2.0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206</v>
      </c>
      <c r="D89" s="213" t="s">
        <v>212</v>
      </c>
      <c r="E89" s="214" t="s">
        <v>115</v>
      </c>
      <c r="F89" s="214" t="s">
        <v>127</v>
      </c>
      <c r="G89" s="215" t="s">
        <v>201</v>
      </c>
      <c r="H89" s="214" t="s">
        <v>119</v>
      </c>
      <c r="I89" s="214" t="s">
        <v>125</v>
      </c>
      <c r="J89" s="216">
        <v>6.0</v>
      </c>
      <c r="K89" s="217">
        <v>2.0</v>
      </c>
      <c r="L89" s="218">
        <f>IF(AND(J89&gt;K89,J90&gt;K90),2,IF(J89&gt;K89,1,IF(J90&gt;K90,1,0)))</f>
        <v>1</v>
      </c>
      <c r="M89" s="218">
        <f>IF(AND(K89&gt;J89,K90&gt;J90),2,IF(K89&gt;J89,1,IF(K90&gt;J90,1,0)))</f>
        <v>1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6.0</v>
      </c>
      <c r="K90" s="222">
        <v>7.0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/>
      <c r="D92" s="233"/>
      <c r="E92" s="218"/>
      <c r="F92" s="218"/>
      <c r="G92" s="215"/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313</v>
      </c>
      <c r="D95" s="24"/>
      <c r="E95" s="24"/>
      <c r="F95" s="24"/>
      <c r="G95" s="24"/>
      <c r="H95" s="24"/>
      <c r="I95" s="208"/>
      <c r="J95" s="226">
        <f t="shared" ref="J95:M95" si="7">SUM(J83:J93)</f>
        <v>26</v>
      </c>
      <c r="K95" s="227">
        <f t="shared" si="7"/>
        <v>31</v>
      </c>
      <c r="L95" s="226">
        <f t="shared" si="7"/>
        <v>2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12" t="s">
        <v>226</v>
      </c>
      <c r="D98" s="213" t="s">
        <v>209</v>
      </c>
      <c r="E98" s="214" t="s">
        <v>318</v>
      </c>
      <c r="F98" s="214" t="s">
        <v>31</v>
      </c>
      <c r="G98" s="215" t="s">
        <v>201</v>
      </c>
      <c r="H98" s="214" t="s">
        <v>28</v>
      </c>
      <c r="I98" s="214" t="s">
        <v>319</v>
      </c>
      <c r="J98" s="216">
        <v>4.0</v>
      </c>
      <c r="K98" s="217">
        <v>6.0</v>
      </c>
      <c r="L98" s="218">
        <f>IF(AND(J98&gt;K98,J99&gt;K99),2,IF(J98&gt;K98,1,IF(J99&gt;K99,1,0)))</f>
        <v>0</v>
      </c>
      <c r="M98" s="218">
        <f>IF(AND(K98&gt;J98,K99&gt;J99),2,IF(K98&gt;J98,1,IF(K99&gt;J99,1,0)))</f>
        <v>2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3.0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240</v>
      </c>
      <c r="D101" s="213" t="s">
        <v>205</v>
      </c>
      <c r="E101" s="214" t="s">
        <v>103</v>
      </c>
      <c r="F101" s="214" t="s">
        <v>109</v>
      </c>
      <c r="G101" s="215" t="s">
        <v>201</v>
      </c>
      <c r="H101" s="214" t="s">
        <v>107</v>
      </c>
      <c r="I101" s="214" t="s">
        <v>113</v>
      </c>
      <c r="J101" s="216">
        <v>2.0</v>
      </c>
      <c r="K101" s="217">
        <v>6.0</v>
      </c>
      <c r="L101" s="218">
        <f>IF(AND(J101&gt;K101,J102&gt;K102),2,IF(J101&gt;K101,1,IF(J102&gt;K102,1,0)))</f>
        <v>0</v>
      </c>
      <c r="M101" s="218">
        <f>IF(AND(K101&gt;J101,K102&gt;J102),2,IF(K101&gt;J101,1,IF(K102&gt;J102,1,0)))</f>
        <v>2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1.0</v>
      </c>
      <c r="K102" s="222">
        <v>6.0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12" t="s">
        <v>204</v>
      </c>
      <c r="D104" s="213" t="s">
        <v>217</v>
      </c>
      <c r="E104" s="214" t="s">
        <v>45</v>
      </c>
      <c r="F104" s="214" t="s">
        <v>52</v>
      </c>
      <c r="G104" s="215" t="s">
        <v>201</v>
      </c>
      <c r="H104" s="214" t="s">
        <v>42</v>
      </c>
      <c r="I104" s="214" t="s">
        <v>13</v>
      </c>
      <c r="J104" s="216">
        <v>6.0</v>
      </c>
      <c r="K104" s="217">
        <v>7.0</v>
      </c>
      <c r="L104" s="218">
        <f>IF(AND(J104&gt;K104,J105&gt;K105),2,IF(J104&gt;K104,1,IF(J105&gt;K105,1,0)))</f>
        <v>0</v>
      </c>
      <c r="M104" s="218">
        <f>IF(AND(K104&gt;J104,K105&gt;J105),2,IF(K104&gt;J104,1,IF(K105&gt;J105,1,0)))</f>
        <v>2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3.0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 t="s">
        <v>204</v>
      </c>
      <c r="D107" s="245" t="s">
        <v>215</v>
      </c>
      <c r="E107" s="214" t="s">
        <v>76</v>
      </c>
      <c r="F107" s="214" t="s">
        <v>83</v>
      </c>
      <c r="G107" s="215" t="s">
        <v>201</v>
      </c>
      <c r="H107" s="214" t="s">
        <v>80</v>
      </c>
      <c r="I107" s="214" t="s">
        <v>94</v>
      </c>
      <c r="J107" s="216">
        <v>6.0</v>
      </c>
      <c r="K107" s="217">
        <v>4.0</v>
      </c>
      <c r="L107" s="218">
        <f>IF(AND(J107&gt;K107,J108&gt;K108),2,IF(J107&gt;K107,1,IF(J108&gt;K108,1,0)))</f>
        <v>2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7.0</v>
      </c>
      <c r="K108" s="222">
        <v>5.0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314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32</v>
      </c>
      <c r="K110" s="227">
        <f t="shared" si="8"/>
        <v>46</v>
      </c>
      <c r="L110" s="226">
        <f t="shared" si="8"/>
        <v>2</v>
      </c>
      <c r="M110" s="228">
        <f t="shared" si="8"/>
        <v>6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315</v>
      </c>
      <c r="D112" s="24"/>
      <c r="E112" s="24"/>
      <c r="F112" s="24"/>
      <c r="G112" s="24"/>
      <c r="H112" s="24"/>
      <c r="I112" s="208"/>
      <c r="J112" s="239">
        <f t="shared" ref="J112:M112" si="9">J110+J95</f>
        <v>58</v>
      </c>
      <c r="K112" s="240">
        <f t="shared" si="9"/>
        <v>77</v>
      </c>
      <c r="L112" s="241">
        <f t="shared" si="9"/>
        <v>4</v>
      </c>
      <c r="M112" s="242">
        <f t="shared" si="9"/>
        <v>10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197" t="s">
        <v>320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248</v>
      </c>
      <c r="F11" s="208"/>
      <c r="G11" s="206" t="s">
        <v>201</v>
      </c>
      <c r="H11" s="207" t="s">
        <v>245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12" t="s">
        <v>204</v>
      </c>
      <c r="D13" s="213" t="s">
        <v>217</v>
      </c>
      <c r="E13" s="214" t="s">
        <v>41</v>
      </c>
      <c r="F13" s="214" t="s">
        <v>48</v>
      </c>
      <c r="G13" s="215" t="s">
        <v>201</v>
      </c>
      <c r="H13" s="214" t="s">
        <v>43</v>
      </c>
      <c r="I13" s="214" t="s">
        <v>50</v>
      </c>
      <c r="J13" s="216">
        <v>6.0</v>
      </c>
      <c r="K13" s="217">
        <v>3.0</v>
      </c>
      <c r="L13" s="218">
        <f>IF(AND(J13&gt;K13,J14&gt;K14),2,IF(J13&gt;K13,1,IF(J14&gt;K14,1,0)))</f>
        <v>1</v>
      </c>
      <c r="M13" s="218">
        <f>IF(AND(K13&gt;J13,K14&gt;J14),2,IF(K13&gt;J13,1,IF(K14&gt;J14,1,0)))</f>
        <v>1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1.0</v>
      </c>
      <c r="K14" s="222">
        <v>6.0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2" t="s">
        <v>206</v>
      </c>
      <c r="D16" s="213" t="s">
        <v>205</v>
      </c>
      <c r="E16" s="214" t="s">
        <v>100</v>
      </c>
      <c r="F16" s="214" t="s">
        <v>106</v>
      </c>
      <c r="G16" s="215" t="s">
        <v>201</v>
      </c>
      <c r="H16" s="214" t="s">
        <v>102</v>
      </c>
      <c r="I16" s="214" t="s">
        <v>114</v>
      </c>
      <c r="J16" s="216">
        <v>5.0</v>
      </c>
      <c r="K16" s="217">
        <v>7.0</v>
      </c>
      <c r="L16" s="218">
        <f>IF(AND(J16&gt;K16,J17&gt;K17),2,IF(J16&gt;K16,1,IF(J17&gt;K17,1,0)))</f>
        <v>1</v>
      </c>
      <c r="M16" s="218">
        <f>IF(AND(K16&gt;J16,K17&gt;J17),2,IF(K16&gt;J16,1,IF(K17&gt;J17,1,0)))</f>
        <v>1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7.0</v>
      </c>
      <c r="K17" s="222">
        <v>5.0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206</v>
      </c>
      <c r="D19" s="213" t="s">
        <v>209</v>
      </c>
      <c r="E19" s="214" t="s">
        <v>20</v>
      </c>
      <c r="F19" s="214" t="s">
        <v>27</v>
      </c>
      <c r="G19" s="215" t="s">
        <v>201</v>
      </c>
      <c r="H19" s="214" t="s">
        <v>22</v>
      </c>
      <c r="I19" s="214" t="s">
        <v>36</v>
      </c>
      <c r="J19" s="216">
        <v>3.0</v>
      </c>
      <c r="K19" s="217">
        <v>6.0</v>
      </c>
      <c r="L19" s="218">
        <f>IF(AND(J19&gt;K19,J20&gt;K20),2,IF(J19&gt;K19,1,IF(J20&gt;K20,1,0)))</f>
        <v>1</v>
      </c>
      <c r="M19" s="218">
        <f>IF(AND(K19&gt;J19,K20&gt;J20),2,IF(K19&gt;J19,1,IF(K20&gt;J20,1,0)))</f>
        <v>1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5.0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208</v>
      </c>
      <c r="D22" s="233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321</v>
      </c>
      <c r="D25" s="24"/>
      <c r="E25" s="24"/>
      <c r="F25" s="24"/>
      <c r="G25" s="24"/>
      <c r="H25" s="24"/>
      <c r="I25" s="208"/>
      <c r="J25" s="226">
        <f t="shared" ref="J25:M25" si="1">SUM(J13:J23)</f>
        <v>29</v>
      </c>
      <c r="K25" s="227">
        <f t="shared" si="1"/>
        <v>32</v>
      </c>
      <c r="L25" s="226">
        <f t="shared" si="1"/>
        <v>3</v>
      </c>
      <c r="M25" s="228">
        <f t="shared" si="1"/>
        <v>3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12" t="s">
        <v>214</v>
      </c>
      <c r="D28" s="213" t="s">
        <v>207</v>
      </c>
      <c r="E28" s="214" t="s">
        <v>61</v>
      </c>
      <c r="F28" s="214" t="s">
        <v>12</v>
      </c>
      <c r="G28" s="215" t="s">
        <v>201</v>
      </c>
      <c r="H28" s="214" t="s">
        <v>63</v>
      </c>
      <c r="I28" s="214" t="s">
        <v>74</v>
      </c>
      <c r="J28" s="216">
        <v>6.0</v>
      </c>
      <c r="K28" s="217">
        <v>1.0</v>
      </c>
      <c r="L28" s="218">
        <f>IF(AND(J28&gt;K28,J29&gt;K29),2,IF(J28&gt;K28,1,IF(J29&gt;K29,1,0)))</f>
        <v>2</v>
      </c>
      <c r="M28" s="218">
        <f>IF(AND(K28&gt;J28,K29&gt;J29),2,IF(K28&gt;J28,1,IF(K29&gt;J29,1,0)))</f>
        <v>0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7.0</v>
      </c>
      <c r="K29" s="222">
        <v>6.0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49" t="s">
        <v>216</v>
      </c>
      <c r="D31" s="213" t="s">
        <v>212</v>
      </c>
      <c r="E31" s="214" t="s">
        <v>118</v>
      </c>
      <c r="F31" s="214" t="s">
        <v>124</v>
      </c>
      <c r="G31" s="215" t="s">
        <v>201</v>
      </c>
      <c r="H31" s="214" t="s">
        <v>120</v>
      </c>
      <c r="I31" s="214" t="s">
        <v>132</v>
      </c>
      <c r="J31" s="216">
        <v>1.0</v>
      </c>
      <c r="K31" s="217">
        <v>6.0</v>
      </c>
      <c r="L31" s="218">
        <f>IF(AND(J31&gt;K31,J32&gt;K32),2,IF(J31&gt;K31,1,IF(J32&gt;K32,1,0)))</f>
        <v>0</v>
      </c>
      <c r="M31" s="218">
        <f>IF(AND(K31&gt;J31,K32&gt;J32),2,IF(K31&gt;J31,1,IF(K32&gt;J32,1,0)))</f>
        <v>2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20"/>
      <c r="D32" s="220"/>
      <c r="E32" s="220"/>
      <c r="F32" s="220"/>
      <c r="G32" s="220"/>
      <c r="H32" s="220"/>
      <c r="I32" s="220"/>
      <c r="J32" s="221">
        <v>0.0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12" t="s">
        <v>211</v>
      </c>
      <c r="D34" s="213" t="s">
        <v>215</v>
      </c>
      <c r="E34" s="214" t="s">
        <v>79</v>
      </c>
      <c r="F34" s="214" t="s">
        <v>86</v>
      </c>
      <c r="G34" s="215" t="s">
        <v>201</v>
      </c>
      <c r="H34" s="214" t="s">
        <v>81</v>
      </c>
      <c r="I34" s="214" t="s">
        <v>95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0.0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56" t="s">
        <v>226</v>
      </c>
      <c r="D37" s="245" t="s">
        <v>220</v>
      </c>
      <c r="E37" s="214" t="s">
        <v>136</v>
      </c>
      <c r="F37" s="214" t="s">
        <v>147</v>
      </c>
      <c r="G37" s="260" t="s">
        <v>201</v>
      </c>
      <c r="H37" s="214" t="s">
        <v>138</v>
      </c>
      <c r="I37" s="214" t="s">
        <v>144</v>
      </c>
      <c r="J37" s="216">
        <v>2.0</v>
      </c>
      <c r="K37" s="217">
        <v>6.0</v>
      </c>
      <c r="L37" s="218">
        <f>IF(AND(J37&gt;K37,J38&gt;K38),2,IF(J37&gt;K37,1,IF(J38&gt;K38,1,0)))</f>
        <v>1</v>
      </c>
      <c r="M37" s="218">
        <f>IF(AND(K37&gt;J37,K38&gt;J38),2,IF(K37&gt;J37,1,IF(K38&gt;J38,1,0)))</f>
        <v>1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3.0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322</v>
      </c>
      <c r="D40" s="24"/>
      <c r="E40" s="24"/>
      <c r="F40" s="24"/>
      <c r="G40" s="24"/>
      <c r="H40" s="24"/>
      <c r="I40" s="208"/>
      <c r="J40" s="226">
        <f t="shared" ref="J40:M40" si="2">SUM(J28:J38)</f>
        <v>26</v>
      </c>
      <c r="K40" s="227">
        <f t="shared" si="2"/>
        <v>40</v>
      </c>
      <c r="L40" s="226">
        <f t="shared" si="2"/>
        <v>3</v>
      </c>
      <c r="M40" s="228">
        <f t="shared" si="2"/>
        <v>5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323</v>
      </c>
      <c r="D42" s="24"/>
      <c r="E42" s="24"/>
      <c r="F42" s="24"/>
      <c r="G42" s="24"/>
      <c r="H42" s="24"/>
      <c r="I42" s="208"/>
      <c r="J42" s="239">
        <f t="shared" ref="J42:M42" si="3">J40+J25</f>
        <v>55</v>
      </c>
      <c r="K42" s="240">
        <f t="shared" si="3"/>
        <v>72</v>
      </c>
      <c r="L42" s="241">
        <f t="shared" si="3"/>
        <v>6</v>
      </c>
      <c r="M42" s="242">
        <f t="shared" si="3"/>
        <v>8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247</v>
      </c>
      <c r="F46" s="208"/>
      <c r="G46" s="206"/>
      <c r="H46" s="207" t="s">
        <v>235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12" t="s">
        <v>204</v>
      </c>
      <c r="D48" s="213" t="s">
        <v>215</v>
      </c>
      <c r="E48" s="214" t="s">
        <v>287</v>
      </c>
      <c r="F48" s="214" t="s">
        <v>92</v>
      </c>
      <c r="G48" s="215" t="s">
        <v>201</v>
      </c>
      <c r="H48" s="214" t="s">
        <v>80</v>
      </c>
      <c r="I48" s="214" t="s">
        <v>87</v>
      </c>
      <c r="J48" s="216">
        <v>5.0</v>
      </c>
      <c r="K48" s="217">
        <v>7.0</v>
      </c>
      <c r="L48" s="218">
        <f>IF(AND(J48&gt;K48,J49&gt;K49),2,IF(J48&gt;K48,1,IF(J49&gt;K49,1,0)))</f>
        <v>1</v>
      </c>
      <c r="M48" s="218">
        <f>IF(AND(K48&gt;J48,K49&gt;J49),2,IF(K48&gt;J48,1,IF(K49&gt;J49,1,0)))</f>
        <v>1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7.0</v>
      </c>
      <c r="K49" s="222">
        <v>5.0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12" t="s">
        <v>206</v>
      </c>
      <c r="D51" s="213" t="s">
        <v>209</v>
      </c>
      <c r="E51" s="214" t="s">
        <v>19</v>
      </c>
      <c r="F51" s="214" t="s">
        <v>33</v>
      </c>
      <c r="G51" s="215" t="s">
        <v>201</v>
      </c>
      <c r="H51" s="214" t="s">
        <v>28</v>
      </c>
      <c r="I51" s="214" t="s">
        <v>35</v>
      </c>
      <c r="J51" s="216">
        <v>6.0</v>
      </c>
      <c r="K51" s="217">
        <v>2.0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3.0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12" t="s">
        <v>208</v>
      </c>
      <c r="D54" s="213" t="s">
        <v>217</v>
      </c>
      <c r="E54" s="214" t="s">
        <v>40</v>
      </c>
      <c r="F54" s="214" t="s">
        <v>164</v>
      </c>
      <c r="G54" s="215" t="s">
        <v>201</v>
      </c>
      <c r="H54" s="214" t="s">
        <v>49</v>
      </c>
      <c r="I54" s="214" t="s">
        <v>13</v>
      </c>
      <c r="J54" s="216">
        <v>6.0</v>
      </c>
      <c r="K54" s="217">
        <v>4.0</v>
      </c>
      <c r="L54" s="218">
        <f>IF(AND(J54&gt;K54,J55&gt;K55),2,IF(J54&gt;K54,1,IF(J55&gt;K55,1,0)))</f>
        <v>2</v>
      </c>
      <c r="M54" s="218">
        <f>IF(AND(K54&gt;J54,K55&gt;J55),2,IF(K54&gt;J54,1,IF(K55&gt;J55,1,0)))</f>
        <v>0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6.0</v>
      </c>
      <c r="K55" s="222">
        <v>4.0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/>
      <c r="D57" s="233"/>
      <c r="E57" s="218"/>
      <c r="F57" s="218"/>
      <c r="G57" s="215" t="s">
        <v>201</v>
      </c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321</v>
      </c>
      <c r="D60" s="24"/>
      <c r="E60" s="24"/>
      <c r="F60" s="24"/>
      <c r="G60" s="24"/>
      <c r="H60" s="24"/>
      <c r="I60" s="208"/>
      <c r="J60" s="226">
        <f t="shared" ref="J60:M60" si="4">SUM(J48:J58)</f>
        <v>36</v>
      </c>
      <c r="K60" s="227">
        <f t="shared" si="4"/>
        <v>25</v>
      </c>
      <c r="L60" s="226">
        <f t="shared" si="4"/>
        <v>5</v>
      </c>
      <c r="M60" s="228">
        <f t="shared" si="4"/>
        <v>1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12" t="s">
        <v>226</v>
      </c>
      <c r="D63" s="213" t="s">
        <v>205</v>
      </c>
      <c r="E63" s="272" t="s">
        <v>105</v>
      </c>
      <c r="F63" s="272" t="s">
        <v>111</v>
      </c>
      <c r="G63" s="215" t="s">
        <v>201</v>
      </c>
      <c r="H63" s="214" t="s">
        <v>324</v>
      </c>
      <c r="I63" s="214" t="s">
        <v>107</v>
      </c>
      <c r="J63" s="216">
        <v>3.0</v>
      </c>
      <c r="K63" s="217">
        <v>6.0</v>
      </c>
      <c r="L63" s="218">
        <f>IF(AND(J63&gt;K63,J64&gt;K64),2,IF(J63&gt;K63,1,IF(J64&gt;K64,1,0)))</f>
        <v>0</v>
      </c>
      <c r="M63" s="218">
        <f>IF(AND(K63&gt;J63,K64&gt;J64),2,IF(K63&gt;J63,1,IF(K64&gt;J64,1,0)))</f>
        <v>2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12" t="s">
        <v>216</v>
      </c>
      <c r="D66" s="213" t="s">
        <v>207</v>
      </c>
      <c r="E66" s="214" t="s">
        <v>11</v>
      </c>
      <c r="F66" s="214" t="s">
        <v>67</v>
      </c>
      <c r="G66" s="215" t="s">
        <v>201</v>
      </c>
      <c r="H66" s="214" t="s">
        <v>62</v>
      </c>
      <c r="I66" s="214" t="s">
        <v>325</v>
      </c>
      <c r="J66" s="216">
        <v>2.0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1.0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216</v>
      </c>
      <c r="D69" s="213" t="s">
        <v>212</v>
      </c>
      <c r="E69" s="214" t="s">
        <v>117</v>
      </c>
      <c r="F69" s="214" t="s">
        <v>123</v>
      </c>
      <c r="G69" s="215" t="s">
        <v>201</v>
      </c>
      <c r="H69" s="214" t="s">
        <v>119</v>
      </c>
      <c r="I69" s="214" t="s">
        <v>131</v>
      </c>
      <c r="J69" s="216">
        <v>5.0</v>
      </c>
      <c r="K69" s="217">
        <v>7.0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6.0</v>
      </c>
      <c r="K70" s="222">
        <v>3.0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56" t="s">
        <v>211</v>
      </c>
      <c r="D72" s="245" t="s">
        <v>220</v>
      </c>
      <c r="E72" s="214" t="s">
        <v>141</v>
      </c>
      <c r="F72" s="214" t="s">
        <v>146</v>
      </c>
      <c r="G72" s="260" t="s">
        <v>201</v>
      </c>
      <c r="H72" s="214" t="s">
        <v>137</v>
      </c>
      <c r="I72" s="214" t="s">
        <v>143</v>
      </c>
      <c r="J72" s="216">
        <v>1.0</v>
      </c>
      <c r="K72" s="217">
        <v>6.0</v>
      </c>
      <c r="L72" s="218">
        <f>IF(AND(J72&gt;K72,J73&gt;K73),2,IF(J72&gt;K72,1,IF(J73&gt;K73,1,0)))</f>
        <v>0</v>
      </c>
      <c r="M72" s="218">
        <f>IF(AND(K72&gt;J72,K73&gt;J73),2,IF(K72&gt;J72,1,IF(K73&gt;J73,1,0)))</f>
        <v>2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4.0</v>
      </c>
      <c r="K73" s="222">
        <v>6.0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322</v>
      </c>
      <c r="D75" s="24"/>
      <c r="E75" s="24"/>
      <c r="F75" s="24"/>
      <c r="G75" s="24"/>
      <c r="H75" s="24"/>
      <c r="I75" s="208"/>
      <c r="J75" s="226">
        <f t="shared" ref="J75:M75" si="5">SUM(J63:J73)</f>
        <v>24</v>
      </c>
      <c r="K75" s="227">
        <f t="shared" si="5"/>
        <v>46</v>
      </c>
      <c r="L75" s="226">
        <f t="shared" si="5"/>
        <v>1</v>
      </c>
      <c r="M75" s="228">
        <f t="shared" si="5"/>
        <v>7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323</v>
      </c>
      <c r="D77" s="24"/>
      <c r="E77" s="24"/>
      <c r="F77" s="24"/>
      <c r="G77" s="24"/>
      <c r="H77" s="24"/>
      <c r="I77" s="208"/>
      <c r="J77" s="239">
        <f t="shared" ref="J77:M77" si="6">J75+J60</f>
        <v>60</v>
      </c>
      <c r="K77" s="240">
        <f t="shared" si="6"/>
        <v>71</v>
      </c>
      <c r="L77" s="241">
        <f t="shared" si="6"/>
        <v>6</v>
      </c>
      <c r="M77" s="242">
        <f t="shared" si="6"/>
        <v>8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244</v>
      </c>
      <c r="F81" s="208"/>
      <c r="G81" s="206" t="s">
        <v>201</v>
      </c>
      <c r="H81" s="207" t="s">
        <v>229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12" t="s">
        <v>204</v>
      </c>
      <c r="D83" s="213" t="s">
        <v>209</v>
      </c>
      <c r="E83" s="214" t="s">
        <v>17</v>
      </c>
      <c r="F83" s="214" t="s">
        <v>24</v>
      </c>
      <c r="G83" s="215" t="s">
        <v>201</v>
      </c>
      <c r="H83" s="214" t="s">
        <v>18</v>
      </c>
      <c r="I83" s="214" t="s">
        <v>326</v>
      </c>
      <c r="J83" s="216">
        <v>0.0</v>
      </c>
      <c r="K83" s="217">
        <v>6.0</v>
      </c>
      <c r="L83" s="218">
        <f>IF(AND(J83&gt;K83,J84&gt;K84),2,IF(J83&gt;K83,1,IF(J84&gt;K84,1,0)))</f>
        <v>1</v>
      </c>
      <c r="M83" s="218">
        <f>IF(AND(K83&gt;J83,K84&gt;J84),2,IF(K83&gt;J83,1,IF(K84&gt;J84,1,0)))</f>
        <v>1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6.0</v>
      </c>
      <c r="K84" s="222">
        <v>3.0</v>
      </c>
      <c r="L84" s="220"/>
      <c r="M84" s="220"/>
      <c r="N84" s="265" t="s">
        <v>327</v>
      </c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12" t="s">
        <v>206</v>
      </c>
      <c r="D86" s="213" t="s">
        <v>217</v>
      </c>
      <c r="E86" s="214" t="s">
        <v>38</v>
      </c>
      <c r="F86" s="214" t="s">
        <v>52</v>
      </c>
      <c r="G86" s="215" t="s">
        <v>201</v>
      </c>
      <c r="H86" s="214" t="s">
        <v>39</v>
      </c>
      <c r="I86" s="214" t="s">
        <v>53</v>
      </c>
      <c r="J86" s="216">
        <v>5.0</v>
      </c>
      <c r="K86" s="217">
        <v>7.0</v>
      </c>
      <c r="L86" s="218">
        <f>IF(AND(J86&gt;K86,J87&gt;K87),2,IF(J86&gt;K86,1,IF(J87&gt;K87,1,0)))</f>
        <v>1</v>
      </c>
      <c r="M86" s="218">
        <f>IF(AND(K86&gt;J86,K87&gt;J87),2,IF(K86&gt;J86,1,IF(K87&gt;J87,1,0)))</f>
        <v>1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6.0</v>
      </c>
      <c r="K87" s="222">
        <v>2.0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12" t="s">
        <v>208</v>
      </c>
      <c r="D89" s="213" t="s">
        <v>205</v>
      </c>
      <c r="E89" s="214" t="s">
        <v>97</v>
      </c>
      <c r="F89" s="214" t="s">
        <v>109</v>
      </c>
      <c r="G89" s="215" t="s">
        <v>201</v>
      </c>
      <c r="H89" s="214" t="s">
        <v>104</v>
      </c>
      <c r="I89" s="214" t="s">
        <v>110</v>
      </c>
      <c r="J89" s="216">
        <v>2.0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2.0</v>
      </c>
      <c r="K90" s="222">
        <v>6.0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56" t="s">
        <v>204</v>
      </c>
      <c r="D92" s="245" t="s">
        <v>220</v>
      </c>
      <c r="E92" s="214" t="s">
        <v>9</v>
      </c>
      <c r="F92" s="214" t="s">
        <v>139</v>
      </c>
      <c r="G92" s="215" t="s">
        <v>201</v>
      </c>
      <c r="H92" s="214" t="s">
        <v>328</v>
      </c>
      <c r="I92" s="214" t="s">
        <v>237</v>
      </c>
      <c r="J92" s="216">
        <v>3.0</v>
      </c>
      <c r="K92" s="217">
        <v>6.0</v>
      </c>
      <c r="L92" s="218">
        <f>IF(AND(J92&gt;K92,J93&gt;K93),2,IF(J92&gt;K92,1,IF(J93&gt;K93,1,0)))</f>
        <v>0</v>
      </c>
      <c r="M92" s="218">
        <f>IF(AND(K92&gt;J92,K93&gt;J93),2,IF(K92&gt;J92,1,IF(K93&gt;J93,1,0)))</f>
        <v>2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21">
        <v>4.0</v>
      </c>
      <c r="K93" s="222">
        <v>6.0</v>
      </c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321</v>
      </c>
      <c r="D95" s="24"/>
      <c r="E95" s="24"/>
      <c r="F95" s="24"/>
      <c r="G95" s="24"/>
      <c r="H95" s="24"/>
      <c r="I95" s="208"/>
      <c r="J95" s="226">
        <f t="shared" ref="J95:M95" si="7">SUM(J83:J93)</f>
        <v>28</v>
      </c>
      <c r="K95" s="227">
        <f t="shared" si="7"/>
        <v>42</v>
      </c>
      <c r="L95" s="226">
        <f t="shared" si="7"/>
        <v>2</v>
      </c>
      <c r="M95" s="228">
        <f t="shared" si="7"/>
        <v>6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206</v>
      </c>
      <c r="D98" s="213" t="s">
        <v>207</v>
      </c>
      <c r="E98" s="214" t="s">
        <v>71</v>
      </c>
      <c r="F98" s="214" t="s">
        <v>65</v>
      </c>
      <c r="G98" s="215" t="s">
        <v>201</v>
      </c>
      <c r="H98" s="214" t="s">
        <v>59</v>
      </c>
      <c r="I98" s="214" t="s">
        <v>10</v>
      </c>
      <c r="J98" s="216">
        <v>7.0</v>
      </c>
      <c r="K98" s="217">
        <v>6.0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0.0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12" t="s">
        <v>216</v>
      </c>
      <c r="D101" s="213" t="s">
        <v>215</v>
      </c>
      <c r="E101" s="214" t="s">
        <v>90</v>
      </c>
      <c r="F101" s="214" t="s">
        <v>83</v>
      </c>
      <c r="G101" s="215" t="s">
        <v>201</v>
      </c>
      <c r="H101" s="214" t="s">
        <v>84</v>
      </c>
      <c r="I101" s="214" t="s">
        <v>91</v>
      </c>
      <c r="J101" s="216">
        <v>6.0</v>
      </c>
      <c r="K101" s="217">
        <v>3.0</v>
      </c>
      <c r="L101" s="218">
        <f>IF(AND(J101&gt;K101,J102&gt;K102),2,IF(J101&gt;K101,1,IF(J102&gt;K102,1,0)))</f>
        <v>2</v>
      </c>
      <c r="M101" s="218">
        <f>IF(AND(K101&gt;J101,K102&gt;J102),2,IF(K101&gt;J101,1,IF(K102&gt;J102,1,0)))</f>
        <v>0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7.0</v>
      </c>
      <c r="K102" s="222">
        <v>5.0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214</v>
      </c>
      <c r="D104" s="213" t="s">
        <v>212</v>
      </c>
      <c r="E104" s="214" t="s">
        <v>115</v>
      </c>
      <c r="F104" s="214" t="s">
        <v>121</v>
      </c>
      <c r="G104" s="215" t="s">
        <v>201</v>
      </c>
      <c r="H104" s="214" t="s">
        <v>116</v>
      </c>
      <c r="I104" s="214" t="s">
        <v>122</v>
      </c>
      <c r="J104" s="216">
        <v>4.0</v>
      </c>
      <c r="K104" s="217">
        <v>6.0</v>
      </c>
      <c r="L104" s="218">
        <f>IF(AND(J104&gt;K104,J105&gt;K105),2,IF(J104&gt;K104,1,IF(J105&gt;K105,1,0)))</f>
        <v>0</v>
      </c>
      <c r="M104" s="218">
        <f>IF(AND(K104&gt;J104,K105&gt;J105),2,IF(K104&gt;J104,1,IF(K105&gt;J105,1,0)))</f>
        <v>2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2.0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12"/>
      <c r="D107" s="233"/>
      <c r="E107" s="218"/>
      <c r="F107" s="218"/>
      <c r="G107" s="215"/>
      <c r="H107" s="218"/>
      <c r="I107" s="218"/>
      <c r="J107" s="234"/>
      <c r="K107" s="235"/>
      <c r="L107" s="218">
        <f>IF(AND(J107&gt;K107,J108&gt;K108),2,IF(J107&gt;K107,1,IF(J108&gt;K108,1,0)))</f>
        <v>0</v>
      </c>
      <c r="M107" s="218">
        <f>IF(AND(K107&gt;J107,K108&gt;J108),2,IF(K107&gt;J107,1,IF(K108&gt;J108,1,0)))</f>
        <v>0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36"/>
      <c r="K108" s="237"/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322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26</v>
      </c>
      <c r="K110" s="227">
        <f t="shared" si="8"/>
        <v>32</v>
      </c>
      <c r="L110" s="226">
        <f t="shared" si="8"/>
        <v>3</v>
      </c>
      <c r="M110" s="228">
        <f t="shared" si="8"/>
        <v>3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323</v>
      </c>
      <c r="D112" s="24"/>
      <c r="E112" s="24"/>
      <c r="F112" s="24"/>
      <c r="G112" s="24"/>
      <c r="H112" s="24"/>
      <c r="I112" s="208"/>
      <c r="J112" s="239">
        <f t="shared" ref="J112:M112" si="9">J110+J95</f>
        <v>54</v>
      </c>
      <c r="K112" s="240">
        <f t="shared" si="9"/>
        <v>74</v>
      </c>
      <c r="L112" s="241">
        <f t="shared" si="9"/>
        <v>5</v>
      </c>
      <c r="M112" s="242">
        <f t="shared" si="9"/>
        <v>9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9" t="s">
        <v>329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4.5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180</v>
      </c>
      <c r="F11" s="208"/>
      <c r="G11" s="206" t="s">
        <v>201</v>
      </c>
      <c r="H11" s="207" t="s">
        <v>225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2.75" customHeight="1">
      <c r="A12" s="195"/>
      <c r="B12" s="195"/>
      <c r="C12" s="211"/>
      <c r="M12" s="116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3.5" customHeight="1">
      <c r="A13" s="195"/>
      <c r="B13" s="195"/>
      <c r="C13" s="256" t="s">
        <v>226</v>
      </c>
      <c r="D13" s="213" t="s">
        <v>205</v>
      </c>
      <c r="E13" s="214" t="s">
        <v>97</v>
      </c>
      <c r="F13" s="214" t="s">
        <v>103</v>
      </c>
      <c r="G13" s="215" t="s">
        <v>201</v>
      </c>
      <c r="H13" s="214" t="s">
        <v>100</v>
      </c>
      <c r="I13" s="214" t="s">
        <v>112</v>
      </c>
      <c r="J13" s="216">
        <v>3.0</v>
      </c>
      <c r="K13" s="217">
        <v>6.0</v>
      </c>
      <c r="L13" s="218">
        <f>IF(AND(J13&gt;K13,J14&gt;K14),2,IF(J13&gt;K13,1,IF(J14&gt;K14,1,0)))</f>
        <v>0</v>
      </c>
      <c r="M13" s="218">
        <f>IF(AND(K13&gt;J13,K14&gt;J14),2,IF(K13&gt;J13,1,IF(K14&gt;J14,1,0)))</f>
        <v>2</v>
      </c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12.75" customHeight="1">
      <c r="A14" s="195"/>
      <c r="B14" s="195"/>
      <c r="C14" s="219"/>
      <c r="D14" s="220"/>
      <c r="E14" s="220"/>
      <c r="F14" s="220"/>
      <c r="G14" s="220"/>
      <c r="H14" s="220"/>
      <c r="I14" s="220"/>
      <c r="J14" s="221">
        <v>3.0</v>
      </c>
      <c r="K14" s="222">
        <v>6.0</v>
      </c>
      <c r="L14" s="220"/>
      <c r="M14" s="22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4.5" customHeight="1">
      <c r="A15" s="195"/>
      <c r="B15" s="195"/>
      <c r="C15" s="223"/>
      <c r="D15" s="24"/>
      <c r="E15" s="24"/>
      <c r="F15" s="24"/>
      <c r="G15" s="24"/>
      <c r="H15" s="24"/>
      <c r="I15" s="24"/>
      <c r="J15" s="24"/>
      <c r="K15" s="24"/>
      <c r="L15" s="24"/>
      <c r="M15" s="210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56" t="s">
        <v>240</v>
      </c>
      <c r="D16" s="213" t="s">
        <v>209</v>
      </c>
      <c r="E16" s="214" t="s">
        <v>17</v>
      </c>
      <c r="F16" s="214" t="s">
        <v>330</v>
      </c>
      <c r="G16" s="215" t="s">
        <v>201</v>
      </c>
      <c r="H16" s="214" t="s">
        <v>20</v>
      </c>
      <c r="I16" s="214" t="s">
        <v>331</v>
      </c>
      <c r="J16" s="216">
        <v>6.0</v>
      </c>
      <c r="K16" s="217">
        <v>4.0</v>
      </c>
      <c r="L16" s="218">
        <f>IF(AND(J16&gt;K16,J17&gt;K17),2,IF(J16&gt;K16,1,IF(J17&gt;K17,1,0)))</f>
        <v>2</v>
      </c>
      <c r="M16" s="218">
        <f>IF(AND(K16&gt;J16,K17&gt;J17),2,IF(K16&gt;J16,1,IF(K17&gt;J17,1,0)))</f>
        <v>0</v>
      </c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12.75" customHeight="1">
      <c r="A17" s="195"/>
      <c r="B17" s="195"/>
      <c r="C17" s="219"/>
      <c r="D17" s="220"/>
      <c r="E17" s="220"/>
      <c r="F17" s="220"/>
      <c r="G17" s="220"/>
      <c r="H17" s="220"/>
      <c r="I17" s="220"/>
      <c r="J17" s="221">
        <v>7.0</v>
      </c>
      <c r="K17" s="222">
        <v>6.0</v>
      </c>
      <c r="L17" s="220"/>
      <c r="M17" s="22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4.5" customHeight="1">
      <c r="A18" s="195"/>
      <c r="B18" s="195"/>
      <c r="C18" s="224"/>
      <c r="D18" s="24"/>
      <c r="E18" s="24"/>
      <c r="F18" s="24"/>
      <c r="G18" s="24"/>
      <c r="H18" s="24"/>
      <c r="I18" s="24"/>
      <c r="J18" s="24"/>
      <c r="K18" s="24"/>
      <c r="L18" s="24"/>
      <c r="M18" s="210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56" t="s">
        <v>204</v>
      </c>
      <c r="D19" s="213" t="s">
        <v>215</v>
      </c>
      <c r="E19" s="214" t="s">
        <v>76</v>
      </c>
      <c r="F19" s="214" t="s">
        <v>83</v>
      </c>
      <c r="G19" s="215" t="s">
        <v>201</v>
      </c>
      <c r="H19" s="214" t="s">
        <v>79</v>
      </c>
      <c r="I19" s="214" t="s">
        <v>93</v>
      </c>
      <c r="J19" s="216">
        <v>6.0</v>
      </c>
      <c r="K19" s="217">
        <v>4.0</v>
      </c>
      <c r="L19" s="218">
        <f>IF(AND(J19&gt;K19,J20&gt;K20),2,IF(J19&gt;K19,1,IF(J20&gt;K20,1,0)))</f>
        <v>2</v>
      </c>
      <c r="M19" s="218">
        <f>IF(AND(K19&gt;J19,K20&gt;J20),2,IF(K19&gt;J19,1,IF(K20&gt;J20,1,0)))</f>
        <v>0</v>
      </c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12.75" customHeight="1">
      <c r="A20" s="195"/>
      <c r="B20" s="195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1.0</v>
      </c>
      <c r="L20" s="220"/>
      <c r="M20" s="22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4.5" customHeight="1">
      <c r="A21" s="195"/>
      <c r="B21" s="195"/>
      <c r="C21" s="224"/>
      <c r="D21" s="24"/>
      <c r="E21" s="24"/>
      <c r="F21" s="24"/>
      <c r="G21" s="24"/>
      <c r="H21" s="24"/>
      <c r="I21" s="24"/>
      <c r="J21" s="24"/>
      <c r="K21" s="24"/>
      <c r="L21" s="24"/>
      <c r="M21" s="210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12.75" customHeight="1">
      <c r="A22" s="195"/>
      <c r="B22" s="195"/>
      <c r="C22" s="212" t="s">
        <v>206</v>
      </c>
      <c r="D22" s="233"/>
      <c r="E22" s="218"/>
      <c r="F22" s="218"/>
      <c r="G22" s="215" t="s">
        <v>201</v>
      </c>
      <c r="H22" s="218"/>
      <c r="I22" s="218"/>
      <c r="J22" s="234"/>
      <c r="K22" s="235"/>
      <c r="L22" s="218">
        <f>IF(AND(J22&gt;K22,J23&gt;K23),2,IF(J22&gt;K22,1,IF(J23&gt;K23,1,0)))</f>
        <v>0</v>
      </c>
      <c r="M22" s="218">
        <f>IF(AND(K22&gt;J22,K23&gt;J23),2,IF(K22&gt;J22,1,IF(K23&gt;J23,1,0)))</f>
        <v>0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19"/>
      <c r="D23" s="220"/>
      <c r="E23" s="220"/>
      <c r="F23" s="220"/>
      <c r="G23" s="220"/>
      <c r="H23" s="220"/>
      <c r="I23" s="220"/>
      <c r="J23" s="236"/>
      <c r="K23" s="237"/>
      <c r="L23" s="220"/>
      <c r="M23" s="220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4.5" customHeight="1">
      <c r="A24" s="195"/>
      <c r="B24" s="195"/>
      <c r="C24" s="224"/>
      <c r="D24" s="24"/>
      <c r="E24" s="24"/>
      <c r="F24" s="24"/>
      <c r="G24" s="24"/>
      <c r="H24" s="24"/>
      <c r="I24" s="24"/>
      <c r="J24" s="24"/>
      <c r="K24" s="24"/>
      <c r="L24" s="24"/>
      <c r="M24" s="21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12.75" customHeight="1">
      <c r="A25" s="195"/>
      <c r="B25" s="195"/>
      <c r="C25" s="225" t="s">
        <v>332</v>
      </c>
      <c r="D25" s="24"/>
      <c r="E25" s="24"/>
      <c r="F25" s="24"/>
      <c r="G25" s="24"/>
      <c r="H25" s="24"/>
      <c r="I25" s="208"/>
      <c r="J25" s="226">
        <f t="shared" ref="J25:M25" si="1">SUM(J13:J23)</f>
        <v>31</v>
      </c>
      <c r="K25" s="227">
        <f t="shared" si="1"/>
        <v>27</v>
      </c>
      <c r="L25" s="226">
        <f t="shared" si="1"/>
        <v>4</v>
      </c>
      <c r="M25" s="228">
        <f t="shared" si="1"/>
        <v>2</v>
      </c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195"/>
      <c r="B26" s="195"/>
      <c r="C26" s="229"/>
      <c r="D26" s="24"/>
      <c r="E26" s="24"/>
      <c r="F26" s="24"/>
      <c r="G26" s="24"/>
      <c r="H26" s="24"/>
      <c r="I26" s="24"/>
      <c r="J26" s="24"/>
      <c r="K26" s="24"/>
      <c r="L26" s="24"/>
      <c r="M26" s="210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195"/>
      <c r="B27" s="195"/>
      <c r="C27" s="230"/>
      <c r="D27" s="24"/>
      <c r="E27" s="24"/>
      <c r="F27" s="24"/>
      <c r="G27" s="24"/>
      <c r="H27" s="24"/>
      <c r="I27" s="24"/>
      <c r="J27" s="24"/>
      <c r="K27" s="24"/>
      <c r="L27" s="24"/>
      <c r="M27" s="210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12.75" customHeight="1">
      <c r="A28" s="195"/>
      <c r="B28" s="195"/>
      <c r="C28" s="256" t="s">
        <v>211</v>
      </c>
      <c r="D28" s="213" t="s">
        <v>212</v>
      </c>
      <c r="E28" s="214" t="s">
        <v>115</v>
      </c>
      <c r="F28" s="214" t="s">
        <v>121</v>
      </c>
      <c r="G28" s="215" t="s">
        <v>201</v>
      </c>
      <c r="H28" s="214" t="s">
        <v>118</v>
      </c>
      <c r="I28" s="214" t="s">
        <v>130</v>
      </c>
      <c r="J28" s="216">
        <v>3.0</v>
      </c>
      <c r="K28" s="217">
        <v>6.0</v>
      </c>
      <c r="L28" s="218">
        <f>IF(AND(J28&gt;K28,J29&gt;K29),2,IF(J28&gt;K28,1,IF(J29&gt;K29,1,0)))</f>
        <v>1</v>
      </c>
      <c r="M28" s="218">
        <f>IF(AND(K28&gt;J28,K29&gt;J29),2,IF(K28&gt;J28,1,IF(K29&gt;J29,1,0)))</f>
        <v>1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19"/>
      <c r="D29" s="220"/>
      <c r="E29" s="220"/>
      <c r="F29" s="220"/>
      <c r="G29" s="220"/>
      <c r="H29" s="220"/>
      <c r="I29" s="220"/>
      <c r="J29" s="221">
        <v>6.0</v>
      </c>
      <c r="K29" s="222">
        <v>4.0</v>
      </c>
      <c r="L29" s="220"/>
      <c r="M29" s="220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4.5" customHeight="1">
      <c r="A30" s="195"/>
      <c r="B30" s="195"/>
      <c r="C30" s="223"/>
      <c r="D30" s="24"/>
      <c r="E30" s="24"/>
      <c r="F30" s="24"/>
      <c r="G30" s="24"/>
      <c r="H30" s="24"/>
      <c r="I30" s="24"/>
      <c r="J30" s="24"/>
      <c r="K30" s="24"/>
      <c r="L30" s="24"/>
      <c r="M30" s="21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12.75" customHeight="1">
      <c r="A31" s="231"/>
      <c r="B31" s="195"/>
      <c r="C31" s="256" t="s">
        <v>211</v>
      </c>
      <c r="D31" s="213" t="s">
        <v>220</v>
      </c>
      <c r="E31" s="214" t="s">
        <v>133</v>
      </c>
      <c r="F31" s="214" t="s">
        <v>9</v>
      </c>
      <c r="G31" s="215" t="s">
        <v>201</v>
      </c>
      <c r="H31" s="214" t="s">
        <v>136</v>
      </c>
      <c r="I31" s="214" t="s">
        <v>142</v>
      </c>
      <c r="J31" s="216">
        <v>6.0</v>
      </c>
      <c r="K31" s="217">
        <v>1.0</v>
      </c>
      <c r="L31" s="218">
        <f>IF(AND(J31&gt;K31,J32&gt;K32),2,IF(J31&gt;K31,1,IF(J32&gt;K32,1,0)))</f>
        <v>1</v>
      </c>
      <c r="M31" s="218">
        <f>IF(AND(K31&gt;J31,K32&gt;J32),2,IF(K31&gt;J31,1,IF(K32&gt;J32,1,0)))</f>
        <v>1</v>
      </c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2.75" customHeight="1">
      <c r="A32" s="231"/>
      <c r="B32" s="195"/>
      <c r="C32" s="219"/>
      <c r="D32" s="220"/>
      <c r="E32" s="220"/>
      <c r="F32" s="220"/>
      <c r="G32" s="220"/>
      <c r="H32" s="220"/>
      <c r="I32" s="220"/>
      <c r="J32" s="221">
        <v>4.0</v>
      </c>
      <c r="K32" s="222">
        <v>6.0</v>
      </c>
      <c r="L32" s="220"/>
      <c r="M32" s="220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4.5" customHeight="1">
      <c r="A33" s="195"/>
      <c r="B33" s="195"/>
      <c r="C33" s="224"/>
      <c r="D33" s="24"/>
      <c r="E33" s="24"/>
      <c r="F33" s="24"/>
      <c r="G33" s="24"/>
      <c r="H33" s="24"/>
      <c r="I33" s="24"/>
      <c r="J33" s="24"/>
      <c r="K33" s="24"/>
      <c r="L33" s="24"/>
      <c r="M33" s="21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12.75" customHeight="1">
      <c r="A34" s="195"/>
      <c r="B34" s="195"/>
      <c r="C34" s="256" t="s">
        <v>333</v>
      </c>
      <c r="D34" s="213" t="s">
        <v>207</v>
      </c>
      <c r="E34" s="214" t="s">
        <v>58</v>
      </c>
      <c r="F34" s="214" t="s">
        <v>71</v>
      </c>
      <c r="G34" s="215" t="s">
        <v>201</v>
      </c>
      <c r="H34" s="214" t="s">
        <v>61</v>
      </c>
      <c r="I34" s="214" t="s">
        <v>72</v>
      </c>
      <c r="J34" s="216">
        <v>4.0</v>
      </c>
      <c r="K34" s="217">
        <v>6.0</v>
      </c>
      <c r="L34" s="218">
        <f>IF(AND(J34&gt;K34,J35&gt;K35),2,IF(J34&gt;K34,1,IF(J35&gt;K35,1,0)))</f>
        <v>0</v>
      </c>
      <c r="M34" s="218">
        <f>IF(AND(K34&gt;J34,K35&gt;J35),2,IF(K34&gt;J34,1,IF(K35&gt;J35,1,0)))</f>
        <v>2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219"/>
      <c r="D35" s="220"/>
      <c r="E35" s="220"/>
      <c r="F35" s="220"/>
      <c r="G35" s="220"/>
      <c r="H35" s="220"/>
      <c r="I35" s="220"/>
      <c r="J35" s="221">
        <v>4.0</v>
      </c>
      <c r="K35" s="222">
        <v>6.0</v>
      </c>
      <c r="L35" s="220"/>
      <c r="M35" s="22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4.5" customHeight="1">
      <c r="A36" s="195"/>
      <c r="B36" s="195"/>
      <c r="C36" s="224"/>
      <c r="D36" s="24"/>
      <c r="E36" s="24"/>
      <c r="F36" s="24"/>
      <c r="G36" s="24"/>
      <c r="H36" s="24"/>
      <c r="I36" s="24"/>
      <c r="J36" s="24"/>
      <c r="K36" s="24"/>
      <c r="L36" s="24"/>
      <c r="M36" s="210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256" t="s">
        <v>232</v>
      </c>
      <c r="D37" s="245" t="s">
        <v>217</v>
      </c>
      <c r="E37" s="214" t="s">
        <v>38</v>
      </c>
      <c r="F37" s="214" t="s">
        <v>52</v>
      </c>
      <c r="G37" s="260" t="s">
        <v>201</v>
      </c>
      <c r="H37" s="214" t="s">
        <v>41</v>
      </c>
      <c r="I37" s="214" t="s">
        <v>55</v>
      </c>
      <c r="J37" s="216">
        <v>3.0</v>
      </c>
      <c r="K37" s="217">
        <v>6.0</v>
      </c>
      <c r="L37" s="218">
        <f>IF(AND(J37&gt;K37,J38&gt;K38),2,IF(J37&gt;K37,1,IF(J38&gt;K38,1,0)))</f>
        <v>0</v>
      </c>
      <c r="M37" s="218">
        <f>IF(AND(K37&gt;J37,K38&gt;J38),2,IF(K37&gt;J37,1,IF(K38&gt;J38,1,0)))</f>
        <v>2</v>
      </c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7.0</v>
      </c>
      <c r="L38" s="220"/>
      <c r="M38" s="220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4.5" customHeight="1">
      <c r="A39" s="195"/>
      <c r="B39" s="195"/>
      <c r="C39" s="224"/>
      <c r="D39" s="24"/>
      <c r="E39" s="24"/>
      <c r="F39" s="24"/>
      <c r="G39" s="24"/>
      <c r="H39" s="24"/>
      <c r="I39" s="24"/>
      <c r="J39" s="24"/>
      <c r="K39" s="24"/>
      <c r="L39" s="24"/>
      <c r="M39" s="210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225" t="s">
        <v>334</v>
      </c>
      <c r="D40" s="24"/>
      <c r="E40" s="24"/>
      <c r="F40" s="24"/>
      <c r="G40" s="24"/>
      <c r="H40" s="24"/>
      <c r="I40" s="208"/>
      <c r="J40" s="226">
        <f t="shared" ref="J40:M40" si="2">SUM(J28:J38)</f>
        <v>36</v>
      </c>
      <c r="K40" s="227">
        <f t="shared" si="2"/>
        <v>42</v>
      </c>
      <c r="L40" s="226">
        <f t="shared" si="2"/>
        <v>2</v>
      </c>
      <c r="M40" s="228">
        <f t="shared" si="2"/>
        <v>6</v>
      </c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4.5" customHeight="1">
      <c r="A41" s="195"/>
      <c r="B41" s="195"/>
      <c r="C41" s="229"/>
      <c r="D41" s="24"/>
      <c r="E41" s="24"/>
      <c r="F41" s="24"/>
      <c r="G41" s="24"/>
      <c r="H41" s="24"/>
      <c r="I41" s="24"/>
      <c r="J41" s="24"/>
      <c r="K41" s="24"/>
      <c r="L41" s="24"/>
      <c r="M41" s="210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238" t="s">
        <v>335</v>
      </c>
      <c r="D42" s="24"/>
      <c r="E42" s="24"/>
      <c r="F42" s="24"/>
      <c r="G42" s="24"/>
      <c r="H42" s="24"/>
      <c r="I42" s="208"/>
      <c r="J42" s="239">
        <f t="shared" ref="J42:M42" si="3">J40+J25</f>
        <v>67</v>
      </c>
      <c r="K42" s="240">
        <f t="shared" si="3"/>
        <v>69</v>
      </c>
      <c r="L42" s="241">
        <f t="shared" si="3"/>
        <v>6</v>
      </c>
      <c r="M42" s="242">
        <f t="shared" si="3"/>
        <v>8</v>
      </c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6.75" customHeight="1">
      <c r="A43" s="195"/>
      <c r="B43" s="195"/>
      <c r="C43" s="243"/>
      <c r="D43" s="24"/>
      <c r="E43" s="24"/>
      <c r="F43" s="24"/>
      <c r="G43" s="24"/>
      <c r="H43" s="24"/>
      <c r="I43" s="24"/>
      <c r="J43" s="24"/>
      <c r="K43" s="24"/>
      <c r="L43" s="24"/>
      <c r="M43" s="210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7.5" customHeight="1">
      <c r="A44" s="195"/>
      <c r="B44" s="195"/>
      <c r="C44" s="204" t="s">
        <v>224</v>
      </c>
      <c r="D44" s="199"/>
      <c r="E44" s="199"/>
      <c r="F44" s="199"/>
      <c r="G44" s="199"/>
      <c r="H44" s="199"/>
      <c r="I44" s="199"/>
      <c r="J44" s="199"/>
      <c r="K44" s="199"/>
      <c r="L44" s="199"/>
      <c r="M44" s="20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201"/>
      <c r="D45" s="202"/>
      <c r="E45" s="202"/>
      <c r="F45" s="202"/>
      <c r="G45" s="202"/>
      <c r="H45" s="202"/>
      <c r="I45" s="202"/>
      <c r="J45" s="202"/>
      <c r="K45" s="202"/>
      <c r="L45" s="202"/>
      <c r="M45" s="20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26.25" customHeight="1">
      <c r="A46" s="195"/>
      <c r="B46" s="195"/>
      <c r="C46" s="205" t="s">
        <v>199</v>
      </c>
      <c r="D46" s="206" t="s">
        <v>200</v>
      </c>
      <c r="E46" s="207" t="s">
        <v>183</v>
      </c>
      <c r="F46" s="208"/>
      <c r="G46" s="273" t="s">
        <v>201</v>
      </c>
      <c r="H46" s="207" t="s">
        <v>336</v>
      </c>
      <c r="I46" s="208"/>
      <c r="J46" s="209" t="s">
        <v>202</v>
      </c>
      <c r="K46" s="208"/>
      <c r="L46" s="209" t="s">
        <v>203</v>
      </c>
      <c r="M46" s="210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44"/>
      <c r="D47" s="24"/>
      <c r="E47" s="24"/>
      <c r="F47" s="24"/>
      <c r="G47" s="24"/>
      <c r="H47" s="24"/>
      <c r="I47" s="24"/>
      <c r="J47" s="24"/>
      <c r="K47" s="24"/>
      <c r="L47" s="24"/>
      <c r="M47" s="21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256" t="s">
        <v>226</v>
      </c>
      <c r="D48" s="213" t="s">
        <v>207</v>
      </c>
      <c r="E48" s="214" t="s">
        <v>66</v>
      </c>
      <c r="F48" s="214" t="s">
        <v>10</v>
      </c>
      <c r="G48" s="215" t="s">
        <v>201</v>
      </c>
      <c r="H48" s="214" t="s">
        <v>337</v>
      </c>
      <c r="I48" s="214" t="s">
        <v>67</v>
      </c>
      <c r="J48" s="216">
        <v>2.0</v>
      </c>
      <c r="K48" s="217">
        <v>6.0</v>
      </c>
      <c r="L48" s="218">
        <f>IF(AND(J48&gt;K48,J49&gt;K49),2,IF(J48&gt;K48,1,IF(J49&gt;K49,1,0)))</f>
        <v>1</v>
      </c>
      <c r="M48" s="218">
        <f>IF(AND(K48&gt;J48,K49&gt;J49),2,IF(K48&gt;J48,1,IF(K49&gt;J49,1,0)))</f>
        <v>1</v>
      </c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4.0</v>
      </c>
      <c r="L49" s="220"/>
      <c r="M49" s="220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4.5" customHeight="1">
      <c r="A50" s="195"/>
      <c r="B50" s="195"/>
      <c r="C50" s="223"/>
      <c r="D50" s="24"/>
      <c r="E50" s="24"/>
      <c r="F50" s="24"/>
      <c r="G50" s="24"/>
      <c r="H50" s="24"/>
      <c r="I50" s="24"/>
      <c r="J50" s="24"/>
      <c r="K50" s="24"/>
      <c r="L50" s="24"/>
      <c r="M50" s="21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256" t="s">
        <v>240</v>
      </c>
      <c r="D51" s="213" t="s">
        <v>205</v>
      </c>
      <c r="E51" s="214" t="s">
        <v>98</v>
      </c>
      <c r="F51" s="214" t="s">
        <v>110</v>
      </c>
      <c r="G51" s="215" t="s">
        <v>201</v>
      </c>
      <c r="H51" s="214" t="s">
        <v>99</v>
      </c>
      <c r="I51" s="214" t="s">
        <v>105</v>
      </c>
      <c r="J51" s="216">
        <v>6.0</v>
      </c>
      <c r="K51" s="217">
        <v>2.0</v>
      </c>
      <c r="L51" s="218">
        <f>IF(AND(J51&gt;K51,J52&gt;K52),2,IF(J51&gt;K51,1,IF(J52&gt;K52,1,0)))</f>
        <v>2</v>
      </c>
      <c r="M51" s="218">
        <f>IF(AND(K51&gt;J51,K52&gt;J52),2,IF(K51&gt;J51,1,IF(K52&gt;J52,1,0)))</f>
        <v>0</v>
      </c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4.0</v>
      </c>
      <c r="L52" s="220"/>
      <c r="M52" s="220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4.5" customHeight="1">
      <c r="A53" s="195"/>
      <c r="B53" s="195"/>
      <c r="C53" s="224"/>
      <c r="D53" s="24"/>
      <c r="E53" s="24"/>
      <c r="F53" s="24"/>
      <c r="G53" s="24"/>
      <c r="H53" s="24"/>
      <c r="I53" s="24"/>
      <c r="J53" s="24"/>
      <c r="K53" s="24"/>
      <c r="L53" s="24"/>
      <c r="M53" s="21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256" t="s">
        <v>204</v>
      </c>
      <c r="D54" s="213" t="s">
        <v>212</v>
      </c>
      <c r="E54" s="214" t="s">
        <v>116</v>
      </c>
      <c r="F54" s="214" t="s">
        <v>128</v>
      </c>
      <c r="G54" s="215" t="s">
        <v>201</v>
      </c>
      <c r="H54" s="214" t="s">
        <v>129</v>
      </c>
      <c r="I54" s="214" t="s">
        <v>117</v>
      </c>
      <c r="J54" s="216">
        <v>2.0</v>
      </c>
      <c r="K54" s="217">
        <v>6.0</v>
      </c>
      <c r="L54" s="218">
        <f>IF(AND(J54&gt;K54,J55&gt;K55),2,IF(J54&gt;K54,1,IF(J55&gt;K55,1,0)))</f>
        <v>1</v>
      </c>
      <c r="M54" s="218">
        <f>IF(AND(K54&gt;J54,K55&gt;J55),2,IF(K54&gt;J54,1,IF(K55&gt;J55,1,0)))</f>
        <v>1</v>
      </c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19"/>
      <c r="D55" s="220"/>
      <c r="E55" s="220"/>
      <c r="F55" s="220"/>
      <c r="G55" s="220"/>
      <c r="H55" s="220"/>
      <c r="I55" s="220"/>
      <c r="J55" s="221">
        <v>7.0</v>
      </c>
      <c r="K55" s="222">
        <v>6.0</v>
      </c>
      <c r="L55" s="220"/>
      <c r="M55" s="220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4.5" customHeight="1">
      <c r="A56" s="195"/>
      <c r="B56" s="195"/>
      <c r="C56" s="224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12"/>
      <c r="D57" s="233"/>
      <c r="E57" s="218"/>
      <c r="F57" s="218"/>
      <c r="G57" s="215"/>
      <c r="H57" s="218"/>
      <c r="I57" s="218"/>
      <c r="J57" s="234"/>
      <c r="K57" s="235"/>
      <c r="L57" s="218">
        <f>IF(AND(J57&gt;K57,J58&gt;K58),2,IF(J57&gt;K57,1,IF(J58&gt;K58,1,0)))</f>
        <v>0</v>
      </c>
      <c r="M57" s="218">
        <f>IF(AND(K57&gt;J57,K58&gt;J58),2,IF(K57&gt;J57,1,IF(K58&gt;J58,1,0)))</f>
        <v>0</v>
      </c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19"/>
      <c r="D58" s="220"/>
      <c r="E58" s="220"/>
      <c r="F58" s="220"/>
      <c r="G58" s="220"/>
      <c r="H58" s="220"/>
      <c r="I58" s="220"/>
      <c r="J58" s="236"/>
      <c r="K58" s="237"/>
      <c r="L58" s="220"/>
      <c r="M58" s="220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4.5" customHeight="1">
      <c r="A59" s="195"/>
      <c r="B59" s="195"/>
      <c r="C59" s="261"/>
      <c r="D59" s="262"/>
      <c r="E59" s="262"/>
      <c r="F59" s="262"/>
      <c r="G59" s="262"/>
      <c r="H59" s="262"/>
      <c r="I59" s="262"/>
      <c r="J59" s="262"/>
      <c r="K59" s="262"/>
      <c r="L59" s="262"/>
      <c r="M59" s="263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225" t="s">
        <v>332</v>
      </c>
      <c r="D60" s="24"/>
      <c r="E60" s="24"/>
      <c r="F60" s="24"/>
      <c r="G60" s="24"/>
      <c r="H60" s="24"/>
      <c r="I60" s="208"/>
      <c r="J60" s="226">
        <f t="shared" ref="J60:M60" si="4">SUM(J48:J58)</f>
        <v>29</v>
      </c>
      <c r="K60" s="227">
        <f t="shared" si="4"/>
        <v>28</v>
      </c>
      <c r="L60" s="226">
        <f t="shared" si="4"/>
        <v>4</v>
      </c>
      <c r="M60" s="228">
        <f t="shared" si="4"/>
        <v>2</v>
      </c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4.5" customHeight="1">
      <c r="A61" s="195"/>
      <c r="B61" s="195"/>
      <c r="C61" s="229"/>
      <c r="D61" s="24"/>
      <c r="E61" s="24"/>
      <c r="F61" s="24"/>
      <c r="G61" s="24"/>
      <c r="H61" s="24"/>
      <c r="I61" s="24"/>
      <c r="J61" s="24"/>
      <c r="K61" s="24"/>
      <c r="L61" s="24"/>
      <c r="M61" s="210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30"/>
      <c r="D62" s="24"/>
      <c r="E62" s="24"/>
      <c r="F62" s="24"/>
      <c r="G62" s="24"/>
      <c r="H62" s="24"/>
      <c r="I62" s="24"/>
      <c r="J62" s="24"/>
      <c r="K62" s="24"/>
      <c r="L62" s="24"/>
      <c r="M62" s="21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256" t="s">
        <v>211</v>
      </c>
      <c r="D63" s="213" t="s">
        <v>220</v>
      </c>
      <c r="E63" s="214" t="s">
        <v>134</v>
      </c>
      <c r="F63" s="214" t="s">
        <v>140</v>
      </c>
      <c r="G63" s="215" t="s">
        <v>201</v>
      </c>
      <c r="H63" s="214" t="s">
        <v>135</v>
      </c>
      <c r="I63" s="214" t="s">
        <v>146</v>
      </c>
      <c r="J63" s="216">
        <v>6.0</v>
      </c>
      <c r="K63" s="217">
        <v>7.0</v>
      </c>
      <c r="L63" s="218">
        <f>IF(AND(J63&gt;K63,J64&gt;K64),2,IF(J63&gt;K63,1,IF(J64&gt;K64,1,0)))</f>
        <v>1</v>
      </c>
      <c r="M63" s="218">
        <f>IF(AND(K63&gt;J63,K64&gt;J64),2,IF(K63&gt;J63,1,IF(K64&gt;J64,1,0)))</f>
        <v>1</v>
      </c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1.0</v>
      </c>
      <c r="L64" s="220"/>
      <c r="M64" s="220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4.5" customHeight="1">
      <c r="A65" s="195"/>
      <c r="B65" s="195"/>
      <c r="C65" s="223"/>
      <c r="D65" s="24"/>
      <c r="E65" s="24"/>
      <c r="F65" s="24"/>
      <c r="G65" s="24"/>
      <c r="H65" s="24"/>
      <c r="I65" s="24"/>
      <c r="J65" s="24"/>
      <c r="K65" s="24"/>
      <c r="L65" s="24"/>
      <c r="M65" s="21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256" t="s">
        <v>333</v>
      </c>
      <c r="D66" s="213" t="s">
        <v>215</v>
      </c>
      <c r="E66" s="214" t="s">
        <v>77</v>
      </c>
      <c r="F66" s="214" t="s">
        <v>84</v>
      </c>
      <c r="G66" s="215" t="s">
        <v>201</v>
      </c>
      <c r="H66" s="214" t="s">
        <v>85</v>
      </c>
      <c r="I66" s="214" t="s">
        <v>310</v>
      </c>
      <c r="J66" s="216">
        <v>2.0</v>
      </c>
      <c r="K66" s="217">
        <v>6.0</v>
      </c>
      <c r="L66" s="218">
        <f>IF(AND(J66&gt;K66,J67&gt;K67),2,IF(J66&gt;K66,1,IF(J67&gt;K67,1,0)))</f>
        <v>0</v>
      </c>
      <c r="M66" s="218">
        <f>IF(AND(K66&gt;J66,K67&gt;J67),2,IF(K66&gt;J66,1,IF(K67&gt;J67,1,0)))</f>
        <v>2</v>
      </c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219"/>
      <c r="D67" s="220"/>
      <c r="E67" s="220"/>
      <c r="F67" s="220"/>
      <c r="G67" s="220"/>
      <c r="H67" s="220"/>
      <c r="I67" s="220"/>
      <c r="J67" s="221">
        <v>3.0</v>
      </c>
      <c r="K67" s="222">
        <v>6.0</v>
      </c>
      <c r="L67" s="220"/>
      <c r="M67" s="220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4.5" customHeight="1">
      <c r="A68" s="195"/>
      <c r="B68" s="195"/>
      <c r="C68" s="224"/>
      <c r="D68" s="24"/>
      <c r="E68" s="24"/>
      <c r="F68" s="24"/>
      <c r="G68" s="24"/>
      <c r="H68" s="24"/>
      <c r="I68" s="24"/>
      <c r="J68" s="24"/>
      <c r="K68" s="24"/>
      <c r="L68" s="24"/>
      <c r="M68" s="21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56" t="s">
        <v>333</v>
      </c>
      <c r="D69" s="213" t="s">
        <v>209</v>
      </c>
      <c r="E69" s="214" t="s">
        <v>25</v>
      </c>
      <c r="F69" s="214" t="s">
        <v>338</v>
      </c>
      <c r="G69" s="215" t="s">
        <v>201</v>
      </c>
      <c r="H69" s="214" t="s">
        <v>19</v>
      </c>
      <c r="I69" s="214" t="s">
        <v>26</v>
      </c>
      <c r="J69" s="216">
        <v>6.0</v>
      </c>
      <c r="K69" s="217">
        <v>2.0</v>
      </c>
      <c r="L69" s="218">
        <f>IF(AND(J69&gt;K69,J70&gt;K70),2,IF(J69&gt;K69,1,IF(J70&gt;K70,1,0)))</f>
        <v>1</v>
      </c>
      <c r="M69" s="218">
        <f>IF(AND(K69&gt;J69,K70&gt;J70),2,IF(K69&gt;J69,1,IF(K70&gt;J70,1,0)))</f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19"/>
      <c r="D70" s="220"/>
      <c r="E70" s="220"/>
      <c r="F70" s="220"/>
      <c r="G70" s="220"/>
      <c r="H70" s="220"/>
      <c r="I70" s="220"/>
      <c r="J70" s="221">
        <v>2.0</v>
      </c>
      <c r="K70" s="222">
        <v>6.0</v>
      </c>
      <c r="L70" s="220"/>
      <c r="M70" s="22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4.5" customHeight="1">
      <c r="A71" s="195"/>
      <c r="B71" s="195"/>
      <c r="C71" s="224"/>
      <c r="D71" s="24"/>
      <c r="E71" s="24"/>
      <c r="F71" s="24"/>
      <c r="G71" s="24"/>
      <c r="H71" s="24"/>
      <c r="I71" s="24"/>
      <c r="J71" s="24"/>
      <c r="K71" s="24"/>
      <c r="L71" s="24"/>
      <c r="M71" s="210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256" t="s">
        <v>232</v>
      </c>
      <c r="D72" s="245" t="s">
        <v>217</v>
      </c>
      <c r="E72" s="214" t="s">
        <v>39</v>
      </c>
      <c r="F72" s="214" t="s">
        <v>46</v>
      </c>
      <c r="G72" s="215" t="s">
        <v>201</v>
      </c>
      <c r="H72" s="214" t="s">
        <v>40</v>
      </c>
      <c r="I72" s="214" t="s">
        <v>54</v>
      </c>
      <c r="J72" s="216">
        <v>6.0</v>
      </c>
      <c r="K72" s="217">
        <v>3.0</v>
      </c>
      <c r="L72" s="218">
        <f>IF(AND(J72&gt;K72,J73&gt;K73),2,IF(J72&gt;K72,1,IF(J73&gt;K73,1,0)))</f>
        <v>2</v>
      </c>
      <c r="M72" s="218">
        <f>IF(AND(K72&gt;J72,K73&gt;J73),2,IF(K72&gt;J72,1,IF(K73&gt;J73,1,0)))</f>
        <v>0</v>
      </c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219"/>
      <c r="D73" s="220"/>
      <c r="E73" s="220"/>
      <c r="F73" s="220"/>
      <c r="G73" s="220"/>
      <c r="H73" s="220"/>
      <c r="I73" s="220"/>
      <c r="J73" s="221">
        <v>6.0</v>
      </c>
      <c r="K73" s="222">
        <v>3.0</v>
      </c>
      <c r="L73" s="220"/>
      <c r="M73" s="220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4.5" customHeight="1">
      <c r="A74" s="195"/>
      <c r="B74" s="195"/>
      <c r="C74" s="224"/>
      <c r="D74" s="24"/>
      <c r="E74" s="24"/>
      <c r="F74" s="24"/>
      <c r="G74" s="24"/>
      <c r="H74" s="24"/>
      <c r="I74" s="24"/>
      <c r="J74" s="24"/>
      <c r="K74" s="24"/>
      <c r="L74" s="24"/>
      <c r="M74" s="210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225" t="s">
        <v>334</v>
      </c>
      <c r="D75" s="24"/>
      <c r="E75" s="24"/>
      <c r="F75" s="24"/>
      <c r="G75" s="24"/>
      <c r="H75" s="24"/>
      <c r="I75" s="208"/>
      <c r="J75" s="226">
        <f t="shared" ref="J75:M75" si="5">SUM(J63:J73)</f>
        <v>37</v>
      </c>
      <c r="K75" s="227">
        <f t="shared" si="5"/>
        <v>34</v>
      </c>
      <c r="L75" s="226">
        <f t="shared" si="5"/>
        <v>4</v>
      </c>
      <c r="M75" s="228">
        <f t="shared" si="5"/>
        <v>4</v>
      </c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4.5" customHeight="1">
      <c r="A76" s="195"/>
      <c r="B76" s="195"/>
      <c r="C76" s="229"/>
      <c r="D76" s="24"/>
      <c r="E76" s="24"/>
      <c r="F76" s="24"/>
      <c r="G76" s="24"/>
      <c r="H76" s="24"/>
      <c r="I76" s="24"/>
      <c r="J76" s="24"/>
      <c r="K76" s="24"/>
      <c r="L76" s="24"/>
      <c r="M76" s="210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238" t="s">
        <v>335</v>
      </c>
      <c r="D77" s="24"/>
      <c r="E77" s="24"/>
      <c r="F77" s="24"/>
      <c r="G77" s="24"/>
      <c r="H77" s="24"/>
      <c r="I77" s="208"/>
      <c r="J77" s="239">
        <f t="shared" ref="J77:M77" si="6">J75+J60</f>
        <v>66</v>
      </c>
      <c r="K77" s="240">
        <f t="shared" si="6"/>
        <v>62</v>
      </c>
      <c r="L77" s="241">
        <f t="shared" si="6"/>
        <v>8</v>
      </c>
      <c r="M77" s="242">
        <f t="shared" si="6"/>
        <v>6</v>
      </c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6.75" customHeight="1">
      <c r="A78" s="195"/>
      <c r="B78" s="195"/>
      <c r="C78" s="243"/>
      <c r="D78" s="24"/>
      <c r="E78" s="24"/>
      <c r="F78" s="24"/>
      <c r="G78" s="24"/>
      <c r="H78" s="24"/>
      <c r="I78" s="24"/>
      <c r="J78" s="24"/>
      <c r="K78" s="24"/>
      <c r="L78" s="24"/>
      <c r="M78" s="210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204" t="s">
        <v>228</v>
      </c>
      <c r="D79" s="199"/>
      <c r="E79" s="199"/>
      <c r="F79" s="199"/>
      <c r="G79" s="199"/>
      <c r="H79" s="199"/>
      <c r="I79" s="199"/>
      <c r="J79" s="199"/>
      <c r="K79" s="199"/>
      <c r="L79" s="199"/>
      <c r="M79" s="200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3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26.25" customHeight="1">
      <c r="A81" s="195"/>
      <c r="B81" s="195"/>
      <c r="C81" s="246" t="s">
        <v>199</v>
      </c>
      <c r="D81" s="209" t="s">
        <v>200</v>
      </c>
      <c r="E81" s="207" t="s">
        <v>186</v>
      </c>
      <c r="F81" s="208"/>
      <c r="G81" s="206" t="s">
        <v>201</v>
      </c>
      <c r="H81" s="207" t="s">
        <v>289</v>
      </c>
      <c r="I81" s="208"/>
      <c r="J81" s="247"/>
      <c r="K81" s="208"/>
      <c r="L81" s="209"/>
      <c r="M81" s="210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211"/>
      <c r="M82" s="116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256" t="s">
        <v>226</v>
      </c>
      <c r="D83" s="213" t="s">
        <v>212</v>
      </c>
      <c r="E83" s="214" t="s">
        <v>339</v>
      </c>
      <c r="F83" s="214" t="s">
        <v>125</v>
      </c>
      <c r="G83" s="215" t="s">
        <v>201</v>
      </c>
      <c r="H83" s="214" t="s">
        <v>120</v>
      </c>
      <c r="I83" s="214" t="s">
        <v>132</v>
      </c>
      <c r="J83" s="216">
        <v>2.0</v>
      </c>
      <c r="K83" s="217">
        <v>6.0</v>
      </c>
      <c r="L83" s="218">
        <f>IF(AND(J83&gt;K83,J84&gt;K84),2,IF(J83&gt;K83,1,IF(J84&gt;K84,1,0)))</f>
        <v>0</v>
      </c>
      <c r="M83" s="218">
        <f>IF(AND(K83&gt;J83,K84&gt;J84),2,IF(K83&gt;J83,1,IF(K84&gt;J84,1,0)))</f>
        <v>2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219"/>
      <c r="D84" s="220"/>
      <c r="E84" s="220"/>
      <c r="F84" s="220"/>
      <c r="G84" s="220"/>
      <c r="H84" s="220"/>
      <c r="I84" s="220"/>
      <c r="J84" s="221">
        <v>1.0</v>
      </c>
      <c r="K84" s="222">
        <v>6.0</v>
      </c>
      <c r="L84" s="220"/>
      <c r="M84" s="220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4.5" customHeight="1">
      <c r="A85" s="195"/>
      <c r="B85" s="195"/>
      <c r="C85" s="223"/>
      <c r="D85" s="24"/>
      <c r="E85" s="24"/>
      <c r="F85" s="24"/>
      <c r="G85" s="24"/>
      <c r="H85" s="24"/>
      <c r="I85" s="24"/>
      <c r="J85" s="24"/>
      <c r="K85" s="24"/>
      <c r="L85" s="24"/>
      <c r="M85" s="210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256" t="s">
        <v>240</v>
      </c>
      <c r="D86" s="213" t="s">
        <v>209</v>
      </c>
      <c r="E86" s="214" t="s">
        <v>21</v>
      </c>
      <c r="F86" s="214" t="s">
        <v>28</v>
      </c>
      <c r="G86" s="215" t="s">
        <v>201</v>
      </c>
      <c r="H86" s="214" t="s">
        <v>22</v>
      </c>
      <c r="I86" s="214" t="s">
        <v>36</v>
      </c>
      <c r="J86" s="216">
        <v>6.0</v>
      </c>
      <c r="K86" s="217">
        <v>2.0</v>
      </c>
      <c r="L86" s="218">
        <f>IF(AND(J86&gt;K86,J87&gt;K87),2,IF(J86&gt;K86,1,IF(J87&gt;K87,1,0)))</f>
        <v>2</v>
      </c>
      <c r="M86" s="218">
        <f>IF(AND(K86&gt;J86,K87&gt;J87),2,IF(K86&gt;J86,1,IF(K87&gt;J87,1,0)))</f>
        <v>0</v>
      </c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219"/>
      <c r="D87" s="220"/>
      <c r="E87" s="220"/>
      <c r="F87" s="220"/>
      <c r="G87" s="220"/>
      <c r="H87" s="220"/>
      <c r="I87" s="220"/>
      <c r="J87" s="221">
        <v>7.0</v>
      </c>
      <c r="K87" s="222">
        <v>6.0</v>
      </c>
      <c r="L87" s="220"/>
      <c r="M87" s="220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4.5" customHeight="1">
      <c r="A88" s="195"/>
      <c r="B88" s="195"/>
      <c r="C88" s="224"/>
      <c r="D88" s="24"/>
      <c r="E88" s="24"/>
      <c r="F88" s="24"/>
      <c r="G88" s="24"/>
      <c r="H88" s="24"/>
      <c r="I88" s="24"/>
      <c r="J88" s="24"/>
      <c r="K88" s="24"/>
      <c r="L88" s="24"/>
      <c r="M88" s="210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256" t="s">
        <v>204</v>
      </c>
      <c r="D89" s="213" t="s">
        <v>205</v>
      </c>
      <c r="E89" s="214" t="s">
        <v>107</v>
      </c>
      <c r="F89" s="214" t="s">
        <v>113</v>
      </c>
      <c r="G89" s="215" t="s">
        <v>201</v>
      </c>
      <c r="H89" s="214" t="s">
        <v>108</v>
      </c>
      <c r="I89" s="214" t="s">
        <v>340</v>
      </c>
      <c r="J89" s="216">
        <v>4.0</v>
      </c>
      <c r="K89" s="217">
        <v>6.0</v>
      </c>
      <c r="L89" s="218">
        <f>IF(AND(J89&gt;K89,J90&gt;K90),2,IF(J89&gt;K89,1,IF(J90&gt;K90,1,0)))</f>
        <v>0</v>
      </c>
      <c r="M89" s="218">
        <f>IF(AND(K89&gt;J89,K90&gt;J90),2,IF(K89&gt;J89,1,IF(K90&gt;J90,1,0)))</f>
        <v>2</v>
      </c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219"/>
      <c r="D90" s="220"/>
      <c r="E90" s="220"/>
      <c r="F90" s="220"/>
      <c r="G90" s="220"/>
      <c r="H90" s="220"/>
      <c r="I90" s="220"/>
      <c r="J90" s="221">
        <v>5.0</v>
      </c>
      <c r="K90" s="222">
        <v>7.0</v>
      </c>
      <c r="L90" s="220"/>
      <c r="M90" s="220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4.5" customHeight="1">
      <c r="A91" s="195"/>
      <c r="B91" s="195"/>
      <c r="C91" s="224"/>
      <c r="D91" s="24"/>
      <c r="E91" s="24"/>
      <c r="F91" s="24"/>
      <c r="G91" s="24"/>
      <c r="H91" s="24"/>
      <c r="I91" s="24"/>
      <c r="J91" s="24"/>
      <c r="K91" s="24"/>
      <c r="L91" s="24"/>
      <c r="M91" s="210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212" t="s">
        <v>204</v>
      </c>
      <c r="D92" s="266"/>
      <c r="E92" s="218"/>
      <c r="F92" s="218"/>
      <c r="G92" s="215" t="s">
        <v>201</v>
      </c>
      <c r="H92" s="218"/>
      <c r="I92" s="218"/>
      <c r="J92" s="234"/>
      <c r="K92" s="235"/>
      <c r="L92" s="218">
        <f>IF(AND(J92&gt;K92,J93&gt;K93),2,IF(J92&gt;K92,1,IF(J93&gt;K93,1,0)))</f>
        <v>0</v>
      </c>
      <c r="M92" s="218">
        <f>IF(AND(K92&gt;J92,K93&gt;J93),2,IF(K92&gt;J92,1,IF(K93&gt;J93,1,0)))</f>
        <v>0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219"/>
      <c r="D93" s="220"/>
      <c r="E93" s="220"/>
      <c r="F93" s="220"/>
      <c r="G93" s="220"/>
      <c r="H93" s="220"/>
      <c r="I93" s="220"/>
      <c r="J93" s="236"/>
      <c r="K93" s="237"/>
      <c r="L93" s="220"/>
      <c r="M93" s="220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4.5" customHeight="1">
      <c r="A94" s="195"/>
      <c r="B94" s="195"/>
      <c r="C94" s="261"/>
      <c r="D94" s="262"/>
      <c r="E94" s="262"/>
      <c r="F94" s="262"/>
      <c r="G94" s="262"/>
      <c r="H94" s="262"/>
      <c r="I94" s="262"/>
      <c r="J94" s="262"/>
      <c r="K94" s="262"/>
      <c r="L94" s="262"/>
      <c r="M94" s="263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225" t="s">
        <v>332</v>
      </c>
      <c r="D95" s="24"/>
      <c r="E95" s="24"/>
      <c r="F95" s="24"/>
      <c r="G95" s="24"/>
      <c r="H95" s="24"/>
      <c r="I95" s="208"/>
      <c r="J95" s="226">
        <f t="shared" ref="J95:M95" si="7">SUM(J83:J93)</f>
        <v>25</v>
      </c>
      <c r="K95" s="227">
        <f t="shared" si="7"/>
        <v>33</v>
      </c>
      <c r="L95" s="226">
        <f t="shared" si="7"/>
        <v>2</v>
      </c>
      <c r="M95" s="228">
        <f t="shared" si="7"/>
        <v>4</v>
      </c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4.5" customHeight="1">
      <c r="A96" s="195"/>
      <c r="B96" s="195"/>
      <c r="C96" s="229"/>
      <c r="D96" s="24"/>
      <c r="E96" s="24"/>
      <c r="F96" s="24"/>
      <c r="G96" s="24"/>
      <c r="H96" s="24"/>
      <c r="I96" s="24"/>
      <c r="J96" s="24"/>
      <c r="K96" s="24"/>
      <c r="L96" s="24"/>
      <c r="M96" s="210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230"/>
      <c r="D97" s="24"/>
      <c r="E97" s="24"/>
      <c r="F97" s="24"/>
      <c r="G97" s="24"/>
      <c r="H97" s="24"/>
      <c r="I97" s="24"/>
      <c r="J97" s="24"/>
      <c r="K97" s="24"/>
      <c r="L97" s="24"/>
      <c r="M97" s="210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256" t="s">
        <v>211</v>
      </c>
      <c r="D98" s="213" t="s">
        <v>215</v>
      </c>
      <c r="E98" s="214" t="s">
        <v>80</v>
      </c>
      <c r="F98" s="214" t="s">
        <v>87</v>
      </c>
      <c r="G98" s="215" t="s">
        <v>201</v>
      </c>
      <c r="H98" s="214" t="s">
        <v>81</v>
      </c>
      <c r="I98" s="214" t="s">
        <v>88</v>
      </c>
      <c r="J98" s="216">
        <v>6.0</v>
      </c>
      <c r="K98" s="217">
        <v>2.0</v>
      </c>
      <c r="L98" s="218">
        <f>IF(AND(J98&gt;K98,J99&gt;K99),2,IF(J98&gt;K98,1,IF(J99&gt;K99,1,0)))</f>
        <v>1</v>
      </c>
      <c r="M98" s="218">
        <f>IF(AND(K98&gt;J98,K99&gt;J99),2,IF(K98&gt;J98,1,IF(K99&gt;J99,1,0)))</f>
        <v>1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219"/>
      <c r="D99" s="220"/>
      <c r="E99" s="220"/>
      <c r="F99" s="220"/>
      <c r="G99" s="220"/>
      <c r="H99" s="220"/>
      <c r="I99" s="220"/>
      <c r="J99" s="221">
        <v>3.0</v>
      </c>
      <c r="K99" s="222">
        <v>6.0</v>
      </c>
      <c r="L99" s="220"/>
      <c r="M99" s="220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4.5" customHeight="1">
      <c r="A100" s="195"/>
      <c r="B100" s="195"/>
      <c r="C100" s="223"/>
      <c r="D100" s="24"/>
      <c r="E100" s="24"/>
      <c r="F100" s="24"/>
      <c r="G100" s="24"/>
      <c r="H100" s="24"/>
      <c r="I100" s="24"/>
      <c r="J100" s="24"/>
      <c r="K100" s="24"/>
      <c r="L100" s="24"/>
      <c r="M100" s="210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256" t="s">
        <v>333</v>
      </c>
      <c r="D101" s="213" t="s">
        <v>220</v>
      </c>
      <c r="E101" s="214" t="s">
        <v>341</v>
      </c>
      <c r="F101" s="214" t="s">
        <v>342</v>
      </c>
      <c r="G101" s="215" t="s">
        <v>201</v>
      </c>
      <c r="H101" s="214" t="s">
        <v>138</v>
      </c>
      <c r="I101" s="214" t="s">
        <v>144</v>
      </c>
      <c r="J101" s="216">
        <v>4.0</v>
      </c>
      <c r="K101" s="217">
        <v>6.0</v>
      </c>
      <c r="L101" s="218">
        <f>IF(AND(J101&gt;K101,J102&gt;K102),2,IF(J101&gt;K101,1,IF(J102&gt;K102,1,0)))</f>
        <v>1</v>
      </c>
      <c r="M101" s="218">
        <f>IF(AND(K101&gt;J101,K102&gt;J102),2,IF(K101&gt;J101,1,IF(K102&gt;J102,1,0)))</f>
        <v>1</v>
      </c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219"/>
      <c r="D102" s="220"/>
      <c r="E102" s="220"/>
      <c r="F102" s="220"/>
      <c r="G102" s="220"/>
      <c r="H102" s="220"/>
      <c r="I102" s="220"/>
      <c r="J102" s="221">
        <v>6.0</v>
      </c>
      <c r="K102" s="222">
        <v>3.0</v>
      </c>
      <c r="L102" s="220"/>
      <c r="M102" s="220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4.5" customHeight="1">
      <c r="A103" s="195"/>
      <c r="B103" s="195"/>
      <c r="C103" s="224"/>
      <c r="D103" s="24"/>
      <c r="E103" s="24"/>
      <c r="F103" s="24"/>
      <c r="G103" s="24"/>
      <c r="H103" s="24"/>
      <c r="I103" s="24"/>
      <c r="J103" s="24"/>
      <c r="K103" s="24"/>
      <c r="L103" s="24"/>
      <c r="M103" s="210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256" t="s">
        <v>232</v>
      </c>
      <c r="D104" s="213" t="s">
        <v>207</v>
      </c>
      <c r="E104" s="214" t="s">
        <v>62</v>
      </c>
      <c r="F104" s="214" t="s">
        <v>168</v>
      </c>
      <c r="G104" s="215" t="s">
        <v>201</v>
      </c>
      <c r="H104" s="214" t="s">
        <v>63</v>
      </c>
      <c r="I104" s="214" t="s">
        <v>69</v>
      </c>
      <c r="J104" s="216">
        <v>6.0</v>
      </c>
      <c r="K104" s="217">
        <v>1.0</v>
      </c>
      <c r="L104" s="218">
        <f>IF(AND(J104&gt;K104,J105&gt;K105),2,IF(J104&gt;K104,1,IF(J105&gt;K105,1,0)))</f>
        <v>1</v>
      </c>
      <c r="M104" s="218">
        <f>IF(AND(K104&gt;J104,K105&gt;J105),2,IF(K104&gt;J104,1,IF(K105&gt;J105,1,0)))</f>
        <v>1</v>
      </c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219"/>
      <c r="D105" s="220"/>
      <c r="E105" s="220"/>
      <c r="F105" s="220"/>
      <c r="G105" s="220"/>
      <c r="H105" s="220"/>
      <c r="I105" s="220"/>
      <c r="J105" s="221">
        <v>0.0</v>
      </c>
      <c r="K105" s="222">
        <v>6.0</v>
      </c>
      <c r="L105" s="220"/>
      <c r="M105" s="220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4.5" customHeight="1">
      <c r="A106" s="195"/>
      <c r="B106" s="195"/>
      <c r="C106" s="224"/>
      <c r="D106" s="24"/>
      <c r="E106" s="24"/>
      <c r="F106" s="24"/>
      <c r="G106" s="24"/>
      <c r="H106" s="24"/>
      <c r="I106" s="24"/>
      <c r="J106" s="24"/>
      <c r="K106" s="24"/>
      <c r="L106" s="24"/>
      <c r="M106" s="210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256" t="s">
        <v>232</v>
      </c>
      <c r="D107" s="245" t="s">
        <v>217</v>
      </c>
      <c r="E107" s="214" t="s">
        <v>42</v>
      </c>
      <c r="F107" s="214" t="s">
        <v>49</v>
      </c>
      <c r="G107" s="260" t="s">
        <v>201</v>
      </c>
      <c r="H107" s="214" t="s">
        <v>50</v>
      </c>
      <c r="I107" s="214" t="s">
        <v>56</v>
      </c>
      <c r="J107" s="216">
        <v>6.0</v>
      </c>
      <c r="K107" s="217">
        <v>3.0</v>
      </c>
      <c r="L107" s="218">
        <f>IF(AND(J107&gt;K107,J108&gt;K108),2,IF(J107&gt;K107,1,IF(J108&gt;K108,1,0)))</f>
        <v>1</v>
      </c>
      <c r="M107" s="218">
        <f>IF(AND(K107&gt;J107,K108&gt;J108),2,IF(K107&gt;J107,1,IF(K108&gt;J108,1,0)))</f>
        <v>1</v>
      </c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219"/>
      <c r="D108" s="220"/>
      <c r="E108" s="220"/>
      <c r="F108" s="220"/>
      <c r="G108" s="220"/>
      <c r="H108" s="220"/>
      <c r="I108" s="220"/>
      <c r="J108" s="221">
        <v>4.0</v>
      </c>
      <c r="K108" s="222">
        <v>6.0</v>
      </c>
      <c r="L108" s="220"/>
      <c r="M108" s="220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4.5" customHeight="1">
      <c r="A109" s="195"/>
      <c r="B109" s="195"/>
      <c r="C109" s="224"/>
      <c r="D109" s="24"/>
      <c r="E109" s="24"/>
      <c r="F109" s="24"/>
      <c r="G109" s="24"/>
      <c r="H109" s="24"/>
      <c r="I109" s="24"/>
      <c r="J109" s="24"/>
      <c r="K109" s="24"/>
      <c r="L109" s="24"/>
      <c r="M109" s="210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225" t="s">
        <v>334</v>
      </c>
      <c r="D110" s="24"/>
      <c r="E110" s="24"/>
      <c r="F110" s="24"/>
      <c r="G110" s="24"/>
      <c r="H110" s="24"/>
      <c r="I110" s="208"/>
      <c r="J110" s="226">
        <f t="shared" ref="J110:M110" si="8">SUM(J98:J108)</f>
        <v>35</v>
      </c>
      <c r="K110" s="227">
        <f t="shared" si="8"/>
        <v>33</v>
      </c>
      <c r="L110" s="226">
        <f t="shared" si="8"/>
        <v>4</v>
      </c>
      <c r="M110" s="228">
        <f t="shared" si="8"/>
        <v>4</v>
      </c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4.5" customHeight="1">
      <c r="A111" s="195"/>
      <c r="B111" s="195"/>
      <c r="C111" s="229"/>
      <c r="D111" s="24"/>
      <c r="E111" s="24"/>
      <c r="F111" s="24"/>
      <c r="G111" s="24"/>
      <c r="H111" s="24"/>
      <c r="I111" s="24"/>
      <c r="J111" s="24"/>
      <c r="K111" s="24"/>
      <c r="L111" s="24"/>
      <c r="M111" s="210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238" t="s">
        <v>335</v>
      </c>
      <c r="D112" s="24"/>
      <c r="E112" s="24"/>
      <c r="F112" s="24"/>
      <c r="G112" s="24"/>
      <c r="H112" s="24"/>
      <c r="I112" s="208"/>
      <c r="J112" s="239">
        <f t="shared" ref="J112:M112" si="9">J110+J95</f>
        <v>60</v>
      </c>
      <c r="K112" s="240">
        <f t="shared" si="9"/>
        <v>66</v>
      </c>
      <c r="L112" s="241">
        <f t="shared" si="9"/>
        <v>6</v>
      </c>
      <c r="M112" s="242">
        <f t="shared" si="9"/>
        <v>8</v>
      </c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6.75" customHeight="1">
      <c r="A113" s="195"/>
      <c r="B113" s="195"/>
      <c r="C113" s="250"/>
      <c r="D113" s="251"/>
      <c r="E113" s="251"/>
      <c r="F113" s="251"/>
      <c r="G113" s="251"/>
      <c r="H113" s="251"/>
      <c r="I113" s="251"/>
      <c r="J113" s="251"/>
      <c r="K113" s="251"/>
      <c r="L113" s="251"/>
      <c r="M113" s="252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 t="s">
        <v>233</v>
      </c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5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0.88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1" width="5.63"/>
    <col customWidth="1" min="12" max="12" width="7.5"/>
    <col customWidth="1" min="13" max="13" width="7.88"/>
    <col customWidth="1" min="14" max="15" width="9.13"/>
    <col customWidth="1" min="16" max="26" width="8.0"/>
  </cols>
  <sheetData>
    <row r="1" ht="12.75" customHeight="1">
      <c r="A1" s="195"/>
      <c r="B1" s="195"/>
      <c r="C1" s="196" t="s">
        <v>196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A2" s="195"/>
      <c r="B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A3" s="195"/>
      <c r="B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195"/>
      <c r="B6" s="195"/>
      <c r="C6" s="259" t="s">
        <v>343</v>
      </c>
      <c r="D6" s="112"/>
      <c r="E6" s="112"/>
      <c r="F6" s="112"/>
      <c r="G6" s="112"/>
      <c r="H6" s="112"/>
      <c r="I6" s="112"/>
      <c r="J6" s="112"/>
      <c r="K6" s="112"/>
      <c r="L6" s="112"/>
      <c r="M6" s="113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195"/>
      <c r="B7" s="195"/>
      <c r="C7" s="274"/>
      <c r="D7" s="199"/>
      <c r="E7" s="199"/>
      <c r="F7" s="199"/>
      <c r="G7" s="199"/>
      <c r="H7" s="199"/>
      <c r="I7" s="199"/>
      <c r="J7" s="199"/>
      <c r="K7" s="199"/>
      <c r="L7" s="199"/>
      <c r="M7" s="200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3.0" customHeight="1">
      <c r="A8" s="195"/>
      <c r="B8" s="19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3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195"/>
      <c r="B9" s="195"/>
      <c r="C9" s="204" t="s">
        <v>198</v>
      </c>
      <c r="D9" s="199"/>
      <c r="E9" s="199"/>
      <c r="F9" s="199"/>
      <c r="G9" s="199"/>
      <c r="H9" s="199"/>
      <c r="I9" s="199"/>
      <c r="J9" s="199"/>
      <c r="K9" s="199"/>
      <c r="L9" s="199"/>
      <c r="M9" s="200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195"/>
      <c r="B10" s="19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3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195"/>
      <c r="B11" s="195"/>
      <c r="C11" s="205" t="s">
        <v>199</v>
      </c>
      <c r="D11" s="206" t="s">
        <v>200</v>
      </c>
      <c r="E11" s="207" t="s">
        <v>344</v>
      </c>
      <c r="F11" s="208"/>
      <c r="G11" s="206" t="s">
        <v>201</v>
      </c>
      <c r="H11" s="207" t="s">
        <v>345</v>
      </c>
      <c r="I11" s="208"/>
      <c r="J11" s="209" t="s">
        <v>202</v>
      </c>
      <c r="K11" s="208"/>
      <c r="L11" s="209" t="s">
        <v>203</v>
      </c>
      <c r="M11" s="210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13.5" customHeight="1">
      <c r="A12" s="195"/>
      <c r="B12" s="195"/>
      <c r="C12" s="256" t="s">
        <v>211</v>
      </c>
      <c r="D12" s="213" t="s">
        <v>217</v>
      </c>
      <c r="E12" s="214" t="s">
        <v>40</v>
      </c>
      <c r="F12" s="214" t="s">
        <v>164</v>
      </c>
      <c r="G12" s="260" t="s">
        <v>201</v>
      </c>
      <c r="H12" s="214" t="s">
        <v>49</v>
      </c>
      <c r="I12" s="214" t="s">
        <v>13</v>
      </c>
      <c r="J12" s="216">
        <v>7.0</v>
      </c>
      <c r="K12" s="217">
        <v>5.0</v>
      </c>
      <c r="L12" s="218">
        <f>IF(AND(J12&gt;K12,J13&gt;K13),2,IF(J12&gt;K12,1,IF(J13&gt;K13,1,0)))</f>
        <v>1</v>
      </c>
      <c r="M12" s="218">
        <f>IF(AND(K12&gt;J12,K13&gt;J13),2,IF(K12&gt;J12,1,IF(K13&gt;J13,1,0)))</f>
        <v>1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12.75" customHeight="1">
      <c r="A13" s="195"/>
      <c r="B13" s="195"/>
      <c r="C13" s="219"/>
      <c r="D13" s="220"/>
      <c r="E13" s="220"/>
      <c r="F13" s="220"/>
      <c r="G13" s="220"/>
      <c r="H13" s="220"/>
      <c r="I13" s="220"/>
      <c r="J13" s="221">
        <v>2.0</v>
      </c>
      <c r="K13" s="222">
        <v>6.0</v>
      </c>
      <c r="L13" s="220"/>
      <c r="M13" s="220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4.5" customHeight="1">
      <c r="A14" s="195"/>
      <c r="B14" s="195"/>
      <c r="C14" s="223"/>
      <c r="D14" s="24"/>
      <c r="E14" s="24"/>
      <c r="F14" s="24"/>
      <c r="G14" s="24"/>
      <c r="H14" s="24"/>
      <c r="I14" s="24"/>
      <c r="J14" s="24"/>
      <c r="K14" s="24"/>
      <c r="L14" s="24"/>
      <c r="M14" s="210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12.75" customHeight="1">
      <c r="A15" s="195"/>
      <c r="B15" s="195"/>
      <c r="C15" s="256" t="s">
        <v>333</v>
      </c>
      <c r="D15" s="213" t="s">
        <v>215</v>
      </c>
      <c r="E15" s="232" t="s">
        <v>310</v>
      </c>
      <c r="F15" s="214" t="s">
        <v>85</v>
      </c>
      <c r="G15" s="215" t="s">
        <v>201</v>
      </c>
      <c r="H15" s="214" t="s">
        <v>80</v>
      </c>
      <c r="I15" s="214" t="s">
        <v>87</v>
      </c>
      <c r="J15" s="216">
        <v>6.0</v>
      </c>
      <c r="K15" s="217">
        <v>3.0</v>
      </c>
      <c r="L15" s="218">
        <f>IF(AND(J15&gt;K15,J16&gt;K16),2,IF(J15&gt;K15,1,IF(J16&gt;K16,1,0)))</f>
        <v>2</v>
      </c>
      <c r="M15" s="218">
        <f>IF(AND(K15&gt;J15,K16&gt;J16),2,IF(K15&gt;J15,1,IF(K16&gt;J16,1,0)))</f>
        <v>0</v>
      </c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12.75" customHeight="1">
      <c r="A16" s="195"/>
      <c r="B16" s="195"/>
      <c r="C16" s="219"/>
      <c r="D16" s="220"/>
      <c r="E16" s="220"/>
      <c r="F16" s="220"/>
      <c r="G16" s="220"/>
      <c r="H16" s="220"/>
      <c r="I16" s="220"/>
      <c r="J16" s="221">
        <v>7.0</v>
      </c>
      <c r="K16" s="222">
        <v>6.0</v>
      </c>
      <c r="L16" s="220"/>
      <c r="M16" s="220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4.5" customHeight="1">
      <c r="A17" s="195"/>
      <c r="B17" s="195"/>
      <c r="C17" s="224"/>
      <c r="D17" s="24"/>
      <c r="E17" s="24"/>
      <c r="F17" s="24"/>
      <c r="G17" s="24"/>
      <c r="H17" s="24"/>
      <c r="I17" s="24"/>
      <c r="J17" s="24"/>
      <c r="K17" s="24"/>
      <c r="L17" s="24"/>
      <c r="M17" s="210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12.75" customHeight="1">
      <c r="A18" s="195"/>
      <c r="B18" s="195"/>
      <c r="C18" s="256" t="s">
        <v>232</v>
      </c>
      <c r="D18" s="213" t="s">
        <v>212</v>
      </c>
      <c r="E18" s="214" t="s">
        <v>117</v>
      </c>
      <c r="F18" s="214" t="s">
        <v>123</v>
      </c>
      <c r="G18" s="215" t="s">
        <v>201</v>
      </c>
      <c r="H18" s="214" t="s">
        <v>119</v>
      </c>
      <c r="I18" s="214" t="s">
        <v>125</v>
      </c>
      <c r="J18" s="216">
        <v>6.0</v>
      </c>
      <c r="K18" s="217">
        <v>4.0</v>
      </c>
      <c r="L18" s="218">
        <f>IF(AND(J18&gt;K18,J19&gt;K19),2,IF(J18&gt;K18,1,IF(J19&gt;K19,1,0)))</f>
        <v>1</v>
      </c>
      <c r="M18" s="218">
        <f>IF(AND(K18&gt;J18,K19&gt;J19),2,IF(K18&gt;J18,1,IF(K19&gt;J19,1,0)))</f>
        <v>1</v>
      </c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12.75" customHeight="1">
      <c r="A19" s="195"/>
      <c r="B19" s="195"/>
      <c r="C19" s="219"/>
      <c r="D19" s="220"/>
      <c r="E19" s="220"/>
      <c r="F19" s="220"/>
      <c r="G19" s="220"/>
      <c r="H19" s="220"/>
      <c r="I19" s="220"/>
      <c r="J19" s="221">
        <v>1.0</v>
      </c>
      <c r="K19" s="222">
        <v>6.0</v>
      </c>
      <c r="L19" s="220"/>
      <c r="M19" s="220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4.5" customHeight="1">
      <c r="A20" s="195"/>
      <c r="B20" s="195"/>
      <c r="C20" s="224"/>
      <c r="D20" s="24"/>
      <c r="E20" s="24"/>
      <c r="F20" s="24"/>
      <c r="G20" s="24"/>
      <c r="H20" s="24"/>
      <c r="I20" s="24"/>
      <c r="J20" s="24"/>
      <c r="K20" s="24"/>
      <c r="L20" s="24"/>
      <c r="M20" s="210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15.75" customHeight="1">
      <c r="A21" s="195"/>
      <c r="B21" s="195"/>
      <c r="C21" s="275"/>
      <c r="D21" s="276"/>
      <c r="E21" s="276"/>
      <c r="F21" s="276"/>
      <c r="G21" s="276"/>
      <c r="H21" s="276"/>
      <c r="I21" s="276"/>
      <c r="J21" s="226">
        <f t="shared" ref="J21:M21" si="1">SUM(J12:J19)</f>
        <v>29</v>
      </c>
      <c r="K21" s="226">
        <f t="shared" si="1"/>
        <v>30</v>
      </c>
      <c r="L21" s="226">
        <f t="shared" si="1"/>
        <v>4</v>
      </c>
      <c r="M21" s="226">
        <f t="shared" si="1"/>
        <v>2</v>
      </c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7.5" customHeight="1">
      <c r="A22" s="195"/>
      <c r="B22" s="195"/>
      <c r="C22" s="277"/>
      <c r="D22" s="278"/>
      <c r="E22" s="278"/>
      <c r="F22" s="278"/>
      <c r="G22" s="278"/>
      <c r="H22" s="278"/>
      <c r="I22" s="278"/>
      <c r="J22" s="279"/>
      <c r="K22" s="280"/>
      <c r="L22" s="278"/>
      <c r="M22" s="281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12.75" customHeight="1">
      <c r="A23" s="195"/>
      <c r="B23" s="195"/>
      <c r="C23" s="256" t="s">
        <v>214</v>
      </c>
      <c r="D23" s="213" t="s">
        <v>207</v>
      </c>
      <c r="E23" s="282" t="s">
        <v>67</v>
      </c>
      <c r="F23" s="282" t="s">
        <v>60</v>
      </c>
      <c r="G23" s="215" t="s">
        <v>201</v>
      </c>
      <c r="H23" s="282" t="s">
        <v>62</v>
      </c>
      <c r="I23" s="282" t="s">
        <v>68</v>
      </c>
      <c r="J23" s="283">
        <v>2.0</v>
      </c>
      <c r="K23" s="217">
        <v>6.0</v>
      </c>
      <c r="L23" s="218">
        <f>IF(AND(J23&gt;K23,J24&gt;K24),2,IF(J23&gt;K23,1,IF(J24&gt;K24,1,0)))</f>
        <v>0</v>
      </c>
      <c r="M23" s="218">
        <f>IF(AND(K23&gt;J23,K24&gt;J24),2,IF(K23&gt;J23,1,IF(K24&gt;J24,1,0)))</f>
        <v>2</v>
      </c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12.75" customHeight="1">
      <c r="A24" s="195"/>
      <c r="B24" s="195"/>
      <c r="C24" s="219"/>
      <c r="D24" s="220"/>
      <c r="E24" s="220"/>
      <c r="F24" s="220"/>
      <c r="G24" s="220"/>
      <c r="H24" s="220"/>
      <c r="I24" s="220"/>
      <c r="J24" s="284">
        <v>2.0</v>
      </c>
      <c r="K24" s="222">
        <v>6.0</v>
      </c>
      <c r="L24" s="220"/>
      <c r="M24" s="220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4.5" customHeight="1">
      <c r="A25" s="195"/>
      <c r="B25" s="195"/>
      <c r="C25" s="224"/>
      <c r="D25" s="24"/>
      <c r="E25" s="24"/>
      <c r="F25" s="24"/>
      <c r="G25" s="24"/>
      <c r="H25" s="24"/>
      <c r="I25" s="24"/>
      <c r="J25" s="24"/>
      <c r="K25" s="24"/>
      <c r="L25" s="24"/>
      <c r="M25" s="210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12.75" customHeight="1">
      <c r="A26" s="231"/>
      <c r="B26" s="195"/>
      <c r="C26" s="256" t="s">
        <v>214</v>
      </c>
      <c r="D26" s="213" t="s">
        <v>205</v>
      </c>
      <c r="E26" s="282" t="s">
        <v>99</v>
      </c>
      <c r="F26" s="282" t="s">
        <v>105</v>
      </c>
      <c r="G26" s="215" t="s">
        <v>201</v>
      </c>
      <c r="H26" s="282" t="s">
        <v>169</v>
      </c>
      <c r="I26" s="282" t="s">
        <v>113</v>
      </c>
      <c r="J26" s="283">
        <v>1.0</v>
      </c>
      <c r="K26" s="217">
        <v>6.0</v>
      </c>
      <c r="L26" s="218">
        <f>IF(AND(J26&gt;K26,J27&gt;K27),2,IF(J26&gt;K26,1,IF(J27&gt;K27,1,0)))</f>
        <v>0</v>
      </c>
      <c r="M26" s="218">
        <f>IF(AND(K26&gt;J26,K27&gt;J27),2,IF(K26&gt;J26,1,IF(K27&gt;J27,1,0)))</f>
        <v>2</v>
      </c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12.75" customHeight="1">
      <c r="A27" s="231"/>
      <c r="B27" s="195"/>
      <c r="C27" s="219"/>
      <c r="D27" s="220"/>
      <c r="E27" s="220"/>
      <c r="F27" s="220"/>
      <c r="G27" s="220"/>
      <c r="H27" s="220"/>
      <c r="I27" s="220"/>
      <c r="J27" s="284">
        <v>4.0</v>
      </c>
      <c r="K27" s="222">
        <v>6.0</v>
      </c>
      <c r="L27" s="220"/>
      <c r="M27" s="220"/>
      <c r="N27" s="195"/>
      <c r="O27" s="195"/>
      <c r="P27" s="265" t="s">
        <v>233</v>
      </c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4.5" customHeight="1">
      <c r="A28" s="195"/>
      <c r="B28" s="195"/>
      <c r="C28" s="257" t="s">
        <v>346</v>
      </c>
      <c r="D28" s="24"/>
      <c r="E28" s="24"/>
      <c r="F28" s="24"/>
      <c r="G28" s="24"/>
      <c r="H28" s="24"/>
      <c r="I28" s="24"/>
      <c r="J28" s="24"/>
      <c r="K28" s="24"/>
      <c r="L28" s="24"/>
      <c r="M28" s="210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12.75" customHeight="1">
      <c r="A29" s="195"/>
      <c r="B29" s="195"/>
      <c r="C29" s="256" t="s">
        <v>216</v>
      </c>
      <c r="D29" s="213" t="s">
        <v>220</v>
      </c>
      <c r="E29" s="282" t="s">
        <v>141</v>
      </c>
      <c r="F29" s="282" t="s">
        <v>146</v>
      </c>
      <c r="G29" s="215" t="s">
        <v>201</v>
      </c>
      <c r="H29" s="282" t="s">
        <v>137</v>
      </c>
      <c r="I29" s="282" t="s">
        <v>143</v>
      </c>
      <c r="J29" s="283">
        <v>4.0</v>
      </c>
      <c r="K29" s="217">
        <v>6.0</v>
      </c>
      <c r="L29" s="218">
        <f>IF(AND(J29&gt;K29,J30&gt;K30),2,IF(J29&gt;K29,1,IF(J30&gt;K30,1,0)))</f>
        <v>0</v>
      </c>
      <c r="M29" s="218">
        <f>IF(AND(K29&gt;J29,K30&gt;J30),2,IF(K29&gt;J29,1,IF(K30&gt;J30,1,0)))</f>
        <v>2</v>
      </c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12.75" customHeight="1">
      <c r="A30" s="195"/>
      <c r="B30" s="195"/>
      <c r="C30" s="219"/>
      <c r="D30" s="220"/>
      <c r="E30" s="220"/>
      <c r="F30" s="220"/>
      <c r="G30" s="220"/>
      <c r="H30" s="220"/>
      <c r="I30" s="220"/>
      <c r="J30" s="284">
        <v>2.0</v>
      </c>
      <c r="K30" s="222">
        <v>6.0</v>
      </c>
      <c r="L30" s="220"/>
      <c r="M30" s="220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4.5" customHeight="1">
      <c r="A31" s="195"/>
      <c r="B31" s="195"/>
      <c r="C31" s="224"/>
      <c r="D31" s="24"/>
      <c r="E31" s="24"/>
      <c r="F31" s="24"/>
      <c r="G31" s="24"/>
      <c r="H31" s="24"/>
      <c r="I31" s="24"/>
      <c r="J31" s="24"/>
      <c r="K31" s="24"/>
      <c r="L31" s="24"/>
      <c r="M31" s="210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18.0" customHeight="1">
      <c r="A32" s="195"/>
      <c r="B32" s="195"/>
      <c r="C32" s="256" t="s">
        <v>216</v>
      </c>
      <c r="D32" s="213" t="s">
        <v>209</v>
      </c>
      <c r="E32" s="282" t="s">
        <v>19</v>
      </c>
      <c r="F32" s="282" t="s">
        <v>26</v>
      </c>
      <c r="G32" s="215" t="s">
        <v>201</v>
      </c>
      <c r="H32" s="282" t="s">
        <v>21</v>
      </c>
      <c r="I32" s="282" t="s">
        <v>28</v>
      </c>
      <c r="J32" s="283">
        <v>6.0</v>
      </c>
      <c r="K32" s="217">
        <v>3.0</v>
      </c>
      <c r="L32" s="218">
        <f>IF(AND(J32&gt;K32,J33&gt;K33),2,IF(J32&gt;K32,1,IF(J33&gt;K33,1,0)))</f>
        <v>1</v>
      </c>
      <c r="M32" s="218">
        <f>IF(AND(K32&gt;J32,K33&gt;J33),2,IF(K32&gt;J32,1,IF(K33&gt;J33,1,0)))</f>
        <v>1</v>
      </c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12.0" customHeight="1">
      <c r="A33" s="195"/>
      <c r="B33" s="195"/>
      <c r="C33" s="219"/>
      <c r="D33" s="220"/>
      <c r="E33" s="220"/>
      <c r="F33" s="220"/>
      <c r="G33" s="220"/>
      <c r="H33" s="220"/>
      <c r="I33" s="220"/>
      <c r="J33" s="284">
        <v>4.0</v>
      </c>
      <c r="K33" s="222">
        <v>6.0</v>
      </c>
      <c r="L33" s="220"/>
      <c r="M33" s="220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>
      <c r="A34" s="195"/>
      <c r="B34" s="195"/>
      <c r="C34" s="225"/>
      <c r="D34" s="24"/>
      <c r="E34" s="24"/>
      <c r="F34" s="24"/>
      <c r="G34" s="24"/>
      <c r="H34" s="24"/>
      <c r="I34" s="208"/>
      <c r="J34" s="226">
        <f t="shared" ref="J34:K34" si="2">SUM(J23:J33)</f>
        <v>25</v>
      </c>
      <c r="K34" s="227">
        <f t="shared" si="2"/>
        <v>45</v>
      </c>
      <c r="L34" s="226">
        <f t="shared" ref="L34:M34" si="3">SUM(L23:L32)</f>
        <v>1</v>
      </c>
      <c r="M34" s="227">
        <f t="shared" si="3"/>
        <v>7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>
      <c r="A35" s="195"/>
      <c r="B35" s="195"/>
      <c r="C35" s="229"/>
      <c r="D35" s="24"/>
      <c r="E35" s="24"/>
      <c r="F35" s="24"/>
      <c r="G35" s="24"/>
      <c r="H35" s="24"/>
      <c r="I35" s="24"/>
      <c r="J35" s="24"/>
      <c r="K35" s="24"/>
      <c r="L35" s="24"/>
      <c r="M35" s="210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>
      <c r="A36" s="195"/>
      <c r="B36" s="195"/>
      <c r="C36" s="238"/>
      <c r="D36" s="24"/>
      <c r="E36" s="24"/>
      <c r="F36" s="24"/>
      <c r="G36" s="24"/>
      <c r="H36" s="24"/>
      <c r="I36" s="208"/>
      <c r="J36" s="239">
        <f t="shared" ref="J36:M36" si="4">J21+J34</f>
        <v>54</v>
      </c>
      <c r="K36" s="239">
        <f t="shared" si="4"/>
        <v>75</v>
      </c>
      <c r="L36" s="239">
        <f t="shared" si="4"/>
        <v>5</v>
      </c>
      <c r="M36" s="239">
        <f t="shared" si="4"/>
        <v>9</v>
      </c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>
      <c r="A37" s="195"/>
      <c r="B37" s="195"/>
      <c r="C37" s="285"/>
      <c r="D37" s="285"/>
      <c r="E37" s="285"/>
      <c r="F37" s="285"/>
      <c r="G37" s="285"/>
      <c r="H37" s="285"/>
      <c r="I37" s="285"/>
      <c r="J37" s="286"/>
      <c r="K37" s="286"/>
      <c r="L37" s="286"/>
      <c r="M37" s="286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>
      <c r="A38" s="195"/>
      <c r="B38" s="195"/>
      <c r="C38" s="285"/>
      <c r="D38" s="285"/>
      <c r="E38" s="285"/>
      <c r="F38" s="285"/>
      <c r="G38" s="285"/>
      <c r="H38" s="285"/>
      <c r="I38" s="285"/>
      <c r="J38" s="286"/>
      <c r="K38" s="286"/>
      <c r="L38" s="286"/>
      <c r="M38" s="286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6.75" customHeight="1">
      <c r="A39" s="195"/>
      <c r="B39" s="195"/>
      <c r="C39" s="287"/>
      <c r="D39" s="202"/>
      <c r="E39" s="202"/>
      <c r="F39" s="202"/>
      <c r="G39" s="202"/>
      <c r="H39" s="202"/>
      <c r="I39" s="202"/>
      <c r="J39" s="202"/>
      <c r="K39" s="202"/>
      <c r="L39" s="202"/>
      <c r="M39" s="203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7.5" customHeight="1">
      <c r="A40" s="195"/>
      <c r="B40" s="195"/>
      <c r="C40" s="204" t="s">
        <v>224</v>
      </c>
      <c r="D40" s="199"/>
      <c r="E40" s="199"/>
      <c r="F40" s="199"/>
      <c r="G40" s="199"/>
      <c r="H40" s="199"/>
      <c r="I40" s="199"/>
      <c r="J40" s="199"/>
      <c r="K40" s="199"/>
      <c r="L40" s="199"/>
      <c r="M40" s="200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201"/>
      <c r="D41" s="202"/>
      <c r="E41" s="202"/>
      <c r="F41" s="202"/>
      <c r="G41" s="202"/>
      <c r="H41" s="202"/>
      <c r="I41" s="202"/>
      <c r="J41" s="202"/>
      <c r="K41" s="202"/>
      <c r="L41" s="202"/>
      <c r="M41" s="203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26.25" customHeight="1">
      <c r="A42" s="195"/>
      <c r="B42" s="195"/>
      <c r="C42" s="205" t="s">
        <v>199</v>
      </c>
      <c r="D42" s="206" t="s">
        <v>200</v>
      </c>
      <c r="E42" s="207" t="s">
        <v>347</v>
      </c>
      <c r="F42" s="208"/>
      <c r="G42" s="206"/>
      <c r="H42" s="207" t="s">
        <v>348</v>
      </c>
      <c r="I42" s="208"/>
      <c r="J42" s="209" t="s">
        <v>202</v>
      </c>
      <c r="K42" s="208"/>
      <c r="L42" s="209" t="s">
        <v>203</v>
      </c>
      <c r="M42" s="210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195"/>
      <c r="B43" s="195"/>
      <c r="C43" s="256" t="s">
        <v>211</v>
      </c>
      <c r="D43" s="213" t="s">
        <v>209</v>
      </c>
      <c r="E43" s="282" t="s">
        <v>18</v>
      </c>
      <c r="F43" s="282" t="s">
        <v>25</v>
      </c>
      <c r="G43" s="215" t="s">
        <v>201</v>
      </c>
      <c r="H43" s="282" t="s">
        <v>22</v>
      </c>
      <c r="I43" s="282" t="s">
        <v>29</v>
      </c>
      <c r="J43" s="216">
        <v>6.0</v>
      </c>
      <c r="K43" s="217">
        <v>2.0</v>
      </c>
      <c r="L43" s="218">
        <f>IF(AND(J43&gt;K43,J44&gt;K44),2,IF(J43&gt;K43,1,IF(J44&gt;K44,1,0)))</f>
        <v>1</v>
      </c>
      <c r="M43" s="218">
        <f>IF(AND(K43&gt;J43,K44&gt;J44),2,IF(K43&gt;J43,1,IF(K44&gt;J44,1,0)))</f>
        <v>1</v>
      </c>
      <c r="N43" s="265" t="s">
        <v>349</v>
      </c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195"/>
      <c r="B44" s="195"/>
      <c r="C44" s="219"/>
      <c r="D44" s="220"/>
      <c r="E44" s="220"/>
      <c r="F44" s="220"/>
      <c r="G44" s="220"/>
      <c r="H44" s="220"/>
      <c r="I44" s="220"/>
      <c r="J44" s="221">
        <v>3.0</v>
      </c>
      <c r="K44" s="222">
        <v>6.0</v>
      </c>
      <c r="L44" s="220"/>
      <c r="M44" s="220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4.5" customHeight="1">
      <c r="A45" s="195"/>
      <c r="B45" s="195"/>
      <c r="C45" s="224"/>
      <c r="D45" s="24"/>
      <c r="E45" s="24"/>
      <c r="F45" s="24"/>
      <c r="G45" s="24"/>
      <c r="H45" s="24"/>
      <c r="I45" s="24"/>
      <c r="J45" s="24"/>
      <c r="K45" s="24"/>
      <c r="L45" s="24"/>
      <c r="M45" s="210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195"/>
      <c r="B46" s="195"/>
      <c r="C46" s="256" t="s">
        <v>333</v>
      </c>
      <c r="D46" s="213" t="s">
        <v>207</v>
      </c>
      <c r="E46" s="282" t="s">
        <v>59</v>
      </c>
      <c r="F46" s="282" t="s">
        <v>66</v>
      </c>
      <c r="G46" s="215" t="s">
        <v>201</v>
      </c>
      <c r="H46" s="282" t="s">
        <v>63</v>
      </c>
      <c r="I46" s="282" t="s">
        <v>69</v>
      </c>
      <c r="J46" s="216">
        <v>4.0</v>
      </c>
      <c r="K46" s="217">
        <v>6.0</v>
      </c>
      <c r="L46" s="218">
        <f>IF(AND(J46&gt;K46,J47&gt;K47),2,IF(J46&gt;K46,1,IF(J47&gt;K47,1,0)))</f>
        <v>1</v>
      </c>
      <c r="M46" s="218">
        <f>IF(AND(K46&gt;J46,K47&gt;J47),2,IF(K46&gt;J46,1,IF(K47&gt;J47,1,0)))</f>
        <v>1</v>
      </c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219"/>
      <c r="D47" s="220"/>
      <c r="E47" s="220"/>
      <c r="F47" s="220"/>
      <c r="G47" s="220"/>
      <c r="H47" s="220"/>
      <c r="I47" s="220"/>
      <c r="J47" s="221">
        <v>6.0</v>
      </c>
      <c r="K47" s="222">
        <v>3.0</v>
      </c>
      <c r="L47" s="220"/>
      <c r="M47" s="220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4.5" customHeight="1">
      <c r="A48" s="195"/>
      <c r="B48" s="195"/>
      <c r="C48" s="224"/>
      <c r="D48" s="24"/>
      <c r="E48" s="24"/>
      <c r="F48" s="24"/>
      <c r="G48" s="24"/>
      <c r="H48" s="24"/>
      <c r="I48" s="24"/>
      <c r="J48" s="24"/>
      <c r="K48" s="24"/>
      <c r="L48" s="24"/>
      <c r="M48" s="210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256" t="s">
        <v>333</v>
      </c>
      <c r="D49" s="213" t="s">
        <v>205</v>
      </c>
      <c r="E49" s="282" t="s">
        <v>104</v>
      </c>
      <c r="F49" s="282" t="s">
        <v>110</v>
      </c>
      <c r="G49" s="288" t="s">
        <v>201</v>
      </c>
      <c r="H49" s="282" t="s">
        <v>102</v>
      </c>
      <c r="I49" s="282" t="s">
        <v>108</v>
      </c>
      <c r="J49" s="283">
        <v>1.0</v>
      </c>
      <c r="K49" s="217">
        <v>6.0</v>
      </c>
      <c r="L49" s="289">
        <f>IF(AND(J49&gt;K49,J50&gt;K50),2,IF(J49&gt;K49,1,IF(J50&gt;K50,1,0)))</f>
        <v>0</v>
      </c>
      <c r="M49" s="218">
        <f>IF(AND(K49&gt;J49,K50&gt;J50),2,IF(K49&gt;J49,1,IF(K50&gt;J50,1,0)))</f>
        <v>2</v>
      </c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219"/>
      <c r="D50" s="220"/>
      <c r="E50" s="220"/>
      <c r="F50" s="220"/>
      <c r="G50" s="290"/>
      <c r="H50" s="220"/>
      <c r="I50" s="220"/>
      <c r="J50" s="284">
        <v>0.0</v>
      </c>
      <c r="K50" s="222">
        <v>6.0</v>
      </c>
      <c r="L50" s="220"/>
      <c r="M50" s="220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4.5" customHeight="1">
      <c r="A51" s="195"/>
      <c r="B51" s="195"/>
      <c r="C51" s="224"/>
      <c r="D51" s="24"/>
      <c r="E51" s="24"/>
      <c r="F51" s="24"/>
      <c r="G51" s="24"/>
      <c r="H51" s="24"/>
      <c r="I51" s="24"/>
      <c r="J51" s="24"/>
      <c r="K51" s="24"/>
      <c r="L51" s="24"/>
      <c r="M51" s="210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256" t="s">
        <v>232</v>
      </c>
      <c r="D52" s="245" t="s">
        <v>215</v>
      </c>
      <c r="E52" s="282" t="s">
        <v>77</v>
      </c>
      <c r="F52" s="282" t="s">
        <v>84</v>
      </c>
      <c r="G52" s="215" t="s">
        <v>201</v>
      </c>
      <c r="H52" s="282" t="s">
        <v>81</v>
      </c>
      <c r="I52" s="282" t="s">
        <v>88</v>
      </c>
      <c r="J52" s="291">
        <v>2.0</v>
      </c>
      <c r="K52" s="292">
        <v>6.0</v>
      </c>
      <c r="L52" s="289">
        <f>IF(AND(J52&gt;K52,J53&gt;K53),2,IF(J52&gt;K52,1,IF(J53&gt;K53,1,0)))</f>
        <v>0</v>
      </c>
      <c r="M52" s="218">
        <f>IF(AND(K52&gt;J52,K53&gt;J53),2,IF(K52&gt;J52,1,IF(K53&gt;J53,1,0)))</f>
        <v>2</v>
      </c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219"/>
      <c r="D53" s="220"/>
      <c r="E53" s="220"/>
      <c r="F53" s="220"/>
      <c r="G53" s="220"/>
      <c r="H53" s="220"/>
      <c r="I53" s="220"/>
      <c r="J53" s="293">
        <v>3.0</v>
      </c>
      <c r="K53" s="294">
        <v>6.0</v>
      </c>
      <c r="L53" s="220"/>
      <c r="M53" s="220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4.5" customHeight="1">
      <c r="A54" s="195"/>
      <c r="B54" s="195"/>
      <c r="C54" s="261"/>
      <c r="D54" s="262"/>
      <c r="E54" s="262"/>
      <c r="F54" s="262"/>
      <c r="G54" s="262"/>
      <c r="H54" s="262"/>
      <c r="I54" s="262"/>
      <c r="J54" s="262"/>
      <c r="K54" s="262"/>
      <c r="L54" s="262"/>
      <c r="M54" s="263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275"/>
      <c r="D55" s="276"/>
      <c r="E55" s="276"/>
      <c r="F55" s="276"/>
      <c r="G55" s="276"/>
      <c r="H55" s="276"/>
      <c r="I55" s="276"/>
      <c r="J55" s="226">
        <f t="shared" ref="J55:M55" si="5">SUM(J43:J53)</f>
        <v>25</v>
      </c>
      <c r="K55" s="226">
        <f t="shared" si="5"/>
        <v>41</v>
      </c>
      <c r="L55" s="226">
        <f t="shared" si="5"/>
        <v>2</v>
      </c>
      <c r="M55" s="226">
        <f t="shared" si="5"/>
        <v>6</v>
      </c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7.5" customHeight="1">
      <c r="A56" s="195"/>
      <c r="B56" s="195"/>
      <c r="C56" s="243"/>
      <c r="D56" s="24"/>
      <c r="E56" s="24"/>
      <c r="F56" s="24"/>
      <c r="G56" s="24"/>
      <c r="H56" s="24"/>
      <c r="I56" s="24"/>
      <c r="J56" s="24"/>
      <c r="K56" s="24"/>
      <c r="L56" s="24"/>
      <c r="M56" s="210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230"/>
      <c r="D57" s="24"/>
      <c r="E57" s="24"/>
      <c r="F57" s="24"/>
      <c r="G57" s="24"/>
      <c r="H57" s="24"/>
      <c r="I57" s="24"/>
      <c r="J57" s="24"/>
      <c r="K57" s="24"/>
      <c r="L57" s="24"/>
      <c r="M57" s="210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256" t="s">
        <v>232</v>
      </c>
      <c r="D58" s="213" t="s">
        <v>212</v>
      </c>
      <c r="E58" s="282" t="s">
        <v>116</v>
      </c>
      <c r="F58" s="282" t="s">
        <v>122</v>
      </c>
      <c r="G58" s="215" t="s">
        <v>201</v>
      </c>
      <c r="H58" s="282" t="s">
        <v>120</v>
      </c>
      <c r="I58" s="282" t="s">
        <v>230</v>
      </c>
      <c r="J58" s="216">
        <v>6.0</v>
      </c>
      <c r="K58" s="217">
        <v>4.0</v>
      </c>
      <c r="L58" s="218">
        <f>IF(AND(J58&gt;K58,J59&gt;K59),2,IF(J58&gt;K58,1,IF(J59&gt;K59,1,0)))</f>
        <v>1</v>
      </c>
      <c r="M58" s="218">
        <f>IF(AND(K58&gt;J58,K59&gt;J59),2,IF(K58&gt;J58,1,IF(K59&gt;J59,1,0)))</f>
        <v>1</v>
      </c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219"/>
      <c r="D59" s="220"/>
      <c r="E59" s="220"/>
      <c r="F59" s="220"/>
      <c r="G59" s="220"/>
      <c r="H59" s="220"/>
      <c r="I59" s="220"/>
      <c r="J59" s="221">
        <v>1.0</v>
      </c>
      <c r="K59" s="222">
        <v>6.0</v>
      </c>
      <c r="L59" s="220"/>
      <c r="M59" s="220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4.5" customHeight="1">
      <c r="A60" s="195"/>
      <c r="B60" s="195"/>
      <c r="C60" s="224"/>
      <c r="D60" s="24"/>
      <c r="E60" s="24"/>
      <c r="F60" s="24"/>
      <c r="G60" s="24"/>
      <c r="H60" s="24"/>
      <c r="I60" s="24"/>
      <c r="J60" s="24"/>
      <c r="K60" s="24"/>
      <c r="L60" s="24"/>
      <c r="M60" s="210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256" t="s">
        <v>214</v>
      </c>
      <c r="D61" s="213" t="s">
        <v>220</v>
      </c>
      <c r="E61" s="282" t="s">
        <v>350</v>
      </c>
      <c r="F61" s="282" t="s">
        <v>134</v>
      </c>
      <c r="G61" s="215" t="s">
        <v>201</v>
      </c>
      <c r="H61" s="282" t="s">
        <v>138</v>
      </c>
      <c r="I61" s="282" t="s">
        <v>144</v>
      </c>
      <c r="J61" s="216">
        <v>6.0</v>
      </c>
      <c r="K61" s="217">
        <v>2.0</v>
      </c>
      <c r="L61" s="218">
        <f>IF(AND(J61&gt;K61,J62&gt;K62),2,IF(J61&gt;K61,1,IF(J62&gt;K62,1,0)))</f>
        <v>2</v>
      </c>
      <c r="M61" s="218">
        <f>IF(AND(K61&gt;J61,K62&gt;J62),2,IF(K61&gt;J61,1,IF(K62&gt;J62,1,0)))</f>
        <v>0</v>
      </c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219"/>
      <c r="D62" s="220"/>
      <c r="E62" s="220"/>
      <c r="F62" s="220"/>
      <c r="G62" s="220"/>
      <c r="H62" s="220"/>
      <c r="I62" s="220"/>
      <c r="J62" s="221">
        <v>6.0</v>
      </c>
      <c r="K62" s="222">
        <v>2.0</v>
      </c>
      <c r="L62" s="220"/>
      <c r="M62" s="220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4.5" customHeight="1">
      <c r="A63" s="195"/>
      <c r="B63" s="195"/>
      <c r="C63" s="224"/>
      <c r="D63" s="24"/>
      <c r="E63" s="24"/>
      <c r="F63" s="24"/>
      <c r="G63" s="24"/>
      <c r="H63" s="24"/>
      <c r="I63" s="24"/>
      <c r="J63" s="24"/>
      <c r="K63" s="24"/>
      <c r="L63" s="24"/>
      <c r="M63" s="210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256" t="s">
        <v>216</v>
      </c>
      <c r="D64" s="213" t="s">
        <v>217</v>
      </c>
      <c r="E64" s="282" t="s">
        <v>39</v>
      </c>
      <c r="F64" s="282" t="s">
        <v>53</v>
      </c>
      <c r="G64" s="215" t="s">
        <v>201</v>
      </c>
      <c r="H64" s="282" t="s">
        <v>50</v>
      </c>
      <c r="I64" s="282" t="s">
        <v>56</v>
      </c>
      <c r="J64" s="283">
        <v>6.0</v>
      </c>
      <c r="K64" s="217">
        <v>1.0</v>
      </c>
      <c r="L64" s="218">
        <f>IF(AND(J64&gt;K64,J65&gt;K65),2,IF(J64&gt;K64,1,IF(J65&gt;K65,1,0)))</f>
        <v>2</v>
      </c>
      <c r="M64" s="218">
        <f>IF(AND(K64&gt;J64,K65&gt;J65),2,IF(K64&gt;J64,1,IF(K65&gt;J65,1,0)))</f>
        <v>0</v>
      </c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219"/>
      <c r="D65" s="220"/>
      <c r="E65" s="220"/>
      <c r="F65" s="220"/>
      <c r="G65" s="220"/>
      <c r="H65" s="220"/>
      <c r="I65" s="220"/>
      <c r="J65" s="284">
        <v>7.0</v>
      </c>
      <c r="K65" s="222">
        <v>5.0</v>
      </c>
      <c r="L65" s="220"/>
      <c r="M65" s="220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4.5" customHeight="1">
      <c r="A66" s="195"/>
      <c r="B66" s="195"/>
      <c r="C66" s="224"/>
      <c r="D66" s="24"/>
      <c r="E66" s="24"/>
      <c r="F66" s="24"/>
      <c r="G66" s="24"/>
      <c r="H66" s="24"/>
      <c r="I66" s="24"/>
      <c r="J66" s="24"/>
      <c r="K66" s="24"/>
      <c r="L66" s="24"/>
      <c r="M66" s="210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5.0" customHeight="1">
      <c r="A67" s="195"/>
      <c r="B67" s="195"/>
      <c r="C67" s="212"/>
      <c r="D67" s="249"/>
      <c r="E67" s="295"/>
      <c r="F67" s="295"/>
      <c r="G67" s="215" t="s">
        <v>201</v>
      </c>
      <c r="H67" s="295"/>
      <c r="I67" s="282" t="s">
        <v>351</v>
      </c>
      <c r="J67" s="234"/>
      <c r="K67" s="235"/>
      <c r="L67" s="218">
        <f>IF(AND(J67&gt;K67,J68&gt;K68),2,IF(J67&gt;K67,1,IF(J68&gt;K68,1,0)))</f>
        <v>0</v>
      </c>
      <c r="M67" s="218">
        <f>IF(AND(K67&gt;J67,K68&gt;J68),2,IF(K67&gt;J67,1,IF(K68&gt;J68,1,0)))</f>
        <v>0</v>
      </c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5.0" customHeight="1">
      <c r="A68" s="195"/>
      <c r="B68" s="195"/>
      <c r="C68" s="219"/>
      <c r="D68" s="220"/>
      <c r="E68" s="220"/>
      <c r="F68" s="220"/>
      <c r="G68" s="220"/>
      <c r="H68" s="220"/>
      <c r="I68" s="220"/>
      <c r="J68" s="236"/>
      <c r="K68" s="237"/>
      <c r="L68" s="220"/>
      <c r="M68" s="220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275"/>
      <c r="D69" s="276"/>
      <c r="E69" s="276"/>
      <c r="F69" s="276"/>
      <c r="G69" s="276"/>
      <c r="H69" s="276"/>
      <c r="I69" s="276"/>
      <c r="J69" s="226">
        <f t="shared" ref="J69:M69" si="6">SUM(J58:J68)</f>
        <v>32</v>
      </c>
      <c r="K69" s="226">
        <f t="shared" si="6"/>
        <v>20</v>
      </c>
      <c r="L69" s="226">
        <f t="shared" si="6"/>
        <v>5</v>
      </c>
      <c r="M69" s="226">
        <f t="shared" si="6"/>
        <v>1</v>
      </c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229"/>
      <c r="D70" s="24"/>
      <c r="E70" s="24"/>
      <c r="F70" s="24"/>
      <c r="G70" s="24"/>
      <c r="H70" s="24"/>
      <c r="I70" s="24"/>
      <c r="J70" s="24"/>
      <c r="K70" s="24"/>
      <c r="L70" s="24"/>
      <c r="M70" s="210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238"/>
      <c r="D71" s="24"/>
      <c r="E71" s="24"/>
      <c r="F71" s="24"/>
      <c r="G71" s="24"/>
      <c r="H71" s="24"/>
      <c r="I71" s="208"/>
      <c r="J71" s="239">
        <f t="shared" ref="J71:M71" si="7">J55+J69</f>
        <v>57</v>
      </c>
      <c r="K71" s="239">
        <f t="shared" si="7"/>
        <v>61</v>
      </c>
      <c r="L71" s="239">
        <f t="shared" si="7"/>
        <v>7</v>
      </c>
      <c r="M71" s="239">
        <f t="shared" si="7"/>
        <v>7</v>
      </c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195"/>
      <c r="E97" s="195"/>
      <c r="F97" s="195" t="s">
        <v>233</v>
      </c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69">
    <mergeCell ref="I58:I59"/>
    <mergeCell ref="L58:L59"/>
    <mergeCell ref="C54:M54"/>
    <mergeCell ref="C56:M56"/>
    <mergeCell ref="C57:M57"/>
    <mergeCell ref="C58:C59"/>
    <mergeCell ref="D58:D59"/>
    <mergeCell ref="E58:E59"/>
    <mergeCell ref="F58:F59"/>
    <mergeCell ref="M58:M59"/>
    <mergeCell ref="H42:I42"/>
    <mergeCell ref="J42:K42"/>
    <mergeCell ref="I32:I33"/>
    <mergeCell ref="C34:I34"/>
    <mergeCell ref="C35:M35"/>
    <mergeCell ref="C36:I36"/>
    <mergeCell ref="C39:M39"/>
    <mergeCell ref="C40:M41"/>
    <mergeCell ref="L42:M42"/>
    <mergeCell ref="I43:I44"/>
    <mergeCell ref="L43:L44"/>
    <mergeCell ref="M43:M44"/>
    <mergeCell ref="C45:M45"/>
    <mergeCell ref="E42:F42"/>
    <mergeCell ref="C43:C44"/>
    <mergeCell ref="D43:D44"/>
    <mergeCell ref="E43:E44"/>
    <mergeCell ref="F43:F44"/>
    <mergeCell ref="G43:G44"/>
    <mergeCell ref="H43:H44"/>
    <mergeCell ref="L46:L47"/>
    <mergeCell ref="M46:M47"/>
    <mergeCell ref="L49:L50"/>
    <mergeCell ref="M49:M50"/>
    <mergeCell ref="I49:I50"/>
    <mergeCell ref="C51:M51"/>
    <mergeCell ref="G67:G68"/>
    <mergeCell ref="H67:H68"/>
    <mergeCell ref="M67:M68"/>
    <mergeCell ref="C1:M3"/>
    <mergeCell ref="C6:M6"/>
    <mergeCell ref="C7:M8"/>
    <mergeCell ref="C9:M10"/>
    <mergeCell ref="H11:I11"/>
    <mergeCell ref="J11:K11"/>
    <mergeCell ref="L11:M11"/>
    <mergeCell ref="I12:I13"/>
    <mergeCell ref="L12:L13"/>
    <mergeCell ref="M12:M13"/>
    <mergeCell ref="C14:M14"/>
    <mergeCell ref="E11:F11"/>
    <mergeCell ref="C12:C13"/>
    <mergeCell ref="D12:D13"/>
    <mergeCell ref="E12:E13"/>
    <mergeCell ref="F12:F13"/>
    <mergeCell ref="G12:G13"/>
    <mergeCell ref="H12:H13"/>
    <mergeCell ref="L15:L16"/>
    <mergeCell ref="M15:M16"/>
    <mergeCell ref="L18:L19"/>
    <mergeCell ref="M18:M19"/>
    <mergeCell ref="D15:D16"/>
    <mergeCell ref="E15:E16"/>
    <mergeCell ref="F15:F16"/>
    <mergeCell ref="G15:G16"/>
    <mergeCell ref="H15:H16"/>
    <mergeCell ref="I15:I16"/>
    <mergeCell ref="C17:M17"/>
    <mergeCell ref="I18:I19"/>
    <mergeCell ref="C20:M20"/>
    <mergeCell ref="C15:C16"/>
    <mergeCell ref="C18:C19"/>
    <mergeCell ref="D18:D19"/>
    <mergeCell ref="E18:E19"/>
    <mergeCell ref="F18:F19"/>
    <mergeCell ref="G18:G19"/>
    <mergeCell ref="H18:H19"/>
    <mergeCell ref="L23:L24"/>
    <mergeCell ref="M23:M24"/>
    <mergeCell ref="L26:L27"/>
    <mergeCell ref="M26:M27"/>
    <mergeCell ref="D23:D24"/>
    <mergeCell ref="E23:E24"/>
    <mergeCell ref="F23:F24"/>
    <mergeCell ref="G23:G24"/>
    <mergeCell ref="H23:H24"/>
    <mergeCell ref="I23:I24"/>
    <mergeCell ref="C25:M25"/>
    <mergeCell ref="I26:I27"/>
    <mergeCell ref="C28:M28"/>
    <mergeCell ref="C23:C24"/>
    <mergeCell ref="C26:C27"/>
    <mergeCell ref="D26:D27"/>
    <mergeCell ref="E26:E27"/>
    <mergeCell ref="F26:F27"/>
    <mergeCell ref="G26:G27"/>
    <mergeCell ref="H26:H27"/>
    <mergeCell ref="L29:L30"/>
    <mergeCell ref="M29:M30"/>
    <mergeCell ref="L32:L33"/>
    <mergeCell ref="M32:M33"/>
    <mergeCell ref="D29:D30"/>
    <mergeCell ref="E29:E30"/>
    <mergeCell ref="F29:F30"/>
    <mergeCell ref="G29:G30"/>
    <mergeCell ref="H29:H30"/>
    <mergeCell ref="I29:I30"/>
    <mergeCell ref="C31:M31"/>
    <mergeCell ref="C29:C30"/>
    <mergeCell ref="C32:C33"/>
    <mergeCell ref="D32:D33"/>
    <mergeCell ref="E32:E33"/>
    <mergeCell ref="F32:F33"/>
    <mergeCell ref="G32:G33"/>
    <mergeCell ref="H32:H33"/>
    <mergeCell ref="D46:D47"/>
    <mergeCell ref="E46:E47"/>
    <mergeCell ref="F46:F47"/>
    <mergeCell ref="G46:G47"/>
    <mergeCell ref="H46:H47"/>
    <mergeCell ref="I46:I47"/>
    <mergeCell ref="C48:M48"/>
    <mergeCell ref="C46:C47"/>
    <mergeCell ref="C49:C50"/>
    <mergeCell ref="D49:D50"/>
    <mergeCell ref="E49:E50"/>
    <mergeCell ref="F49:F50"/>
    <mergeCell ref="G49:G50"/>
    <mergeCell ref="H49:H50"/>
    <mergeCell ref="L52:L53"/>
    <mergeCell ref="M52:M53"/>
    <mergeCell ref="C52:C53"/>
    <mergeCell ref="D52:D53"/>
    <mergeCell ref="E52:E53"/>
    <mergeCell ref="F52:F53"/>
    <mergeCell ref="G52:G53"/>
    <mergeCell ref="H52:H53"/>
    <mergeCell ref="I52:I53"/>
    <mergeCell ref="I61:I62"/>
    <mergeCell ref="L61:L62"/>
    <mergeCell ref="G58:G59"/>
    <mergeCell ref="H58:H59"/>
    <mergeCell ref="C60:M60"/>
    <mergeCell ref="C61:C62"/>
    <mergeCell ref="D61:D62"/>
    <mergeCell ref="E61:E62"/>
    <mergeCell ref="F61:F62"/>
    <mergeCell ref="M61:M62"/>
    <mergeCell ref="I64:I65"/>
    <mergeCell ref="L64:L65"/>
    <mergeCell ref="G61:G62"/>
    <mergeCell ref="H61:H62"/>
    <mergeCell ref="C63:M63"/>
    <mergeCell ref="C64:C65"/>
    <mergeCell ref="D64:D65"/>
    <mergeCell ref="E64:E65"/>
    <mergeCell ref="F64:F65"/>
    <mergeCell ref="M64:M65"/>
    <mergeCell ref="I67:I68"/>
    <mergeCell ref="L67:L68"/>
    <mergeCell ref="C70:M70"/>
    <mergeCell ref="C71:I71"/>
    <mergeCell ref="G64:G65"/>
    <mergeCell ref="H64:H65"/>
    <mergeCell ref="C66:M66"/>
    <mergeCell ref="C67:C68"/>
    <mergeCell ref="D67:D68"/>
    <mergeCell ref="E67:E68"/>
    <mergeCell ref="F67:F6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2.38"/>
    <col customWidth="1" min="3" max="4" width="22.63"/>
    <col customWidth="1" min="5" max="5" width="4.88"/>
    <col customWidth="1" min="6" max="7" width="22.63"/>
    <col customWidth="1" min="8" max="11" width="6.88"/>
    <col customWidth="1" min="12" max="13" width="9.13"/>
    <col customWidth="1" min="14" max="26" width="8.0"/>
  </cols>
  <sheetData>
    <row r="1" ht="12.75" customHeight="1">
      <c r="A1" s="196" t="s">
        <v>196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2.75" customHeight="1"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12.75" customHeight="1"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ht="12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ht="13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ht="20.25" customHeight="1">
      <c r="A6" s="259" t="s">
        <v>352</v>
      </c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ht="4.5" customHeight="1">
      <c r="A7" s="274"/>
      <c r="B7" s="199"/>
      <c r="C7" s="199"/>
      <c r="D7" s="199"/>
      <c r="E7" s="199"/>
      <c r="F7" s="199"/>
      <c r="G7" s="199"/>
      <c r="H7" s="199"/>
      <c r="I7" s="199"/>
      <c r="J7" s="199"/>
      <c r="K7" s="200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ht="3.0" customHeight="1">
      <c r="A8" s="201"/>
      <c r="B8" s="202"/>
      <c r="C8" s="202"/>
      <c r="D8" s="202"/>
      <c r="E8" s="202"/>
      <c r="F8" s="202"/>
      <c r="G8" s="202"/>
      <c r="H8" s="202"/>
      <c r="I8" s="202"/>
      <c r="J8" s="202"/>
      <c r="K8" s="203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ht="12.75" customHeight="1">
      <c r="A9" s="204" t="s">
        <v>353</v>
      </c>
      <c r="B9" s="199"/>
      <c r="C9" s="199"/>
      <c r="D9" s="199"/>
      <c r="E9" s="199"/>
      <c r="F9" s="199"/>
      <c r="G9" s="199"/>
      <c r="H9" s="199"/>
      <c r="I9" s="199"/>
      <c r="J9" s="199"/>
      <c r="K9" s="200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ht="12.75" customHeight="1">
      <c r="A10" s="201"/>
      <c r="B10" s="202"/>
      <c r="C10" s="202"/>
      <c r="D10" s="202"/>
      <c r="E10" s="202"/>
      <c r="F10" s="202"/>
      <c r="G10" s="202"/>
      <c r="H10" s="202"/>
      <c r="I10" s="202"/>
      <c r="J10" s="202"/>
      <c r="K10" s="203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ht="19.5" customHeight="1">
      <c r="A11" s="296" t="s">
        <v>199</v>
      </c>
      <c r="B11" s="297" t="s">
        <v>200</v>
      </c>
      <c r="C11" s="298" t="s">
        <v>288</v>
      </c>
      <c r="D11" s="208"/>
      <c r="E11" s="297"/>
      <c r="F11" s="298" t="s">
        <v>289</v>
      </c>
      <c r="G11" s="208"/>
      <c r="H11" s="299" t="s">
        <v>202</v>
      </c>
      <c r="I11" s="208"/>
      <c r="J11" s="299" t="s">
        <v>203</v>
      </c>
      <c r="K11" s="210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ht="21.0" customHeight="1">
      <c r="A12" s="300" t="s">
        <v>354</v>
      </c>
      <c r="B12" s="301" t="s">
        <v>207</v>
      </c>
      <c r="C12" s="302" t="s">
        <v>62</v>
      </c>
      <c r="D12" s="302" t="s">
        <v>68</v>
      </c>
      <c r="E12" s="303" t="s">
        <v>201</v>
      </c>
      <c r="F12" s="302" t="s">
        <v>63</v>
      </c>
      <c r="G12" s="302" t="s">
        <v>69</v>
      </c>
      <c r="H12" s="304"/>
      <c r="I12" s="305"/>
      <c r="J12" s="306">
        <f>IF(AND(H12&gt;I12,H13&gt;I13),2,IF(H12&gt;I12,1,IF(H13&gt;I13,1,0)))</f>
        <v>0</v>
      </c>
      <c r="K12" s="306">
        <f>IF(AND(I12&gt;H12,I13&gt;H13),2,IF(I12&gt;H12,1,IF(I13&gt;H13,1,0)))</f>
        <v>0</v>
      </c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ht="21.0" customHeight="1">
      <c r="A13" s="219"/>
      <c r="B13" s="220"/>
      <c r="C13" s="220"/>
      <c r="D13" s="220"/>
      <c r="E13" s="220"/>
      <c r="F13" s="220"/>
      <c r="G13" s="220"/>
      <c r="H13" s="307"/>
      <c r="I13" s="308"/>
      <c r="J13" s="220"/>
      <c r="K13" s="220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ht="4.5" customHeight="1">
      <c r="A14" s="309"/>
      <c r="B14" s="24"/>
      <c r="C14" s="24"/>
      <c r="D14" s="24"/>
      <c r="E14" s="24"/>
      <c r="F14" s="24"/>
      <c r="G14" s="24"/>
      <c r="H14" s="24"/>
      <c r="I14" s="24"/>
      <c r="J14" s="24"/>
      <c r="K14" s="210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ht="21.0" customHeight="1">
      <c r="A15" s="310" t="s">
        <v>354</v>
      </c>
      <c r="B15" s="301" t="s">
        <v>215</v>
      </c>
      <c r="C15" s="302" t="s">
        <v>80</v>
      </c>
      <c r="D15" s="302" t="s">
        <v>87</v>
      </c>
      <c r="E15" s="303" t="s">
        <v>201</v>
      </c>
      <c r="F15" s="302" t="s">
        <v>81</v>
      </c>
      <c r="G15" s="302" t="s">
        <v>88</v>
      </c>
      <c r="H15" s="304"/>
      <c r="I15" s="305"/>
      <c r="J15" s="306">
        <f>IF(AND(H15&gt;I15,H16&gt;I16),2,IF(H15&gt;I15,1,IF(H16&gt;I16,1,0)))</f>
        <v>0</v>
      </c>
      <c r="K15" s="306">
        <f>IF(AND(I15&gt;H15,I16&gt;H16),2,IF(I15&gt;H15,1,IF(I16&gt;H16,1,0)))</f>
        <v>0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ht="21.0" customHeight="1">
      <c r="A16" s="219"/>
      <c r="B16" s="220"/>
      <c r="C16" s="220"/>
      <c r="D16" s="220"/>
      <c r="E16" s="220"/>
      <c r="F16" s="220"/>
      <c r="G16" s="220"/>
      <c r="H16" s="307"/>
      <c r="I16" s="308"/>
      <c r="J16" s="220"/>
      <c r="K16" s="220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ht="4.5" customHeight="1">
      <c r="A17" s="311"/>
      <c r="B17" s="24"/>
      <c r="C17" s="24"/>
      <c r="D17" s="24"/>
      <c r="E17" s="24"/>
      <c r="F17" s="24"/>
      <c r="G17" s="24"/>
      <c r="H17" s="24"/>
      <c r="I17" s="24"/>
      <c r="J17" s="24"/>
      <c r="K17" s="210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ht="21.0" customHeight="1">
      <c r="A18" s="310" t="s">
        <v>354</v>
      </c>
      <c r="B18" s="301" t="s">
        <v>220</v>
      </c>
      <c r="C18" s="302" t="s">
        <v>137</v>
      </c>
      <c r="D18" s="302" t="s">
        <v>143</v>
      </c>
      <c r="E18" s="303" t="s">
        <v>201</v>
      </c>
      <c r="F18" s="302" t="s">
        <v>138</v>
      </c>
      <c r="G18" s="302" t="s">
        <v>144</v>
      </c>
      <c r="H18" s="304"/>
      <c r="I18" s="305"/>
      <c r="J18" s="306">
        <f>IF(AND(H18&gt;I18,H19&gt;I19),2,IF(H18&gt;I18,1,IF(H19&gt;I19,1,0)))</f>
        <v>0</v>
      </c>
      <c r="K18" s="306">
        <f>IF(AND(I18&gt;H18,I19&gt;H19),2,IF(I18&gt;H18,1,IF(I19&gt;H19,1,0)))</f>
        <v>0</v>
      </c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ht="21.0" customHeight="1">
      <c r="A19" s="219"/>
      <c r="B19" s="220"/>
      <c r="C19" s="220"/>
      <c r="D19" s="220"/>
      <c r="E19" s="220"/>
      <c r="F19" s="220"/>
      <c r="G19" s="220"/>
      <c r="H19" s="307"/>
      <c r="I19" s="308"/>
      <c r="J19" s="220"/>
      <c r="K19" s="220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ht="4.5" customHeight="1">
      <c r="A20" s="311"/>
      <c r="B20" s="24"/>
      <c r="C20" s="24"/>
      <c r="D20" s="24"/>
      <c r="E20" s="24"/>
      <c r="F20" s="24"/>
      <c r="G20" s="24"/>
      <c r="H20" s="24"/>
      <c r="I20" s="24"/>
      <c r="J20" s="24"/>
      <c r="K20" s="210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ht="21.0" customHeight="1">
      <c r="A21" s="310" t="s">
        <v>354</v>
      </c>
      <c r="B21" s="312" t="s">
        <v>217</v>
      </c>
      <c r="C21" s="302" t="s">
        <v>42</v>
      </c>
      <c r="D21" s="302" t="s">
        <v>49</v>
      </c>
      <c r="E21" s="303" t="s">
        <v>201</v>
      </c>
      <c r="F21" s="302" t="s">
        <v>50</v>
      </c>
      <c r="G21" s="302" t="s">
        <v>56</v>
      </c>
      <c r="H21" s="304"/>
      <c r="I21" s="305"/>
      <c r="J21" s="306">
        <f>IF(AND(H21&gt;I21,H22&gt;I22),2,IF(H21&gt;I21,1,IF(H22&gt;I22,1,0)))</f>
        <v>0</v>
      </c>
      <c r="K21" s="306">
        <f>IF(AND(I21&gt;H21,I22&gt;H22),2,IF(I21&gt;H21,1,IF(I22&gt;H22,1,0)))</f>
        <v>0</v>
      </c>
      <c r="L21" s="265" t="s">
        <v>355</v>
      </c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ht="21.0" customHeight="1">
      <c r="A22" s="219"/>
      <c r="B22" s="220"/>
      <c r="C22" s="220"/>
      <c r="D22" s="220"/>
      <c r="E22" s="220"/>
      <c r="F22" s="220"/>
      <c r="G22" s="220"/>
      <c r="H22" s="307"/>
      <c r="I22" s="308"/>
      <c r="J22" s="220"/>
      <c r="K22" s="220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ht="4.5" customHeight="1">
      <c r="A23" s="311"/>
      <c r="B23" s="24"/>
      <c r="C23" s="24"/>
      <c r="D23" s="24"/>
      <c r="E23" s="24"/>
      <c r="F23" s="24"/>
      <c r="G23" s="24"/>
      <c r="H23" s="24"/>
      <c r="I23" s="24"/>
      <c r="J23" s="24"/>
      <c r="K23" s="210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ht="21.0" customHeight="1">
      <c r="A24" s="310" t="s">
        <v>356</v>
      </c>
      <c r="B24" s="301" t="s">
        <v>209</v>
      </c>
      <c r="C24" s="313" t="s">
        <v>21</v>
      </c>
      <c r="D24" s="313" t="s">
        <v>28</v>
      </c>
      <c r="E24" s="303" t="s">
        <v>201</v>
      </c>
      <c r="F24" s="313" t="s">
        <v>22</v>
      </c>
      <c r="G24" s="313" t="s">
        <v>29</v>
      </c>
      <c r="H24" s="314"/>
      <c r="I24" s="305"/>
      <c r="J24" s="306">
        <f>IF(AND(H24&gt;I24,H25&gt;I25),2,IF(H24&gt;I24,1,IF(H25&gt;I25,1,0)))</f>
        <v>0</v>
      </c>
      <c r="K24" s="306">
        <f>IF(AND(I24&gt;H24,I25&gt;H25),2,IF(I24&gt;H24,1,IF(I25&gt;H25,1,0)))</f>
        <v>0</v>
      </c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ht="21.0" customHeight="1">
      <c r="A25" s="219"/>
      <c r="B25" s="220"/>
      <c r="C25" s="220"/>
      <c r="D25" s="220"/>
      <c r="E25" s="220"/>
      <c r="F25" s="220"/>
      <c r="G25" s="220"/>
      <c r="H25" s="315"/>
      <c r="I25" s="308"/>
      <c r="J25" s="220"/>
      <c r="K25" s="220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ht="4.5" customHeight="1">
      <c r="A26" s="311"/>
      <c r="B26" s="24"/>
      <c r="C26" s="24"/>
      <c r="D26" s="24"/>
      <c r="E26" s="24"/>
      <c r="F26" s="24"/>
      <c r="G26" s="24"/>
      <c r="H26" s="24"/>
      <c r="I26" s="24"/>
      <c r="J26" s="24"/>
      <c r="K26" s="210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ht="21.0" customHeight="1">
      <c r="A27" s="310" t="s">
        <v>356</v>
      </c>
      <c r="B27" s="301" t="s">
        <v>205</v>
      </c>
      <c r="C27" s="313" t="s">
        <v>169</v>
      </c>
      <c r="D27" s="313" t="s">
        <v>113</v>
      </c>
      <c r="E27" s="303" t="s">
        <v>201</v>
      </c>
      <c r="F27" s="313" t="s">
        <v>102</v>
      </c>
      <c r="G27" s="313" t="s">
        <v>108</v>
      </c>
      <c r="H27" s="314"/>
      <c r="I27" s="305"/>
      <c r="J27" s="306">
        <f>IF(AND(H27&gt;I27,H28&gt;I28),2,IF(H27&gt;I27,1,IF(H28&gt;I28,1,0)))</f>
        <v>0</v>
      </c>
      <c r="K27" s="306">
        <f>IF(AND(I27&gt;H27,I28&gt;H28),2,IF(I27&gt;H27,1,IF(I28&gt;H28,1,0)))</f>
        <v>0</v>
      </c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ht="21.0" customHeight="1">
      <c r="A28" s="219"/>
      <c r="B28" s="220"/>
      <c r="C28" s="220"/>
      <c r="D28" s="220"/>
      <c r="E28" s="220"/>
      <c r="F28" s="220"/>
      <c r="G28" s="220"/>
      <c r="H28" s="315"/>
      <c r="I28" s="308"/>
      <c r="J28" s="220"/>
      <c r="K28" s="220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ht="4.5" customHeight="1">
      <c r="A29" s="311"/>
      <c r="B29" s="24"/>
      <c r="C29" s="24"/>
      <c r="D29" s="24"/>
      <c r="E29" s="24"/>
      <c r="F29" s="24"/>
      <c r="G29" s="24"/>
      <c r="H29" s="24"/>
      <c r="I29" s="24"/>
      <c r="J29" s="24"/>
      <c r="K29" s="210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ht="21.0" customHeight="1">
      <c r="A30" s="310" t="s">
        <v>356</v>
      </c>
      <c r="B30" s="301" t="s">
        <v>212</v>
      </c>
      <c r="C30" s="313" t="s">
        <v>119</v>
      </c>
      <c r="D30" s="313" t="s">
        <v>125</v>
      </c>
      <c r="E30" s="303" t="s">
        <v>201</v>
      </c>
      <c r="F30" s="313" t="s">
        <v>120</v>
      </c>
      <c r="G30" s="313" t="s">
        <v>132</v>
      </c>
      <c r="H30" s="314"/>
      <c r="I30" s="305"/>
      <c r="J30" s="306">
        <f>IF(AND(H30&gt;I30,H31&gt;I31),2,IF(H30&gt;I30,1,IF(H31&gt;I31,1,0)))</f>
        <v>0</v>
      </c>
      <c r="K30" s="306">
        <f>IF(AND(I30&gt;H30,I31&gt;H31),2,IF(I30&gt;H30,1,IF(I31&gt;H31,1,0)))</f>
        <v>0</v>
      </c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ht="20.25" customHeight="1">
      <c r="A31" s="219"/>
      <c r="B31" s="220"/>
      <c r="C31" s="220"/>
      <c r="D31" s="220"/>
      <c r="E31" s="220"/>
      <c r="F31" s="220"/>
      <c r="G31" s="220"/>
      <c r="H31" s="315"/>
      <c r="I31" s="308"/>
      <c r="J31" s="220"/>
      <c r="K31" s="220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ht="4.5" customHeight="1">
      <c r="A32" s="311"/>
      <c r="B32" s="24"/>
      <c r="C32" s="24"/>
      <c r="D32" s="24"/>
      <c r="E32" s="24"/>
      <c r="F32" s="24"/>
      <c r="G32" s="24"/>
      <c r="H32" s="24"/>
      <c r="I32" s="24"/>
      <c r="J32" s="24"/>
      <c r="K32" s="210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ht="32.25" customHeight="1">
      <c r="A33" s="316"/>
      <c r="B33" s="24"/>
      <c r="C33" s="24"/>
      <c r="D33" s="24"/>
      <c r="E33" s="24"/>
      <c r="F33" s="24"/>
      <c r="G33" s="208"/>
      <c r="H33" s="317">
        <f t="shared" ref="H33:K33" si="1">SUM(H9:H31)</f>
        <v>0</v>
      </c>
      <c r="I33" s="317">
        <f t="shared" si="1"/>
        <v>0</v>
      </c>
      <c r="J33" s="317">
        <f t="shared" si="1"/>
        <v>0</v>
      </c>
      <c r="K33" s="317">
        <f t="shared" si="1"/>
        <v>0</v>
      </c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ht="4.5" customHeight="1">
      <c r="A34" s="318"/>
      <c r="B34" s="35"/>
      <c r="C34" s="35"/>
      <c r="D34" s="35"/>
      <c r="E34" s="35"/>
      <c r="F34" s="35"/>
      <c r="G34" s="35"/>
      <c r="H34" s="35"/>
      <c r="I34" s="35"/>
      <c r="J34" s="35"/>
      <c r="K34" s="319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ht="12.75" customHeight="1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ht="12.75" customHeight="1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80">
    <mergeCell ref="J21:J22"/>
    <mergeCell ref="K21:K22"/>
    <mergeCell ref="J24:J25"/>
    <mergeCell ref="K24:K25"/>
    <mergeCell ref="B21:B22"/>
    <mergeCell ref="C21:C22"/>
    <mergeCell ref="D21:D22"/>
    <mergeCell ref="E21:E22"/>
    <mergeCell ref="F21:F22"/>
    <mergeCell ref="G21:G22"/>
    <mergeCell ref="A23:K23"/>
    <mergeCell ref="G24:G25"/>
    <mergeCell ref="A26:K26"/>
    <mergeCell ref="A21:A22"/>
    <mergeCell ref="A24:A25"/>
    <mergeCell ref="B24:B25"/>
    <mergeCell ref="C24:C25"/>
    <mergeCell ref="D24:D25"/>
    <mergeCell ref="E24:E25"/>
    <mergeCell ref="F24:F25"/>
    <mergeCell ref="J27:J28"/>
    <mergeCell ref="K27:K28"/>
    <mergeCell ref="J30:J31"/>
    <mergeCell ref="K30:K31"/>
    <mergeCell ref="B27:B28"/>
    <mergeCell ref="C27:C28"/>
    <mergeCell ref="D27:D28"/>
    <mergeCell ref="E27:E28"/>
    <mergeCell ref="F27:F28"/>
    <mergeCell ref="G27:G28"/>
    <mergeCell ref="A29:K29"/>
    <mergeCell ref="G30:G31"/>
    <mergeCell ref="A32:K32"/>
    <mergeCell ref="A33:G33"/>
    <mergeCell ref="A34:K34"/>
    <mergeCell ref="A27:A28"/>
    <mergeCell ref="A30:A31"/>
    <mergeCell ref="B30:B31"/>
    <mergeCell ref="C30:C31"/>
    <mergeCell ref="D30:D31"/>
    <mergeCell ref="E30:E31"/>
    <mergeCell ref="F30:F31"/>
    <mergeCell ref="A1:K3"/>
    <mergeCell ref="A6:K6"/>
    <mergeCell ref="A7:K8"/>
    <mergeCell ref="A9:K10"/>
    <mergeCell ref="F11:G11"/>
    <mergeCell ref="H11:I11"/>
    <mergeCell ref="J11:K11"/>
    <mergeCell ref="G12:G13"/>
    <mergeCell ref="J12:J13"/>
    <mergeCell ref="K12:K13"/>
    <mergeCell ref="A14:K14"/>
    <mergeCell ref="C11:D11"/>
    <mergeCell ref="A12:A13"/>
    <mergeCell ref="B12:B13"/>
    <mergeCell ref="C12:C13"/>
    <mergeCell ref="D12:D13"/>
    <mergeCell ref="E12:E13"/>
    <mergeCell ref="F12:F13"/>
    <mergeCell ref="J15:J16"/>
    <mergeCell ref="K15:K16"/>
    <mergeCell ref="J18:J19"/>
    <mergeCell ref="K18:K19"/>
    <mergeCell ref="B15:B16"/>
    <mergeCell ref="C15:C16"/>
    <mergeCell ref="D15:D16"/>
    <mergeCell ref="E15:E16"/>
    <mergeCell ref="F15:F16"/>
    <mergeCell ref="G15:G16"/>
    <mergeCell ref="A17:K17"/>
    <mergeCell ref="G18:G19"/>
    <mergeCell ref="A20:K20"/>
    <mergeCell ref="A15:A16"/>
    <mergeCell ref="A18:A19"/>
    <mergeCell ref="B18:B19"/>
    <mergeCell ref="C18:C19"/>
    <mergeCell ref="D18:D19"/>
    <mergeCell ref="E18:E19"/>
    <mergeCell ref="F18:F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Anthony Sammut</dc:creator>
</cp:coreProperties>
</file>