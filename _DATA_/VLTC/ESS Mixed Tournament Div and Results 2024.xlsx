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yers" sheetId="1" r:id="rId4"/>
    <sheet state="visible" name="Division 1" sheetId="2" r:id="rId5"/>
    <sheet state="visible" name="Division 2" sheetId="3" r:id="rId6"/>
    <sheet state="visible" name="Division 3" sheetId="4" r:id="rId7"/>
    <sheet state="visible" name="Division 4" sheetId="5" r:id="rId8"/>
    <sheet state="visible" name="Division 5" sheetId="6" r:id="rId9"/>
    <sheet state="visible" name="Division 6" sheetId="7" r:id="rId10"/>
  </sheets>
  <definedNames/>
  <calcPr/>
  <extLst>
    <ext uri="GoogleSheetsCustomDataVersion2">
      <go:sheetsCustomData xmlns:go="http://customooxmlschemas.google.com/" r:id="rId11" roundtripDataChecksum="VV9ebC07y1G2xt4RRDisvcvEdpZ0ESh4xORc0LgxTFk="/>
    </ext>
  </extLst>
</workbook>
</file>

<file path=xl/sharedStrings.xml><?xml version="1.0" encoding="utf-8"?>
<sst xmlns="http://schemas.openxmlformats.org/spreadsheetml/2006/main" count="543" uniqueCount="135">
  <si>
    <t>ESS Mixed Doubles 2024</t>
  </si>
  <si>
    <t>Division 1</t>
  </si>
  <si>
    <t>Clayton Zammit Cesare</t>
  </si>
  <si>
    <t>Alison Muscat</t>
  </si>
  <si>
    <t>Matthew Mifsud</t>
  </si>
  <si>
    <t>Lara Pule'</t>
  </si>
  <si>
    <t>Matthew Borg</t>
  </si>
  <si>
    <t>AnnMarie Mangion</t>
  </si>
  <si>
    <t>Duncan D'Alessandro</t>
  </si>
  <si>
    <t>Kaya Sammut</t>
  </si>
  <si>
    <t>Melchior Farrugia</t>
  </si>
  <si>
    <t>Doriana Portelli</t>
  </si>
  <si>
    <t xml:space="preserve">Gabriel Pace </t>
  </si>
  <si>
    <t>Kelsey Gauci</t>
  </si>
  <si>
    <t>Division 2</t>
  </si>
  <si>
    <t>Manuel Bonello</t>
  </si>
  <si>
    <t>Alexia Meilak Gouder</t>
  </si>
  <si>
    <t xml:space="preserve">Kristen Cachia </t>
  </si>
  <si>
    <t>Francesca Sciortino</t>
  </si>
  <si>
    <t>Gene Zammit</t>
  </si>
  <si>
    <t>Julie Spiteri</t>
  </si>
  <si>
    <t>Jonathan Martinelli</t>
  </si>
  <si>
    <t>Christine Bonett</t>
  </si>
  <si>
    <t>Luigi Porto</t>
  </si>
  <si>
    <t>Natalya Abela</t>
  </si>
  <si>
    <t>Cristian Andreozzi</t>
  </si>
  <si>
    <t>Luiza Andreozzi</t>
  </si>
  <si>
    <t>Division 3</t>
  </si>
  <si>
    <t>Ivan Farrugia</t>
  </si>
  <si>
    <t>Stephanie Farrugia</t>
  </si>
  <si>
    <t>Willem Steenkamer</t>
  </si>
  <si>
    <t>Mariska Steenkamer</t>
  </si>
  <si>
    <t>Cyril Lastimosa</t>
  </si>
  <si>
    <t>Jin Attard</t>
  </si>
  <si>
    <t>Javier Viloria</t>
  </si>
  <si>
    <t>Andrea Magaldi</t>
  </si>
  <si>
    <t>Mavric Sawyer</t>
  </si>
  <si>
    <t>Deborah Farruiga</t>
  </si>
  <si>
    <t>Trevor Rutter</t>
  </si>
  <si>
    <t>Karolina Papiernak</t>
  </si>
  <si>
    <t>Division 4</t>
  </si>
  <si>
    <t>Emann Xuereb</t>
  </si>
  <si>
    <t>Sabrina Xuereb</t>
  </si>
  <si>
    <t>Dunstan Vella</t>
  </si>
  <si>
    <t>Heidi Tabone</t>
  </si>
  <si>
    <t>George Grech</t>
  </si>
  <si>
    <t>Jade Sammut</t>
  </si>
  <si>
    <t>Jayboy Lastimosa</t>
  </si>
  <si>
    <t>Ceridwen Scerri</t>
  </si>
  <si>
    <t>Ryan Ebejer</t>
  </si>
  <si>
    <t>Sophia Re</t>
  </si>
  <si>
    <t>Darell Pace</t>
  </si>
  <si>
    <t>Jennifer Mifsud</t>
  </si>
  <si>
    <t>Division 5 - Group A</t>
  </si>
  <si>
    <t>Division 5 - Group B</t>
  </si>
  <si>
    <t>Dylan Birmingham</t>
  </si>
  <si>
    <t>Sarah Axiaq</t>
  </si>
  <si>
    <t>Juan Sammut</t>
  </si>
  <si>
    <t>Maria Angela Gambin</t>
  </si>
  <si>
    <t>Matthew Micallef</t>
  </si>
  <si>
    <t>Josette D'Alessandro</t>
  </si>
  <si>
    <t>Dayle Scicluna</t>
  </si>
  <si>
    <t>Alida Borg</t>
  </si>
  <si>
    <t>David Camilleri</t>
  </si>
  <si>
    <t>Emma Camilleri</t>
  </si>
  <si>
    <t>Owen Farrugia</t>
  </si>
  <si>
    <t>Jodie Stivala</t>
  </si>
  <si>
    <t>Simone Re</t>
  </si>
  <si>
    <t>Annmarie Attard</t>
  </si>
  <si>
    <t>Chris Vella</t>
  </si>
  <si>
    <t>Leanne Sammut</t>
  </si>
  <si>
    <t>Robert Attard</t>
  </si>
  <si>
    <t>Silvana Portelli</t>
  </si>
  <si>
    <t>Justin Scicluna</t>
  </si>
  <si>
    <t>Maria Ellul</t>
  </si>
  <si>
    <t>JP Sciberras</t>
  </si>
  <si>
    <t>Brenda Baldacchino</t>
  </si>
  <si>
    <t>Isaac Baldacchino</t>
  </si>
  <si>
    <t>Janice Galea</t>
  </si>
  <si>
    <t>Division 6</t>
  </si>
  <si>
    <t>Steve Gambin</t>
  </si>
  <si>
    <t>Suzanne Gambin</t>
  </si>
  <si>
    <t>Gabriel Gauci</t>
  </si>
  <si>
    <t>Tiffany Fenech</t>
  </si>
  <si>
    <t>Jason Lee Evans</t>
  </si>
  <si>
    <t>Lillian Badacchino</t>
  </si>
  <si>
    <t xml:space="preserve">Cory Greenland </t>
  </si>
  <si>
    <t>Christabelle Chetcuti</t>
  </si>
  <si>
    <t>Kevin Sciberras</t>
  </si>
  <si>
    <t>Sharleen Sciberras</t>
  </si>
  <si>
    <t>Sammy Ben Tamer</t>
  </si>
  <si>
    <t>Martina Murdocco</t>
  </si>
  <si>
    <t>Players</t>
  </si>
  <si>
    <t>Set Scores</t>
  </si>
  <si>
    <t>Tie</t>
  </si>
  <si>
    <t>Player</t>
  </si>
  <si>
    <t>Matches Played</t>
  </si>
  <si>
    <t>Points Overall</t>
  </si>
  <si>
    <t>Games Won</t>
  </si>
  <si>
    <t>Sets Won</t>
  </si>
  <si>
    <t>Score</t>
  </si>
  <si>
    <t>Set 1 Work</t>
  </si>
  <si>
    <t>Set 2 Work</t>
  </si>
  <si>
    <t>Tie Work</t>
  </si>
  <si>
    <t>Game Played</t>
  </si>
  <si>
    <t>Sets Points Work</t>
  </si>
  <si>
    <t>Sets &amp; Tie Points Work</t>
  </si>
  <si>
    <t>Games Wins Work</t>
  </si>
  <si>
    <t>Sets Wins Work</t>
  </si>
  <si>
    <t>Winner Working</t>
  </si>
  <si>
    <t>Runner Up Working</t>
  </si>
  <si>
    <t>Total Games Work</t>
  </si>
  <si>
    <t>Winner</t>
  </si>
  <si>
    <t>Runner Up</t>
  </si>
  <si>
    <t>vs.</t>
  </si>
  <si>
    <t>Divison Winner</t>
  </si>
  <si>
    <t>Matthew Mifsud/Lara Pule'</t>
  </si>
  <si>
    <t>Divison Runner Up</t>
  </si>
  <si>
    <t>Clayton Zammit/Alison Muscat</t>
  </si>
  <si>
    <t>w/o</t>
  </si>
  <si>
    <t>Manuel Bonello/Alexia Gouder</t>
  </si>
  <si>
    <t>Luigi Porto/Natalya Abela</t>
  </si>
  <si>
    <t>Trevor Rutter/Karolina Papiernak</t>
  </si>
  <si>
    <t>Cyril Lastimosa/Jin Attard</t>
  </si>
  <si>
    <t>George Grech/Jade Sammut</t>
  </si>
  <si>
    <t>Emman Xuereb/Sabrina Xuereb</t>
  </si>
  <si>
    <t>Matthew Micallef / Josette D'Alessandro</t>
  </si>
  <si>
    <t>Group A Winner</t>
  </si>
  <si>
    <t>Simone Re/Annmarie Attard</t>
  </si>
  <si>
    <t>Group B Winner</t>
  </si>
  <si>
    <t>Juan Sammut/Maria Angela Gambin</t>
  </si>
  <si>
    <t>Final</t>
  </si>
  <si>
    <t>Division 6 - Round 1</t>
  </si>
  <si>
    <t>Cory Greenland/Christabelle Chetcuti</t>
  </si>
  <si>
    <t>Steve Gambin/Suzanne Gambin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</si>
</sst>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9">
    <font>
      <sz val="10.0"/>
      <color rgb="FF000000"/>
      <name val="Arial"/>
      <scheme val="minor"/>
    </font>
    <font>
      <b/>
      <u/>
      <sz val="16.0"/>
      <color theme="1"/>
      <name val="Calibri"/>
    </font>
    <font>
      <b/>
      <u/>
      <sz val="16.0"/>
      <color theme="1"/>
      <name val="Calibri"/>
    </font>
    <font>
      <sz val="10.0"/>
      <color theme="1"/>
      <name val="Arial"/>
    </font>
    <font>
      <sz val="16.0"/>
      <color theme="1"/>
      <name val="Arial"/>
    </font>
    <font>
      <b/>
      <u/>
      <sz val="16.0"/>
      <color theme="1"/>
      <name val="Arial"/>
    </font>
    <font/>
    <font>
      <b/>
      <u/>
      <sz val="16.0"/>
      <color theme="1"/>
      <name val="Arial"/>
    </font>
    <font>
      <b/>
      <u/>
      <sz val="16.0"/>
      <color theme="1"/>
      <name val="Arial"/>
    </font>
    <font>
      <b/>
      <u/>
      <sz val="16.0"/>
      <color theme="1"/>
      <name val="Arial"/>
    </font>
    <font>
      <b/>
      <u/>
      <sz val="16.0"/>
      <color theme="1"/>
      <name val="Arial"/>
    </font>
    <font>
      <b/>
      <u/>
      <sz val="16.0"/>
      <color theme="1"/>
      <name val="Arial"/>
    </font>
    <font>
      <b/>
      <u/>
      <sz val="16.0"/>
      <color theme="1"/>
      <name val="Arial"/>
    </font>
    <font>
      <b/>
      <u/>
      <sz val="11.0"/>
      <color theme="1"/>
      <name val="Arial"/>
    </font>
    <font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sz val="11.0"/>
      <color theme="1"/>
      <name val="Arial"/>
    </font>
    <font>
      <b/>
      <u/>
      <sz val="11.0"/>
      <color theme="1"/>
      <name val="Arial"/>
    </font>
    <font>
      <b/>
      <u/>
      <sz val="11.0"/>
      <color rgb="FF00FFFF"/>
      <name val="Arial"/>
    </font>
    <font>
      <b/>
      <u/>
      <sz val="11.0"/>
      <color rgb="FF00FFFF"/>
      <name val="Arial"/>
    </font>
    <font>
      <b/>
      <u/>
      <sz val="11.0"/>
      <color rgb="FF00FFFF"/>
      <name val="Arial"/>
    </font>
    <font>
      <b/>
      <u/>
      <sz val="11.0"/>
      <color theme="1"/>
      <name val="Arial"/>
    </font>
    <font>
      <sz val="11.0"/>
      <color rgb="FF080809"/>
      <name val="Calibri"/>
    </font>
    <font>
      <b/>
      <u/>
      <sz val="11.0"/>
      <color theme="1"/>
      <name val="Arial"/>
    </font>
    <font>
      <b/>
      <u/>
      <sz val="11.0"/>
      <color rgb="FF00FFFF"/>
      <name val="Arial"/>
    </font>
    <font>
      <color theme="1"/>
      <name val="Arial"/>
      <scheme val="minor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sz val="11.0"/>
      <color rgb="FF000000"/>
      <name val="Calibri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8EAADB"/>
        <bgColor rgb="FF8EAADB"/>
      </patternFill>
    </fill>
    <fill>
      <patternFill patternType="solid">
        <fgColor rgb="FFFF9966"/>
        <bgColor rgb="FFFF9966"/>
      </patternFill>
    </fill>
    <fill>
      <patternFill patternType="solid">
        <fgColor rgb="FFFFFF00"/>
        <bgColor rgb="FFFFFF00"/>
      </patternFill>
    </fill>
    <fill>
      <patternFill patternType="solid">
        <fgColor rgb="FF7030A0"/>
        <bgColor rgb="FF7030A0"/>
      </patternFill>
    </fill>
    <fill>
      <patternFill patternType="solid">
        <fgColor rgb="FFA8D08D"/>
        <bgColor rgb="FFA8D08D"/>
      </patternFill>
    </fill>
    <fill>
      <patternFill patternType="solid">
        <fgColor rgb="FFFB33C2"/>
        <bgColor rgb="FFFB33C2"/>
      </patternFill>
    </fill>
    <fill>
      <patternFill patternType="solid">
        <fgColor rgb="FF00B050"/>
        <bgColor rgb="FF00B050"/>
      </patternFill>
    </fill>
    <fill>
      <patternFill patternType="solid">
        <fgColor rgb="FF9CC2E5"/>
        <bgColor rgb="FF9CC2E5"/>
      </patternFill>
    </fill>
    <fill>
      <patternFill patternType="solid">
        <fgColor rgb="FF9FC5E8"/>
        <bgColor rgb="FF9FC5E8"/>
      </patternFill>
    </fill>
    <fill>
      <patternFill patternType="solid">
        <fgColor rgb="FF000000"/>
        <bgColor rgb="FF000000"/>
      </patternFill>
    </fill>
    <fill>
      <patternFill patternType="solid">
        <fgColor theme="0"/>
        <bgColor theme="0"/>
      </patternFill>
    </fill>
    <fill>
      <patternFill patternType="solid">
        <fgColor rgb="FFF7CAAC"/>
        <bgColor rgb="FFF7CAAC"/>
      </patternFill>
    </fill>
    <fill>
      <patternFill patternType="solid">
        <fgColor rgb="FF7F7F7F"/>
        <bgColor rgb="FF7F7F7F"/>
      </patternFill>
    </fill>
  </fills>
  <borders count="25">
    <border/>
    <border>
      <right style="thin">
        <color rgb="FF000000"/>
      </right>
    </border>
    <border>
      <lef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left" vertical="center"/>
    </xf>
    <xf borderId="1" fillId="0" fontId="4" numFmtId="0" xfId="0" applyAlignment="1" applyBorder="1" applyFont="1">
      <alignment horizontal="center" vertical="center"/>
    </xf>
    <xf borderId="2" fillId="2" fontId="5" numFmtId="0" xfId="0" applyAlignment="1" applyBorder="1" applyFill="1" applyFont="1">
      <alignment horizontal="center" vertical="center"/>
    </xf>
    <xf borderId="3" fillId="0" fontId="6" numFmtId="0" xfId="0" applyBorder="1" applyFont="1"/>
    <xf borderId="4" fillId="0" fontId="4" numFmtId="0" xfId="0" applyAlignment="1" applyBorder="1" applyFont="1">
      <alignment horizontal="center" shrinkToFit="0" wrapText="1"/>
    </xf>
    <xf borderId="4" fillId="0" fontId="4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 shrinkToFit="0" wrapText="1"/>
    </xf>
    <xf borderId="6" fillId="0" fontId="4" numFmtId="0" xfId="0" applyAlignment="1" applyBorder="1" applyFont="1">
      <alignment horizontal="center" shrinkToFit="0" wrapText="1"/>
    </xf>
    <xf borderId="0" fillId="0" fontId="4" numFmtId="0" xfId="0" applyAlignment="1" applyFont="1">
      <alignment horizontal="center" vertical="center"/>
    </xf>
    <xf borderId="7" fillId="3" fontId="7" numFmtId="0" xfId="0" applyAlignment="1" applyBorder="1" applyFill="1" applyFont="1">
      <alignment horizontal="center" vertical="center"/>
    </xf>
    <xf borderId="8" fillId="0" fontId="6" numFmtId="0" xfId="0" applyBorder="1" applyFont="1"/>
    <xf borderId="3" fillId="0" fontId="4" numFmtId="0" xfId="0" applyAlignment="1" applyBorder="1" applyFont="1">
      <alignment horizontal="center" shrinkToFit="0" wrapText="1"/>
    </xf>
    <xf borderId="9" fillId="0" fontId="4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 shrinkToFit="0" wrapText="1"/>
    </xf>
    <xf borderId="10" fillId="0" fontId="4" numFmtId="0" xfId="0" applyAlignment="1" applyBorder="1" applyFont="1">
      <alignment horizontal="center" vertical="center"/>
    </xf>
    <xf borderId="10" fillId="4" fontId="8" numFmtId="0" xfId="0" applyAlignment="1" applyBorder="1" applyFill="1" applyFont="1">
      <alignment horizontal="center" vertical="center"/>
    </xf>
    <xf borderId="4" fillId="0" fontId="4" numFmtId="0" xfId="0" applyAlignment="1" applyBorder="1" applyFont="1">
      <alignment horizontal="center" shrinkToFit="0" vertical="center" wrapText="1"/>
    </xf>
    <xf borderId="10" fillId="5" fontId="9" numFmtId="0" xfId="0" applyAlignment="1" applyBorder="1" applyFill="1" applyFont="1">
      <alignment horizontal="center" vertical="center"/>
    </xf>
    <xf borderId="10" fillId="6" fontId="10" numFmtId="0" xfId="0" applyAlignment="1" applyBorder="1" applyFill="1" applyFont="1">
      <alignment horizontal="center" vertical="center"/>
    </xf>
    <xf borderId="10" fillId="7" fontId="11" numFmtId="0" xfId="0" applyAlignment="1" applyBorder="1" applyFill="1" applyFont="1">
      <alignment horizontal="center" vertical="center"/>
    </xf>
    <xf borderId="4" fillId="0" fontId="4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vertical="center"/>
    </xf>
    <xf borderId="10" fillId="8" fontId="12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left" vertical="center"/>
    </xf>
    <xf borderId="11" fillId="9" fontId="13" numFmtId="0" xfId="0" applyAlignment="1" applyBorder="1" applyFill="1" applyFont="1">
      <alignment horizontal="center" shrinkToFit="0" vertical="center" wrapText="1"/>
    </xf>
    <xf borderId="12" fillId="0" fontId="6" numFmtId="0" xfId="0" applyBorder="1" applyFont="1"/>
    <xf borderId="0" fillId="0" fontId="14" numFmtId="0" xfId="0" applyAlignment="1" applyFont="1">
      <alignment horizontal="center" shrinkToFit="0" vertical="center" wrapText="1"/>
    </xf>
    <xf borderId="4" fillId="9" fontId="15" numFmtId="0" xfId="0" applyAlignment="1" applyBorder="1" applyFont="1">
      <alignment horizontal="center" shrinkToFit="0" vertical="center" wrapText="1"/>
    </xf>
    <xf borderId="10" fillId="9" fontId="16" numFmtId="0" xfId="0" applyAlignment="1" applyBorder="1" applyFont="1">
      <alignment horizontal="center" shrinkToFit="0" vertical="center" wrapText="1"/>
    </xf>
    <xf borderId="13" fillId="0" fontId="6" numFmtId="0" xfId="0" applyBorder="1" applyFont="1"/>
    <xf borderId="14" fillId="9" fontId="14" numFmtId="0" xfId="0" applyAlignment="1" applyBorder="1" applyFont="1">
      <alignment horizontal="center" shrinkToFit="0" vertical="center" wrapText="1"/>
    </xf>
    <xf borderId="15" fillId="9" fontId="17" numFmtId="0" xfId="0" applyAlignment="1" applyBorder="1" applyFont="1">
      <alignment horizontal="center" shrinkToFit="0" vertical="center" wrapText="1"/>
    </xf>
    <xf borderId="0" fillId="0" fontId="18" numFmtId="0" xfId="0" applyAlignment="1" applyFont="1">
      <alignment horizontal="center" shrinkToFit="0" vertical="center" wrapText="1"/>
    </xf>
    <xf borderId="4" fillId="10" fontId="19" numFmtId="0" xfId="0" applyAlignment="1" applyBorder="1" applyFill="1" applyFont="1">
      <alignment horizontal="center" shrinkToFit="0" wrapText="1"/>
    </xf>
    <xf borderId="16" fillId="11" fontId="20" numFmtId="0" xfId="0" applyAlignment="1" applyBorder="1" applyFill="1" applyFont="1">
      <alignment horizontal="center" shrinkToFit="0" vertical="center" wrapText="1"/>
    </xf>
    <xf borderId="17" fillId="11" fontId="21" numFmtId="0" xfId="0" applyAlignment="1" applyBorder="1" applyFont="1">
      <alignment horizontal="center" shrinkToFit="0" vertical="center" wrapText="1"/>
    </xf>
    <xf borderId="4" fillId="11" fontId="22" numFmtId="0" xfId="0" applyAlignment="1" applyBorder="1" applyFont="1">
      <alignment horizontal="center" shrinkToFit="0" vertical="center" wrapText="1"/>
    </xf>
    <xf borderId="18" fillId="0" fontId="14" numFmtId="0" xfId="0" applyAlignment="1" applyBorder="1" applyFont="1">
      <alignment horizontal="center" shrinkToFit="0" vertical="center" wrapText="1"/>
    </xf>
    <xf borderId="4" fillId="0" fontId="18" numFmtId="0" xfId="0" applyAlignment="1" applyBorder="1" applyFont="1">
      <alignment horizontal="center" readingOrder="0" shrinkToFit="0" vertical="center" wrapText="1"/>
    </xf>
    <xf borderId="19" fillId="0" fontId="14" numFmtId="0" xfId="0" applyAlignment="1" applyBorder="1" applyFont="1">
      <alignment horizontal="center" shrinkToFit="0" vertical="center" wrapText="1"/>
    </xf>
    <xf borderId="19" fillId="0" fontId="18" numFmtId="0" xfId="0" applyAlignment="1" applyBorder="1" applyFont="1">
      <alignment horizontal="center" shrinkToFit="0" vertical="center" wrapText="1"/>
    </xf>
    <xf borderId="4" fillId="0" fontId="18" numFmtId="0" xfId="0" applyAlignment="1" applyBorder="1" applyFont="1">
      <alignment horizontal="center" shrinkToFit="0" vertical="center" wrapText="1"/>
    </xf>
    <xf borderId="20" fillId="9" fontId="23" numFmtId="0" xfId="0" applyAlignment="1" applyBorder="1" applyFont="1">
      <alignment horizontal="center" shrinkToFit="0" vertical="center" wrapText="1"/>
    </xf>
    <xf borderId="13" fillId="0" fontId="18" numFmtId="0" xfId="0" applyAlignment="1" applyBorder="1" applyFont="1">
      <alignment horizontal="center" shrinkToFit="0" vertical="center" wrapText="1"/>
    </xf>
    <xf borderId="3" fillId="0" fontId="18" numFmtId="0" xfId="0" applyAlignment="1" applyBorder="1" applyFont="1">
      <alignment horizontal="center" shrinkToFit="0" vertical="center" wrapText="1"/>
    </xf>
    <xf borderId="21" fillId="0" fontId="14" numFmtId="0" xfId="0" applyAlignment="1" applyBorder="1" applyFont="1">
      <alignment horizontal="center" shrinkToFit="0" vertical="center" wrapText="1"/>
    </xf>
    <xf borderId="1" fillId="0" fontId="6" numFmtId="0" xfId="0" applyBorder="1" applyFont="1"/>
    <xf borderId="0" fillId="0" fontId="14" numFmtId="0" xfId="0" applyAlignment="1" applyFont="1">
      <alignment shrinkToFit="0" vertical="center" wrapText="1"/>
    </xf>
    <xf borderId="22" fillId="0" fontId="14" numFmtId="0" xfId="0" applyAlignment="1" applyBorder="1" applyFont="1">
      <alignment horizontal="center" shrinkToFit="0" vertical="center" wrapText="1"/>
    </xf>
    <xf borderId="23" fillId="0" fontId="14" numFmtId="0" xfId="0" applyAlignment="1" applyBorder="1" applyFont="1">
      <alignment horizontal="center" shrinkToFit="0" vertical="center" wrapText="1"/>
    </xf>
    <xf borderId="23" fillId="0" fontId="18" numFmtId="0" xfId="0" applyAlignment="1" applyBorder="1" applyFont="1">
      <alignment horizontal="center" shrinkToFit="0" vertical="center" wrapText="1"/>
    </xf>
    <xf borderId="4" fillId="0" fontId="24" numFmtId="0" xfId="0" applyAlignment="1" applyBorder="1" applyFont="1">
      <alignment horizontal="center" readingOrder="0" shrinkToFit="0" vertical="bottom" wrapText="0"/>
    </xf>
    <xf borderId="10" fillId="0" fontId="25" numFmtId="0" xfId="0" applyAlignment="1" applyBorder="1" applyFont="1">
      <alignment horizontal="center" readingOrder="0" shrinkToFit="0" vertical="center" wrapText="1"/>
    </xf>
    <xf borderId="0" fillId="0" fontId="14" numFmtId="0" xfId="0" applyAlignment="1" applyFont="1">
      <alignment horizontal="center" readingOrder="0" shrinkToFit="0" vertical="center" wrapText="1"/>
    </xf>
    <xf borderId="0" fillId="0" fontId="26" numFmtId="0" xfId="0" applyAlignment="1" applyFont="1">
      <alignment horizontal="center" shrinkToFit="0" vertical="center" wrapText="1"/>
    </xf>
    <xf borderId="20" fillId="12" fontId="14" numFmtId="0" xfId="0" applyAlignment="1" applyBorder="1" applyFill="1" applyFont="1">
      <alignment horizontal="center" readingOrder="0" shrinkToFit="0" vertical="center" wrapText="1"/>
    </xf>
    <xf borderId="0" fillId="0" fontId="27" numFmtId="0" xfId="0" applyAlignment="1" applyFont="1">
      <alignment readingOrder="0"/>
    </xf>
    <xf borderId="0" fillId="0" fontId="28" numFmtId="0" xfId="0" applyAlignment="1" applyFont="1">
      <alignment horizontal="center" shrinkToFit="0" vertical="center" wrapText="1"/>
    </xf>
    <xf borderId="11" fillId="13" fontId="29" numFmtId="0" xfId="0" applyAlignment="1" applyBorder="1" applyFill="1" applyFont="1">
      <alignment horizontal="center" shrinkToFit="0" vertical="center" wrapText="1"/>
    </xf>
    <xf borderId="4" fillId="13" fontId="30" numFmtId="0" xfId="0" applyAlignment="1" applyBorder="1" applyFont="1">
      <alignment horizontal="center" shrinkToFit="0" vertical="center" wrapText="1"/>
    </xf>
    <xf borderId="10" fillId="13" fontId="31" numFmtId="0" xfId="0" applyAlignment="1" applyBorder="1" applyFont="1">
      <alignment horizontal="center" shrinkToFit="0" vertical="center" wrapText="1"/>
    </xf>
    <xf borderId="14" fillId="13" fontId="14" numFmtId="0" xfId="0" applyAlignment="1" applyBorder="1" applyFont="1">
      <alignment horizontal="center" shrinkToFit="0" vertical="center" wrapText="1"/>
    </xf>
    <xf borderId="15" fillId="13" fontId="32" numFmtId="0" xfId="0" applyAlignment="1" applyBorder="1" applyFont="1">
      <alignment horizontal="center" shrinkToFit="0" vertical="center" wrapText="1"/>
    </xf>
    <xf borderId="4" fillId="13" fontId="33" numFmtId="0" xfId="0" applyAlignment="1" applyBorder="1" applyFont="1">
      <alignment horizontal="center" shrinkToFit="0" wrapText="1"/>
    </xf>
    <xf borderId="20" fillId="13" fontId="34" numFmtId="0" xfId="0" applyAlignment="1" applyBorder="1" applyFont="1">
      <alignment horizontal="center" shrinkToFit="0" vertical="center" wrapText="1"/>
    </xf>
    <xf borderId="4" fillId="0" fontId="35" numFmtId="0" xfId="0" applyAlignment="1" applyBorder="1" applyFont="1">
      <alignment horizontal="center" readingOrder="0" shrinkToFit="0" vertical="bottom" wrapText="0"/>
    </xf>
    <xf borderId="11" fillId="4" fontId="36" numFmtId="0" xfId="0" applyAlignment="1" applyBorder="1" applyFont="1">
      <alignment horizontal="center" shrinkToFit="0" vertical="center" wrapText="1"/>
    </xf>
    <xf borderId="4" fillId="4" fontId="37" numFmtId="0" xfId="0" applyAlignment="1" applyBorder="1" applyFont="1">
      <alignment horizontal="center" shrinkToFit="0" vertical="center" wrapText="1"/>
    </xf>
    <xf borderId="10" fillId="4" fontId="38" numFmtId="0" xfId="0" applyAlignment="1" applyBorder="1" applyFont="1">
      <alignment horizontal="center" shrinkToFit="0" vertical="center" wrapText="1"/>
    </xf>
    <xf borderId="14" fillId="4" fontId="14" numFmtId="0" xfId="0" applyAlignment="1" applyBorder="1" applyFont="1">
      <alignment horizontal="center" shrinkToFit="0" vertical="center" wrapText="1"/>
    </xf>
    <xf borderId="15" fillId="4" fontId="39" numFmtId="0" xfId="0" applyAlignment="1" applyBorder="1" applyFont="1">
      <alignment horizontal="center" shrinkToFit="0" vertical="center" wrapText="1"/>
    </xf>
    <xf borderId="4" fillId="4" fontId="40" numFmtId="0" xfId="0" applyAlignment="1" applyBorder="1" applyFont="1">
      <alignment horizontal="center" shrinkToFit="0" wrapText="1"/>
    </xf>
    <xf borderId="20" fillId="4" fontId="41" numFmtId="0" xfId="0" applyAlignment="1" applyBorder="1" applyFont="1">
      <alignment horizontal="center" shrinkToFit="0" vertical="center" wrapText="1"/>
    </xf>
    <xf borderId="0" fillId="0" fontId="35" numFmtId="0" xfId="0" applyAlignment="1" applyFont="1">
      <alignment horizontal="center" readingOrder="0" shrinkToFit="0" vertical="bottom" wrapText="0"/>
    </xf>
    <xf borderId="0" fillId="0" fontId="35" numFmtId="0" xfId="0" applyAlignment="1" applyFont="1">
      <alignment shrinkToFit="0" vertical="bottom" wrapText="0"/>
    </xf>
    <xf borderId="22" fillId="0" fontId="14" numFmtId="0" xfId="0" applyAlignment="1" applyBorder="1" applyFont="1">
      <alignment horizontal="center" readingOrder="0" shrinkToFit="0" vertical="center" wrapText="1"/>
    </xf>
    <xf borderId="11" fillId="5" fontId="42" numFmtId="0" xfId="0" applyAlignment="1" applyBorder="1" applyFont="1">
      <alignment horizontal="center" shrinkToFit="0" vertical="center" wrapText="1"/>
    </xf>
    <xf borderId="4" fillId="5" fontId="43" numFmtId="0" xfId="0" applyAlignment="1" applyBorder="1" applyFont="1">
      <alignment horizontal="center" shrinkToFit="0" vertical="center" wrapText="1"/>
    </xf>
    <xf borderId="10" fillId="5" fontId="44" numFmtId="0" xfId="0" applyAlignment="1" applyBorder="1" applyFont="1">
      <alignment horizontal="center" shrinkToFit="0" vertical="center" wrapText="1"/>
    </xf>
    <xf borderId="14" fillId="5" fontId="14" numFmtId="0" xfId="0" applyAlignment="1" applyBorder="1" applyFont="1">
      <alignment horizontal="center" shrinkToFit="0" vertical="center" wrapText="1"/>
    </xf>
    <xf borderId="15" fillId="5" fontId="45" numFmtId="0" xfId="0" applyAlignment="1" applyBorder="1" applyFont="1">
      <alignment horizontal="center" shrinkToFit="0" vertical="center" wrapText="1"/>
    </xf>
    <xf borderId="4" fillId="5" fontId="46" numFmtId="0" xfId="0" applyAlignment="1" applyBorder="1" applyFont="1">
      <alignment horizontal="center" shrinkToFit="0" wrapText="1"/>
    </xf>
    <xf borderId="20" fillId="5" fontId="47" numFmtId="0" xfId="0" applyAlignment="1" applyBorder="1" applyFont="1">
      <alignment horizontal="center" shrinkToFit="0" vertical="center" wrapText="1"/>
    </xf>
    <xf borderId="11" fillId="6" fontId="48" numFmtId="0" xfId="0" applyAlignment="1" applyBorder="1" applyFont="1">
      <alignment horizontal="center" shrinkToFit="0" vertical="center" wrapText="1"/>
    </xf>
    <xf borderId="4" fillId="6" fontId="49" numFmtId="0" xfId="0" applyAlignment="1" applyBorder="1" applyFont="1">
      <alignment horizontal="center" shrinkToFit="0" vertical="center" wrapText="1"/>
    </xf>
    <xf borderId="10" fillId="6" fontId="50" numFmtId="0" xfId="0" applyAlignment="1" applyBorder="1" applyFont="1">
      <alignment horizontal="center" shrinkToFit="0" vertical="center" wrapText="1"/>
    </xf>
    <xf borderId="14" fillId="6" fontId="14" numFmtId="0" xfId="0" applyAlignment="1" applyBorder="1" applyFont="1">
      <alignment horizontal="center" shrinkToFit="0" vertical="center" wrapText="1"/>
    </xf>
    <xf borderId="15" fillId="6" fontId="51" numFmtId="0" xfId="0" applyAlignment="1" applyBorder="1" applyFont="1">
      <alignment horizontal="center" shrinkToFit="0" vertical="center" wrapText="1"/>
    </xf>
    <xf borderId="20" fillId="6" fontId="52" numFmtId="0" xfId="0" applyAlignment="1" applyBorder="1" applyFont="1">
      <alignment horizontal="center" shrinkToFit="0" vertical="center" wrapText="1"/>
    </xf>
    <xf borderId="11" fillId="7" fontId="53" numFmtId="0" xfId="0" applyAlignment="1" applyBorder="1" applyFont="1">
      <alignment horizontal="center" shrinkToFit="0" vertical="center" wrapText="1"/>
    </xf>
    <xf borderId="4" fillId="7" fontId="54" numFmtId="0" xfId="0" applyAlignment="1" applyBorder="1" applyFont="1">
      <alignment horizontal="center" shrinkToFit="0" vertical="center" wrapText="1"/>
    </xf>
    <xf borderId="10" fillId="7" fontId="55" numFmtId="0" xfId="0" applyAlignment="1" applyBorder="1" applyFont="1">
      <alignment horizontal="center" shrinkToFit="0" vertical="center" wrapText="1"/>
    </xf>
    <xf borderId="14" fillId="7" fontId="14" numFmtId="0" xfId="0" applyAlignment="1" applyBorder="1" applyFont="1">
      <alignment horizontal="center" shrinkToFit="0" vertical="center" wrapText="1"/>
    </xf>
    <xf borderId="15" fillId="7" fontId="56" numFmtId="0" xfId="0" applyAlignment="1" applyBorder="1" applyFont="1">
      <alignment horizontal="center" shrinkToFit="0" vertical="center" wrapText="1"/>
    </xf>
    <xf borderId="4" fillId="7" fontId="57" numFmtId="0" xfId="0" applyAlignment="1" applyBorder="1" applyFont="1">
      <alignment horizontal="center" shrinkToFit="0" wrapText="1"/>
    </xf>
    <xf borderId="20" fillId="7" fontId="58" numFmtId="0" xfId="0" applyAlignment="1" applyBorder="1" applyFont="1">
      <alignment horizontal="center" shrinkToFit="0" vertical="center" wrapText="1"/>
    </xf>
    <xf borderId="10" fillId="14" fontId="59" numFmtId="0" xfId="0" applyAlignment="1" applyBorder="1" applyFill="1" applyFont="1">
      <alignment horizontal="center" shrinkToFit="0" vertical="center" wrapText="1"/>
    </xf>
    <xf borderId="4" fillId="14" fontId="60" numFmtId="0" xfId="0" applyAlignment="1" applyBorder="1" applyFont="1">
      <alignment horizontal="center" shrinkToFit="0" vertical="center" wrapText="1"/>
    </xf>
    <xf borderId="14" fillId="12" fontId="14" numFmtId="0" xfId="0" applyAlignment="1" applyBorder="1" applyFont="1">
      <alignment horizontal="center" shrinkToFit="0" vertical="center" wrapText="1"/>
    </xf>
    <xf borderId="15" fillId="12" fontId="61" numFmtId="0" xfId="0" applyAlignment="1" applyBorder="1" applyFont="1">
      <alignment horizontal="center" shrinkToFit="0" vertical="center" wrapText="1"/>
    </xf>
    <xf borderId="22" fillId="0" fontId="62" numFmtId="0" xfId="0" applyAlignment="1" applyBorder="1" applyFont="1">
      <alignment horizontal="center" shrinkToFit="0" vertical="center" wrapText="1"/>
    </xf>
    <xf borderId="23" fillId="0" fontId="6" numFmtId="0" xfId="0" applyBorder="1" applyFont="1"/>
    <xf borderId="24" fillId="0" fontId="6" numFmtId="0" xfId="0" applyBorder="1" applyFont="1"/>
    <xf borderId="11" fillId="8" fontId="63" numFmtId="0" xfId="0" applyAlignment="1" applyBorder="1" applyFont="1">
      <alignment horizontal="center" shrinkToFit="0" vertical="center" wrapText="1"/>
    </xf>
    <xf borderId="4" fillId="8" fontId="64" numFmtId="0" xfId="0" applyAlignment="1" applyBorder="1" applyFont="1">
      <alignment horizontal="center" shrinkToFit="0" vertical="center" wrapText="1"/>
    </xf>
    <xf borderId="10" fillId="8" fontId="65" numFmtId="0" xfId="0" applyAlignment="1" applyBorder="1" applyFont="1">
      <alignment horizontal="center" shrinkToFit="0" vertical="center" wrapText="1"/>
    </xf>
    <xf borderId="14" fillId="8" fontId="14" numFmtId="0" xfId="0" applyAlignment="1" applyBorder="1" applyFont="1">
      <alignment horizontal="center" shrinkToFit="0" vertical="center" wrapText="1"/>
    </xf>
    <xf borderId="15" fillId="8" fontId="66" numFmtId="0" xfId="0" applyAlignment="1" applyBorder="1" applyFont="1">
      <alignment horizontal="center" shrinkToFit="0" vertical="center" wrapText="1"/>
    </xf>
    <xf borderId="4" fillId="8" fontId="67" numFmtId="0" xfId="0" applyAlignment="1" applyBorder="1" applyFont="1">
      <alignment horizontal="center" shrinkToFit="0" wrapText="1"/>
    </xf>
    <xf borderId="20" fillId="8" fontId="68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3" width="44.63"/>
    <col customWidth="1" min="4" max="4" width="9.13"/>
    <col customWidth="1" min="5" max="5" width="8.0"/>
    <col customWidth="1" min="6" max="7" width="44.63"/>
    <col customWidth="1" min="8" max="26" width="9.13"/>
  </cols>
  <sheetData>
    <row r="1" ht="21.0" customHeight="1">
      <c r="A1" s="1" t="s">
        <v>0</v>
      </c>
      <c r="D1" s="2"/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ht="21.0" customHeight="1">
      <c r="D2" s="2"/>
      <c r="E2" s="3"/>
      <c r="F2" s="3"/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ht="12.75" customHeight="1">
      <c r="A3" s="4"/>
      <c r="B3" s="5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ht="12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ht="21.0" customHeight="1">
      <c r="A5" s="6"/>
      <c r="B5" s="7" t="s">
        <v>1</v>
      </c>
      <c r="C5" s="8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ht="21.0" customHeight="1">
      <c r="A6" s="6">
        <v>1.0</v>
      </c>
      <c r="B6" s="9" t="s">
        <v>2</v>
      </c>
      <c r="C6" s="9" t="s">
        <v>3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ht="21.0" customHeight="1">
      <c r="A7" s="10">
        <v>2.0</v>
      </c>
      <c r="B7" s="11" t="s">
        <v>4</v>
      </c>
      <c r="C7" s="9" t="s">
        <v>5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ht="21.0" customHeight="1">
      <c r="A8" s="10">
        <v>3.0</v>
      </c>
      <c r="B8" s="9" t="s">
        <v>6</v>
      </c>
      <c r="C8" s="9" t="s">
        <v>7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ht="21.0" customHeight="1">
      <c r="A9" s="10">
        <v>4.0</v>
      </c>
      <c r="B9" s="12" t="s">
        <v>8</v>
      </c>
      <c r="C9" s="12" t="s">
        <v>9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ht="21.0" customHeight="1">
      <c r="A10" s="10">
        <v>5.0</v>
      </c>
      <c r="B10" s="12" t="s">
        <v>10</v>
      </c>
      <c r="C10" s="12" t="s">
        <v>11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0" customHeight="1">
      <c r="A11" s="10">
        <v>6.0</v>
      </c>
      <c r="B11" s="9" t="s">
        <v>12</v>
      </c>
      <c r="C11" s="9" t="s">
        <v>13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0" customHeight="1">
      <c r="A12" s="13"/>
      <c r="B12" s="13"/>
      <c r="C12" s="13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0" customHeight="1">
      <c r="A13" s="13"/>
      <c r="B13" s="14" t="s">
        <v>14</v>
      </c>
      <c r="C13" s="15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0" customHeight="1">
      <c r="A14" s="10">
        <v>1.0</v>
      </c>
      <c r="B14" s="16" t="s">
        <v>15</v>
      </c>
      <c r="C14" s="9" t="s">
        <v>16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0" customHeight="1">
      <c r="A15" s="10">
        <v>2.0</v>
      </c>
      <c r="B15" s="9" t="s">
        <v>17</v>
      </c>
      <c r="C15" s="9" t="s">
        <v>18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0" customHeight="1">
      <c r="A16" s="10">
        <v>3.0</v>
      </c>
      <c r="B16" s="9" t="s">
        <v>19</v>
      </c>
      <c r="C16" s="17" t="s">
        <v>20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0" customHeight="1">
      <c r="A17" s="10">
        <v>4.0</v>
      </c>
      <c r="B17" s="9" t="s">
        <v>21</v>
      </c>
      <c r="C17" s="9" t="s">
        <v>22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0" customHeight="1">
      <c r="A18" s="10">
        <v>5.0</v>
      </c>
      <c r="B18" s="18" t="s">
        <v>23</v>
      </c>
      <c r="C18" s="9" t="s">
        <v>24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0" customHeight="1">
      <c r="A19" s="19">
        <v>6.0</v>
      </c>
      <c r="B19" s="9" t="s">
        <v>25</v>
      </c>
      <c r="C19" s="16" t="s">
        <v>26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0" customHeight="1">
      <c r="A20" s="13"/>
      <c r="B20" s="13"/>
      <c r="C20" s="1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0" customHeight="1">
      <c r="A21" s="13"/>
      <c r="B21" s="20" t="s">
        <v>27</v>
      </c>
      <c r="C21" s="8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0" customHeight="1">
      <c r="A22" s="10">
        <v>1.0</v>
      </c>
      <c r="B22" s="21" t="s">
        <v>28</v>
      </c>
      <c r="C22" s="21" t="s">
        <v>29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0" customHeight="1">
      <c r="A23" s="10">
        <v>2.0</v>
      </c>
      <c r="B23" s="21" t="s">
        <v>30</v>
      </c>
      <c r="C23" s="21" t="s">
        <v>31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0" customHeight="1">
      <c r="A24" s="10">
        <v>3.0</v>
      </c>
      <c r="B24" s="21" t="s">
        <v>32</v>
      </c>
      <c r="C24" s="21" t="s">
        <v>33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0" customHeight="1">
      <c r="A25" s="10">
        <v>4.0</v>
      </c>
      <c r="B25" s="21" t="s">
        <v>34</v>
      </c>
      <c r="C25" s="21" t="s">
        <v>35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0" customHeight="1">
      <c r="A26" s="10">
        <v>5.0</v>
      </c>
      <c r="B26" s="21" t="s">
        <v>36</v>
      </c>
      <c r="C26" s="21" t="s">
        <v>37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0" customHeight="1">
      <c r="A27" s="10">
        <v>6.0</v>
      </c>
      <c r="B27" s="21" t="s">
        <v>38</v>
      </c>
      <c r="C27" s="21" t="s">
        <v>39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1.0" customHeight="1">
      <c r="A28" s="13"/>
      <c r="B28" s="13"/>
      <c r="C28" s="13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1.0" customHeight="1">
      <c r="A29" s="13"/>
      <c r="B29" s="22" t="s">
        <v>40</v>
      </c>
      <c r="C29" s="8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1.0" customHeight="1">
      <c r="A30" s="10">
        <v>1.0</v>
      </c>
      <c r="B30" s="21" t="s">
        <v>41</v>
      </c>
      <c r="C30" s="21" t="s">
        <v>42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1.0" customHeight="1">
      <c r="A31" s="10">
        <v>2.0</v>
      </c>
      <c r="B31" s="21" t="s">
        <v>43</v>
      </c>
      <c r="C31" s="21" t="s">
        <v>44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1.0" customHeight="1">
      <c r="A32" s="10">
        <v>3.0</v>
      </c>
      <c r="B32" s="21" t="s">
        <v>45</v>
      </c>
      <c r="C32" s="21" t="s">
        <v>46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1.0" customHeight="1">
      <c r="A33" s="10">
        <v>4.0</v>
      </c>
      <c r="B33" s="21" t="s">
        <v>47</v>
      </c>
      <c r="C33" s="21" t="s">
        <v>48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1.0" customHeight="1">
      <c r="A34" s="10">
        <v>5.0</v>
      </c>
      <c r="B34" s="21" t="s">
        <v>49</v>
      </c>
      <c r="C34" s="21" t="s">
        <v>50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1.0" customHeight="1">
      <c r="A35" s="10">
        <v>6.0</v>
      </c>
      <c r="B35" s="10" t="s">
        <v>51</v>
      </c>
      <c r="C35" s="10" t="s">
        <v>52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1.0" customHeight="1">
      <c r="A36" s="13"/>
      <c r="B36" s="13"/>
      <c r="C36" s="13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1.0" customHeight="1">
      <c r="A37" s="13"/>
      <c r="B37" s="23" t="s">
        <v>53</v>
      </c>
      <c r="C37" s="8"/>
      <c r="D37" s="4"/>
      <c r="E37" s="13"/>
      <c r="F37" s="24" t="s">
        <v>54</v>
      </c>
      <c r="G37" s="8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1.0" customHeight="1">
      <c r="A38" s="10">
        <v>1.0</v>
      </c>
      <c r="B38" s="21" t="s">
        <v>55</v>
      </c>
      <c r="C38" s="21" t="s">
        <v>56</v>
      </c>
      <c r="D38" s="4"/>
      <c r="E38" s="10">
        <v>1.0</v>
      </c>
      <c r="F38" s="21" t="s">
        <v>57</v>
      </c>
      <c r="G38" s="21" t="s">
        <v>58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1.0" customHeight="1">
      <c r="A39" s="10">
        <v>2.0</v>
      </c>
      <c r="B39" s="21" t="s">
        <v>59</v>
      </c>
      <c r="C39" s="21" t="s">
        <v>60</v>
      </c>
      <c r="D39" s="4"/>
      <c r="E39" s="10">
        <v>2.0</v>
      </c>
      <c r="F39" s="21" t="s">
        <v>61</v>
      </c>
      <c r="G39" s="21" t="s">
        <v>62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1.0" customHeight="1">
      <c r="A40" s="10">
        <v>3.0</v>
      </c>
      <c r="B40" s="21" t="s">
        <v>63</v>
      </c>
      <c r="C40" s="25" t="s">
        <v>64</v>
      </c>
      <c r="D40" s="4"/>
      <c r="E40" s="10">
        <v>3.0</v>
      </c>
      <c r="F40" s="21" t="s">
        <v>65</v>
      </c>
      <c r="G40" s="21" t="s">
        <v>66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1.0" customHeight="1">
      <c r="A41" s="10">
        <v>4.0</v>
      </c>
      <c r="B41" s="21" t="s">
        <v>67</v>
      </c>
      <c r="C41" s="21" t="s">
        <v>68</v>
      </c>
      <c r="D41" s="4"/>
      <c r="E41" s="10">
        <v>4.0</v>
      </c>
      <c r="F41" s="25" t="s">
        <v>69</v>
      </c>
      <c r="G41" s="21" t="s">
        <v>70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1.0" customHeight="1">
      <c r="A42" s="10">
        <v>5.0</v>
      </c>
      <c r="B42" s="21" t="s">
        <v>71</v>
      </c>
      <c r="C42" s="21" t="s">
        <v>72</v>
      </c>
      <c r="D42" s="4"/>
      <c r="E42" s="10">
        <v>5.0</v>
      </c>
      <c r="F42" s="21" t="s">
        <v>73</v>
      </c>
      <c r="G42" s="21" t="s">
        <v>74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1.0" customHeight="1">
      <c r="A43" s="10">
        <v>6.0</v>
      </c>
      <c r="B43" s="21" t="s">
        <v>75</v>
      </c>
      <c r="C43" s="21" t="s">
        <v>76</v>
      </c>
      <c r="D43" s="4"/>
      <c r="E43" s="10">
        <v>6.0</v>
      </c>
      <c r="F43" s="26" t="s">
        <v>77</v>
      </c>
      <c r="G43" s="10" t="s">
        <v>78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1.0" customHeight="1">
      <c r="A44" s="13"/>
      <c r="B44" s="13"/>
      <c r="C44" s="13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1.0" customHeight="1">
      <c r="A45" s="13"/>
      <c r="B45" s="27" t="s">
        <v>79</v>
      </c>
      <c r="C45" s="8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1.0" customHeight="1">
      <c r="A46" s="10">
        <v>1.0</v>
      </c>
      <c r="B46" s="21" t="s">
        <v>80</v>
      </c>
      <c r="C46" s="21" t="s">
        <v>81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1.0" customHeight="1">
      <c r="A47" s="10">
        <v>2.0</v>
      </c>
      <c r="B47" s="21" t="s">
        <v>82</v>
      </c>
      <c r="C47" s="21" t="s">
        <v>83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1.0" customHeight="1">
      <c r="A48" s="10">
        <v>3.0</v>
      </c>
      <c r="B48" s="21" t="s">
        <v>84</v>
      </c>
      <c r="C48" s="21" t="s">
        <v>85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1.0" customHeight="1">
      <c r="A49" s="10">
        <v>4.0</v>
      </c>
      <c r="B49" s="21" t="s">
        <v>86</v>
      </c>
      <c r="C49" s="21" t="s">
        <v>87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1.0" customHeight="1">
      <c r="A50" s="10">
        <v>5.0</v>
      </c>
      <c r="B50" s="21" t="s">
        <v>88</v>
      </c>
      <c r="C50" s="21" t="s">
        <v>89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1.0" customHeight="1">
      <c r="A51" s="10">
        <v>6.0</v>
      </c>
      <c r="B51" s="21" t="s">
        <v>90</v>
      </c>
      <c r="C51" s="21" t="s">
        <v>91</v>
      </c>
      <c r="D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1.0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1.0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1.0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1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1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1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1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1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1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1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1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1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1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1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1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1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1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1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1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1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1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1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1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1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1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1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1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1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1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1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1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1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1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1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1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1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1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1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1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1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1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1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1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1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1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1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1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1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1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1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1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1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1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1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1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1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1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1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1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1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1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1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1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1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1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1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1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1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1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1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1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1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1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1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1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1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1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1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1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1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1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1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1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1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1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1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1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1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1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1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1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1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21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21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1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21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21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21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1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21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21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21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1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21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21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21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21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1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21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21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21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21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21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21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21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21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21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21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21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21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21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21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21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21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21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21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21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21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21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21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21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1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21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21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21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21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21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1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21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21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21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21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21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21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21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21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21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21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21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21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21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21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21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21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21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21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21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21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21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21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21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21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21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21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21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21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21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21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21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21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21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21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21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21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21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21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21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21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21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21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21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21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21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21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21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21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21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21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21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21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21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21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21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21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21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21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21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21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21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21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8">
    <mergeCell ref="A1:C2"/>
    <mergeCell ref="B5:C5"/>
    <mergeCell ref="B13:C13"/>
    <mergeCell ref="B21:C21"/>
    <mergeCell ref="B29:C29"/>
    <mergeCell ref="B37:C37"/>
    <mergeCell ref="F37:G37"/>
    <mergeCell ref="B45:C45"/>
  </mergeCells>
  <printOptions/>
  <pageMargins bottom="0.75" footer="0.0" header="0.0" left="0.25" right="0.25" top="0.75"/>
  <pageSetup paperSize="9" scale="6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2.13"/>
    <col customWidth="1" min="2" max="2" width="7.0"/>
    <col customWidth="1" hidden="1" min="3" max="3" width="6.13"/>
    <col customWidth="1" min="4" max="4" width="1.63"/>
    <col customWidth="1" min="5" max="5" width="7.0"/>
    <col customWidth="1" hidden="1" min="6" max="6" width="6.13"/>
    <col customWidth="1" min="7" max="7" width="1.63"/>
    <col customWidth="1" min="8" max="8" width="7.0"/>
    <col customWidth="1" hidden="1" min="9" max="9" width="6.13"/>
    <col customWidth="1" hidden="1" min="10" max="10" width="7.63"/>
    <col customWidth="1" hidden="1" min="11" max="11" width="7.38"/>
    <col customWidth="1" hidden="1" min="12" max="12" width="11.38"/>
    <col customWidth="1" hidden="1" min="13" max="13" width="8.0"/>
    <col customWidth="1" hidden="1" min="14" max="14" width="6.13"/>
    <col customWidth="1" min="15" max="15" width="6.0"/>
    <col customWidth="1" min="16" max="16" width="41.38"/>
    <col customWidth="1" min="17" max="17" width="7.0"/>
    <col customWidth="1" hidden="1" min="18" max="18" width="6.13"/>
    <col customWidth="1" min="19" max="19" width="1.63"/>
    <col customWidth="1" min="20" max="20" width="7.0"/>
    <col customWidth="1" hidden="1" min="21" max="21" width="6.13"/>
    <col customWidth="1" min="22" max="22" width="1.63"/>
    <col customWidth="1" min="23" max="23" width="7.0"/>
    <col customWidth="1" hidden="1" min="24" max="24" width="6.13"/>
    <col customWidth="1" hidden="1" min="25" max="25" width="7.63"/>
    <col customWidth="1" hidden="1" min="26" max="26" width="7.38"/>
    <col customWidth="1" hidden="1" min="27" max="27" width="11.38"/>
    <col customWidth="1" hidden="1" min="28" max="28" width="8.0"/>
    <col customWidth="1" hidden="1" min="29" max="29" width="6.13"/>
    <col customWidth="1" min="30" max="30" width="6.13"/>
    <col customWidth="1" min="31" max="31" width="35.38"/>
    <col customWidth="1" min="32" max="35" width="8.63"/>
    <col customWidth="1" hidden="1" min="36" max="36" width="9.38"/>
    <col customWidth="1" hidden="1" min="37" max="37" width="12.0"/>
    <col customWidth="1" hidden="1" min="38" max="38" width="8.0"/>
    <col customWidth="1" hidden="1" min="39" max="40" width="41.13"/>
  </cols>
  <sheetData>
    <row r="1" ht="21.0" customHeight="1">
      <c r="A1" s="1" t="s">
        <v>0</v>
      </c>
      <c r="AJ1" s="4"/>
      <c r="AK1" s="4"/>
      <c r="AL1" s="4"/>
      <c r="AM1" s="4"/>
      <c r="AN1" s="4"/>
    </row>
    <row r="2" ht="21.0" customHeight="1">
      <c r="AJ2" s="4"/>
      <c r="AK2" s="4"/>
      <c r="AL2" s="4"/>
      <c r="AM2" s="4"/>
      <c r="AN2" s="4"/>
    </row>
    <row r="3" ht="13.5" customHeight="1">
      <c r="A3" s="28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</row>
    <row r="4" ht="13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</row>
    <row r="5" ht="13.5" customHeight="1">
      <c r="A5" s="29" t="s">
        <v>1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1"/>
      <c r="AK5" s="31"/>
      <c r="AL5" s="31"/>
      <c r="AM5" s="31"/>
      <c r="AN5" s="31"/>
    </row>
    <row r="6" ht="13.5" customHeight="1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</row>
    <row r="7">
      <c r="A7" s="32" t="s">
        <v>92</v>
      </c>
      <c r="B7" s="33" t="s">
        <v>93</v>
      </c>
      <c r="C7" s="34"/>
      <c r="D7" s="34"/>
      <c r="E7" s="8"/>
      <c r="F7" s="35"/>
      <c r="G7" s="36"/>
      <c r="H7" s="32" t="s">
        <v>94</v>
      </c>
      <c r="I7" s="31"/>
      <c r="J7" s="31"/>
      <c r="K7" s="31"/>
      <c r="L7" s="31"/>
      <c r="M7" s="37"/>
      <c r="N7" s="37"/>
      <c r="O7" s="37"/>
      <c r="P7" s="32" t="s">
        <v>92</v>
      </c>
      <c r="Q7" s="33" t="s">
        <v>93</v>
      </c>
      <c r="R7" s="34"/>
      <c r="S7" s="34"/>
      <c r="T7" s="8"/>
      <c r="U7" s="35"/>
      <c r="V7" s="36"/>
      <c r="W7" s="32" t="s">
        <v>94</v>
      </c>
      <c r="X7" s="31"/>
      <c r="Y7" s="37"/>
      <c r="Z7" s="37"/>
      <c r="AA7" s="37"/>
      <c r="AB7" s="37"/>
      <c r="AC7" s="37"/>
      <c r="AD7" s="37"/>
      <c r="AE7" s="32" t="s">
        <v>95</v>
      </c>
      <c r="AF7" s="38" t="s">
        <v>96</v>
      </c>
      <c r="AG7" s="38" t="s">
        <v>97</v>
      </c>
      <c r="AH7" s="38" t="s">
        <v>98</v>
      </c>
      <c r="AI7" s="38" t="s">
        <v>99</v>
      </c>
      <c r="AJ7" s="37"/>
      <c r="AK7" s="37"/>
      <c r="AL7" s="37"/>
      <c r="AM7" s="31"/>
      <c r="AN7" s="31"/>
    </row>
    <row r="8" hidden="1">
      <c r="A8" s="31"/>
      <c r="B8" s="39" t="s">
        <v>100</v>
      </c>
      <c r="C8" s="39" t="s">
        <v>101</v>
      </c>
      <c r="D8" s="39"/>
      <c r="E8" s="39" t="s">
        <v>100</v>
      </c>
      <c r="F8" s="39" t="s">
        <v>102</v>
      </c>
      <c r="G8" s="39"/>
      <c r="H8" s="39" t="s">
        <v>100</v>
      </c>
      <c r="I8" s="39" t="s">
        <v>103</v>
      </c>
      <c r="J8" s="39" t="s">
        <v>104</v>
      </c>
      <c r="K8" s="39" t="s">
        <v>105</v>
      </c>
      <c r="L8" s="39" t="s">
        <v>106</v>
      </c>
      <c r="M8" s="39" t="s">
        <v>107</v>
      </c>
      <c r="N8" s="39" t="s">
        <v>108</v>
      </c>
      <c r="O8" s="31"/>
      <c r="P8" s="31"/>
      <c r="Q8" s="39" t="s">
        <v>100</v>
      </c>
      <c r="R8" s="39" t="s">
        <v>101</v>
      </c>
      <c r="S8" s="39"/>
      <c r="T8" s="39" t="s">
        <v>100</v>
      </c>
      <c r="U8" s="39" t="s">
        <v>102</v>
      </c>
      <c r="V8" s="39"/>
      <c r="W8" s="39" t="s">
        <v>100</v>
      </c>
      <c r="X8" s="39" t="s">
        <v>103</v>
      </c>
      <c r="Y8" s="39" t="s">
        <v>104</v>
      </c>
      <c r="Z8" s="39" t="s">
        <v>105</v>
      </c>
      <c r="AA8" s="39" t="s">
        <v>106</v>
      </c>
      <c r="AB8" s="39" t="s">
        <v>107</v>
      </c>
      <c r="AC8" s="39" t="s">
        <v>108</v>
      </c>
      <c r="AD8" s="31"/>
      <c r="AE8" s="37"/>
      <c r="AF8" s="37"/>
      <c r="AG8" s="37"/>
      <c r="AH8" s="37"/>
      <c r="AI8" s="37"/>
      <c r="AJ8" s="39" t="s">
        <v>109</v>
      </c>
      <c r="AK8" s="39" t="s">
        <v>110</v>
      </c>
      <c r="AL8" s="40" t="s">
        <v>111</v>
      </c>
      <c r="AM8" s="41" t="s">
        <v>112</v>
      </c>
      <c r="AN8" s="41" t="s">
        <v>113</v>
      </c>
    </row>
    <row r="9" ht="13.5" customHeight="1">
      <c r="A9" s="42" t="str">
        <f>AE9</f>
        <v>Clayton Zammit Cesare / Alison Muscat</v>
      </c>
      <c r="B9" s="43">
        <v>4.0</v>
      </c>
      <c r="C9" s="44">
        <f>IF(B9&gt;B11,1,0)</f>
        <v>0</v>
      </c>
      <c r="D9" s="45"/>
      <c r="E9" s="43">
        <v>3.0</v>
      </c>
      <c r="F9" s="44">
        <f>IF(E9&gt;E11,1,0)</f>
        <v>0</v>
      </c>
      <c r="G9" s="45"/>
      <c r="H9" s="46"/>
      <c r="I9" s="31">
        <f>IF(H9&gt;H11,1,0)</f>
        <v>0</v>
      </c>
      <c r="J9" s="31">
        <f>IF(B9="",0,1)</f>
        <v>1</v>
      </c>
      <c r="K9" s="31">
        <f>IF(C9+F9=2,3,IF(C9+F9=1,1,0))</f>
        <v>0</v>
      </c>
      <c r="L9" s="31">
        <f>IF(K9=3,3,IF(I9+K9=2,2,IF(K9=1,1,0)))</f>
        <v>0</v>
      </c>
      <c r="M9" s="31">
        <f>B9+E9</f>
        <v>7</v>
      </c>
      <c r="N9" s="31">
        <f>C9+F9+I9</f>
        <v>0</v>
      </c>
      <c r="O9" s="31"/>
      <c r="P9" s="42" t="str">
        <f>AE9</f>
        <v>Clayton Zammit Cesare / Alison Muscat</v>
      </c>
      <c r="Q9" s="43">
        <v>6.0</v>
      </c>
      <c r="R9" s="44">
        <f>IF(Q9&gt;Q11,1,0)</f>
        <v>1</v>
      </c>
      <c r="S9" s="45"/>
      <c r="T9" s="43">
        <v>6.0</v>
      </c>
      <c r="U9" s="44">
        <f>IF(T9&gt;T11,1,0)</f>
        <v>1</v>
      </c>
      <c r="V9" s="45"/>
      <c r="W9" s="46"/>
      <c r="X9" s="31">
        <f>IF(W9&gt;W11,1,0)</f>
        <v>0</v>
      </c>
      <c r="Y9" s="31">
        <f>IF(Q9="",0,1)</f>
        <v>1</v>
      </c>
      <c r="Z9" s="31">
        <f>IF(R9+U9=2,3,IF(R9+U9=1,1,0))</f>
        <v>3</v>
      </c>
      <c r="AA9" s="31">
        <f>IF(Z9=3,3,IF(X9+Z9=2,2,IF(Z9=1,1,0)))</f>
        <v>3</v>
      </c>
      <c r="AB9" s="31">
        <f>Q9+T9</f>
        <v>12</v>
      </c>
      <c r="AC9" s="31">
        <f>R9+U9+X9</f>
        <v>2</v>
      </c>
      <c r="AD9" s="31"/>
      <c r="AE9" s="47" t="str">
        <f>Players!B6&amp; " / " &amp;Players!C6</f>
        <v>Clayton Zammit Cesare / Alison Muscat</v>
      </c>
      <c r="AF9" s="48">
        <f>J9+Y9+J13+J17+J29</f>
        <v>5</v>
      </c>
      <c r="AG9" s="48">
        <f t="shared" ref="AG9:AI9" si="1">L17+AA9+L13+L9+L29</f>
        <v>12</v>
      </c>
      <c r="AH9" s="48">
        <f t="shared" si="1"/>
        <v>56</v>
      </c>
      <c r="AI9" s="49">
        <f t="shared" si="1"/>
        <v>8</v>
      </c>
      <c r="AJ9" s="31">
        <f>MAX(AG9:AG17)</f>
        <v>12</v>
      </c>
      <c r="AK9" s="31">
        <f>LARGE(AG9:AG17, 2)</f>
        <v>12</v>
      </c>
      <c r="AL9" s="31">
        <f>SUM(AF9:AF17)</f>
        <v>25</v>
      </c>
      <c r="AM9" s="31" t="str">
        <f>IF(AG9=$AJ$9,AE9,IF(AG11=$AJ$9,AE11,IF(AG13=$AJ$9,AE13,IF(AG15=$AJ$9,AE15,IF(AG17=$AJ$9,AE17,"")))))</f>
        <v>Clayton Zammit Cesare / Alison Muscat</v>
      </c>
      <c r="AN9" s="31" t="str">
        <f>IF(AG9=$AK$9,AE9,IF(AG11=$AK$9,AE11,IF(AG13=$AK$9,AE13,IF(AG15=$AK$9,AE15,IF(AG17=$AK$9,AE17,"")))))</f>
        <v>Clayton Zammit Cesare / Alison Muscat</v>
      </c>
    </row>
    <row r="10" ht="13.5" customHeight="1">
      <c r="A10" s="50" t="s">
        <v>114</v>
      </c>
      <c r="H10" s="51"/>
      <c r="I10" s="52"/>
      <c r="J10" s="31"/>
      <c r="K10" s="31"/>
      <c r="L10" s="31"/>
      <c r="M10" s="31"/>
      <c r="N10" s="31"/>
      <c r="O10" s="31"/>
      <c r="P10" s="50" t="s">
        <v>114</v>
      </c>
      <c r="W10" s="51"/>
      <c r="X10" s="52"/>
      <c r="Y10" s="31"/>
      <c r="Z10" s="31"/>
      <c r="AA10" s="31"/>
      <c r="AB10" s="31"/>
      <c r="AC10" s="31"/>
      <c r="AD10" s="31"/>
      <c r="AE10" s="31"/>
      <c r="AF10" s="37"/>
      <c r="AG10" s="37"/>
      <c r="AH10" s="37"/>
      <c r="AI10" s="37"/>
      <c r="AJ10" s="31"/>
      <c r="AK10" s="37"/>
      <c r="AL10" s="37"/>
      <c r="AM10" s="31"/>
      <c r="AN10" s="31"/>
    </row>
    <row r="11" ht="13.5" customHeight="1">
      <c r="A11" s="53" t="str">
        <f>AE11</f>
        <v>Matthew Mifsud / Lara Pule'</v>
      </c>
      <c r="B11" s="43">
        <v>6.0</v>
      </c>
      <c r="C11" s="54">
        <f>IF(B11&gt;B9,1,0)</f>
        <v>1</v>
      </c>
      <c r="D11" s="55"/>
      <c r="E11" s="43">
        <v>6.0</v>
      </c>
      <c r="F11" s="54">
        <f>IF(E11&gt;E9,1,0)</f>
        <v>1</v>
      </c>
      <c r="G11" s="55"/>
      <c r="H11" s="46"/>
      <c r="I11" s="31">
        <f>IF(H11&gt;H9,1,0)</f>
        <v>0</v>
      </c>
      <c r="J11" s="31">
        <f>IF(B11="",0,1)</f>
        <v>1</v>
      </c>
      <c r="K11" s="31">
        <f>IF(C11+F11=2,3,IF(C11+F11=1,1,0))</f>
        <v>3</v>
      </c>
      <c r="L11" s="31">
        <f>IF(K11=3,3,IF(I11+K11=2,2,IF(K11=1,1,0)))</f>
        <v>3</v>
      </c>
      <c r="M11" s="31">
        <f>B11+E11</f>
        <v>12</v>
      </c>
      <c r="N11" s="31">
        <f>C11+F11+I11</f>
        <v>2</v>
      </c>
      <c r="O11" s="31"/>
      <c r="P11" s="53" t="str">
        <f>AE15</f>
        <v>Duncan D'Alessandro / Kaya Sammut</v>
      </c>
      <c r="Q11" s="43">
        <v>2.0</v>
      </c>
      <c r="R11" s="54">
        <f>IF(Q11&gt;Q9,1,0)</f>
        <v>0</v>
      </c>
      <c r="S11" s="55"/>
      <c r="T11" s="43">
        <v>4.0</v>
      </c>
      <c r="U11" s="54">
        <f>IF(T11&gt;T9,1,0)</f>
        <v>0</v>
      </c>
      <c r="V11" s="55"/>
      <c r="W11" s="46"/>
      <c r="X11" s="31">
        <f>IF(W11&gt;W9,1,0)</f>
        <v>0</v>
      </c>
      <c r="Y11" s="31">
        <f>IF(Q11="",0,1)</f>
        <v>1</v>
      </c>
      <c r="Z11" s="31">
        <f>IF(R11+U11=2,3,IF(R11+U11=1,1,0))</f>
        <v>0</v>
      </c>
      <c r="AA11" s="31">
        <f>IF(Z11=3,3,IF(X11+Z11=2,2,IF(Z11=1,1,0)))</f>
        <v>0</v>
      </c>
      <c r="AB11" s="31">
        <f>Q11+T11</f>
        <v>6</v>
      </c>
      <c r="AC11" s="31">
        <f>R11+U11+X11</f>
        <v>0</v>
      </c>
      <c r="AD11" s="31"/>
      <c r="AE11" s="47" t="str">
        <f>Players!B7&amp; " / " &amp;Players!C7</f>
        <v>Matthew Mifsud / Lara Pule'</v>
      </c>
      <c r="AF11" s="48">
        <f>Y21+Y25+Y13+J11+Y29</f>
        <v>5</v>
      </c>
      <c r="AG11" s="48">
        <f t="shared" ref="AG11:AI11" si="2">AA21+AA25+AA13+L11+AA29</f>
        <v>12</v>
      </c>
      <c r="AH11" s="48">
        <f t="shared" si="2"/>
        <v>59</v>
      </c>
      <c r="AI11" s="49">
        <f t="shared" si="2"/>
        <v>9</v>
      </c>
      <c r="AJ11" s="37"/>
      <c r="AK11" s="37"/>
      <c r="AL11" s="37"/>
      <c r="AM11" s="31"/>
      <c r="AN11" s="31"/>
    </row>
    <row r="12" ht="13.5" customHeight="1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7"/>
      <c r="AG12" s="37"/>
      <c r="AH12" s="37"/>
      <c r="AI12" s="37"/>
      <c r="AJ12" s="37"/>
      <c r="AK12" s="37"/>
      <c r="AL12" s="37"/>
      <c r="AM12" s="31"/>
      <c r="AN12" s="31"/>
    </row>
    <row r="13" ht="13.5" customHeight="1">
      <c r="A13" s="42" t="str">
        <f>AE9</f>
        <v>Clayton Zammit Cesare / Alison Muscat</v>
      </c>
      <c r="B13" s="43">
        <v>7.0</v>
      </c>
      <c r="C13" s="44">
        <f>IF(B13&gt;B15,1,0)</f>
        <v>1</v>
      </c>
      <c r="D13" s="45"/>
      <c r="E13" s="43">
        <v>6.0</v>
      </c>
      <c r="F13" s="44">
        <f>IF(E13&gt;E15,1,0)</f>
        <v>1</v>
      </c>
      <c r="G13" s="45"/>
      <c r="H13" s="46"/>
      <c r="I13" s="31">
        <f>IF(H13&gt;H15,1,0)</f>
        <v>0</v>
      </c>
      <c r="J13" s="31">
        <f>IF(B13="",0,1)</f>
        <v>1</v>
      </c>
      <c r="K13" s="31">
        <f>IF(C13+F13=2,3,IF(C13+F13=1,1,0))</f>
        <v>3</v>
      </c>
      <c r="L13" s="31">
        <f>IF(K13=3,3,IF(I13+K13=2,2,IF(K13=1,1,0)))</f>
        <v>3</v>
      </c>
      <c r="M13" s="31">
        <f>B13+E13</f>
        <v>13</v>
      </c>
      <c r="N13" s="31">
        <f>C13+F13+I13</f>
        <v>2</v>
      </c>
      <c r="O13" s="31"/>
      <c r="P13" s="42" t="str">
        <f>AE11</f>
        <v>Matthew Mifsud / Lara Pule'</v>
      </c>
      <c r="Q13" s="43">
        <v>5.0</v>
      </c>
      <c r="R13" s="44">
        <f>IF(Q13&gt;Q15,1,0)</f>
        <v>0</v>
      </c>
      <c r="S13" s="45"/>
      <c r="T13" s="43">
        <v>6.0</v>
      </c>
      <c r="U13" s="44">
        <f>IF(T13&gt;T15,1,0)</f>
        <v>1</v>
      </c>
      <c r="V13" s="45"/>
      <c r="W13" s="43">
        <v>10.0</v>
      </c>
      <c r="X13" s="31">
        <f>IF(W13&gt;W15,1,0)</f>
        <v>1</v>
      </c>
      <c r="Y13" s="31">
        <f>IF(Q13="",0,1)</f>
        <v>1</v>
      </c>
      <c r="Z13" s="31">
        <f>IF(R13+U13=2,3,IF(R13+U13=1,1,0))</f>
        <v>1</v>
      </c>
      <c r="AA13" s="31">
        <f>IF(Z13=3,3,IF(X13+Z13=2,2,IF(Z13=1,1,0)))</f>
        <v>2</v>
      </c>
      <c r="AB13" s="31">
        <f>Q13+T13</f>
        <v>11</v>
      </c>
      <c r="AC13" s="31">
        <f>R13+U13+X13</f>
        <v>2</v>
      </c>
      <c r="AD13" s="31"/>
      <c r="AE13" s="47" t="str">
        <f>Players!B8&amp; " / " &amp;Players!C8</f>
        <v>Matthew Borg / AnnMarie Mangion</v>
      </c>
      <c r="AF13" s="48">
        <f>Y23+Y17+J15+J21+J33</f>
        <v>5</v>
      </c>
      <c r="AG13" s="48">
        <f t="shared" ref="AG13:AI13" si="3">AA23+AA17+L15+L21+L33</f>
        <v>10</v>
      </c>
      <c r="AH13" s="48">
        <f t="shared" si="3"/>
        <v>53</v>
      </c>
      <c r="AI13" s="49">
        <f t="shared" si="3"/>
        <v>8</v>
      </c>
      <c r="AJ13" s="37"/>
      <c r="AK13" s="37"/>
      <c r="AL13" s="37"/>
      <c r="AM13" s="31"/>
      <c r="AN13" s="31"/>
    </row>
    <row r="14" ht="13.5" customHeight="1">
      <c r="A14" s="50" t="s">
        <v>114</v>
      </c>
      <c r="H14" s="51"/>
      <c r="I14" s="52"/>
      <c r="J14" s="31"/>
      <c r="K14" s="31"/>
      <c r="L14" s="31"/>
      <c r="M14" s="31"/>
      <c r="N14" s="31"/>
      <c r="O14" s="31"/>
      <c r="P14" s="50" t="s">
        <v>114</v>
      </c>
      <c r="W14" s="51"/>
      <c r="X14" s="52"/>
      <c r="Y14" s="31"/>
      <c r="Z14" s="31"/>
      <c r="AA14" s="31"/>
      <c r="AB14" s="31"/>
      <c r="AC14" s="31"/>
      <c r="AD14" s="31"/>
      <c r="AE14" s="31"/>
      <c r="AF14" s="37"/>
      <c r="AG14" s="37"/>
      <c r="AH14" s="37"/>
      <c r="AI14" s="37"/>
      <c r="AJ14" s="37"/>
      <c r="AK14" s="37"/>
      <c r="AL14" s="37"/>
      <c r="AM14" s="31"/>
      <c r="AN14" s="31"/>
    </row>
    <row r="15" ht="13.5" customHeight="1">
      <c r="A15" s="53" t="str">
        <f>AE13</f>
        <v>Matthew Borg / AnnMarie Mangion</v>
      </c>
      <c r="B15" s="43">
        <v>5.0</v>
      </c>
      <c r="C15" s="54">
        <f>IF(B15&gt;B13,1,0)</f>
        <v>0</v>
      </c>
      <c r="D15" s="55"/>
      <c r="E15" s="43">
        <v>3.0</v>
      </c>
      <c r="F15" s="54">
        <f>IF(E15&gt;E13,1,0)</f>
        <v>0</v>
      </c>
      <c r="G15" s="55"/>
      <c r="H15" s="46"/>
      <c r="I15" s="31">
        <f>IF(H15&gt;H13,1,0)</f>
        <v>0</v>
      </c>
      <c r="J15" s="31">
        <f>IF(B15="",0,1)</f>
        <v>1</v>
      </c>
      <c r="K15" s="31">
        <f>IF(C15+F15=2,3,IF(C15+F15=1,1,0))</f>
        <v>0</v>
      </c>
      <c r="L15" s="31">
        <f>IF(K15=3,3,IF(I15+K15=2,2,IF(K15=1,1,0)))</f>
        <v>0</v>
      </c>
      <c r="M15" s="31">
        <f>B15+E15</f>
        <v>8</v>
      </c>
      <c r="N15" s="31">
        <f>C15+F15+I15</f>
        <v>0</v>
      </c>
      <c r="O15" s="31"/>
      <c r="P15" s="53" t="str">
        <f>AE15</f>
        <v>Duncan D'Alessandro / Kaya Sammut</v>
      </c>
      <c r="Q15" s="43">
        <v>7.0</v>
      </c>
      <c r="R15" s="54">
        <f>IF(Q15&gt;Q13,1,0)</f>
        <v>1</v>
      </c>
      <c r="S15" s="55"/>
      <c r="T15" s="43">
        <v>4.0</v>
      </c>
      <c r="U15" s="54">
        <f>IF(T15&gt;T13,1,0)</f>
        <v>0</v>
      </c>
      <c r="V15" s="55"/>
      <c r="W15" s="43">
        <v>8.0</v>
      </c>
      <c r="X15" s="31">
        <f>IF(W15&gt;W13,1,0)</f>
        <v>0</v>
      </c>
      <c r="Y15" s="31">
        <f>IF(Q15="",0,1)</f>
        <v>1</v>
      </c>
      <c r="Z15" s="31">
        <f>IF(R15+U15=2,3,IF(R15+U15=1,1,0))</f>
        <v>1</v>
      </c>
      <c r="AA15" s="31">
        <f>IF(Z15=3,3,IF(X15+Z15=2,2,IF(Z15=1,1,0)))</f>
        <v>1</v>
      </c>
      <c r="AB15" s="31">
        <f>Q15+T15</f>
        <v>11</v>
      </c>
      <c r="AC15" s="31">
        <f>R15+U15+X15</f>
        <v>1</v>
      </c>
      <c r="AD15" s="31"/>
      <c r="AE15" s="47" t="str">
        <f>Players!B9&amp; " / " &amp;Players!C9</f>
        <v>Duncan D'Alessandro / Kaya Sammut</v>
      </c>
      <c r="AF15" s="48">
        <f>J25+Y19+Y11+Y15+Y33</f>
        <v>5</v>
      </c>
      <c r="AG15" s="48">
        <f t="shared" ref="AG15:AI15" si="4">L25+AA19+AA11+AA15+AA33</f>
        <v>5</v>
      </c>
      <c r="AH15" s="48">
        <f t="shared" si="4"/>
        <v>43</v>
      </c>
      <c r="AI15" s="49">
        <f t="shared" si="4"/>
        <v>4</v>
      </c>
      <c r="AJ15" s="37"/>
      <c r="AK15" s="37"/>
      <c r="AL15" s="37"/>
      <c r="AM15" s="31"/>
      <c r="AN15" s="31"/>
    </row>
    <row r="16" ht="13.5" customHeight="1">
      <c r="A16" s="31"/>
      <c r="B16" s="37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7"/>
      <c r="AG16" s="37"/>
      <c r="AH16" s="37"/>
      <c r="AI16" s="37"/>
      <c r="AJ16" s="37"/>
      <c r="AK16" s="37"/>
      <c r="AL16" s="37"/>
      <c r="AM16" s="31"/>
      <c r="AN16" s="31"/>
    </row>
    <row r="17" ht="13.5" customHeight="1">
      <c r="A17" s="42" t="str">
        <f>AE9</f>
        <v>Clayton Zammit Cesare / Alison Muscat</v>
      </c>
      <c r="B17" s="43">
        <v>6.0</v>
      </c>
      <c r="C17" s="44">
        <f>IF(B17&gt;B19,1,0)</f>
        <v>1</v>
      </c>
      <c r="D17" s="45"/>
      <c r="E17" s="43">
        <v>6.0</v>
      </c>
      <c r="F17" s="44">
        <f>IF(E17&gt;E19,1,0)</f>
        <v>1</v>
      </c>
      <c r="G17" s="45"/>
      <c r="H17" s="46"/>
      <c r="I17" s="31">
        <f>IF(H17&gt;H19,1,0)</f>
        <v>0</v>
      </c>
      <c r="J17" s="31">
        <f>IF(B17="",0,1)</f>
        <v>1</v>
      </c>
      <c r="K17" s="31">
        <f>IF(C17+F17=2,3,IF(C17+F17=1,1,0))</f>
        <v>3</v>
      </c>
      <c r="L17" s="31">
        <f>IF(K17=3,3,IF(I17+K17=2,2,IF(K17=1,1,0)))</f>
        <v>3</v>
      </c>
      <c r="M17" s="31">
        <f>B17+E17</f>
        <v>12</v>
      </c>
      <c r="N17" s="31">
        <f>C17+F17+I17</f>
        <v>2</v>
      </c>
      <c r="O17" s="31"/>
      <c r="P17" s="42" t="str">
        <f>AE13</f>
        <v>Matthew Borg / AnnMarie Mangion</v>
      </c>
      <c r="Q17" s="43">
        <v>6.0</v>
      </c>
      <c r="R17" s="44">
        <f>IF(Q17&gt;Q19,1,0)</f>
        <v>1</v>
      </c>
      <c r="S17" s="45"/>
      <c r="T17" s="43">
        <v>6.0</v>
      </c>
      <c r="U17" s="44">
        <f>IF(T17&gt;T19,1,0)</f>
        <v>1</v>
      </c>
      <c r="V17" s="45"/>
      <c r="W17" s="46"/>
      <c r="X17" s="31">
        <f>IF(W17&gt;W19,1,0)</f>
        <v>0</v>
      </c>
      <c r="Y17" s="31">
        <f>IF(Q17="",0,1)</f>
        <v>1</v>
      </c>
      <c r="Z17" s="31">
        <f>IF(R17+U17=2,3,IF(R17+U17=1,1,0))</f>
        <v>3</v>
      </c>
      <c r="AA17" s="31">
        <f>IF(Z17=3,3,IF(X17+Z17=2,2,IF(Z17=1,1,0)))</f>
        <v>3</v>
      </c>
      <c r="AB17" s="31">
        <f>Q17+T17</f>
        <v>12</v>
      </c>
      <c r="AC17" s="31">
        <f>R17+U17+X17</f>
        <v>2</v>
      </c>
      <c r="AD17" s="31"/>
      <c r="AE17" s="47" t="str">
        <f>Players!B10&amp; " / " &amp;Players!C10</f>
        <v>Melchior Farrugia / Doriana Portelli</v>
      </c>
      <c r="AF17" s="48">
        <f>J23+J27+Y27+J19+J37</f>
        <v>5</v>
      </c>
      <c r="AG17" s="48">
        <f t="shared" ref="AG17:AI17" si="5">L27+L19+AA27+L23+L37</f>
        <v>6</v>
      </c>
      <c r="AH17" s="48">
        <f t="shared" si="5"/>
        <v>37</v>
      </c>
      <c r="AI17" s="49">
        <f t="shared" si="5"/>
        <v>5</v>
      </c>
      <c r="AJ17" s="37"/>
      <c r="AK17" s="37"/>
      <c r="AL17" s="37"/>
      <c r="AM17" s="31"/>
      <c r="AN17" s="31"/>
    </row>
    <row r="18" ht="13.5" customHeight="1">
      <c r="A18" s="50" t="s">
        <v>114</v>
      </c>
      <c r="H18" s="51"/>
      <c r="I18" s="52"/>
      <c r="J18" s="31"/>
      <c r="K18" s="31"/>
      <c r="L18" s="31"/>
      <c r="M18" s="31"/>
      <c r="N18" s="31"/>
      <c r="O18" s="31"/>
      <c r="P18" s="50" t="s">
        <v>114</v>
      </c>
      <c r="W18" s="51"/>
      <c r="X18" s="52"/>
      <c r="Y18" s="31"/>
      <c r="Z18" s="31"/>
      <c r="AA18" s="31"/>
      <c r="AB18" s="31"/>
      <c r="AC18" s="31"/>
      <c r="AD18" s="31"/>
      <c r="AJ18" s="37"/>
      <c r="AK18" s="37"/>
      <c r="AL18" s="37"/>
      <c r="AM18" s="31"/>
      <c r="AN18" s="31"/>
    </row>
    <row r="19" ht="13.5" customHeight="1">
      <c r="A19" s="53" t="str">
        <f>AE17</f>
        <v>Melchior Farrugia / Doriana Portelli</v>
      </c>
      <c r="B19" s="43">
        <v>4.0</v>
      </c>
      <c r="C19" s="54">
        <f>IF(B19&gt;B17,1,0)</f>
        <v>0</v>
      </c>
      <c r="D19" s="55"/>
      <c r="E19" s="43">
        <v>1.0</v>
      </c>
      <c r="F19" s="54">
        <f>IF(E19&gt;E17,1,0)</f>
        <v>0</v>
      </c>
      <c r="G19" s="55"/>
      <c r="H19" s="46"/>
      <c r="I19" s="31">
        <f>IF(H19&gt;H17,1,0)</f>
        <v>0</v>
      </c>
      <c r="J19" s="31">
        <f>IF(B19="",0,1)</f>
        <v>1</v>
      </c>
      <c r="K19" s="31">
        <f>IF(C19+F19=2,3,IF(C19+F19=1,1,0))</f>
        <v>0</v>
      </c>
      <c r="L19" s="31">
        <f>IF(K19=3,3,IF(I19+K19=2,2,IF(K19=1,1,0)))</f>
        <v>0</v>
      </c>
      <c r="M19" s="31">
        <f>B19+E19</f>
        <v>5</v>
      </c>
      <c r="N19" s="31">
        <f>C19+F19+I19</f>
        <v>0</v>
      </c>
      <c r="O19" s="31"/>
      <c r="P19" s="53" t="str">
        <f>AE15</f>
        <v>Duncan D'Alessandro / Kaya Sammut</v>
      </c>
      <c r="Q19" s="43">
        <v>3.0</v>
      </c>
      <c r="R19" s="54">
        <f>IF(Q19&gt;Q17,1,0)</f>
        <v>0</v>
      </c>
      <c r="S19" s="55"/>
      <c r="T19" s="43">
        <v>1.0</v>
      </c>
      <c r="U19" s="54">
        <f>IF(T19&gt;T17,1,0)</f>
        <v>0</v>
      </c>
      <c r="V19" s="55"/>
      <c r="W19" s="46"/>
      <c r="X19" s="31">
        <f>IF(W19&gt;W17,1,0)</f>
        <v>0</v>
      </c>
      <c r="Y19" s="31">
        <f>IF(Q19="",0,1)</f>
        <v>1</v>
      </c>
      <c r="Z19" s="31">
        <f>IF(R19+U19=2,3,IF(R19+U19=1,1,0))</f>
        <v>0</v>
      </c>
      <c r="AA19" s="31">
        <f>IF(Z19=3,3,IF(X19+Z19=2,2,IF(Z19=1,1,0)))</f>
        <v>0</v>
      </c>
      <c r="AB19" s="31">
        <f>Q19+T19</f>
        <v>4</v>
      </c>
      <c r="AC19" s="31">
        <f>R19+U19+X19</f>
        <v>0</v>
      </c>
      <c r="AD19" s="31"/>
      <c r="AE19" s="47" t="str">
        <f>Players!B11&amp; " / " &amp;Players!C11</f>
        <v>Gabriel Pace  / Kelsey Gauci</v>
      </c>
      <c r="AF19" s="48">
        <f>J31+J35+J39+Y31+Y35</f>
        <v>5</v>
      </c>
      <c r="AG19" s="48">
        <f t="shared" ref="AG19:AI19" si="6">L31+L35+L39+AA31+AA35</f>
        <v>0</v>
      </c>
      <c r="AH19" s="48">
        <f t="shared" si="6"/>
        <v>5</v>
      </c>
      <c r="AI19" s="49">
        <f t="shared" si="6"/>
        <v>0</v>
      </c>
      <c r="AJ19" s="31"/>
      <c r="AK19" s="37"/>
      <c r="AL19" s="37"/>
      <c r="AM19" s="31"/>
      <c r="AN19" s="31"/>
    </row>
    <row r="20" ht="13.5" customHeight="1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7"/>
      <c r="AL20" s="31"/>
      <c r="AM20" s="31"/>
      <c r="AN20" s="31"/>
    </row>
    <row r="21" ht="13.5" customHeight="1">
      <c r="A21" s="42" t="str">
        <f>AE13</f>
        <v>Matthew Borg / AnnMarie Mangion</v>
      </c>
      <c r="B21" s="43">
        <v>6.0</v>
      </c>
      <c r="C21" s="44">
        <f>IF(B21&gt;B23,1,0)</f>
        <v>1</v>
      </c>
      <c r="D21" s="45"/>
      <c r="E21" s="43">
        <v>4.0</v>
      </c>
      <c r="F21" s="44">
        <f>IF(E21&gt;E23,1,0)</f>
        <v>0</v>
      </c>
      <c r="G21" s="45"/>
      <c r="H21" s="43">
        <v>10.0</v>
      </c>
      <c r="I21" s="31">
        <f>IF(H21&gt;H23,1,0)</f>
        <v>1</v>
      </c>
      <c r="J21" s="31">
        <f>IF(B21="",0,1)</f>
        <v>1</v>
      </c>
      <c r="K21" s="31">
        <f>IF(C21+F21=2,3,IF(C21+F21=1,1,0))</f>
        <v>1</v>
      </c>
      <c r="L21" s="31">
        <f>IF(K21=3,3,IF(I21+K21=2,2,IF(K21=1,1,0)))</f>
        <v>2</v>
      </c>
      <c r="M21" s="31">
        <f>B21+E21</f>
        <v>10</v>
      </c>
      <c r="N21" s="31">
        <f>C21+F21+I21</f>
        <v>2</v>
      </c>
      <c r="O21" s="56"/>
      <c r="P21" s="42" t="str">
        <f>AE11</f>
        <v>Matthew Mifsud / Lara Pule'</v>
      </c>
      <c r="Q21" s="43">
        <v>6.0</v>
      </c>
      <c r="R21" s="44">
        <f>IF(Q21&gt;Q23,1,0)</f>
        <v>0</v>
      </c>
      <c r="S21" s="45"/>
      <c r="T21" s="43">
        <v>6.0</v>
      </c>
      <c r="U21" s="44">
        <f>IF(T21&gt;T23,1,0)</f>
        <v>1</v>
      </c>
      <c r="V21" s="45"/>
      <c r="W21" s="43">
        <v>8.0</v>
      </c>
      <c r="X21" s="31">
        <f>IF(W21&gt;W23,1,0)</f>
        <v>0</v>
      </c>
      <c r="Y21" s="31">
        <f>IF(Q21="",0,1)</f>
        <v>1</v>
      </c>
      <c r="Z21" s="31">
        <f>IF(R21+U21=2,3,IF(R21+U21=1,1,0))</f>
        <v>1</v>
      </c>
      <c r="AA21" s="31">
        <f>IF(Z21=3,3,IF(X21+Z21=2,2,IF(Z21=1,1,0)))</f>
        <v>1</v>
      </c>
      <c r="AB21" s="31">
        <f>Q21+T21</f>
        <v>12</v>
      </c>
      <c r="AC21" s="31">
        <f>R21+U21+X21</f>
        <v>1</v>
      </c>
      <c r="AD21" s="31"/>
      <c r="AE21" s="33" t="s">
        <v>115</v>
      </c>
      <c r="AF21" s="34"/>
      <c r="AG21" s="34"/>
      <c r="AH21" s="34"/>
      <c r="AI21" s="8"/>
      <c r="AJ21" s="31"/>
      <c r="AK21" s="31"/>
      <c r="AL21" s="31"/>
      <c r="AM21" s="31"/>
      <c r="AN21" s="31"/>
    </row>
    <row r="22" ht="13.5" customHeight="1">
      <c r="A22" s="50" t="s">
        <v>114</v>
      </c>
      <c r="H22" s="51"/>
      <c r="I22" s="52"/>
      <c r="J22" s="31"/>
      <c r="K22" s="31"/>
      <c r="L22" s="31"/>
      <c r="M22" s="31"/>
      <c r="N22" s="31"/>
      <c r="O22" s="31"/>
      <c r="P22" s="50" t="s">
        <v>114</v>
      </c>
      <c r="W22" s="51"/>
      <c r="X22" s="52"/>
      <c r="Y22" s="31"/>
      <c r="Z22" s="31"/>
      <c r="AA22" s="31"/>
      <c r="AB22" s="31"/>
      <c r="AC22" s="31"/>
      <c r="AD22" s="31"/>
      <c r="AE22" s="57" t="s">
        <v>116</v>
      </c>
      <c r="AF22" s="34"/>
      <c r="AG22" s="34"/>
      <c r="AH22" s="34"/>
      <c r="AI22" s="8"/>
      <c r="AJ22" s="31"/>
      <c r="AK22" s="37"/>
      <c r="AL22" s="31"/>
      <c r="AM22" s="31"/>
      <c r="AN22" s="31"/>
    </row>
    <row r="23" ht="13.5" customHeight="1">
      <c r="A23" s="53" t="str">
        <f>AE17</f>
        <v>Melchior Farrugia / Doriana Portelli</v>
      </c>
      <c r="B23" s="43">
        <v>2.0</v>
      </c>
      <c r="C23" s="54">
        <f>IF(B23&gt;B21,1,0)</f>
        <v>0</v>
      </c>
      <c r="D23" s="55"/>
      <c r="E23" s="43">
        <v>6.0</v>
      </c>
      <c r="F23" s="54">
        <f>IF(E23&gt;E21,1,0)</f>
        <v>1</v>
      </c>
      <c r="G23" s="55"/>
      <c r="H23" s="43">
        <v>7.0</v>
      </c>
      <c r="I23" s="31">
        <f>IF(H23&gt;H21,1,0)</f>
        <v>0</v>
      </c>
      <c r="J23" s="31">
        <f>IF(B23="",0,1)</f>
        <v>1</v>
      </c>
      <c r="K23" s="31">
        <f>IF(C23+F23=2,3,IF(C23+F23=1,1,0))</f>
        <v>1</v>
      </c>
      <c r="L23" s="31">
        <f>IF(K23=3,3,IF(I23+K23=2,2,IF(K23=1,1,0)))</f>
        <v>1</v>
      </c>
      <c r="M23" s="31">
        <f>B23+E23</f>
        <v>8</v>
      </c>
      <c r="N23" s="31">
        <f>C23+F23+I23</f>
        <v>1</v>
      </c>
      <c r="O23" s="31"/>
      <c r="P23" s="53" t="str">
        <f>AE13</f>
        <v>Matthew Borg / AnnMarie Mangion</v>
      </c>
      <c r="Q23" s="43">
        <v>7.0</v>
      </c>
      <c r="R23" s="54">
        <f>IF(Q23&gt;Q21,1,0)</f>
        <v>1</v>
      </c>
      <c r="S23" s="55"/>
      <c r="T23" s="43">
        <v>4.0</v>
      </c>
      <c r="U23" s="54">
        <f>IF(T23&gt;T21,1,0)</f>
        <v>0</v>
      </c>
      <c r="V23" s="55"/>
      <c r="W23" s="43">
        <v>10.0</v>
      </c>
      <c r="X23" s="31">
        <f>IF(W23&gt;W21,1,0)</f>
        <v>1</v>
      </c>
      <c r="Y23" s="31">
        <f>IF(Q23="",0,1)</f>
        <v>1</v>
      </c>
      <c r="Z23" s="31">
        <f>IF(R23+U23=2,3,IF(R23+U23=1,1,0))</f>
        <v>1</v>
      </c>
      <c r="AA23" s="31">
        <f>IF(Z23=3,3,IF(X23+Z23=2,2,IF(Z23=1,1,0)))</f>
        <v>2</v>
      </c>
      <c r="AB23" s="31">
        <f>Q23+T23</f>
        <v>11</v>
      </c>
      <c r="AC23" s="31">
        <f>R23+U23+X23</f>
        <v>2</v>
      </c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</row>
    <row r="24" ht="13.5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</row>
    <row r="25" ht="13.5" customHeight="1">
      <c r="A25" s="42" t="str">
        <f>AE15</f>
        <v>Duncan D'Alessandro / Kaya Sammut</v>
      </c>
      <c r="B25" s="43">
        <v>4.0</v>
      </c>
      <c r="C25" s="44">
        <f>IF(B25&gt;B27,1,0)</f>
        <v>0</v>
      </c>
      <c r="D25" s="45"/>
      <c r="E25" s="43">
        <v>6.0</v>
      </c>
      <c r="F25" s="44">
        <f>IF(E25&gt;E27,1,0)</f>
        <v>1</v>
      </c>
      <c r="G25" s="45"/>
      <c r="H25" s="43">
        <v>8.0</v>
      </c>
      <c r="I25" s="31">
        <f>IF(H25&gt;H27,1,0)</f>
        <v>0</v>
      </c>
      <c r="J25" s="31">
        <f>IF(B25="",0,1)</f>
        <v>1</v>
      </c>
      <c r="K25" s="31">
        <f>IF(C25+F25=2,3,IF(C25+F25=1,1,0))</f>
        <v>1</v>
      </c>
      <c r="L25" s="31">
        <f>IF(K25=3,3,IF(I25+K25=2,2,IF(K25=1,1,0)))</f>
        <v>1</v>
      </c>
      <c r="M25" s="31">
        <f>B25+E25</f>
        <v>10</v>
      </c>
      <c r="N25" s="31">
        <f>C25+F25+I25</f>
        <v>1</v>
      </c>
      <c r="O25" s="31"/>
      <c r="P25" s="42" t="str">
        <f>AE11</f>
        <v>Matthew Mifsud / Lara Pule'</v>
      </c>
      <c r="Q25" s="43">
        <v>6.0</v>
      </c>
      <c r="R25" s="44">
        <f>IF(Q25&gt;Q27,1,0)</f>
        <v>1</v>
      </c>
      <c r="S25" s="45"/>
      <c r="T25" s="43">
        <v>6.0</v>
      </c>
      <c r="U25" s="44">
        <f>IF(T25&gt;T27,1,0)</f>
        <v>1</v>
      </c>
      <c r="V25" s="45"/>
      <c r="W25" s="46"/>
      <c r="X25" s="31">
        <f>IF(W25&gt;W27,1,0)</f>
        <v>0</v>
      </c>
      <c r="Y25" s="31">
        <f>IF(Q25="",0,1)</f>
        <v>1</v>
      </c>
      <c r="Z25" s="31">
        <f>IF(R25+U25=2,3,IF(R25+U25=1,1,0))</f>
        <v>3</v>
      </c>
      <c r="AA25" s="31">
        <f>IF(Z25=3,3,IF(X25+Z25=2,2,IF(Z25=1,1,0)))</f>
        <v>3</v>
      </c>
      <c r="AB25" s="31">
        <f>Q25+T25</f>
        <v>12</v>
      </c>
      <c r="AC25" s="31">
        <f>R25+U25+X25</f>
        <v>2</v>
      </c>
      <c r="AD25" s="31"/>
      <c r="AE25" s="33" t="s">
        <v>117</v>
      </c>
      <c r="AF25" s="34"/>
      <c r="AG25" s="34"/>
      <c r="AH25" s="34"/>
      <c r="AI25" s="8"/>
      <c r="AJ25" s="31"/>
      <c r="AK25" s="31"/>
      <c r="AL25" s="31"/>
      <c r="AM25" s="31"/>
      <c r="AN25" s="31"/>
    </row>
    <row r="26" ht="13.5" customHeight="1">
      <c r="A26" s="50" t="s">
        <v>114</v>
      </c>
      <c r="H26" s="51"/>
      <c r="I26" s="52"/>
      <c r="J26" s="31"/>
      <c r="K26" s="31"/>
      <c r="L26" s="31"/>
      <c r="M26" s="31"/>
      <c r="N26" s="31"/>
      <c r="O26" s="31"/>
      <c r="P26" s="50" t="s">
        <v>114</v>
      </c>
      <c r="W26" s="51"/>
      <c r="X26" s="52"/>
      <c r="Y26" s="31"/>
      <c r="Z26" s="31"/>
      <c r="AA26" s="31"/>
      <c r="AB26" s="31"/>
      <c r="AC26" s="31"/>
      <c r="AD26" s="31"/>
      <c r="AE26" s="57" t="s">
        <v>118</v>
      </c>
      <c r="AF26" s="34"/>
      <c r="AG26" s="34"/>
      <c r="AH26" s="34"/>
      <c r="AI26" s="8"/>
      <c r="AJ26" s="31"/>
      <c r="AK26" s="31"/>
      <c r="AL26" s="31"/>
      <c r="AM26" s="31"/>
      <c r="AN26" s="31"/>
    </row>
    <row r="27" ht="13.5" customHeight="1">
      <c r="A27" s="53" t="str">
        <f>AE17</f>
        <v>Melchior Farrugia / Doriana Portelli</v>
      </c>
      <c r="B27" s="43">
        <v>6.0</v>
      </c>
      <c r="C27" s="54">
        <f>IF(B27&gt;B25,1,0)</f>
        <v>1</v>
      </c>
      <c r="D27" s="55"/>
      <c r="E27" s="43">
        <v>1.0</v>
      </c>
      <c r="F27" s="54">
        <f>IF(E27&gt;E25,1,0)</f>
        <v>0</v>
      </c>
      <c r="G27" s="55"/>
      <c r="H27" s="43">
        <v>10.0</v>
      </c>
      <c r="I27" s="31">
        <f>IF(H27&gt;H25,1,0)</f>
        <v>1</v>
      </c>
      <c r="J27" s="31">
        <f>IF(B27="",0,1)</f>
        <v>1</v>
      </c>
      <c r="K27" s="31">
        <f>IF(C27+F27=2,3,IF(C27+F27=1,1,0))</f>
        <v>1</v>
      </c>
      <c r="L27" s="31">
        <f>IF(K27=3,3,IF(I27+K27=2,2,IF(K27=1,1,0)))</f>
        <v>2</v>
      </c>
      <c r="M27" s="31">
        <f>B27+E27</f>
        <v>7</v>
      </c>
      <c r="N27" s="31">
        <f>C27+F27+I27</f>
        <v>2</v>
      </c>
      <c r="O27" s="31"/>
      <c r="P27" s="53" t="str">
        <f>AE17</f>
        <v>Melchior Farrugia / Doriana Portelli</v>
      </c>
      <c r="Q27" s="43">
        <v>4.0</v>
      </c>
      <c r="R27" s="54">
        <f>IF(Q27&gt;Q25,1,0)</f>
        <v>0</v>
      </c>
      <c r="S27" s="55"/>
      <c r="T27" s="43">
        <v>1.0</v>
      </c>
      <c r="U27" s="54">
        <f>IF(T27&gt;T25,1,0)</f>
        <v>0</v>
      </c>
      <c r="V27" s="55"/>
      <c r="W27" s="46"/>
      <c r="X27" s="31">
        <f>IF(W27&gt;W25,1,0)</f>
        <v>0</v>
      </c>
      <c r="Y27" s="31">
        <f>IF(Q27="",0,1)</f>
        <v>1</v>
      </c>
      <c r="Z27" s="31">
        <f>IF(R27+U27=2,3,IF(R27+U27=1,1,0))</f>
        <v>0</v>
      </c>
      <c r="AA27" s="31">
        <f>IF(Z27=3,3,IF(X27+Z27=2,2,IF(Z27=1,1,0)))</f>
        <v>0</v>
      </c>
      <c r="AB27" s="31">
        <f>Q27+T27</f>
        <v>5</v>
      </c>
      <c r="AC27" s="31">
        <f>R27+U27+X27</f>
        <v>0</v>
      </c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</row>
    <row r="28" ht="13.5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7"/>
      <c r="AI28" s="31"/>
      <c r="AJ28" s="31"/>
      <c r="AK28" s="31"/>
      <c r="AL28" s="31"/>
      <c r="AM28" s="31"/>
      <c r="AN28" s="31"/>
    </row>
    <row r="29" ht="13.5" customHeight="1">
      <c r="A29" s="42" t="str">
        <f>AE9</f>
        <v>Clayton Zammit Cesare / Alison Muscat</v>
      </c>
      <c r="B29" s="43">
        <v>6.0</v>
      </c>
      <c r="C29" s="44">
        <f>IF(B29&gt;B31,1,0)</f>
        <v>1</v>
      </c>
      <c r="D29" s="45"/>
      <c r="E29" s="43">
        <v>6.0</v>
      </c>
      <c r="F29" s="44">
        <f>IF(E29&gt;E31,1,0)</f>
        <v>1</v>
      </c>
      <c r="G29" s="45"/>
      <c r="H29" s="46"/>
      <c r="I29" s="31">
        <f>IF(H29&gt;H31,1,0)</f>
        <v>0</v>
      </c>
      <c r="J29" s="31">
        <f>IF(B29="",0,1)</f>
        <v>1</v>
      </c>
      <c r="K29" s="31">
        <f>IF(C29+F29=2,3,IF(C29+F29=1,1,0))</f>
        <v>3</v>
      </c>
      <c r="L29" s="31">
        <f>IF(K29=3,3,IF(I29+K29=2,2,IF(K29=1,1,0)))</f>
        <v>3</v>
      </c>
      <c r="M29" s="31">
        <f>B29+E29</f>
        <v>12</v>
      </c>
      <c r="N29" s="31">
        <f>C29+F29+I29</f>
        <v>2</v>
      </c>
      <c r="O29" s="31"/>
      <c r="P29" s="42" t="str">
        <f>AE11</f>
        <v>Matthew Mifsud / Lara Pule'</v>
      </c>
      <c r="Q29" s="43">
        <v>6.0</v>
      </c>
      <c r="R29" s="44">
        <f>IF(Q29&gt;Q31,1,0)</f>
        <v>1</v>
      </c>
      <c r="S29" s="45"/>
      <c r="T29" s="43">
        <v>6.0</v>
      </c>
      <c r="U29" s="44">
        <f>IF(T29&gt;T31,1,0)</f>
        <v>1</v>
      </c>
      <c r="V29" s="45"/>
      <c r="W29" s="46"/>
      <c r="X29" s="31">
        <f>IF(W29&gt;W31,1,0)</f>
        <v>0</v>
      </c>
      <c r="Y29" s="31">
        <f>IF(Q29="",0,1)</f>
        <v>1</v>
      </c>
      <c r="Z29" s="31">
        <f>IF(R29+U29=2,3,IF(R29+U29=1,1,0))</f>
        <v>3</v>
      </c>
      <c r="AA29" s="31">
        <f>IF(Z29=3,3,IF(X29+Z29=2,2,IF(Z29=1,1,0)))</f>
        <v>3</v>
      </c>
      <c r="AB29" s="31">
        <f>Q29+T29</f>
        <v>12</v>
      </c>
      <c r="AC29" s="31">
        <f>R29+U29+X29</f>
        <v>2</v>
      </c>
      <c r="AD29" s="58" t="s">
        <v>119</v>
      </c>
      <c r="AE29" s="31"/>
      <c r="AF29" s="31"/>
      <c r="AG29" s="31"/>
      <c r="AH29" s="31"/>
      <c r="AI29" s="31"/>
      <c r="AJ29" s="31"/>
      <c r="AK29" s="31"/>
      <c r="AL29" s="31"/>
      <c r="AM29" s="31"/>
      <c r="AN29" s="31"/>
    </row>
    <row r="30" ht="13.5" customHeight="1">
      <c r="A30" s="50" t="s">
        <v>114</v>
      </c>
      <c r="H30" s="51"/>
      <c r="I30" s="52"/>
      <c r="J30" s="31"/>
      <c r="K30" s="31"/>
      <c r="L30" s="31"/>
      <c r="M30" s="31"/>
      <c r="N30" s="31"/>
      <c r="O30" s="31"/>
      <c r="P30" s="50" t="s">
        <v>114</v>
      </c>
      <c r="W30" s="51"/>
      <c r="X30" s="52"/>
      <c r="Y30" s="31"/>
      <c r="Z30" s="31"/>
      <c r="AA30" s="31"/>
      <c r="AB30" s="31"/>
      <c r="AC30" s="31"/>
      <c r="AD30" s="31"/>
      <c r="AJ30" s="31"/>
      <c r="AK30" s="31"/>
      <c r="AL30" s="59"/>
      <c r="AM30" s="31"/>
      <c r="AN30" s="31"/>
    </row>
    <row r="31" ht="13.5" customHeight="1">
      <c r="A31" s="60" t="str">
        <f>AE19</f>
        <v>Gabriel Pace  / Kelsey Gauci</v>
      </c>
      <c r="B31" s="43">
        <v>0.0</v>
      </c>
      <c r="C31" s="54">
        <f>IF(B31&gt;B29,1,0)</f>
        <v>0</v>
      </c>
      <c r="D31" s="55"/>
      <c r="E31" s="43">
        <v>2.0</v>
      </c>
      <c r="F31" s="54">
        <f>IF(E31&gt;E29,1,0)</f>
        <v>0</v>
      </c>
      <c r="G31" s="55"/>
      <c r="H31" s="46"/>
      <c r="I31" s="31">
        <f>IF(H31&gt;H29,1,0)</f>
        <v>0</v>
      </c>
      <c r="J31" s="31">
        <f>IF(B31="",0,1)</f>
        <v>1</v>
      </c>
      <c r="K31" s="31">
        <f>IF(C31+F31=2,3,IF(C31+F31=1,1,0))</f>
        <v>0</v>
      </c>
      <c r="L31" s="31">
        <f>IF(K31=3,3,IF(I31+K31=2,2,IF(K31=1,1,0)))</f>
        <v>0</v>
      </c>
      <c r="M31" s="31">
        <f>B31+E31</f>
        <v>2</v>
      </c>
      <c r="N31" s="31">
        <f>C31+F31+I31</f>
        <v>0</v>
      </c>
      <c r="O31" s="31"/>
      <c r="P31" s="60" t="str">
        <f>AE19</f>
        <v>Gabriel Pace  / Kelsey Gauci</v>
      </c>
      <c r="Q31" s="43">
        <v>0.0</v>
      </c>
      <c r="R31" s="54">
        <f>IF(Q31&gt;Q29,1,0)</f>
        <v>0</v>
      </c>
      <c r="S31" s="55"/>
      <c r="T31" s="43">
        <v>0.0</v>
      </c>
      <c r="U31" s="54">
        <f>IF(T31&gt;T29,1,0)</f>
        <v>0</v>
      </c>
      <c r="V31" s="55"/>
      <c r="W31" s="46"/>
      <c r="X31" s="31">
        <f>IF(W31&gt;W29,1,0)</f>
        <v>0</v>
      </c>
      <c r="Y31" s="31">
        <f>IF(Q31="",0,1)</f>
        <v>1</v>
      </c>
      <c r="Z31" s="31">
        <f>IF(R31+U31=2,3,IF(R31+U31=1,1,0))</f>
        <v>0</v>
      </c>
      <c r="AA31" s="31">
        <f>IF(Z31=3,3,IF(X31+Z31=2,2,IF(Z31=1,1,0)))</f>
        <v>0</v>
      </c>
      <c r="AB31" s="31">
        <f>Q31+T31</f>
        <v>0</v>
      </c>
      <c r="AC31" s="31">
        <f>R31+U31+X31</f>
        <v>0</v>
      </c>
      <c r="AD31" s="31"/>
      <c r="AJ31" s="31"/>
      <c r="AK31" s="31"/>
      <c r="AL31" s="31"/>
      <c r="AM31" s="31"/>
      <c r="AN31" s="37"/>
    </row>
    <row r="32" ht="13.5" customHeight="1">
      <c r="I32" s="31"/>
      <c r="J32" s="31"/>
      <c r="K32" s="31"/>
      <c r="L32" s="31"/>
      <c r="M32" s="31"/>
      <c r="N32" s="31"/>
      <c r="X32" s="31"/>
      <c r="Y32" s="31"/>
      <c r="Z32" s="31"/>
      <c r="AA32" s="31"/>
      <c r="AB32" s="31"/>
      <c r="AC32" s="31"/>
      <c r="AD32" s="31"/>
      <c r="AJ32" s="31"/>
      <c r="AK32" s="31"/>
      <c r="AL32" s="59"/>
      <c r="AM32" s="31"/>
      <c r="AN32" s="31"/>
    </row>
    <row r="33" ht="13.5" customHeight="1">
      <c r="A33" s="42" t="str">
        <f>AE13</f>
        <v>Matthew Borg / AnnMarie Mangion</v>
      </c>
      <c r="B33" s="43">
        <v>6.0</v>
      </c>
      <c r="C33" s="44">
        <f>IF(B33&gt;B35,1,0)</f>
        <v>1</v>
      </c>
      <c r="D33" s="45"/>
      <c r="E33" s="43">
        <v>6.0</v>
      </c>
      <c r="F33" s="44">
        <f>IF(E33&gt;E35,1,0)</f>
        <v>1</v>
      </c>
      <c r="G33" s="45"/>
      <c r="H33" s="46"/>
      <c r="I33" s="31">
        <f>IF(H33&gt;H35,1,0)</f>
        <v>0</v>
      </c>
      <c r="J33" s="31">
        <f>IF(B33="",0,1)</f>
        <v>1</v>
      </c>
      <c r="K33" s="31">
        <f>IF(C33+F33=2,3,IF(C33+F33=1,1,0))</f>
        <v>3</v>
      </c>
      <c r="L33" s="31">
        <f>IF(K33=3,3,IF(I33+K33=2,2,IF(K33=1,1,0)))</f>
        <v>3</v>
      </c>
      <c r="M33" s="31">
        <f>B33+E33</f>
        <v>12</v>
      </c>
      <c r="N33" s="31">
        <f>C33+F33+I33</f>
        <v>2</v>
      </c>
      <c r="O33" s="61" t="s">
        <v>119</v>
      </c>
      <c r="P33" s="42" t="str">
        <f>AE15</f>
        <v>Duncan D'Alessandro / Kaya Sammut</v>
      </c>
      <c r="Q33" s="43">
        <v>6.0</v>
      </c>
      <c r="R33" s="44">
        <f>IF(Q33&gt;Q35,1,0)</f>
        <v>1</v>
      </c>
      <c r="S33" s="45"/>
      <c r="T33" s="43">
        <v>6.0</v>
      </c>
      <c r="U33" s="44">
        <f>IF(T33&gt;T35,1,0)</f>
        <v>1</v>
      </c>
      <c r="V33" s="45"/>
      <c r="W33" s="46"/>
      <c r="X33" s="31">
        <f>IF(W33&gt;W35,1,0)</f>
        <v>0</v>
      </c>
      <c r="Y33" s="31">
        <f>IF(Q33="",0,1)</f>
        <v>1</v>
      </c>
      <c r="Z33" s="31">
        <f>IF(R33+U33=2,3,IF(R33+U33=1,1,0))</f>
        <v>3</v>
      </c>
      <c r="AA33" s="31">
        <f>IF(Z33=3,3,IF(X33+Z33=2,2,IF(Z33=1,1,0)))</f>
        <v>3</v>
      </c>
      <c r="AB33" s="31">
        <f>Q33+T33</f>
        <v>12</v>
      </c>
      <c r="AC33" s="31">
        <f>R33+U33+X33</f>
        <v>2</v>
      </c>
      <c r="AD33" s="58" t="s">
        <v>119</v>
      </c>
      <c r="AJ33" s="31"/>
      <c r="AK33" s="31"/>
      <c r="AL33" s="31"/>
      <c r="AM33" s="31"/>
      <c r="AN33" s="31"/>
    </row>
    <row r="34" ht="13.5" customHeight="1">
      <c r="A34" s="50" t="s">
        <v>114</v>
      </c>
      <c r="H34" s="51"/>
      <c r="I34" s="52"/>
      <c r="J34" s="31"/>
      <c r="K34" s="31"/>
      <c r="L34" s="31"/>
      <c r="M34" s="31"/>
      <c r="N34" s="31"/>
      <c r="P34" s="50" t="s">
        <v>114</v>
      </c>
      <c r="W34" s="51"/>
      <c r="X34" s="52"/>
      <c r="Y34" s="31"/>
      <c r="Z34" s="31"/>
      <c r="AA34" s="31"/>
      <c r="AB34" s="31"/>
      <c r="AC34" s="31"/>
      <c r="AD34" s="31"/>
      <c r="AJ34" s="31"/>
      <c r="AK34" s="31"/>
      <c r="AL34" s="31"/>
      <c r="AM34" s="31"/>
      <c r="AN34" s="31"/>
    </row>
    <row r="35" ht="13.5" customHeight="1">
      <c r="A35" s="60" t="str">
        <f>AE19</f>
        <v>Gabriel Pace  / Kelsey Gauci</v>
      </c>
      <c r="B35" s="43">
        <v>0.0</v>
      </c>
      <c r="C35" s="54">
        <f>IF(B35&gt;B33,1,0)</f>
        <v>0</v>
      </c>
      <c r="D35" s="55"/>
      <c r="E35" s="43">
        <v>0.0</v>
      </c>
      <c r="F35" s="54">
        <f>IF(E35&gt;E33,1,0)</f>
        <v>0</v>
      </c>
      <c r="G35" s="55"/>
      <c r="H35" s="46"/>
      <c r="I35" s="31">
        <f>IF(H35&gt;H33,1,0)</f>
        <v>0</v>
      </c>
      <c r="J35" s="31">
        <f>IF(B35="",0,1)</f>
        <v>1</v>
      </c>
      <c r="K35" s="31">
        <f>IF(C35+F35=2,3,IF(C35+F35=1,1,0))</f>
        <v>0</v>
      </c>
      <c r="L35" s="31">
        <f>IF(K35=3,3,IF(I35+K35=2,2,IF(K35=1,1,0)))</f>
        <v>0</v>
      </c>
      <c r="M35" s="31">
        <f>B35+E35</f>
        <v>0</v>
      </c>
      <c r="N35" s="31">
        <f>C35+F35+I35</f>
        <v>0</v>
      </c>
      <c r="P35" s="60" t="str">
        <f>AE19</f>
        <v>Gabriel Pace  / Kelsey Gauci</v>
      </c>
      <c r="Q35" s="43">
        <v>0.0</v>
      </c>
      <c r="R35" s="54">
        <f>IF(Q35&gt;Q33,1,0)</f>
        <v>0</v>
      </c>
      <c r="S35" s="55"/>
      <c r="T35" s="43">
        <v>0.0</v>
      </c>
      <c r="U35" s="54">
        <f>IF(T35&gt;T33,1,0)</f>
        <v>0</v>
      </c>
      <c r="V35" s="55"/>
      <c r="W35" s="46"/>
      <c r="X35" s="31">
        <f>IF(W35&gt;W33,1,0)</f>
        <v>0</v>
      </c>
      <c r="Y35" s="31">
        <f>IF(Q35="",0,1)</f>
        <v>1</v>
      </c>
      <c r="Z35" s="31">
        <f>IF(R35+U35=2,3,IF(R35+U35=1,1,0))</f>
        <v>0</v>
      </c>
      <c r="AA35" s="31">
        <f>IF(Z35=3,3,IF(X35+Z35=2,2,IF(Z35=1,1,0)))</f>
        <v>0</v>
      </c>
      <c r="AB35" s="31">
        <f>Q35+T35</f>
        <v>0</v>
      </c>
      <c r="AC35" s="31">
        <f>R35+U35+X35</f>
        <v>0</v>
      </c>
      <c r="AD35" s="31"/>
      <c r="AJ35" s="31"/>
      <c r="AK35" s="31"/>
      <c r="AL35" s="31"/>
      <c r="AM35" s="31"/>
      <c r="AN35" s="31"/>
    </row>
    <row r="36" ht="13.5" customHeight="1">
      <c r="I36" s="31"/>
      <c r="J36" s="31"/>
      <c r="K36" s="31"/>
      <c r="L36" s="31"/>
      <c r="M36" s="31"/>
      <c r="N36" s="31"/>
      <c r="AD36" s="31"/>
      <c r="AJ36" s="31"/>
      <c r="AK36" s="37"/>
      <c r="AL36" s="31"/>
      <c r="AM36" s="31"/>
      <c r="AN36" s="31"/>
    </row>
    <row r="37" ht="13.5" customHeight="1">
      <c r="A37" s="42" t="str">
        <f>AE17</f>
        <v>Melchior Farrugia / Doriana Portelli</v>
      </c>
      <c r="B37" s="43">
        <v>6.0</v>
      </c>
      <c r="C37" s="44">
        <f>IF(B37&gt;B39,1,0)</f>
        <v>1</v>
      </c>
      <c r="D37" s="45"/>
      <c r="E37" s="43">
        <v>6.0</v>
      </c>
      <c r="F37" s="44">
        <f>IF(E37&gt;E39,1,0)</f>
        <v>1</v>
      </c>
      <c r="G37" s="45"/>
      <c r="H37" s="46"/>
      <c r="I37" s="31">
        <f>IF(H37&gt;H39,1,0)</f>
        <v>0</v>
      </c>
      <c r="J37" s="31">
        <f>IF(B37="",0,1)</f>
        <v>1</v>
      </c>
      <c r="K37" s="31">
        <f>IF(C37+F37=2,3,IF(C37+F37=1,1,0))</f>
        <v>3</v>
      </c>
      <c r="L37" s="31">
        <f>IF(K37=3,3,IF(I37+K37=2,2,IF(K37=1,1,0)))</f>
        <v>3</v>
      </c>
      <c r="M37" s="31">
        <f>B37+E37</f>
        <v>12</v>
      </c>
      <c r="N37" s="31">
        <f>C37+F37+I37</f>
        <v>2</v>
      </c>
      <c r="AD37" s="31"/>
      <c r="AJ37" s="31"/>
      <c r="AK37" s="37"/>
      <c r="AL37" s="31"/>
      <c r="AM37" s="31"/>
      <c r="AN37" s="31"/>
    </row>
    <row r="38" ht="13.5" customHeight="1">
      <c r="A38" s="50" t="s">
        <v>114</v>
      </c>
      <c r="H38" s="51"/>
      <c r="I38" s="52"/>
      <c r="J38" s="31"/>
      <c r="K38" s="31"/>
      <c r="L38" s="31"/>
      <c r="M38" s="31"/>
      <c r="N38" s="31"/>
      <c r="AD38" s="31"/>
      <c r="AJ38" s="62"/>
      <c r="AK38" s="31"/>
      <c r="AL38" s="31"/>
      <c r="AM38" s="31"/>
      <c r="AN38" s="31"/>
    </row>
    <row r="39" ht="13.5" customHeight="1">
      <c r="A39" s="60" t="str">
        <f>AE19</f>
        <v>Gabriel Pace  / Kelsey Gauci</v>
      </c>
      <c r="B39" s="43">
        <v>3.0</v>
      </c>
      <c r="C39" s="54">
        <f>IF(B39&gt;B37,1,0)</f>
        <v>0</v>
      </c>
      <c r="D39" s="55"/>
      <c r="E39" s="43">
        <v>0.0</v>
      </c>
      <c r="F39" s="54">
        <f>IF(E39&gt;E37,1,0)</f>
        <v>0</v>
      </c>
      <c r="G39" s="55"/>
      <c r="H39" s="46"/>
      <c r="I39" s="31">
        <f>IF(H39&gt;H37,1,0)</f>
        <v>0</v>
      </c>
      <c r="J39" s="31">
        <f>IF(B39="",0,1)</f>
        <v>1</v>
      </c>
      <c r="K39" s="31">
        <f>IF(C39+F39=2,3,IF(C39+F39=1,1,0))</f>
        <v>0</v>
      </c>
      <c r="L39" s="31">
        <f>IF(K39=3,3,IF(I39+K39=2,2,IF(K39=1,1,0)))</f>
        <v>0</v>
      </c>
      <c r="M39" s="31">
        <f>B39+E39</f>
        <v>3</v>
      </c>
      <c r="N39" s="31">
        <f>C39+F39+I39</f>
        <v>0</v>
      </c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</row>
    <row r="40" ht="13.5" customHeight="1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</row>
    <row r="41" ht="13.5" customHeight="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62"/>
      <c r="AK41" s="31"/>
      <c r="AL41" s="31"/>
      <c r="AM41" s="31"/>
      <c r="AN41" s="31"/>
    </row>
    <row r="42" ht="13.5" customHeight="1"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</row>
    <row r="43" ht="13.5" customHeight="1"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</row>
    <row r="44" ht="13.5" customHeight="1"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</row>
    <row r="45" ht="13.5" customHeight="1"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</row>
    <row r="46" ht="13.5" customHeight="1">
      <c r="AD46" s="31"/>
      <c r="AE46" s="31"/>
      <c r="AF46" s="31"/>
      <c r="AG46" s="31"/>
      <c r="AH46" s="31"/>
      <c r="AI46" s="31"/>
      <c r="AJ46" s="62"/>
      <c r="AK46" s="31"/>
      <c r="AL46" s="37"/>
      <c r="AM46" s="31"/>
      <c r="AN46" s="31"/>
    </row>
    <row r="47" ht="13.5" customHeight="1"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</row>
    <row r="48" ht="13.5" customHeight="1"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</row>
    <row r="49" ht="13.5" customHeight="1"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</row>
    <row r="50" ht="13.5" customHeight="1"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</row>
    <row r="51" ht="13.5" customHeight="1">
      <c r="AD51" s="31"/>
      <c r="AE51" s="31"/>
      <c r="AF51" s="31"/>
      <c r="AG51" s="31"/>
      <c r="AH51" s="31"/>
      <c r="AI51" s="31"/>
      <c r="AJ51" s="62"/>
      <c r="AK51" s="31"/>
      <c r="AL51" s="31"/>
      <c r="AM51" s="31"/>
      <c r="AN51" s="37"/>
    </row>
    <row r="52" ht="13.5" customHeight="1"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</row>
    <row r="53" ht="13.5" customHeight="1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</row>
    <row r="54" ht="13.5" customHeight="1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</row>
    <row r="55" ht="13.5" customHeight="1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7"/>
      <c r="AI55" s="31"/>
      <c r="AJ55" s="31"/>
      <c r="AK55" s="37"/>
      <c r="AL55" s="31"/>
      <c r="AM55" s="31"/>
      <c r="AN55" s="31"/>
    </row>
    <row r="56" ht="13.5" customHeight="1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</row>
    <row r="57" ht="13.5" customHeight="1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</row>
    <row r="58" ht="13.5" customHeight="1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</row>
    <row r="59" ht="13.5" customHeight="1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</row>
    <row r="60" ht="13.5" customHeight="1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</row>
    <row r="61" ht="13.5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</row>
    <row r="62" ht="13.5" customHeight="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</row>
    <row r="63" ht="13.5" customHeight="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</row>
    <row r="64" ht="13.5" customHeight="1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</row>
    <row r="65" ht="13.5" customHeight="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</row>
    <row r="66" ht="13.5" customHeight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</row>
    <row r="67" ht="13.5" customHeight="1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</row>
    <row r="68" ht="13.5" customHeight="1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</row>
    <row r="69" ht="13.5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</row>
    <row r="70" ht="13.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</row>
    <row r="71" ht="13.5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</row>
    <row r="72" ht="13.5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</row>
    <row r="73" ht="13.5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</row>
    <row r="74" ht="13.5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</row>
    <row r="75" ht="13.5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</row>
    <row r="76" ht="13.5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</row>
    <row r="77" ht="13.5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</row>
    <row r="78" ht="13.5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</row>
    <row r="79" ht="13.5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</row>
    <row r="80" ht="13.5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</row>
    <row r="81" ht="13.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</row>
    <row r="82" ht="13.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</row>
    <row r="83" ht="13.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</row>
    <row r="84" ht="13.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</row>
    <row r="85" ht="13.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</row>
    <row r="86" ht="13.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</row>
    <row r="87" ht="13.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</row>
    <row r="88" ht="13.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</row>
    <row r="89" ht="13.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</row>
    <row r="90" ht="13.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</row>
    <row r="91" ht="13.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</row>
    <row r="92" ht="13.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</row>
    <row r="93" ht="13.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</row>
    <row r="94" ht="13.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</row>
    <row r="95" ht="13.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</row>
    <row r="96" ht="13.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</row>
    <row r="97" ht="13.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</row>
    <row r="98" ht="13.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</row>
    <row r="99" ht="13.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</row>
    <row r="100" ht="13.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</row>
    <row r="101" ht="13.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</row>
    <row r="102" ht="13.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</row>
    <row r="103" ht="13.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</row>
    <row r="104" ht="13.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</row>
    <row r="105" ht="13.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7"/>
      <c r="R105" s="37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</row>
    <row r="106" ht="13.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</row>
    <row r="107" ht="13.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</row>
    <row r="108" ht="13.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</row>
    <row r="109" ht="13.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</row>
    <row r="110" ht="13.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</row>
    <row r="111" ht="13.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</row>
    <row r="112" ht="13.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</row>
    <row r="113" ht="13.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</row>
    <row r="114" ht="13.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</row>
    <row r="115" ht="13.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</row>
    <row r="116" ht="13.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</row>
    <row r="117" ht="13.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</row>
    <row r="118" ht="13.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</row>
    <row r="119" ht="13.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</row>
    <row r="120" ht="13.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</row>
    <row r="121" ht="13.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</row>
    <row r="122" ht="13.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</row>
    <row r="123" ht="13.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</row>
    <row r="124" ht="13.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</row>
    <row r="125" ht="13.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</row>
    <row r="126" ht="13.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</row>
    <row r="127" ht="13.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</row>
    <row r="128" ht="13.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</row>
    <row r="129" ht="13.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</row>
    <row r="130" ht="13.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</row>
    <row r="131" ht="13.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</row>
    <row r="132" ht="13.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</row>
    <row r="133" ht="13.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</row>
    <row r="134" ht="13.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</row>
    <row r="135" ht="13.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</row>
    <row r="136" ht="13.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</row>
    <row r="137" ht="13.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</row>
    <row r="138" ht="13.5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</row>
    <row r="139" ht="13.5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</row>
    <row r="140" ht="13.5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</row>
    <row r="141" ht="13.5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</row>
    <row r="142" ht="13.5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</row>
    <row r="143" ht="13.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</row>
    <row r="144" ht="13.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</row>
    <row r="145" ht="13.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</row>
    <row r="146" ht="13.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</row>
    <row r="147" ht="13.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</row>
    <row r="148" ht="13.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</row>
    <row r="149" ht="13.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</row>
    <row r="150" ht="13.5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</row>
    <row r="151" ht="13.5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</row>
    <row r="152" ht="13.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</row>
    <row r="153" ht="13.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</row>
    <row r="154" ht="13.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</row>
    <row r="155" ht="13.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</row>
    <row r="156" ht="13.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</row>
    <row r="157" ht="13.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</row>
    <row r="158" ht="13.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</row>
    <row r="159" ht="13.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</row>
    <row r="160" ht="13.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</row>
    <row r="161" ht="13.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</row>
    <row r="162" ht="13.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</row>
    <row r="163" ht="13.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</row>
    <row r="164" ht="13.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</row>
    <row r="165" ht="13.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</row>
    <row r="166" ht="13.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</row>
    <row r="167" ht="13.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</row>
    <row r="168" ht="13.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</row>
    <row r="169" ht="13.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</row>
    <row r="170" ht="13.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</row>
    <row r="171" ht="13.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</row>
    <row r="172" ht="13.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</row>
    <row r="173" ht="13.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</row>
    <row r="174" ht="13.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</row>
    <row r="175" ht="13.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</row>
    <row r="176" ht="13.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</row>
    <row r="177" ht="13.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</row>
    <row r="178" ht="13.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</row>
    <row r="179" ht="13.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</row>
    <row r="180" ht="13.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</row>
    <row r="181" ht="13.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</row>
    <row r="182" ht="13.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</row>
    <row r="183" ht="13.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</row>
    <row r="184" ht="13.5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</row>
    <row r="185" ht="13.5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</row>
    <row r="186" ht="13.5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</row>
    <row r="187" ht="13.5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</row>
    <row r="188" ht="13.5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</row>
    <row r="189" ht="13.5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</row>
    <row r="190" ht="13.5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</row>
    <row r="191" ht="13.5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</row>
    <row r="192" ht="13.5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</row>
    <row r="193" ht="13.5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</row>
    <row r="194" ht="13.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</row>
    <row r="195" ht="13.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</row>
    <row r="196" ht="13.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</row>
    <row r="197" ht="13.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</row>
    <row r="198" ht="13.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</row>
    <row r="199" ht="13.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</row>
    <row r="200" ht="13.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</row>
    <row r="201" ht="13.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</row>
    <row r="202" ht="13.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</row>
    <row r="203" ht="13.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</row>
    <row r="204" ht="13.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</row>
    <row r="205" ht="13.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</row>
    <row r="206" ht="13.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</row>
    <row r="207" ht="13.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</row>
    <row r="208" ht="13.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</row>
    <row r="209" ht="13.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</row>
    <row r="210" ht="13.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</row>
    <row r="211" ht="13.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</row>
    <row r="212" ht="13.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</row>
    <row r="213" ht="13.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</row>
    <row r="214" ht="13.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</row>
    <row r="215" ht="13.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</row>
    <row r="216" ht="13.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</row>
    <row r="217" ht="13.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</row>
    <row r="218" ht="13.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</row>
    <row r="219" ht="13.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</row>
    <row r="220" ht="13.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</row>
    <row r="221" ht="13.5" customHeight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</row>
    <row r="222" ht="13.5" customHeight="1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</row>
    <row r="223" ht="13.5" customHeight="1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</row>
    <row r="224" ht="13.5" customHeight="1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</row>
    <row r="225" ht="13.5" customHeight="1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</row>
    <row r="226" ht="13.5" customHeight="1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</row>
    <row r="227" ht="13.5" customHeight="1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A1:AI2"/>
    <mergeCell ref="A5:AI5"/>
    <mergeCell ref="B7:E7"/>
    <mergeCell ref="Q7:T7"/>
    <mergeCell ref="A10:H10"/>
    <mergeCell ref="P10:W10"/>
    <mergeCell ref="P14:W14"/>
    <mergeCell ref="A22:H22"/>
    <mergeCell ref="A26:H26"/>
    <mergeCell ref="A30:H30"/>
    <mergeCell ref="A34:H34"/>
    <mergeCell ref="A38:H38"/>
    <mergeCell ref="AE25:AI25"/>
    <mergeCell ref="AE26:AI26"/>
    <mergeCell ref="P30:W30"/>
    <mergeCell ref="P34:W34"/>
    <mergeCell ref="A14:H14"/>
    <mergeCell ref="A18:H18"/>
    <mergeCell ref="P18:W18"/>
    <mergeCell ref="AE21:AI21"/>
    <mergeCell ref="P22:W22"/>
    <mergeCell ref="AE22:AI22"/>
    <mergeCell ref="P26:W26"/>
  </mergeCells>
  <printOptions/>
  <pageMargins bottom="0.75" footer="0.0" header="0.0" left="0.25" right="0.25" top="0.75"/>
  <pageSetup paperSize="9" scale="61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2.13"/>
    <col customWidth="1" min="2" max="2" width="7.0"/>
    <col customWidth="1" hidden="1" min="3" max="3" width="6.13"/>
    <col customWidth="1" min="4" max="4" width="1.63"/>
    <col customWidth="1" min="5" max="5" width="7.0"/>
    <col customWidth="1" hidden="1" min="6" max="6" width="6.13"/>
    <col customWidth="1" min="7" max="7" width="1.63"/>
    <col customWidth="1" min="8" max="8" width="7.0"/>
    <col customWidth="1" hidden="1" min="9" max="9" width="6.13"/>
    <col customWidth="1" hidden="1" min="10" max="10" width="7.63"/>
    <col customWidth="1" hidden="1" min="11" max="11" width="7.38"/>
    <col customWidth="1" hidden="1" min="12" max="12" width="11.38"/>
    <col customWidth="1" hidden="1" min="13" max="13" width="8.0"/>
    <col customWidth="1" hidden="1" min="14" max="14" width="6.13"/>
    <col customWidth="1" min="15" max="15" width="7.13"/>
    <col customWidth="1" min="16" max="16" width="41.5"/>
    <col customWidth="1" min="17" max="17" width="7.0"/>
    <col customWidth="1" hidden="1" min="18" max="18" width="6.13"/>
    <col customWidth="1" min="19" max="19" width="1.63"/>
    <col customWidth="1" min="20" max="20" width="7.0"/>
    <col customWidth="1" hidden="1" min="21" max="21" width="6.13"/>
    <col customWidth="1" min="22" max="22" width="1.63"/>
    <col customWidth="1" min="23" max="23" width="7.0"/>
    <col customWidth="1" hidden="1" min="24" max="24" width="6.13"/>
    <col customWidth="1" hidden="1" min="25" max="25" width="7.63"/>
    <col customWidth="1" hidden="1" min="26" max="26" width="7.38"/>
    <col customWidth="1" hidden="1" min="27" max="27" width="11.38"/>
    <col customWidth="1" hidden="1" min="28" max="28" width="8.0"/>
    <col customWidth="1" hidden="1" min="29" max="29" width="6.13"/>
    <col customWidth="1" min="30" max="30" width="4.88"/>
    <col customWidth="1" min="31" max="31" width="34.63"/>
    <col customWidth="1" min="32" max="35" width="8.63"/>
    <col customWidth="1" hidden="1" min="36" max="36" width="9.38"/>
    <col customWidth="1" hidden="1" min="37" max="37" width="12.0"/>
    <col customWidth="1" hidden="1" min="38" max="38" width="8.0"/>
    <col customWidth="1" hidden="1" min="39" max="40" width="41.13"/>
  </cols>
  <sheetData>
    <row r="1" ht="21.0" customHeight="1">
      <c r="A1" s="1" t="s">
        <v>0</v>
      </c>
      <c r="AJ1" s="4"/>
      <c r="AK1" s="4"/>
      <c r="AL1" s="4"/>
      <c r="AM1" s="4"/>
      <c r="AN1" s="4"/>
    </row>
    <row r="2" ht="21.0" customHeight="1">
      <c r="AJ2" s="4"/>
      <c r="AK2" s="4"/>
      <c r="AL2" s="4"/>
      <c r="AM2" s="4"/>
      <c r="AN2" s="4"/>
    </row>
    <row r="3" ht="13.5" customHeight="1">
      <c r="A3" s="28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</row>
    <row r="4" ht="13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</row>
    <row r="5" ht="13.5" customHeight="1">
      <c r="A5" s="63" t="s">
        <v>14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1"/>
      <c r="AK5" s="31"/>
      <c r="AL5" s="31"/>
      <c r="AM5" s="31"/>
      <c r="AN5" s="31"/>
    </row>
    <row r="6" ht="13.5" customHeight="1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</row>
    <row r="7">
      <c r="A7" s="64" t="s">
        <v>92</v>
      </c>
      <c r="B7" s="65" t="s">
        <v>93</v>
      </c>
      <c r="C7" s="34"/>
      <c r="D7" s="34"/>
      <c r="E7" s="8"/>
      <c r="F7" s="66"/>
      <c r="G7" s="67"/>
      <c r="H7" s="64" t="s">
        <v>94</v>
      </c>
      <c r="I7" s="31"/>
      <c r="J7" s="31"/>
      <c r="K7" s="31"/>
      <c r="L7" s="31"/>
      <c r="M7" s="37"/>
      <c r="N7" s="37"/>
      <c r="O7" s="37"/>
      <c r="P7" s="64" t="s">
        <v>92</v>
      </c>
      <c r="Q7" s="65" t="s">
        <v>93</v>
      </c>
      <c r="R7" s="34"/>
      <c r="S7" s="34"/>
      <c r="T7" s="8"/>
      <c r="U7" s="66"/>
      <c r="V7" s="67"/>
      <c r="W7" s="64" t="s">
        <v>94</v>
      </c>
      <c r="X7" s="31"/>
      <c r="Y7" s="37"/>
      <c r="Z7" s="37"/>
      <c r="AA7" s="37"/>
      <c r="AB7" s="37"/>
      <c r="AC7" s="37"/>
      <c r="AD7" s="37"/>
      <c r="AE7" s="64" t="s">
        <v>95</v>
      </c>
      <c r="AF7" s="68" t="s">
        <v>96</v>
      </c>
      <c r="AG7" s="68" t="s">
        <v>97</v>
      </c>
      <c r="AH7" s="68" t="s">
        <v>98</v>
      </c>
      <c r="AI7" s="68" t="s">
        <v>99</v>
      </c>
      <c r="AJ7" s="37"/>
      <c r="AK7" s="37"/>
      <c r="AL7" s="37"/>
      <c r="AM7" s="31"/>
      <c r="AN7" s="31"/>
    </row>
    <row r="8" hidden="1">
      <c r="A8" s="31"/>
      <c r="B8" s="39" t="s">
        <v>100</v>
      </c>
      <c r="C8" s="39" t="s">
        <v>101</v>
      </c>
      <c r="D8" s="39"/>
      <c r="E8" s="39" t="s">
        <v>100</v>
      </c>
      <c r="F8" s="39" t="s">
        <v>102</v>
      </c>
      <c r="G8" s="39"/>
      <c r="H8" s="39" t="s">
        <v>100</v>
      </c>
      <c r="I8" s="39" t="s">
        <v>103</v>
      </c>
      <c r="J8" s="39" t="s">
        <v>104</v>
      </c>
      <c r="K8" s="39" t="s">
        <v>105</v>
      </c>
      <c r="L8" s="39" t="s">
        <v>106</v>
      </c>
      <c r="M8" s="39" t="s">
        <v>107</v>
      </c>
      <c r="N8" s="39" t="s">
        <v>108</v>
      </c>
      <c r="O8" s="31"/>
      <c r="P8" s="31"/>
      <c r="Q8" s="39" t="s">
        <v>100</v>
      </c>
      <c r="R8" s="39" t="s">
        <v>101</v>
      </c>
      <c r="S8" s="39"/>
      <c r="T8" s="39" t="s">
        <v>100</v>
      </c>
      <c r="U8" s="39" t="s">
        <v>102</v>
      </c>
      <c r="V8" s="39"/>
      <c r="W8" s="39" t="s">
        <v>100</v>
      </c>
      <c r="X8" s="39" t="s">
        <v>103</v>
      </c>
      <c r="Y8" s="39" t="s">
        <v>104</v>
      </c>
      <c r="Z8" s="39" t="s">
        <v>105</v>
      </c>
      <c r="AA8" s="39" t="s">
        <v>106</v>
      </c>
      <c r="AB8" s="39" t="s">
        <v>107</v>
      </c>
      <c r="AC8" s="39" t="s">
        <v>108</v>
      </c>
      <c r="AD8" s="31"/>
      <c r="AE8" s="37"/>
      <c r="AF8" s="37"/>
      <c r="AG8" s="37"/>
      <c r="AH8" s="37"/>
      <c r="AI8" s="37"/>
      <c r="AJ8" s="39" t="s">
        <v>109</v>
      </c>
      <c r="AK8" s="39" t="s">
        <v>110</v>
      </c>
      <c r="AL8" s="40" t="s">
        <v>111</v>
      </c>
      <c r="AM8" s="41" t="s">
        <v>112</v>
      </c>
      <c r="AN8" s="41" t="s">
        <v>113</v>
      </c>
    </row>
    <row r="9" ht="13.5" customHeight="1">
      <c r="A9" s="42" t="str">
        <f>AE9</f>
        <v>Manuel Bonello / Alexia Meilak Gouder</v>
      </c>
      <c r="B9" s="43">
        <v>6.0</v>
      </c>
      <c r="C9" s="44">
        <f>IF(B9&gt;B11,1,0)</f>
        <v>1</v>
      </c>
      <c r="D9" s="45"/>
      <c r="E9" s="43">
        <v>7.0</v>
      </c>
      <c r="F9" s="44">
        <f>IF(E9&gt;E11,1,0)</f>
        <v>1</v>
      </c>
      <c r="G9" s="45"/>
      <c r="H9" s="46"/>
      <c r="I9" s="31">
        <f>IF(H9&gt;H11,1,0)</f>
        <v>0</v>
      </c>
      <c r="J9" s="31">
        <f>IF(B9="",0,1)</f>
        <v>1</v>
      </c>
      <c r="K9" s="31">
        <f>IF(C9+F9=2,3,IF(C9+F9=1,1,0))</f>
        <v>3</v>
      </c>
      <c r="L9" s="31">
        <f>IF(K9=3,3,IF(I9+K9=2,2,IF(K9=1,1,0)))</f>
        <v>3</v>
      </c>
      <c r="M9" s="31">
        <f>B9+E9</f>
        <v>13</v>
      </c>
      <c r="N9" s="31">
        <f>C9+F9+I9</f>
        <v>2</v>
      </c>
      <c r="O9" s="31"/>
      <c r="P9" s="42" t="str">
        <f>AE9</f>
        <v>Manuel Bonello / Alexia Meilak Gouder</v>
      </c>
      <c r="Q9" s="43">
        <v>6.0</v>
      </c>
      <c r="R9" s="44">
        <f>IF(Q9&gt;Q11,1,0)</f>
        <v>1</v>
      </c>
      <c r="S9" s="45"/>
      <c r="T9" s="43">
        <v>6.0</v>
      </c>
      <c r="U9" s="44">
        <f>IF(T9&gt;T11,1,0)</f>
        <v>1</v>
      </c>
      <c r="V9" s="45"/>
      <c r="W9" s="46"/>
      <c r="X9" s="31">
        <f>IF(W9&gt;W11,1,0)</f>
        <v>0</v>
      </c>
      <c r="Y9" s="31">
        <f>IF(Q9="",0,1)</f>
        <v>1</v>
      </c>
      <c r="Z9" s="31">
        <f>IF(R9+U9=2,3,IF(R9+U9=1,1,0))</f>
        <v>3</v>
      </c>
      <c r="AA9" s="31">
        <f>IF(Z9=3,3,IF(X9+Z9=2,2,IF(Z9=1,1,0)))</f>
        <v>3</v>
      </c>
      <c r="AB9" s="31">
        <f>Q9+T9</f>
        <v>12</v>
      </c>
      <c r="AC9" s="31">
        <f>R9+U9+X9</f>
        <v>2</v>
      </c>
      <c r="AD9" s="31"/>
      <c r="AE9" s="69" t="str">
        <f>Players!B14&amp; " / " &amp;Players!C14</f>
        <v>Manuel Bonello / Alexia Meilak Gouder</v>
      </c>
      <c r="AF9" s="48">
        <f>J9+Y9+J13+Y13+J17</f>
        <v>5</v>
      </c>
      <c r="AG9" s="48">
        <f t="shared" ref="AG9:AI9" si="1">L9+AA9+L13+AA13+L17</f>
        <v>13</v>
      </c>
      <c r="AH9" s="48">
        <f t="shared" si="1"/>
        <v>54</v>
      </c>
      <c r="AI9" s="49">
        <f t="shared" si="1"/>
        <v>10</v>
      </c>
      <c r="AJ9" s="31">
        <f>MAX(AG9:AG19)</f>
        <v>13</v>
      </c>
      <c r="AK9" s="31">
        <f>LARGE(AG9:AG19, 2)</f>
        <v>10</v>
      </c>
      <c r="AL9" s="31">
        <f>SUM(AF9:AF19)</f>
        <v>30</v>
      </c>
      <c r="AM9" s="31" t="str">
        <f>IF(AG9=$AJ$9,AE9,IF(AG11=$AJ$9,AE11,IF(AG13=$AJ$9,AE13,IF(AG15=$AJ$9,AE15,IF(AG17=$AJ$9,AE17,IF(AG19=$AJ$9,AE19,""))))))</f>
        <v>Manuel Bonello / Alexia Meilak Gouder</v>
      </c>
      <c r="AN9" s="31" t="str">
        <f>IF(AG9=$AK$9,AE9,IF(AG11=$AK$9,AE11,IF(AG13=$AK$9,AE13,IF(AG15=$AK$9,AE15,IF(AG17=$AK$9,AE17,IF(AG19=$AK$9,AE19,""))))))</f>
        <v>Luigi Porto / Natalya Abela</v>
      </c>
    </row>
    <row r="10" ht="13.5" customHeight="1">
      <c r="A10" s="50" t="s">
        <v>114</v>
      </c>
      <c r="H10" s="51"/>
      <c r="I10" s="52"/>
      <c r="J10" s="31"/>
      <c r="K10" s="31"/>
      <c r="L10" s="31"/>
      <c r="M10" s="31"/>
      <c r="N10" s="31"/>
      <c r="O10" s="31"/>
      <c r="P10" s="50" t="s">
        <v>114</v>
      </c>
      <c r="W10" s="51"/>
      <c r="X10" s="52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7"/>
      <c r="AL10" s="37"/>
      <c r="AM10" s="31"/>
      <c r="AN10" s="31"/>
    </row>
    <row r="11" ht="13.5" customHeight="1">
      <c r="A11" s="53" t="str">
        <f>AE11</f>
        <v>Kristen Cachia  / Francesca Sciortino</v>
      </c>
      <c r="B11" s="43">
        <v>2.0</v>
      </c>
      <c r="C11" s="54">
        <f>IF(B11&gt;B9,1,0)</f>
        <v>0</v>
      </c>
      <c r="D11" s="55"/>
      <c r="E11" s="43">
        <v>5.0</v>
      </c>
      <c r="F11" s="54">
        <f>IF(E11&gt;E9,1,0)</f>
        <v>0</v>
      </c>
      <c r="G11" s="55"/>
      <c r="H11" s="46"/>
      <c r="I11" s="31">
        <f>IF(H11&gt;H9,1,0)</f>
        <v>0</v>
      </c>
      <c r="J11" s="31">
        <f>IF(B11="",0,1)</f>
        <v>1</v>
      </c>
      <c r="K11" s="31">
        <f>IF(C11+F11=2,3,IF(C11+F11=1,1,0))</f>
        <v>0</v>
      </c>
      <c r="L11" s="31">
        <f>IF(K11=3,3,IF(I11+K11=2,2,IF(K11=1,1,0)))</f>
        <v>0</v>
      </c>
      <c r="M11" s="31">
        <f>B11+E11</f>
        <v>7</v>
      </c>
      <c r="N11" s="31">
        <f>C11+F11+I11</f>
        <v>0</v>
      </c>
      <c r="O11" s="31"/>
      <c r="P11" s="53" t="str">
        <f>AE13</f>
        <v>Gene Zammit / Julie Spiteri</v>
      </c>
      <c r="Q11" s="43">
        <v>4.0</v>
      </c>
      <c r="R11" s="54">
        <f>IF(Q11&gt;Q9,1,0)</f>
        <v>0</v>
      </c>
      <c r="S11" s="55"/>
      <c r="T11" s="43">
        <v>4.0</v>
      </c>
      <c r="U11" s="54">
        <f>IF(T11&gt;T9,1,0)</f>
        <v>0</v>
      </c>
      <c r="V11" s="55"/>
      <c r="W11" s="46"/>
      <c r="X11" s="31">
        <f>IF(W11&gt;W9,1,0)</f>
        <v>0</v>
      </c>
      <c r="Y11" s="31">
        <f>IF(Q11="",0,1)</f>
        <v>1</v>
      </c>
      <c r="Z11" s="31">
        <f>IF(R11+U11=2,3,IF(R11+U11=1,1,0))</f>
        <v>0</v>
      </c>
      <c r="AA11" s="31">
        <f>IF(Z11=3,3,IF(X11+Z11=2,2,IF(Z11=1,1,0)))</f>
        <v>0</v>
      </c>
      <c r="AB11" s="31">
        <f>Q11+T11</f>
        <v>8</v>
      </c>
      <c r="AC11" s="31">
        <f>R11+U11+X11</f>
        <v>0</v>
      </c>
      <c r="AD11" s="31"/>
      <c r="AE11" s="69" t="str">
        <f>Players!B15&amp; " / " &amp;Players!C15</f>
        <v>Kristen Cachia  / Francesca Sciortino</v>
      </c>
      <c r="AF11" s="48">
        <f>J11+Y25+J21+Y21+Y17</f>
        <v>5</v>
      </c>
      <c r="AG11" s="48">
        <f t="shared" ref="AG11:AI11" si="2">L11+AA25+L21+AA21+AA17</f>
        <v>6</v>
      </c>
      <c r="AH11" s="48">
        <f t="shared" si="2"/>
        <v>44</v>
      </c>
      <c r="AI11" s="49">
        <f t="shared" si="2"/>
        <v>4</v>
      </c>
      <c r="AJ11" s="37"/>
      <c r="AK11" s="37"/>
      <c r="AL11" s="37"/>
      <c r="AM11" s="31"/>
      <c r="AN11" s="31"/>
    </row>
    <row r="12" ht="13.5" customHeight="1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7"/>
      <c r="AG12" s="37"/>
      <c r="AH12" s="37"/>
      <c r="AI12" s="37"/>
      <c r="AJ12" s="37"/>
      <c r="AK12" s="37"/>
      <c r="AL12" s="37"/>
      <c r="AM12" s="31"/>
      <c r="AN12" s="31"/>
    </row>
    <row r="13" ht="13.5" customHeight="1">
      <c r="A13" s="42" t="str">
        <f>AE9</f>
        <v>Manuel Bonello / Alexia Meilak Gouder</v>
      </c>
      <c r="B13" s="43">
        <v>2.0</v>
      </c>
      <c r="C13" s="44">
        <f>IF(B13&gt;B15,1,0)</f>
        <v>0</v>
      </c>
      <c r="D13" s="45"/>
      <c r="E13" s="43">
        <v>6.0</v>
      </c>
      <c r="F13" s="44">
        <f>IF(E13&gt;E15,1,0)</f>
        <v>1</v>
      </c>
      <c r="G13" s="45"/>
      <c r="H13" s="43">
        <v>10.0</v>
      </c>
      <c r="I13" s="31">
        <f>IF(H13&gt;H15,1,0)</f>
        <v>1</v>
      </c>
      <c r="J13" s="31">
        <f>IF(B13="",0,1)</f>
        <v>1</v>
      </c>
      <c r="K13" s="31">
        <f>IF(C13+F13=2,3,IF(C13+F13=1,1,0))</f>
        <v>1</v>
      </c>
      <c r="L13" s="31">
        <f>IF(K13=3,3,IF(I13+K13=2,2,IF(K13=1,1,0)))</f>
        <v>2</v>
      </c>
      <c r="M13" s="31">
        <f>B13+E13</f>
        <v>8</v>
      </c>
      <c r="N13" s="31">
        <f>C13+F13+I13</f>
        <v>2</v>
      </c>
      <c r="O13" s="31"/>
      <c r="P13" s="42" t="str">
        <f>AE9</f>
        <v>Manuel Bonello / Alexia Meilak Gouder</v>
      </c>
      <c r="Q13" s="43">
        <v>3.0</v>
      </c>
      <c r="R13" s="44">
        <f>IF(Q13&gt;Q15,1,0)</f>
        <v>0</v>
      </c>
      <c r="S13" s="45"/>
      <c r="T13" s="43">
        <v>6.0</v>
      </c>
      <c r="U13" s="44">
        <f>IF(T13&gt;T15,1,0)</f>
        <v>1</v>
      </c>
      <c r="V13" s="45"/>
      <c r="W13" s="43">
        <v>11.0</v>
      </c>
      <c r="X13" s="31">
        <f>IF(W13&gt;W15,1,0)</f>
        <v>1</v>
      </c>
      <c r="Y13" s="31">
        <f>IF(Q13="",0,1)</f>
        <v>1</v>
      </c>
      <c r="Z13" s="31">
        <f>IF(R13+U13=2,3,IF(R13+U13=1,1,0))</f>
        <v>1</v>
      </c>
      <c r="AA13" s="31">
        <f>IF(Z13=3,3,IF(X13+Z13=2,2,IF(Z13=1,1,0)))</f>
        <v>2</v>
      </c>
      <c r="AB13" s="31">
        <f>Q13+T13</f>
        <v>9</v>
      </c>
      <c r="AC13" s="31">
        <f>R13+U13+X13</f>
        <v>2</v>
      </c>
      <c r="AD13" s="31"/>
      <c r="AE13" s="69" t="str">
        <f>Players!B16&amp; " / " &amp;Players!C16</f>
        <v>Gene Zammit / Julie Spiteri</v>
      </c>
      <c r="AF13" s="48">
        <f>Y29+Y11+Y33+J25+Y19</f>
        <v>5</v>
      </c>
      <c r="AG13" s="48">
        <f t="shared" ref="AG13:AI13" si="3">AA29+AA11+AA33+L25+AA19</f>
        <v>0</v>
      </c>
      <c r="AH13" s="48">
        <f t="shared" si="3"/>
        <v>27</v>
      </c>
      <c r="AI13" s="49">
        <f t="shared" si="3"/>
        <v>0</v>
      </c>
      <c r="AJ13" s="37"/>
      <c r="AK13" s="37"/>
      <c r="AL13" s="37"/>
      <c r="AM13" s="31"/>
      <c r="AN13" s="31"/>
    </row>
    <row r="14" ht="13.5" customHeight="1">
      <c r="A14" s="50" t="s">
        <v>114</v>
      </c>
      <c r="H14" s="51"/>
      <c r="I14" s="52"/>
      <c r="J14" s="31"/>
      <c r="K14" s="31"/>
      <c r="L14" s="31"/>
      <c r="M14" s="31"/>
      <c r="N14" s="31"/>
      <c r="O14" s="31"/>
      <c r="P14" s="50" t="s">
        <v>114</v>
      </c>
      <c r="W14" s="51"/>
      <c r="X14" s="52"/>
      <c r="Y14" s="31"/>
      <c r="Z14" s="31"/>
      <c r="AA14" s="31"/>
      <c r="AB14" s="31"/>
      <c r="AC14" s="31"/>
      <c r="AD14" s="31"/>
      <c r="AE14" s="31"/>
      <c r="AF14" s="37"/>
      <c r="AG14" s="37"/>
      <c r="AH14" s="37"/>
      <c r="AI14" s="37"/>
      <c r="AJ14" s="37"/>
      <c r="AK14" s="37"/>
      <c r="AL14" s="37"/>
      <c r="AM14" s="31"/>
      <c r="AN14" s="31"/>
    </row>
    <row r="15" ht="13.5" customHeight="1">
      <c r="A15" s="53" t="str">
        <f>AE15</f>
        <v>Jonathan Martinelli / Christine Bonett</v>
      </c>
      <c r="B15" s="43">
        <v>6.0</v>
      </c>
      <c r="C15" s="54">
        <f>IF(B15&gt;B13,1,0)</f>
        <v>1</v>
      </c>
      <c r="D15" s="55"/>
      <c r="E15" s="43">
        <v>4.0</v>
      </c>
      <c r="F15" s="54">
        <f>IF(E15&gt;E13,1,0)</f>
        <v>0</v>
      </c>
      <c r="G15" s="55"/>
      <c r="H15" s="43">
        <v>6.0</v>
      </c>
      <c r="I15" s="31">
        <f>IF(H15&gt;H13,1,0)</f>
        <v>0</v>
      </c>
      <c r="J15" s="31">
        <f>IF(B15="",0,1)</f>
        <v>1</v>
      </c>
      <c r="K15" s="31">
        <f>IF(C15+F15=2,3,IF(C15+F15=1,1,0))</f>
        <v>1</v>
      </c>
      <c r="L15" s="31">
        <f>IF(K15=3,3,IF(I15+K15=2,2,IF(K15=1,1,0)))</f>
        <v>1</v>
      </c>
      <c r="M15" s="31">
        <f>B15+E15</f>
        <v>10</v>
      </c>
      <c r="N15" s="31">
        <f>C15+F15+I15</f>
        <v>1</v>
      </c>
      <c r="O15" s="31"/>
      <c r="P15" s="53" t="str">
        <f>AE17</f>
        <v>Luigi Porto / Natalya Abela</v>
      </c>
      <c r="Q15" s="43">
        <v>6.0</v>
      </c>
      <c r="R15" s="54">
        <f>IF(Q15&gt;Q13,1,0)</f>
        <v>1</v>
      </c>
      <c r="S15" s="55"/>
      <c r="T15" s="43">
        <v>2.0</v>
      </c>
      <c r="U15" s="54">
        <f>IF(T15&gt;T13,1,0)</f>
        <v>0</v>
      </c>
      <c r="V15" s="55"/>
      <c r="W15" s="43">
        <v>9.0</v>
      </c>
      <c r="X15" s="31">
        <f>IF(W15&gt;W13,1,0)</f>
        <v>0</v>
      </c>
      <c r="Y15" s="31">
        <f>IF(Q15="",0,1)</f>
        <v>1</v>
      </c>
      <c r="Z15" s="31">
        <f>IF(R15+U15=2,3,IF(R15+U15=1,1,0))</f>
        <v>1</v>
      </c>
      <c r="AA15" s="31">
        <f>IF(Z15=3,3,IF(X15+Z15=2,2,IF(Z15=1,1,0)))</f>
        <v>1</v>
      </c>
      <c r="AB15" s="31">
        <f>Q15+T15</f>
        <v>8</v>
      </c>
      <c r="AC15" s="31">
        <f>R15+U15+X15</f>
        <v>1</v>
      </c>
      <c r="AD15" s="31"/>
      <c r="AE15" s="69" t="str">
        <f>Players!B17&amp; " / " &amp;Players!C17</f>
        <v>Jonathan Martinelli / Christine Bonett</v>
      </c>
      <c r="AF15" s="48">
        <f>Y31+J37+J15+Y23+J29</f>
        <v>5</v>
      </c>
      <c r="AG15" s="48">
        <f t="shared" ref="AG15:AI15" si="4">AA31+L37+L15+AA23+L29</f>
        <v>9</v>
      </c>
      <c r="AH15" s="48">
        <f t="shared" si="4"/>
        <v>52</v>
      </c>
      <c r="AI15" s="49">
        <f t="shared" si="4"/>
        <v>7</v>
      </c>
      <c r="AJ15" s="37"/>
      <c r="AK15" s="37"/>
      <c r="AL15" s="37"/>
      <c r="AM15" s="31"/>
      <c r="AN15" s="31"/>
    </row>
    <row r="16" ht="13.5" customHeight="1">
      <c r="A16" s="31"/>
      <c r="B16" s="37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7"/>
      <c r="AG16" s="37"/>
      <c r="AH16" s="37"/>
      <c r="AI16" s="37"/>
      <c r="AJ16" s="37"/>
      <c r="AK16" s="37"/>
      <c r="AL16" s="37"/>
      <c r="AM16" s="31"/>
      <c r="AN16" s="31"/>
    </row>
    <row r="17" ht="13.5" customHeight="1">
      <c r="A17" s="42" t="str">
        <f>AE9</f>
        <v>Manuel Bonello / Alexia Meilak Gouder</v>
      </c>
      <c r="B17" s="43">
        <v>6.0</v>
      </c>
      <c r="C17" s="44">
        <f>IF(B17&gt;B19,1,0)</f>
        <v>1</v>
      </c>
      <c r="D17" s="45"/>
      <c r="E17" s="43">
        <v>6.0</v>
      </c>
      <c r="F17" s="44">
        <f>IF(E17&gt;E19,1,0)</f>
        <v>1</v>
      </c>
      <c r="G17" s="45"/>
      <c r="H17" s="46"/>
      <c r="I17" s="31">
        <f>IF(H17&gt;H19,1,0)</f>
        <v>0</v>
      </c>
      <c r="J17" s="31">
        <f>IF(B17="",0,1)</f>
        <v>1</v>
      </c>
      <c r="K17" s="31">
        <f>IF(C17+F17=2,3,IF(C17+F17=1,1,0))</f>
        <v>3</v>
      </c>
      <c r="L17" s="31">
        <f>IF(K17=3,3,IF(I17+K17=2,2,IF(K17=1,1,0)))</f>
        <v>3</v>
      </c>
      <c r="M17" s="31">
        <f>B17+E17</f>
        <v>12</v>
      </c>
      <c r="N17" s="31">
        <f>C17+F17+I17</f>
        <v>2</v>
      </c>
      <c r="O17" s="31"/>
      <c r="P17" s="42" t="str">
        <f>AE11</f>
        <v>Kristen Cachia  / Francesca Sciortino</v>
      </c>
      <c r="Q17" s="43">
        <v>6.0</v>
      </c>
      <c r="R17" s="44">
        <f>IF(Q17&gt;Q19,1,0)</f>
        <v>1</v>
      </c>
      <c r="S17" s="45"/>
      <c r="T17" s="43">
        <v>7.0</v>
      </c>
      <c r="U17" s="44">
        <f>IF(T17&gt;T19,1,0)</f>
        <v>1</v>
      </c>
      <c r="V17" s="45"/>
      <c r="W17" s="46"/>
      <c r="X17" s="31">
        <f>IF(W17&gt;W19,1,0)</f>
        <v>0</v>
      </c>
      <c r="Y17" s="31">
        <f>IF(Q17="",0,1)</f>
        <v>1</v>
      </c>
      <c r="Z17" s="31">
        <f>IF(R17+U17=2,3,IF(R17+U17=1,1,0))</f>
        <v>3</v>
      </c>
      <c r="AA17" s="31">
        <f>IF(Z17=3,3,IF(X17+Z17=2,2,IF(Z17=1,1,0)))</f>
        <v>3</v>
      </c>
      <c r="AB17" s="31">
        <f>Q17+T17</f>
        <v>13</v>
      </c>
      <c r="AC17" s="31">
        <f>R17+U17+X17</f>
        <v>2</v>
      </c>
      <c r="AD17" s="31"/>
      <c r="AE17" s="69" t="str">
        <f>Players!B18&amp; " / " &amp;Players!C18</f>
        <v>Luigi Porto / Natalya Abela</v>
      </c>
      <c r="AF17" s="48">
        <f>J33+J39+J23+Y15+J27</f>
        <v>5</v>
      </c>
      <c r="AG17" s="48">
        <f t="shared" ref="AG17:AI17" si="5">L33+L39+L23+AA15+L27</f>
        <v>10</v>
      </c>
      <c r="AH17" s="48">
        <f t="shared" si="5"/>
        <v>51</v>
      </c>
      <c r="AI17" s="49">
        <f t="shared" si="5"/>
        <v>8</v>
      </c>
      <c r="AJ17" s="37"/>
      <c r="AK17" s="37"/>
      <c r="AL17" s="37"/>
      <c r="AM17" s="31"/>
      <c r="AN17" s="31"/>
    </row>
    <row r="18" ht="13.5" customHeight="1">
      <c r="A18" s="50" t="s">
        <v>114</v>
      </c>
      <c r="H18" s="51"/>
      <c r="I18" s="52"/>
      <c r="J18" s="31"/>
      <c r="K18" s="31"/>
      <c r="L18" s="31"/>
      <c r="M18" s="31"/>
      <c r="N18" s="31"/>
      <c r="O18" s="58" t="s">
        <v>119</v>
      </c>
      <c r="P18" s="50" t="s">
        <v>114</v>
      </c>
      <c r="W18" s="51"/>
      <c r="X18" s="52"/>
      <c r="Y18" s="31"/>
      <c r="Z18" s="31"/>
      <c r="AA18" s="31"/>
      <c r="AB18" s="31"/>
      <c r="AC18" s="31"/>
      <c r="AD18" s="31"/>
      <c r="AE18" s="31"/>
      <c r="AF18" s="37"/>
      <c r="AG18" s="37"/>
      <c r="AH18" s="37"/>
      <c r="AI18" s="37"/>
      <c r="AJ18" s="37"/>
      <c r="AK18" s="37"/>
      <c r="AL18" s="37"/>
      <c r="AM18" s="31"/>
      <c r="AN18" s="31"/>
    </row>
    <row r="19" ht="13.5" customHeight="1">
      <c r="A19" s="53" t="str">
        <f>AE19</f>
        <v>Cristian Andreozzi / Luiza Andreozzi</v>
      </c>
      <c r="B19" s="43">
        <v>0.0</v>
      </c>
      <c r="C19" s="54">
        <f>IF(B19&gt;B17,1,0)</f>
        <v>0</v>
      </c>
      <c r="D19" s="55"/>
      <c r="E19" s="43">
        <v>0.0</v>
      </c>
      <c r="F19" s="54">
        <f>IF(E19&gt;E17,1,0)</f>
        <v>0</v>
      </c>
      <c r="G19" s="55"/>
      <c r="H19" s="46"/>
      <c r="I19" s="31">
        <f>IF(H19&gt;H17,1,0)</f>
        <v>0</v>
      </c>
      <c r="J19" s="31">
        <f>IF(B19="",0,1)</f>
        <v>1</v>
      </c>
      <c r="K19" s="31">
        <f>IF(C19+F19=2,3,IF(C19+F19=1,1,0))</f>
        <v>0</v>
      </c>
      <c r="L19" s="31">
        <f>IF(K19=3,3,IF(I19+K19=2,2,IF(K19=1,1,0)))</f>
        <v>0</v>
      </c>
      <c r="M19" s="31">
        <f>B19+E19</f>
        <v>0</v>
      </c>
      <c r="N19" s="31">
        <f>C19+F19+I19</f>
        <v>0</v>
      </c>
      <c r="O19" s="31"/>
      <c r="P19" s="53" t="str">
        <f>AE13</f>
        <v>Gene Zammit / Julie Spiteri</v>
      </c>
      <c r="Q19" s="43">
        <v>2.0</v>
      </c>
      <c r="R19" s="54">
        <f>IF(Q19&gt;Q17,1,0)</f>
        <v>0</v>
      </c>
      <c r="S19" s="55"/>
      <c r="T19" s="43">
        <v>5.0</v>
      </c>
      <c r="U19" s="54">
        <f>IF(T19&gt;T17,1,0)</f>
        <v>0</v>
      </c>
      <c r="V19" s="55"/>
      <c r="W19" s="46"/>
      <c r="X19" s="31">
        <f>IF(W19&gt;W17,1,0)</f>
        <v>0</v>
      </c>
      <c r="Y19" s="31">
        <f>IF(Q19="",0,1)</f>
        <v>1</v>
      </c>
      <c r="Z19" s="31">
        <f>IF(R19+U19=2,3,IF(R19+U19=1,1,0))</f>
        <v>0</v>
      </c>
      <c r="AA19" s="31">
        <f>IF(Z19=3,3,IF(X19+Z19=2,2,IF(Z19=1,1,0)))</f>
        <v>0</v>
      </c>
      <c r="AB19" s="31">
        <f>Q19+T19</f>
        <v>7</v>
      </c>
      <c r="AC19" s="31">
        <f>R19+U19+X19</f>
        <v>0</v>
      </c>
      <c r="AD19" s="31"/>
      <c r="AE19" s="69" t="str">
        <f>Players!B19&amp; " / " &amp;Players!C19</f>
        <v>Cristian Andreozzi / Luiza Andreozzi</v>
      </c>
      <c r="AF19" s="48">
        <f>J35+Y27+Y35+J19+J31</f>
        <v>5</v>
      </c>
      <c r="AG19" s="48">
        <f t="shared" ref="AG19:AI19" si="6">L35+AA27+AA35+L19+L31</f>
        <v>7</v>
      </c>
      <c r="AH19" s="48">
        <f t="shared" si="6"/>
        <v>38</v>
      </c>
      <c r="AI19" s="49">
        <f t="shared" si="6"/>
        <v>6</v>
      </c>
      <c r="AJ19" s="31"/>
      <c r="AK19" s="37"/>
      <c r="AL19" s="37"/>
      <c r="AM19" s="31"/>
      <c r="AN19" s="31"/>
    </row>
    <row r="20" ht="13.5" customHeight="1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7"/>
      <c r="AL20" s="31"/>
      <c r="AM20" s="31"/>
      <c r="AN20" s="31"/>
    </row>
    <row r="21" ht="13.5" customHeight="1">
      <c r="A21" s="42" t="str">
        <f>AE11</f>
        <v>Kristen Cachia  / Francesca Sciortino</v>
      </c>
      <c r="B21" s="43">
        <v>3.0</v>
      </c>
      <c r="C21" s="44">
        <f>IF(B21&gt;B23,1,0)</f>
        <v>0</v>
      </c>
      <c r="D21" s="45"/>
      <c r="E21" s="43">
        <v>2.0</v>
      </c>
      <c r="F21" s="44">
        <f>IF(E21&gt;E23,1,0)</f>
        <v>0</v>
      </c>
      <c r="G21" s="45"/>
      <c r="H21" s="46"/>
      <c r="I21" s="31">
        <f>IF(H21&gt;H23,1,0)</f>
        <v>0</v>
      </c>
      <c r="J21" s="31">
        <f>IF(B21="",0,1)</f>
        <v>1</v>
      </c>
      <c r="K21" s="31">
        <f>IF(C21+F21=2,3,IF(C21+F21=1,1,0))</f>
        <v>0</v>
      </c>
      <c r="L21" s="31">
        <f>IF(K21=3,3,IF(I21+K21=2,2,IF(K21=1,1,0)))</f>
        <v>0</v>
      </c>
      <c r="M21" s="31">
        <f>B21+E21</f>
        <v>5</v>
      </c>
      <c r="N21" s="31">
        <f>C21+F21+I21</f>
        <v>0</v>
      </c>
      <c r="O21" s="31"/>
      <c r="P21" s="42" t="str">
        <f>AE11</f>
        <v>Kristen Cachia  / Francesca Sciortino</v>
      </c>
      <c r="Q21" s="43">
        <v>5.0</v>
      </c>
      <c r="R21" s="44">
        <f>IF(Q21&gt;Q23,1,0)</f>
        <v>0</v>
      </c>
      <c r="S21" s="45"/>
      <c r="T21" s="43">
        <v>2.0</v>
      </c>
      <c r="U21" s="44">
        <f>IF(T21&gt;T23,1,0)</f>
        <v>0</v>
      </c>
      <c r="V21" s="45"/>
      <c r="W21" s="46"/>
      <c r="X21" s="31">
        <f>IF(W21&gt;W23,1,0)</f>
        <v>0</v>
      </c>
      <c r="Y21" s="31">
        <f>IF(Q21="",0,1)</f>
        <v>1</v>
      </c>
      <c r="Z21" s="31">
        <f>IF(R21+U21=2,3,IF(R21+U21=1,1,0))</f>
        <v>0</v>
      </c>
      <c r="AA21" s="31">
        <f>IF(Z21=3,3,IF(X21+Z21=2,2,IF(Z21=1,1,0)))</f>
        <v>0</v>
      </c>
      <c r="AB21" s="31">
        <f>Q21+T21</f>
        <v>7</v>
      </c>
      <c r="AC21" s="31">
        <f>R21+U21+X21</f>
        <v>0</v>
      </c>
      <c r="AD21" s="31"/>
      <c r="AE21" s="65" t="s">
        <v>115</v>
      </c>
      <c r="AF21" s="34"/>
      <c r="AG21" s="34"/>
      <c r="AH21" s="34"/>
      <c r="AI21" s="8"/>
      <c r="AJ21" s="31"/>
      <c r="AK21" s="31"/>
      <c r="AL21" s="31"/>
      <c r="AM21" s="31"/>
      <c r="AN21" s="31"/>
    </row>
    <row r="22" ht="13.5" customHeight="1">
      <c r="A22" s="50" t="s">
        <v>114</v>
      </c>
      <c r="H22" s="51"/>
      <c r="I22" s="52"/>
      <c r="J22" s="31"/>
      <c r="K22" s="31"/>
      <c r="L22" s="31"/>
      <c r="M22" s="31"/>
      <c r="N22" s="31"/>
      <c r="O22" s="31"/>
      <c r="P22" s="50" t="s">
        <v>114</v>
      </c>
      <c r="W22" s="51"/>
      <c r="X22" s="52"/>
      <c r="Y22" s="31"/>
      <c r="Z22" s="31"/>
      <c r="AA22" s="31"/>
      <c r="AB22" s="31"/>
      <c r="AC22" s="31"/>
      <c r="AD22" s="31"/>
      <c r="AE22" s="57" t="s">
        <v>120</v>
      </c>
      <c r="AF22" s="34"/>
      <c r="AG22" s="34"/>
      <c r="AH22" s="34"/>
      <c r="AI22" s="8"/>
      <c r="AJ22" s="31"/>
      <c r="AK22" s="37"/>
      <c r="AL22" s="31"/>
      <c r="AM22" s="31"/>
      <c r="AN22" s="31"/>
    </row>
    <row r="23" ht="13.5" customHeight="1">
      <c r="A23" s="53" t="str">
        <f>AE17</f>
        <v>Luigi Porto / Natalya Abela</v>
      </c>
      <c r="B23" s="43">
        <v>6.0</v>
      </c>
      <c r="C23" s="54">
        <f>IF(B23&gt;B21,1,0)</f>
        <v>1</v>
      </c>
      <c r="D23" s="55"/>
      <c r="E23" s="43">
        <v>6.0</v>
      </c>
      <c r="F23" s="54">
        <f>IF(E23&gt;E21,1,0)</f>
        <v>1</v>
      </c>
      <c r="G23" s="55"/>
      <c r="H23" s="46"/>
      <c r="I23" s="31">
        <f>IF(H23&gt;H21,1,0)</f>
        <v>0</v>
      </c>
      <c r="J23" s="31">
        <f>IF(B23="",0,1)</f>
        <v>1</v>
      </c>
      <c r="K23" s="31">
        <f>IF(C23+F23=2,3,IF(C23+F23=1,1,0))</f>
        <v>3</v>
      </c>
      <c r="L23" s="31">
        <f>IF(K23=3,3,IF(I23+K23=2,2,IF(K23=1,1,0)))</f>
        <v>3</v>
      </c>
      <c r="M23" s="31">
        <f>B23+E23</f>
        <v>12</v>
      </c>
      <c r="N23" s="31">
        <f>C23+F23+I23</f>
        <v>2</v>
      </c>
      <c r="O23" s="31"/>
      <c r="P23" s="53" t="str">
        <f>AE15</f>
        <v>Jonathan Martinelli / Christine Bonett</v>
      </c>
      <c r="Q23" s="43">
        <v>7.0</v>
      </c>
      <c r="R23" s="54">
        <f>IF(Q23&gt;Q21,1,0)</f>
        <v>1</v>
      </c>
      <c r="S23" s="55"/>
      <c r="T23" s="43">
        <v>6.0</v>
      </c>
      <c r="U23" s="54">
        <f>IF(T23&gt;T21,1,0)</f>
        <v>1</v>
      </c>
      <c r="V23" s="55"/>
      <c r="W23" s="46"/>
      <c r="X23" s="31">
        <f>IF(W23&gt;W21,1,0)</f>
        <v>0</v>
      </c>
      <c r="Y23" s="31">
        <f>IF(Q23="",0,1)</f>
        <v>1</v>
      </c>
      <c r="Z23" s="31">
        <f>IF(R23+U23=2,3,IF(R23+U23=1,1,0))</f>
        <v>3</v>
      </c>
      <c r="AA23" s="31">
        <f>IF(Z23=3,3,IF(X23+Z23=2,2,IF(Z23=1,1,0)))</f>
        <v>3</v>
      </c>
      <c r="AB23" s="31">
        <f>Q23+T23</f>
        <v>13</v>
      </c>
      <c r="AC23" s="31">
        <f>R23+U23+X23</f>
        <v>2</v>
      </c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</row>
    <row r="24" ht="13.5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</row>
    <row r="25" ht="13.5" customHeight="1">
      <c r="A25" s="42" t="str">
        <f>AE13</f>
        <v>Gene Zammit / Julie Spiteri</v>
      </c>
      <c r="B25" s="43">
        <v>1.0</v>
      </c>
      <c r="C25" s="44">
        <f>IF(B25&gt;B27,1,0)</f>
        <v>0</v>
      </c>
      <c r="D25" s="45"/>
      <c r="E25" s="43">
        <v>5.0</v>
      </c>
      <c r="F25" s="44">
        <f>IF(E25&gt;E27,1,0)</f>
        <v>0</v>
      </c>
      <c r="G25" s="45"/>
      <c r="H25" s="46"/>
      <c r="I25" s="31">
        <f>IF(H25&gt;H27,1,0)</f>
        <v>0</v>
      </c>
      <c r="J25" s="31">
        <f>IF(B25="",0,1)</f>
        <v>1</v>
      </c>
      <c r="K25" s="31">
        <f>IF(C25+F25=2,3,IF(C25+F25=1,1,0))</f>
        <v>0</v>
      </c>
      <c r="L25" s="31">
        <f>IF(K25=3,3,IF(I25+K25=2,2,IF(K25=1,1,0)))</f>
        <v>0</v>
      </c>
      <c r="M25" s="31">
        <f>B25+E25</f>
        <v>6</v>
      </c>
      <c r="N25" s="31">
        <f>C25+F25+I25</f>
        <v>0</v>
      </c>
      <c r="O25" s="31"/>
      <c r="P25" s="42" t="str">
        <f>AE11</f>
        <v>Kristen Cachia  / Francesca Sciortino</v>
      </c>
      <c r="Q25" s="43">
        <v>6.0</v>
      </c>
      <c r="R25" s="44">
        <f>IF(Q25&gt;Q27,1,0)</f>
        <v>1</v>
      </c>
      <c r="S25" s="45"/>
      <c r="T25" s="43">
        <v>6.0</v>
      </c>
      <c r="U25" s="44">
        <f>IF(T25&gt;T27,1,0)</f>
        <v>1</v>
      </c>
      <c r="V25" s="45"/>
      <c r="W25" s="46"/>
      <c r="X25" s="31">
        <f>IF(W25&gt;W27,1,0)</f>
        <v>0</v>
      </c>
      <c r="Y25" s="31">
        <f>IF(Q25="",0,1)</f>
        <v>1</v>
      </c>
      <c r="Z25" s="31">
        <f>IF(R25+U25=2,3,IF(R25+U25=1,1,0))</f>
        <v>3</v>
      </c>
      <c r="AA25" s="31">
        <f>IF(Z25=3,3,IF(X25+Z25=2,2,IF(Z25=1,1,0)))</f>
        <v>3</v>
      </c>
      <c r="AB25" s="31">
        <f>Q25+T25</f>
        <v>12</v>
      </c>
      <c r="AC25" s="31">
        <f>R25+U25+X25</f>
        <v>2</v>
      </c>
      <c r="AD25" s="31"/>
      <c r="AE25" s="65" t="s">
        <v>117</v>
      </c>
      <c r="AF25" s="34"/>
      <c r="AG25" s="34"/>
      <c r="AH25" s="34"/>
      <c r="AI25" s="8"/>
      <c r="AJ25" s="31"/>
      <c r="AK25" s="31"/>
      <c r="AL25" s="31"/>
      <c r="AM25" s="31"/>
      <c r="AN25" s="31"/>
    </row>
    <row r="26" ht="13.5" customHeight="1">
      <c r="A26" s="50" t="s">
        <v>114</v>
      </c>
      <c r="H26" s="51"/>
      <c r="I26" s="52"/>
      <c r="J26" s="31"/>
      <c r="K26" s="31"/>
      <c r="L26" s="31"/>
      <c r="M26" s="31"/>
      <c r="N26" s="31"/>
      <c r="O26" s="31"/>
      <c r="P26" s="50" t="s">
        <v>114</v>
      </c>
      <c r="W26" s="51"/>
      <c r="X26" s="52"/>
      <c r="Y26" s="31"/>
      <c r="Z26" s="31"/>
      <c r="AA26" s="31"/>
      <c r="AB26" s="31"/>
      <c r="AC26" s="31"/>
      <c r="AD26" s="31"/>
      <c r="AE26" s="57" t="s">
        <v>121</v>
      </c>
      <c r="AF26" s="34"/>
      <c r="AG26" s="34"/>
      <c r="AH26" s="34"/>
      <c r="AI26" s="8"/>
      <c r="AJ26" s="31"/>
      <c r="AK26" s="31"/>
      <c r="AL26" s="31"/>
      <c r="AM26" s="31"/>
      <c r="AN26" s="31"/>
    </row>
    <row r="27" ht="13.5" customHeight="1">
      <c r="A27" s="53" t="str">
        <f>AE17</f>
        <v>Luigi Porto / Natalya Abela</v>
      </c>
      <c r="B27" s="43">
        <v>6.0</v>
      </c>
      <c r="C27" s="54">
        <f>IF(B27&gt;B25,1,0)</f>
        <v>1</v>
      </c>
      <c r="D27" s="55"/>
      <c r="E27" s="43">
        <v>7.0</v>
      </c>
      <c r="F27" s="54">
        <f>IF(E27&gt;E25,1,0)</f>
        <v>1</v>
      </c>
      <c r="G27" s="55"/>
      <c r="H27" s="46"/>
      <c r="I27" s="31">
        <f>IF(H27&gt;H25,1,0)</f>
        <v>0</v>
      </c>
      <c r="J27" s="31">
        <f>IF(B27="",0,1)</f>
        <v>1</v>
      </c>
      <c r="K27" s="31">
        <f>IF(C27+F27=2,3,IF(C27+F27=1,1,0))</f>
        <v>3</v>
      </c>
      <c r="L27" s="31">
        <f>IF(K27=3,3,IF(I27+K27=2,2,IF(K27=1,1,0)))</f>
        <v>3</v>
      </c>
      <c r="M27" s="31">
        <f>B27+E27</f>
        <v>13</v>
      </c>
      <c r="N27" s="31">
        <f>C27+F27+I27</f>
        <v>2</v>
      </c>
      <c r="O27" s="31"/>
      <c r="P27" s="53" t="str">
        <f>AE19</f>
        <v>Cristian Andreozzi / Luiza Andreozzi</v>
      </c>
      <c r="Q27" s="43">
        <v>4.0</v>
      </c>
      <c r="R27" s="54">
        <f>IF(Q27&gt;Q25,1,0)</f>
        <v>0</v>
      </c>
      <c r="S27" s="55"/>
      <c r="T27" s="43">
        <v>1.0</v>
      </c>
      <c r="U27" s="54">
        <f>IF(T27&gt;T25,1,0)</f>
        <v>0</v>
      </c>
      <c r="V27" s="55"/>
      <c r="W27" s="46"/>
      <c r="X27" s="31">
        <f>IF(W27&gt;W25,1,0)</f>
        <v>0</v>
      </c>
      <c r="Y27" s="31">
        <f>IF(Q27="",0,1)</f>
        <v>1</v>
      </c>
      <c r="Z27" s="31">
        <f>IF(R27+U27=2,3,IF(R27+U27=1,1,0))</f>
        <v>0</v>
      </c>
      <c r="AA27" s="31">
        <f>IF(Z27=3,3,IF(X27+Z27=2,2,IF(Z27=1,1,0)))</f>
        <v>0</v>
      </c>
      <c r="AB27" s="31">
        <f>Q27+T27</f>
        <v>5</v>
      </c>
      <c r="AC27" s="31">
        <f>R27+U27+X27</f>
        <v>0</v>
      </c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</row>
    <row r="28" ht="13.5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7"/>
      <c r="AI28" s="31"/>
      <c r="AJ28" s="31"/>
      <c r="AK28" s="31"/>
      <c r="AL28" s="31"/>
      <c r="AM28" s="31"/>
      <c r="AN28" s="31"/>
    </row>
    <row r="29" ht="13.5" customHeight="1">
      <c r="A29" s="42" t="str">
        <f>AE15</f>
        <v>Jonathan Martinelli / Christine Bonett</v>
      </c>
      <c r="B29" s="43">
        <v>4.0</v>
      </c>
      <c r="C29" s="44">
        <f>IF(B29&gt;B31,1,0)</f>
        <v>0</v>
      </c>
      <c r="D29" s="45"/>
      <c r="E29" s="43">
        <v>6.0</v>
      </c>
      <c r="F29" s="44">
        <f>IF(E29&gt;E31,1,0)</f>
        <v>1</v>
      </c>
      <c r="G29" s="45"/>
      <c r="H29" s="43">
        <v>2.0</v>
      </c>
      <c r="I29" s="31">
        <f>IF(H29&gt;H31,1,0)</f>
        <v>0</v>
      </c>
      <c r="J29" s="31">
        <f>IF(B29="",0,1)</f>
        <v>1</v>
      </c>
      <c r="K29" s="31">
        <f>IF(C29+F29=2,3,IF(C29+F29=1,1,0))</f>
        <v>1</v>
      </c>
      <c r="L29" s="31">
        <f>IF(K29=3,3,IF(I29+K29=2,2,IF(K29=1,1,0)))</f>
        <v>1</v>
      </c>
      <c r="M29" s="31">
        <f>B29+E29</f>
        <v>10</v>
      </c>
      <c r="N29" s="31">
        <f>C29+F29+I29</f>
        <v>1</v>
      </c>
      <c r="O29" s="31"/>
      <c r="P29" s="42" t="str">
        <f>AE13</f>
        <v>Gene Zammit / Julie Spiteri</v>
      </c>
      <c r="Q29" s="43">
        <v>2.0</v>
      </c>
      <c r="R29" s="44">
        <f>IF(Q29&gt;Q31,1,0)</f>
        <v>0</v>
      </c>
      <c r="S29" s="45"/>
      <c r="T29" s="43">
        <v>1.0</v>
      </c>
      <c r="U29" s="44">
        <f>IF(T29&gt;T31,1,0)</f>
        <v>0</v>
      </c>
      <c r="V29" s="45"/>
      <c r="W29" s="46"/>
      <c r="X29" s="31">
        <f>IF(W29&gt;W31,1,0)</f>
        <v>0</v>
      </c>
      <c r="Y29" s="31">
        <f>IF(Q29="",0,1)</f>
        <v>1</v>
      </c>
      <c r="Z29" s="31">
        <f>IF(R29+U29=2,3,IF(R29+U29=1,1,0))</f>
        <v>0</v>
      </c>
      <c r="AA29" s="31">
        <f>IF(Z29=3,3,IF(X29+Z29=2,2,IF(Z29=1,1,0)))</f>
        <v>0</v>
      </c>
      <c r="AB29" s="31">
        <f>Q29+T29</f>
        <v>3</v>
      </c>
      <c r="AC29" s="31">
        <f>R29+U29+X29</f>
        <v>0</v>
      </c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</row>
    <row r="30" ht="13.5" customHeight="1">
      <c r="A30" s="50" t="s">
        <v>114</v>
      </c>
      <c r="H30" s="51"/>
      <c r="I30" s="52"/>
      <c r="J30" s="31"/>
      <c r="K30" s="31"/>
      <c r="L30" s="31"/>
      <c r="M30" s="31"/>
      <c r="N30" s="31"/>
      <c r="O30" s="31"/>
      <c r="P30" s="50" t="s">
        <v>114</v>
      </c>
      <c r="W30" s="51"/>
      <c r="X30" s="52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59"/>
      <c r="AM30" s="31"/>
      <c r="AN30" s="31"/>
    </row>
    <row r="31" ht="13.5" customHeight="1">
      <c r="A31" s="53" t="str">
        <f>AE19</f>
        <v>Cristian Andreozzi / Luiza Andreozzi</v>
      </c>
      <c r="B31" s="43">
        <v>6.0</v>
      </c>
      <c r="C31" s="54">
        <f>IF(B31&gt;B29,1,0)</f>
        <v>1</v>
      </c>
      <c r="D31" s="55"/>
      <c r="E31" s="43">
        <v>4.0</v>
      </c>
      <c r="F31" s="54">
        <f>IF(E31&gt;E29,1,0)</f>
        <v>0</v>
      </c>
      <c r="G31" s="55"/>
      <c r="H31" s="43">
        <v>10.0</v>
      </c>
      <c r="I31" s="31">
        <f>IF(H31&gt;H29,1,0)</f>
        <v>1</v>
      </c>
      <c r="J31" s="31">
        <f>IF(B31="",0,1)</f>
        <v>1</v>
      </c>
      <c r="K31" s="31">
        <f>IF(C31+F31=2,3,IF(C31+F31=1,1,0))</f>
        <v>1</v>
      </c>
      <c r="L31" s="31">
        <f>IF(K31=3,3,IF(I31+K31=2,2,IF(K31=1,1,0)))</f>
        <v>2</v>
      </c>
      <c r="M31" s="31">
        <f>B31+E31</f>
        <v>10</v>
      </c>
      <c r="N31" s="31">
        <f>C31+F31+I31</f>
        <v>2</v>
      </c>
      <c r="O31" s="31"/>
      <c r="P31" s="53" t="str">
        <f>AE15</f>
        <v>Jonathan Martinelli / Christine Bonett</v>
      </c>
      <c r="Q31" s="43">
        <v>6.0</v>
      </c>
      <c r="R31" s="54">
        <f>IF(Q31&gt;Q29,1,0)</f>
        <v>1</v>
      </c>
      <c r="S31" s="55"/>
      <c r="T31" s="43">
        <v>6.0</v>
      </c>
      <c r="U31" s="54">
        <f>IF(T31&gt;T29,1,0)</f>
        <v>1</v>
      </c>
      <c r="V31" s="55"/>
      <c r="W31" s="46"/>
      <c r="X31" s="31">
        <f>IF(W31&gt;W29,1,0)</f>
        <v>0</v>
      </c>
      <c r="Y31" s="31">
        <f>IF(Q31="",0,1)</f>
        <v>1</v>
      </c>
      <c r="Z31" s="31">
        <f>IF(R31+U31=2,3,IF(R31+U31=1,1,0))</f>
        <v>3</v>
      </c>
      <c r="AA31" s="31">
        <f>IF(Z31=3,3,IF(X31+Z31=2,2,IF(Z31=1,1,0)))</f>
        <v>3</v>
      </c>
      <c r="AB31" s="31">
        <f>Q31+T31</f>
        <v>12</v>
      </c>
      <c r="AC31" s="31">
        <f>R31+U31+X31</f>
        <v>2</v>
      </c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7"/>
    </row>
    <row r="32" ht="13.5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59"/>
      <c r="AM32" s="31"/>
      <c r="AN32" s="31"/>
    </row>
    <row r="33" ht="13.5" customHeight="1">
      <c r="A33" s="42" t="str">
        <f>AE17</f>
        <v>Luigi Porto / Natalya Abela</v>
      </c>
      <c r="B33" s="43">
        <v>7.0</v>
      </c>
      <c r="C33" s="44">
        <f>IF(B33&gt;B35,1,0)</f>
        <v>1</v>
      </c>
      <c r="D33" s="45"/>
      <c r="E33" s="43">
        <v>3.0</v>
      </c>
      <c r="F33" s="44">
        <f>IF(E33&gt;E35,1,0)</f>
        <v>0</v>
      </c>
      <c r="G33" s="45"/>
      <c r="H33" s="43">
        <v>7.0</v>
      </c>
      <c r="I33" s="31">
        <f>IF(H33&gt;H35,1,0)</f>
        <v>0</v>
      </c>
      <c r="J33" s="31">
        <f>IF(B33="",0,1)</f>
        <v>1</v>
      </c>
      <c r="K33" s="31">
        <f>IF(C33+F33=2,3,IF(C33+F33=1,1,0))</f>
        <v>1</v>
      </c>
      <c r="L33" s="31">
        <f>IF(K33=3,3,IF(I33+K33=2,2,IF(K33=1,1,0)))</f>
        <v>1</v>
      </c>
      <c r="M33" s="31">
        <f>B33+E33</f>
        <v>10</v>
      </c>
      <c r="N33" s="31">
        <f>C33+F33+I33</f>
        <v>1</v>
      </c>
      <c r="O33" s="31"/>
      <c r="P33" s="42" t="str">
        <f>AE13</f>
        <v>Gene Zammit / Julie Spiteri</v>
      </c>
      <c r="Q33" s="43">
        <v>3.0</v>
      </c>
      <c r="R33" s="44">
        <f>IF(Q33&gt;Q35,1,0)</f>
        <v>0</v>
      </c>
      <c r="S33" s="45"/>
      <c r="T33" s="43">
        <v>0.0</v>
      </c>
      <c r="U33" s="44">
        <f>IF(T33&gt;T35,1,0)</f>
        <v>0</v>
      </c>
      <c r="V33" s="45"/>
      <c r="W33" s="46"/>
      <c r="X33" s="31">
        <f>IF(W33&gt;W35,1,0)</f>
        <v>0</v>
      </c>
      <c r="Y33" s="31">
        <f>IF(Q33="",0,1)</f>
        <v>1</v>
      </c>
      <c r="Z33" s="31">
        <f>IF(R33+U33=2,3,IF(R33+U33=1,1,0))</f>
        <v>0</v>
      </c>
      <c r="AA33" s="31">
        <f>IF(Z33=3,3,IF(X33+Z33=2,2,IF(Z33=1,1,0)))</f>
        <v>0</v>
      </c>
      <c r="AB33" s="31">
        <f>Q33+T33</f>
        <v>3</v>
      </c>
      <c r="AC33" s="31">
        <f>R33+U33+X33</f>
        <v>0</v>
      </c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</row>
    <row r="34" ht="13.5" customHeight="1">
      <c r="A34" s="50" t="s">
        <v>114</v>
      </c>
      <c r="H34" s="51"/>
      <c r="I34" s="52"/>
      <c r="J34" s="31"/>
      <c r="K34" s="31"/>
      <c r="L34" s="31"/>
      <c r="M34" s="31"/>
      <c r="N34" s="31"/>
      <c r="O34" s="31"/>
      <c r="P34" s="50" t="s">
        <v>114</v>
      </c>
      <c r="W34" s="51"/>
      <c r="X34" s="52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</row>
    <row r="35" ht="13.5" customHeight="1">
      <c r="A35" s="53" t="str">
        <f>AE19</f>
        <v>Cristian Andreozzi / Luiza Andreozzi</v>
      </c>
      <c r="B35" s="43">
        <v>5.0</v>
      </c>
      <c r="C35" s="54">
        <f>IF(B35&gt;B33,1,0)</f>
        <v>0</v>
      </c>
      <c r="D35" s="55"/>
      <c r="E35" s="43">
        <v>6.0</v>
      </c>
      <c r="F35" s="54">
        <f>IF(E35&gt;E33,1,0)</f>
        <v>1</v>
      </c>
      <c r="G35" s="55"/>
      <c r="H35" s="43">
        <v>10.0</v>
      </c>
      <c r="I35" s="31">
        <f>IF(H35&gt;H33,1,0)</f>
        <v>1</v>
      </c>
      <c r="J35" s="31">
        <f>IF(B35="",0,1)</f>
        <v>1</v>
      </c>
      <c r="K35" s="31">
        <f>IF(C35+F35=2,3,IF(C35+F35=1,1,0))</f>
        <v>1</v>
      </c>
      <c r="L35" s="31">
        <f>IF(K35=3,3,IF(I35+K35=2,2,IF(K35=1,1,0)))</f>
        <v>2</v>
      </c>
      <c r="M35" s="31">
        <f>B35+E35</f>
        <v>11</v>
      </c>
      <c r="N35" s="31">
        <f>C35+F35+I35</f>
        <v>2</v>
      </c>
      <c r="O35" s="31"/>
      <c r="P35" s="53" t="str">
        <f>AE19</f>
        <v>Cristian Andreozzi / Luiza Andreozzi</v>
      </c>
      <c r="Q35" s="43">
        <v>6.0</v>
      </c>
      <c r="R35" s="54">
        <f>IF(Q35&gt;Q33,1,0)</f>
        <v>1</v>
      </c>
      <c r="S35" s="55"/>
      <c r="T35" s="43">
        <v>6.0</v>
      </c>
      <c r="U35" s="54">
        <f>IF(T35&gt;T33,1,0)</f>
        <v>1</v>
      </c>
      <c r="V35" s="55"/>
      <c r="W35" s="46"/>
      <c r="X35" s="31">
        <f>IF(W35&gt;W33,1,0)</f>
        <v>0</v>
      </c>
      <c r="Y35" s="31">
        <f>IF(Q35="",0,1)</f>
        <v>1</v>
      </c>
      <c r="Z35" s="31">
        <f>IF(R35+U35=2,3,IF(R35+U35=1,1,0))</f>
        <v>3</v>
      </c>
      <c r="AA35" s="31">
        <f>IF(Z35=3,3,IF(X35+Z35=2,2,IF(Z35=1,1,0)))</f>
        <v>3</v>
      </c>
      <c r="AB35" s="31">
        <f>Q35+T35</f>
        <v>12</v>
      </c>
      <c r="AC35" s="31">
        <f>R35+U35+X35</f>
        <v>2</v>
      </c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</row>
    <row r="36" ht="13.5" customHeight="1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7"/>
      <c r="AI36" s="31"/>
      <c r="AJ36" s="31"/>
      <c r="AK36" s="37"/>
      <c r="AL36" s="31"/>
      <c r="AM36" s="31"/>
      <c r="AN36" s="31"/>
    </row>
    <row r="37" ht="13.5" customHeight="1">
      <c r="A37" s="42" t="str">
        <f>AE15</f>
        <v>Jonathan Martinelli / Christine Bonett</v>
      </c>
      <c r="B37" s="43">
        <v>6.0</v>
      </c>
      <c r="C37" s="44">
        <f>IF(B37&gt;B39,1,0)</f>
        <v>1</v>
      </c>
      <c r="D37" s="45"/>
      <c r="E37" s="43">
        <v>1.0</v>
      </c>
      <c r="F37" s="44">
        <f>IF(E37&gt;E39,1,0)</f>
        <v>0</v>
      </c>
      <c r="G37" s="45"/>
      <c r="H37" s="43">
        <v>12.0</v>
      </c>
      <c r="I37" s="31">
        <f>IF(H37&gt;H39,1,0)</f>
        <v>0</v>
      </c>
      <c r="J37" s="31">
        <f>IF(B37="",0,1)</f>
        <v>1</v>
      </c>
      <c r="K37" s="31">
        <f>IF(C37+F37=2,3,IF(C37+F37=1,1,0))</f>
        <v>1</v>
      </c>
      <c r="L37" s="31">
        <f>IF(K37=3,3,IF(I37+K37=2,2,IF(K37=1,1,0)))</f>
        <v>1</v>
      </c>
      <c r="M37" s="31">
        <f>B37+E37</f>
        <v>7</v>
      </c>
      <c r="N37" s="31">
        <f>C37+F37+I37</f>
        <v>1</v>
      </c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7"/>
      <c r="AL37" s="31"/>
      <c r="AM37" s="31"/>
      <c r="AN37" s="31"/>
    </row>
    <row r="38" ht="13.5" customHeight="1">
      <c r="A38" s="50" t="s">
        <v>114</v>
      </c>
      <c r="H38" s="51"/>
      <c r="I38" s="52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62"/>
      <c r="AK38" s="31"/>
      <c r="AL38" s="31"/>
      <c r="AM38" s="31"/>
      <c r="AN38" s="31"/>
    </row>
    <row r="39" ht="13.5" customHeight="1">
      <c r="A39" s="53" t="str">
        <f>AE17</f>
        <v>Luigi Porto / Natalya Abela</v>
      </c>
      <c r="B39" s="43">
        <v>2.0</v>
      </c>
      <c r="C39" s="54">
        <f>IF(B39&gt;B37,1,0)</f>
        <v>0</v>
      </c>
      <c r="D39" s="55"/>
      <c r="E39" s="43">
        <v>6.0</v>
      </c>
      <c r="F39" s="54">
        <f>IF(E39&gt;E37,1,0)</f>
        <v>1</v>
      </c>
      <c r="G39" s="55"/>
      <c r="H39" s="43">
        <v>14.0</v>
      </c>
      <c r="I39" s="31">
        <f>IF(H39&gt;H37,1,0)</f>
        <v>1</v>
      </c>
      <c r="J39" s="31">
        <f>IF(B39="",0,1)</f>
        <v>1</v>
      </c>
      <c r="K39" s="31">
        <f>IF(C39+F39=2,3,IF(C39+F39=1,1,0))</f>
        <v>1</v>
      </c>
      <c r="L39" s="31">
        <f>IF(K39=3,3,IF(I39+K39=2,2,IF(K39=1,1,0)))</f>
        <v>2</v>
      </c>
      <c r="M39" s="31">
        <f>B39+E39</f>
        <v>8</v>
      </c>
      <c r="N39" s="31">
        <f>C39+F39+I39</f>
        <v>2</v>
      </c>
      <c r="O39" s="31"/>
      <c r="P39" s="70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</row>
    <row r="40" ht="13.5" customHeight="1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</row>
    <row r="41" ht="13.5" customHeight="1">
      <c r="A41" s="70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62"/>
      <c r="AK41" s="31"/>
      <c r="AL41" s="31"/>
      <c r="AM41" s="31"/>
      <c r="AN41" s="31"/>
    </row>
    <row r="42" ht="13.5" customHeight="1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</row>
    <row r="43" ht="13.5" customHeight="1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</row>
    <row r="44" ht="13.5" customHeight="1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</row>
    <row r="45" ht="13.5" customHeight="1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</row>
    <row r="46" ht="13.5" customHeight="1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62"/>
      <c r="AK46" s="31"/>
      <c r="AL46" s="37"/>
      <c r="AM46" s="31"/>
      <c r="AN46" s="31"/>
    </row>
    <row r="47" ht="13.5" customHeight="1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</row>
    <row r="48" ht="13.5" customHeight="1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</row>
    <row r="49" ht="13.5" customHeight="1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</row>
    <row r="50" ht="13.5" customHeight="1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</row>
    <row r="51" ht="13.5" customHeight="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62"/>
      <c r="AK51" s="31"/>
      <c r="AL51" s="31"/>
      <c r="AM51" s="31"/>
      <c r="AN51" s="37"/>
    </row>
    <row r="52" ht="13.5" customHeight="1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</row>
    <row r="53" ht="13.5" customHeight="1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</row>
    <row r="54" ht="13.5" customHeight="1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</row>
    <row r="55" ht="13.5" customHeight="1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7"/>
      <c r="AI55" s="31"/>
      <c r="AJ55" s="31"/>
      <c r="AK55" s="37"/>
      <c r="AL55" s="31"/>
      <c r="AM55" s="31"/>
      <c r="AN55" s="31"/>
    </row>
    <row r="56" ht="13.5" customHeight="1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</row>
    <row r="57" ht="13.5" customHeight="1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</row>
    <row r="58" ht="13.5" customHeight="1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</row>
    <row r="59" ht="13.5" customHeight="1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</row>
    <row r="60" ht="13.5" customHeight="1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</row>
    <row r="61" ht="13.5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</row>
    <row r="62" ht="13.5" customHeight="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</row>
    <row r="63" ht="13.5" customHeight="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</row>
    <row r="64" ht="13.5" customHeight="1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</row>
    <row r="65" ht="13.5" customHeight="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</row>
    <row r="66" ht="13.5" customHeight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</row>
    <row r="67" ht="13.5" customHeight="1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</row>
    <row r="68" ht="13.5" customHeight="1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</row>
    <row r="69" ht="13.5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</row>
    <row r="70" ht="13.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</row>
    <row r="71" ht="13.5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</row>
    <row r="72" ht="13.5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</row>
    <row r="73" ht="13.5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</row>
    <row r="74" ht="13.5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</row>
    <row r="75" ht="13.5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</row>
    <row r="76" ht="13.5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</row>
    <row r="77" ht="13.5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</row>
    <row r="78" ht="13.5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</row>
    <row r="79" ht="13.5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</row>
    <row r="80" ht="13.5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</row>
    <row r="81" ht="13.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</row>
    <row r="82" ht="13.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</row>
    <row r="83" ht="13.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</row>
    <row r="84" ht="13.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</row>
    <row r="85" ht="13.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</row>
    <row r="86" ht="13.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</row>
    <row r="87" ht="13.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</row>
    <row r="88" ht="13.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</row>
    <row r="89" ht="13.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</row>
    <row r="90" ht="13.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</row>
    <row r="91" ht="13.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</row>
    <row r="92" ht="13.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</row>
    <row r="93" ht="13.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</row>
    <row r="94" ht="13.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</row>
    <row r="95" ht="13.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</row>
    <row r="96" ht="13.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</row>
    <row r="97" ht="13.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</row>
    <row r="98" ht="13.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</row>
    <row r="99" ht="13.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</row>
    <row r="100" ht="13.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</row>
    <row r="101" ht="13.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</row>
    <row r="102" ht="13.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</row>
    <row r="103" ht="13.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</row>
    <row r="104" ht="13.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</row>
    <row r="105" ht="13.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7"/>
      <c r="R105" s="37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</row>
    <row r="106" ht="13.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</row>
    <row r="107" ht="13.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</row>
    <row r="108" ht="13.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</row>
    <row r="109" ht="13.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</row>
    <row r="110" ht="13.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</row>
    <row r="111" ht="13.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</row>
    <row r="112" ht="13.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</row>
    <row r="113" ht="13.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</row>
    <row r="114" ht="13.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</row>
    <row r="115" ht="13.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</row>
    <row r="116" ht="13.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</row>
    <row r="117" ht="13.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</row>
    <row r="118" ht="13.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</row>
    <row r="119" ht="13.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</row>
    <row r="120" ht="13.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</row>
    <row r="121" ht="13.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</row>
    <row r="122" ht="13.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</row>
    <row r="123" ht="13.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</row>
    <row r="124" ht="13.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</row>
    <row r="125" ht="13.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</row>
    <row r="126" ht="13.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</row>
    <row r="127" ht="13.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</row>
    <row r="128" ht="13.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</row>
    <row r="129" ht="13.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</row>
    <row r="130" ht="13.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</row>
    <row r="131" ht="13.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</row>
    <row r="132" ht="13.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</row>
    <row r="133" ht="13.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</row>
    <row r="134" ht="13.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</row>
    <row r="135" ht="13.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</row>
    <row r="136" ht="13.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</row>
    <row r="137" ht="13.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</row>
    <row r="138" ht="13.5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</row>
    <row r="139" ht="13.5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</row>
    <row r="140" ht="13.5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</row>
    <row r="141" ht="13.5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</row>
    <row r="142" ht="13.5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</row>
    <row r="143" ht="13.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</row>
    <row r="144" ht="13.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</row>
    <row r="145" ht="13.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</row>
    <row r="146" ht="13.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</row>
    <row r="147" ht="13.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</row>
    <row r="148" ht="13.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</row>
    <row r="149" ht="13.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</row>
    <row r="150" ht="13.5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</row>
    <row r="151" ht="13.5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</row>
    <row r="152" ht="13.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</row>
    <row r="153" ht="13.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</row>
    <row r="154" ht="13.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</row>
    <row r="155" ht="13.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</row>
    <row r="156" ht="13.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</row>
    <row r="157" ht="13.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</row>
    <row r="158" ht="13.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</row>
    <row r="159" ht="13.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</row>
    <row r="160" ht="13.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</row>
    <row r="161" ht="13.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</row>
    <row r="162" ht="13.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</row>
    <row r="163" ht="13.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</row>
    <row r="164" ht="13.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</row>
    <row r="165" ht="13.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</row>
    <row r="166" ht="13.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</row>
    <row r="167" ht="13.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</row>
    <row r="168" ht="13.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</row>
    <row r="169" ht="13.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</row>
    <row r="170" ht="13.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</row>
    <row r="171" ht="13.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</row>
    <row r="172" ht="13.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</row>
    <row r="173" ht="13.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</row>
    <row r="174" ht="13.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</row>
    <row r="175" ht="13.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</row>
    <row r="176" ht="13.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</row>
    <row r="177" ht="13.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</row>
    <row r="178" ht="13.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</row>
    <row r="179" ht="13.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</row>
    <row r="180" ht="13.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</row>
    <row r="181" ht="13.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</row>
    <row r="182" ht="13.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</row>
    <row r="183" ht="13.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</row>
    <row r="184" ht="13.5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</row>
    <row r="185" ht="13.5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</row>
    <row r="186" ht="13.5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</row>
    <row r="187" ht="13.5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</row>
    <row r="188" ht="13.5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</row>
    <row r="189" ht="13.5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</row>
    <row r="190" ht="13.5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</row>
    <row r="191" ht="13.5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</row>
    <row r="192" ht="13.5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</row>
    <row r="193" ht="13.5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</row>
    <row r="194" ht="13.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</row>
    <row r="195" ht="13.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</row>
    <row r="196" ht="13.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</row>
    <row r="197" ht="13.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</row>
    <row r="198" ht="13.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</row>
    <row r="199" ht="13.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</row>
    <row r="200" ht="13.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</row>
    <row r="201" ht="13.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</row>
    <row r="202" ht="13.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</row>
    <row r="203" ht="13.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</row>
    <row r="204" ht="13.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</row>
    <row r="205" ht="13.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</row>
    <row r="206" ht="13.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</row>
    <row r="207" ht="13.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</row>
    <row r="208" ht="13.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</row>
    <row r="209" ht="13.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</row>
    <row r="210" ht="13.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</row>
    <row r="211" ht="13.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</row>
    <row r="212" ht="13.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</row>
    <row r="213" ht="13.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</row>
    <row r="214" ht="13.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</row>
    <row r="215" ht="13.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</row>
    <row r="216" ht="13.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</row>
    <row r="217" ht="13.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</row>
    <row r="218" ht="13.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</row>
    <row r="219" ht="13.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</row>
    <row r="220" ht="13.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</row>
    <row r="221" ht="13.5" customHeight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</row>
    <row r="222" ht="13.5" customHeight="1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</row>
    <row r="223" ht="13.5" customHeight="1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</row>
    <row r="224" ht="13.5" customHeight="1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</row>
    <row r="225" ht="13.5" customHeight="1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</row>
    <row r="226" ht="13.5" customHeight="1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</row>
    <row r="227" ht="13.5" customHeight="1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</row>
    <row r="228" ht="13.5" customHeight="1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</row>
    <row r="229" ht="13.5" customHeight="1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</row>
    <row r="230" ht="13.5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</row>
    <row r="231" ht="13.5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</row>
    <row r="232" ht="13.5" customHeigh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</row>
    <row r="233" ht="13.5" customHeigh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</row>
    <row r="234" ht="13.5" customHeigh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</row>
    <row r="235" ht="13.5" customHeigh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</row>
    <row r="236" ht="13.5" customHeight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</row>
    <row r="237" ht="13.5" customHeight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</row>
    <row r="238" ht="13.5" customHeight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</row>
    <row r="239" ht="13.5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A1:AI2"/>
    <mergeCell ref="A5:AI5"/>
    <mergeCell ref="B7:E7"/>
    <mergeCell ref="Q7:T7"/>
    <mergeCell ref="A10:H10"/>
    <mergeCell ref="P10:W10"/>
    <mergeCell ref="P14:W14"/>
    <mergeCell ref="A22:H22"/>
    <mergeCell ref="A26:H26"/>
    <mergeCell ref="A30:H30"/>
    <mergeCell ref="A34:H34"/>
    <mergeCell ref="A38:H38"/>
    <mergeCell ref="AE25:AI25"/>
    <mergeCell ref="AE26:AI26"/>
    <mergeCell ref="P30:W30"/>
    <mergeCell ref="P34:W34"/>
    <mergeCell ref="A14:H14"/>
    <mergeCell ref="A18:H18"/>
    <mergeCell ref="P18:W18"/>
    <mergeCell ref="AE21:AI21"/>
    <mergeCell ref="P22:W22"/>
    <mergeCell ref="AE22:AI22"/>
    <mergeCell ref="P26:W26"/>
  </mergeCells>
  <printOptions/>
  <pageMargins bottom="0.75" footer="0.0" header="0.0" left="0.25" right="0.25" top="0.75"/>
  <pageSetup paperSize="9" scale="6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3.63"/>
    <col customWidth="1" min="2" max="2" width="7.0"/>
    <col customWidth="1" hidden="1" min="3" max="3" width="6.13"/>
    <col customWidth="1" min="4" max="4" width="1.63"/>
    <col customWidth="1" min="5" max="5" width="7.0"/>
    <col customWidth="1" hidden="1" min="6" max="6" width="6.13"/>
    <col customWidth="1" min="7" max="7" width="1.63"/>
    <col customWidth="1" min="8" max="8" width="7.0"/>
    <col customWidth="1" hidden="1" min="9" max="9" width="6.13"/>
    <col customWidth="1" hidden="1" min="10" max="10" width="7.63"/>
    <col customWidth="1" hidden="1" min="11" max="11" width="7.38"/>
    <col customWidth="1" hidden="1" min="12" max="12" width="11.38"/>
    <col customWidth="1" hidden="1" min="13" max="13" width="8.0"/>
    <col customWidth="1" hidden="1" min="14" max="14" width="6.13"/>
    <col customWidth="1" min="15" max="15" width="5.5"/>
    <col customWidth="1" min="16" max="16" width="43.88"/>
    <col customWidth="1" min="17" max="17" width="7.0"/>
    <col customWidth="1" hidden="1" min="18" max="18" width="6.13"/>
    <col customWidth="1" min="19" max="19" width="1.63"/>
    <col customWidth="1" min="20" max="20" width="7.0"/>
    <col customWidth="1" hidden="1" min="21" max="21" width="6.13"/>
    <col customWidth="1" min="22" max="22" width="1.63"/>
    <col customWidth="1" min="23" max="23" width="7.0"/>
    <col customWidth="1" hidden="1" min="24" max="24" width="6.13"/>
    <col customWidth="1" hidden="1" min="25" max="25" width="7.63"/>
    <col customWidth="1" hidden="1" min="26" max="26" width="7.38"/>
    <col customWidth="1" hidden="1" min="27" max="27" width="11.38"/>
    <col customWidth="1" hidden="1" min="28" max="28" width="8.0"/>
    <col customWidth="1" hidden="1" min="29" max="29" width="6.13"/>
    <col customWidth="1" min="30" max="30" width="5.5"/>
    <col customWidth="1" min="31" max="31" width="37.0"/>
    <col customWidth="1" min="32" max="35" width="8.63"/>
    <col customWidth="1" hidden="1" min="36" max="36" width="9.38"/>
    <col customWidth="1" hidden="1" min="37" max="37" width="12.0"/>
    <col customWidth="1" hidden="1" min="38" max="38" width="8.0"/>
    <col customWidth="1" hidden="1" min="39" max="40" width="41.13"/>
  </cols>
  <sheetData>
    <row r="1" ht="21.0" customHeight="1">
      <c r="A1" s="1" t="s">
        <v>0</v>
      </c>
      <c r="AJ1" s="4"/>
      <c r="AK1" s="4"/>
      <c r="AL1" s="4"/>
      <c r="AM1" s="4"/>
      <c r="AN1" s="4"/>
    </row>
    <row r="2" ht="21.0" customHeight="1">
      <c r="AJ2" s="4"/>
      <c r="AK2" s="4"/>
      <c r="AL2" s="4"/>
      <c r="AM2" s="4"/>
      <c r="AN2" s="4"/>
    </row>
    <row r="3" ht="13.5" customHeight="1">
      <c r="A3" s="28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</row>
    <row r="4" ht="13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</row>
    <row r="5" ht="13.5" customHeight="1">
      <c r="A5" s="71" t="s">
        <v>27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1"/>
      <c r="AK5" s="31"/>
      <c r="AL5" s="31"/>
      <c r="AM5" s="31"/>
      <c r="AN5" s="31"/>
    </row>
    <row r="6" ht="13.5" customHeight="1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</row>
    <row r="7">
      <c r="A7" s="72" t="s">
        <v>92</v>
      </c>
      <c r="B7" s="73" t="s">
        <v>93</v>
      </c>
      <c r="C7" s="34"/>
      <c r="D7" s="34"/>
      <c r="E7" s="8"/>
      <c r="F7" s="74"/>
      <c r="G7" s="75"/>
      <c r="H7" s="72" t="s">
        <v>94</v>
      </c>
      <c r="I7" s="31"/>
      <c r="J7" s="31"/>
      <c r="K7" s="31"/>
      <c r="L7" s="31"/>
      <c r="M7" s="37"/>
      <c r="N7" s="37"/>
      <c r="O7" s="37"/>
      <c r="P7" s="72" t="s">
        <v>92</v>
      </c>
      <c r="Q7" s="73" t="s">
        <v>93</v>
      </c>
      <c r="R7" s="34"/>
      <c r="S7" s="34"/>
      <c r="T7" s="8"/>
      <c r="U7" s="74"/>
      <c r="V7" s="75"/>
      <c r="W7" s="72" t="s">
        <v>94</v>
      </c>
      <c r="X7" s="31"/>
      <c r="Y7" s="37"/>
      <c r="Z7" s="37"/>
      <c r="AA7" s="37"/>
      <c r="AB7" s="37"/>
      <c r="AC7" s="37"/>
      <c r="AD7" s="37"/>
      <c r="AE7" s="72" t="s">
        <v>95</v>
      </c>
      <c r="AF7" s="76" t="s">
        <v>96</v>
      </c>
      <c r="AG7" s="76" t="s">
        <v>97</v>
      </c>
      <c r="AH7" s="76" t="s">
        <v>98</v>
      </c>
      <c r="AI7" s="76" t="s">
        <v>99</v>
      </c>
      <c r="AJ7" s="37"/>
      <c r="AK7" s="37"/>
      <c r="AL7" s="37"/>
      <c r="AM7" s="31"/>
      <c r="AN7" s="31"/>
    </row>
    <row r="8" hidden="1">
      <c r="A8" s="31"/>
      <c r="B8" s="39" t="s">
        <v>100</v>
      </c>
      <c r="C8" s="39" t="s">
        <v>101</v>
      </c>
      <c r="D8" s="39"/>
      <c r="E8" s="39" t="s">
        <v>100</v>
      </c>
      <c r="F8" s="39" t="s">
        <v>102</v>
      </c>
      <c r="G8" s="39"/>
      <c r="H8" s="39" t="s">
        <v>100</v>
      </c>
      <c r="I8" s="39" t="s">
        <v>103</v>
      </c>
      <c r="J8" s="39" t="s">
        <v>104</v>
      </c>
      <c r="K8" s="39" t="s">
        <v>105</v>
      </c>
      <c r="L8" s="39" t="s">
        <v>106</v>
      </c>
      <c r="M8" s="39" t="s">
        <v>107</v>
      </c>
      <c r="N8" s="39" t="s">
        <v>108</v>
      </c>
      <c r="O8" s="31"/>
      <c r="P8" s="31"/>
      <c r="Q8" s="39" t="s">
        <v>100</v>
      </c>
      <c r="R8" s="39" t="s">
        <v>101</v>
      </c>
      <c r="S8" s="39"/>
      <c r="T8" s="39" t="s">
        <v>100</v>
      </c>
      <c r="U8" s="39" t="s">
        <v>102</v>
      </c>
      <c r="V8" s="39"/>
      <c r="W8" s="39" t="s">
        <v>100</v>
      </c>
      <c r="X8" s="39" t="s">
        <v>103</v>
      </c>
      <c r="Y8" s="39" t="s">
        <v>104</v>
      </c>
      <c r="Z8" s="39" t="s">
        <v>105</v>
      </c>
      <c r="AA8" s="39" t="s">
        <v>106</v>
      </c>
      <c r="AB8" s="39" t="s">
        <v>107</v>
      </c>
      <c r="AC8" s="39" t="s">
        <v>108</v>
      </c>
      <c r="AD8" s="31"/>
      <c r="AE8" s="37"/>
      <c r="AF8" s="37"/>
      <c r="AG8" s="37"/>
      <c r="AH8" s="37"/>
      <c r="AI8" s="37"/>
      <c r="AJ8" s="39" t="s">
        <v>109</v>
      </c>
      <c r="AK8" s="39" t="s">
        <v>110</v>
      </c>
      <c r="AL8" s="40" t="s">
        <v>111</v>
      </c>
      <c r="AM8" s="41" t="s">
        <v>112</v>
      </c>
      <c r="AN8" s="41" t="s">
        <v>113</v>
      </c>
    </row>
    <row r="9" ht="13.5" customHeight="1">
      <c r="A9" s="42" t="str">
        <f>AE9</f>
        <v>Ivan Farrugia / Stephanie Farrugia</v>
      </c>
      <c r="B9" s="43">
        <v>3.0</v>
      </c>
      <c r="C9" s="44">
        <f>IF(B9&gt;B11,1,0)</f>
        <v>0</v>
      </c>
      <c r="D9" s="45"/>
      <c r="E9" s="43">
        <v>6.0</v>
      </c>
      <c r="F9" s="44">
        <f>IF(E9&gt;E11,1,0)</f>
        <v>1</v>
      </c>
      <c r="G9" s="45"/>
      <c r="H9" s="43">
        <v>10.0</v>
      </c>
      <c r="I9" s="31">
        <f>IF(H9&gt;H11,1,0)</f>
        <v>1</v>
      </c>
      <c r="J9" s="31">
        <f>IF(B9="",0,1)</f>
        <v>1</v>
      </c>
      <c r="K9" s="31">
        <f>IF(C9+F9=2,3,IF(C9+F9=1,1,0))</f>
        <v>1</v>
      </c>
      <c r="L9" s="31">
        <f>IF(K9=3,3,IF(I9+K9=2,2,IF(K9=1,1,0)))</f>
        <v>2</v>
      </c>
      <c r="M9" s="31">
        <f>B9+E9</f>
        <v>9</v>
      </c>
      <c r="N9" s="31">
        <f>C9+F9+I9</f>
        <v>2</v>
      </c>
      <c r="O9" s="31"/>
      <c r="P9" s="42" t="str">
        <f>AE9</f>
        <v>Ivan Farrugia / Stephanie Farrugia</v>
      </c>
      <c r="Q9" s="43">
        <v>6.0</v>
      </c>
      <c r="R9" s="44">
        <f>IF(Q9&gt;Q11,1,0)</f>
        <v>0</v>
      </c>
      <c r="S9" s="45"/>
      <c r="T9" s="43">
        <v>1.0</v>
      </c>
      <c r="U9" s="44">
        <f>IF(T9&gt;T11,1,0)</f>
        <v>0</v>
      </c>
      <c r="V9" s="45"/>
      <c r="W9" s="46"/>
      <c r="X9" s="31">
        <f>IF(W9&gt;W11,1,0)</f>
        <v>0</v>
      </c>
      <c r="Y9" s="31">
        <f>IF(Q9="",0,1)</f>
        <v>1</v>
      </c>
      <c r="Z9" s="31">
        <f>IF(R9+U9=2,3,IF(R9+U9=1,1,0))</f>
        <v>0</v>
      </c>
      <c r="AA9" s="31">
        <f>IF(Z9=3,3,IF(X9+Z9=2,2,IF(Z9=1,1,0)))</f>
        <v>0</v>
      </c>
      <c r="AB9" s="31">
        <f>Q9+T9</f>
        <v>7</v>
      </c>
      <c r="AC9" s="31">
        <f>R9+U9+X9</f>
        <v>0</v>
      </c>
      <c r="AD9" s="31"/>
      <c r="AE9" s="77" t="str">
        <f>Players!B22&amp; " / " &amp;Players!C22</f>
        <v>Ivan Farrugia / Stephanie Farrugia</v>
      </c>
      <c r="AF9" s="48">
        <f>J9+Y9+J13+Y13+Y25</f>
        <v>5</v>
      </c>
      <c r="AG9" s="48">
        <f t="shared" ref="AG9:AI9" si="1">L9+AA9+L13+AA13+AA25</f>
        <v>5</v>
      </c>
      <c r="AH9" s="48">
        <f t="shared" si="1"/>
        <v>41</v>
      </c>
      <c r="AI9" s="49">
        <f t="shared" si="1"/>
        <v>5</v>
      </c>
      <c r="AJ9" s="31">
        <f>MAX(AG9:AG17)</f>
        <v>12</v>
      </c>
      <c r="AK9" s="31">
        <f>LARGE(AG9:AG17, 2)</f>
        <v>8</v>
      </c>
      <c r="AL9" s="31">
        <f>SUM(AF9:AF17)</f>
        <v>25</v>
      </c>
      <c r="AM9" s="31" t="str">
        <f>IF(AG9=$AJ$9,AE9,IF(AG11=$AJ$9,AE11,IF(AG13=$AJ$9,AE13,IF(AG15=$AJ$9,AE15,IF(AG17=$AJ$9,AE17,"")))))</f>
        <v>Cyril Lastimosa / Jin Attard</v>
      </c>
      <c r="AN9" s="31" t="str">
        <f>IF(AG9=$AK$9,AE9,IF(AG11=$AK$9,AE11,IF(AG13=$AK$9,AE13,IF(AG15=$AK$9,AE15,IF(AG17=$AK$9,AE17,"")))))</f>
        <v>Javier Viloria / Andrea Magaldi</v>
      </c>
    </row>
    <row r="10" ht="13.5" customHeight="1">
      <c r="A10" s="50" t="s">
        <v>114</v>
      </c>
      <c r="H10" s="51"/>
      <c r="I10" s="52"/>
      <c r="J10" s="31"/>
      <c r="K10" s="31"/>
      <c r="L10" s="31"/>
      <c r="M10" s="31"/>
      <c r="N10" s="31"/>
      <c r="O10" s="31"/>
      <c r="P10" s="50" t="s">
        <v>114</v>
      </c>
      <c r="W10" s="51"/>
      <c r="X10" s="52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7"/>
      <c r="AL10" s="37"/>
      <c r="AM10" s="31"/>
      <c r="AN10" s="31"/>
    </row>
    <row r="11" ht="13.5" customHeight="1">
      <c r="A11" s="53" t="str">
        <f>AE11</f>
        <v>Willem Steenkamer / Mariska Steenkamer</v>
      </c>
      <c r="B11" s="43">
        <v>6.0</v>
      </c>
      <c r="C11" s="54">
        <f>IF(B11&gt;B9,1,0)</f>
        <v>1</v>
      </c>
      <c r="D11" s="55"/>
      <c r="E11" s="43">
        <v>1.0</v>
      </c>
      <c r="F11" s="54">
        <f>IF(E11&gt;E9,1,0)</f>
        <v>0</v>
      </c>
      <c r="G11" s="55"/>
      <c r="H11" s="43">
        <v>6.0</v>
      </c>
      <c r="I11" s="31">
        <f>IF(H11&gt;H9,1,0)</f>
        <v>0</v>
      </c>
      <c r="J11" s="31">
        <f>IF(B11="",0,1)</f>
        <v>1</v>
      </c>
      <c r="K11" s="31">
        <f>IF(C11+F11=2,3,IF(C11+F11=1,1,0))</f>
        <v>1</v>
      </c>
      <c r="L11" s="31">
        <f>IF(K11=3,3,IF(I11+K11=2,2,IF(K11=1,1,0)))</f>
        <v>1</v>
      </c>
      <c r="M11" s="31">
        <f>B11+E11</f>
        <v>7</v>
      </c>
      <c r="N11" s="31">
        <f>C11+F11+I11</f>
        <v>1</v>
      </c>
      <c r="O11" s="31"/>
      <c r="P11" s="53" t="str">
        <f>AE13</f>
        <v>Cyril Lastimosa / Jin Attard</v>
      </c>
      <c r="Q11" s="43">
        <v>7.0</v>
      </c>
      <c r="R11" s="54">
        <f>IF(Q11&gt;Q9,1,0)</f>
        <v>1</v>
      </c>
      <c r="S11" s="55"/>
      <c r="T11" s="43">
        <v>6.0</v>
      </c>
      <c r="U11" s="54">
        <f>IF(T11&gt;T9,1,0)</f>
        <v>1</v>
      </c>
      <c r="V11" s="55"/>
      <c r="W11" s="46"/>
      <c r="X11" s="31">
        <f>IF(W11&gt;W9,1,0)</f>
        <v>0</v>
      </c>
      <c r="Y11" s="31">
        <f>IF(Q11="",0,1)</f>
        <v>1</v>
      </c>
      <c r="Z11" s="31">
        <f>IF(R11+U11=2,3,IF(R11+U11=1,1,0))</f>
        <v>3</v>
      </c>
      <c r="AA11" s="31">
        <f>IF(Z11=3,3,IF(X11+Z11=2,2,IF(Z11=1,1,0)))</f>
        <v>3</v>
      </c>
      <c r="AB11" s="31">
        <f>Q11+T11</f>
        <v>13</v>
      </c>
      <c r="AC11" s="31">
        <f>R11+U11+X11</f>
        <v>2</v>
      </c>
      <c r="AD11" s="31"/>
      <c r="AE11" s="77" t="str">
        <f>Players!B23&amp; " / " &amp;Players!C23</f>
        <v>Willem Steenkamer / Mariska Steenkamer</v>
      </c>
      <c r="AF11" s="48">
        <f>J11+J21+Y17+J17+Y29</f>
        <v>5</v>
      </c>
      <c r="AG11" s="48">
        <f t="shared" ref="AG11:AI11" si="2">L11+L21+AA17+L17+AA29</f>
        <v>5</v>
      </c>
      <c r="AH11" s="48">
        <f t="shared" si="2"/>
        <v>37</v>
      </c>
      <c r="AI11" s="49">
        <f t="shared" si="2"/>
        <v>4</v>
      </c>
      <c r="AJ11" s="37"/>
      <c r="AK11" s="37"/>
      <c r="AL11" s="37"/>
      <c r="AM11" s="31"/>
      <c r="AN11" s="31"/>
    </row>
    <row r="12" ht="13.5" customHeight="1">
      <c r="A12" s="31"/>
      <c r="B12" s="31"/>
      <c r="C12" s="31"/>
      <c r="D12" s="31"/>
      <c r="E12" s="31"/>
      <c r="F12" s="31"/>
      <c r="G12" s="31"/>
      <c r="H12" s="54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54"/>
      <c r="X12" s="31"/>
      <c r="Y12" s="31"/>
      <c r="Z12" s="31"/>
      <c r="AA12" s="31"/>
      <c r="AB12" s="31"/>
      <c r="AC12" s="31"/>
      <c r="AD12" s="31"/>
      <c r="AE12" s="31"/>
      <c r="AF12" s="37"/>
      <c r="AG12" s="37"/>
      <c r="AH12" s="37"/>
      <c r="AI12" s="37"/>
      <c r="AJ12" s="37"/>
      <c r="AK12" s="37"/>
      <c r="AL12" s="37"/>
      <c r="AM12" s="31"/>
      <c r="AN12" s="31"/>
    </row>
    <row r="13" ht="13.5" customHeight="1">
      <c r="A13" s="42" t="str">
        <f>AE9</f>
        <v>Ivan Farrugia / Stephanie Farrugia</v>
      </c>
      <c r="B13" s="43">
        <v>3.0</v>
      </c>
      <c r="C13" s="44">
        <f>IF(B13&gt;B15,1,0)</f>
        <v>0</v>
      </c>
      <c r="D13" s="45"/>
      <c r="E13" s="43">
        <v>6.0</v>
      </c>
      <c r="F13" s="44">
        <f>IF(E13&gt;E15,1,0)</f>
        <v>1</v>
      </c>
      <c r="G13" s="45"/>
      <c r="H13" s="43">
        <v>6.0</v>
      </c>
      <c r="I13" s="31">
        <f>IF(H13&gt;H15,1,0)</f>
        <v>0</v>
      </c>
      <c r="J13" s="31">
        <f>IF(B13="",0,1)</f>
        <v>1</v>
      </c>
      <c r="K13" s="31">
        <f>IF(C13+F13=2,3,IF(C13+F13=1,1,0))</f>
        <v>1</v>
      </c>
      <c r="L13" s="31">
        <f>IF(K13=3,3,IF(I13+K13=2,2,IF(K13=1,1,0)))</f>
        <v>1</v>
      </c>
      <c r="M13" s="31">
        <f>B13+E13</f>
        <v>9</v>
      </c>
      <c r="N13" s="31">
        <f>C13+F13+I13</f>
        <v>1</v>
      </c>
      <c r="O13" s="31"/>
      <c r="P13" s="42" t="str">
        <f>AE9</f>
        <v>Ivan Farrugia / Stephanie Farrugia</v>
      </c>
      <c r="Q13" s="43">
        <v>5.0</v>
      </c>
      <c r="R13" s="44">
        <f>IF(Q13&gt;Q15,1,0)</f>
        <v>0</v>
      </c>
      <c r="S13" s="45"/>
      <c r="T13" s="43">
        <v>6.0</v>
      </c>
      <c r="U13" s="44">
        <f>IF(T13&gt;T15,1,0)</f>
        <v>1</v>
      </c>
      <c r="V13" s="45"/>
      <c r="W13" s="43">
        <v>10.0</v>
      </c>
      <c r="X13" s="31">
        <f>IF(W13&gt;W15,1,0)</f>
        <v>1</v>
      </c>
      <c r="Y13" s="31">
        <f>IF(Q13="",0,1)</f>
        <v>1</v>
      </c>
      <c r="Z13" s="31">
        <f>IF(R13+U13=2,3,IF(R13+U13=1,1,0))</f>
        <v>1</v>
      </c>
      <c r="AA13" s="31">
        <f>IF(Z13=3,3,IF(X13+Z13=2,2,IF(Z13=1,1,0)))</f>
        <v>2</v>
      </c>
      <c r="AB13" s="31">
        <f>Q13+T13</f>
        <v>11</v>
      </c>
      <c r="AC13" s="31">
        <f>R13+U13+X13</f>
        <v>2</v>
      </c>
      <c r="AD13" s="31"/>
      <c r="AE13" s="77" t="str">
        <f>Players!B24&amp; " / " &amp;Players!C24</f>
        <v>Cyril Lastimosa / Jin Attard</v>
      </c>
      <c r="AF13" s="48">
        <f t="shared" ref="AF13:AG13" si="3">Y21+Y11+J25+J19+Y33</f>
        <v>5</v>
      </c>
      <c r="AG13" s="48">
        <f t="shared" si="3"/>
        <v>12</v>
      </c>
      <c r="AH13" s="48">
        <f t="shared" ref="AH13:AI13" si="4">AB21+AB11+M25+M19+AB33</f>
        <v>53</v>
      </c>
      <c r="AI13" s="49">
        <f t="shared" si="4"/>
        <v>8</v>
      </c>
      <c r="AJ13" s="37"/>
      <c r="AK13" s="37"/>
      <c r="AL13" s="37"/>
      <c r="AM13" s="31"/>
      <c r="AN13" s="31"/>
    </row>
    <row r="14" ht="13.5" customHeight="1">
      <c r="A14" s="50" t="s">
        <v>114</v>
      </c>
      <c r="H14" s="51"/>
      <c r="I14" s="52"/>
      <c r="J14" s="31"/>
      <c r="K14" s="31"/>
      <c r="L14" s="31"/>
      <c r="M14" s="31"/>
      <c r="N14" s="31"/>
      <c r="O14" s="31"/>
      <c r="P14" s="50" t="s">
        <v>114</v>
      </c>
      <c r="W14" s="51"/>
      <c r="X14" s="52"/>
      <c r="Y14" s="31"/>
      <c r="Z14" s="31"/>
      <c r="AA14" s="31"/>
      <c r="AB14" s="31"/>
      <c r="AC14" s="31"/>
      <c r="AD14" s="31"/>
      <c r="AE14" s="31"/>
      <c r="AF14" s="37"/>
      <c r="AG14" s="37"/>
      <c r="AH14" s="37"/>
      <c r="AI14" s="37"/>
      <c r="AJ14" s="37"/>
      <c r="AK14" s="37"/>
      <c r="AL14" s="37"/>
      <c r="AM14" s="31"/>
      <c r="AN14" s="31"/>
    </row>
    <row r="15" ht="13.5" customHeight="1">
      <c r="A15" s="53" t="str">
        <f>AE15</f>
        <v>Javier Viloria / Andrea Magaldi</v>
      </c>
      <c r="B15" s="43">
        <v>6.0</v>
      </c>
      <c r="C15" s="54">
        <f>IF(B15&gt;B13,1,0)</f>
        <v>1</v>
      </c>
      <c r="D15" s="55"/>
      <c r="E15" s="43">
        <v>2.0</v>
      </c>
      <c r="F15" s="54">
        <f>IF(E15&gt;E13,1,0)</f>
        <v>0</v>
      </c>
      <c r="G15" s="55"/>
      <c r="H15" s="43">
        <v>10.0</v>
      </c>
      <c r="I15" s="31">
        <f>IF(H15&gt;H13,1,0)</f>
        <v>1</v>
      </c>
      <c r="J15" s="31">
        <f>IF(B15="",0,1)</f>
        <v>1</v>
      </c>
      <c r="K15" s="31">
        <f>IF(C15+F15=2,3,IF(C15+F15=1,1,0))</f>
        <v>1</v>
      </c>
      <c r="L15" s="31">
        <f>IF(K15=3,3,IF(I15+K15=2,2,IF(K15=1,1,0)))</f>
        <v>2</v>
      </c>
      <c r="M15" s="31">
        <f>B15+E15</f>
        <v>8</v>
      </c>
      <c r="N15" s="31">
        <f>C15+F15+I15</f>
        <v>2</v>
      </c>
      <c r="O15" s="31"/>
      <c r="P15" s="53" t="str">
        <f>AE17</f>
        <v>Mavric Sawyer / Deborah Farruiga</v>
      </c>
      <c r="Q15" s="43">
        <v>7.0</v>
      </c>
      <c r="R15" s="54">
        <f>IF(Q15&gt;Q13,1,0)</f>
        <v>1</v>
      </c>
      <c r="S15" s="55"/>
      <c r="T15" s="43">
        <v>1.0</v>
      </c>
      <c r="U15" s="54">
        <f>IF(T15&gt;T13,1,0)</f>
        <v>0</v>
      </c>
      <c r="V15" s="55"/>
      <c r="W15" s="43">
        <v>6.0</v>
      </c>
      <c r="X15" s="31">
        <f>IF(W15&gt;W13,1,0)</f>
        <v>0</v>
      </c>
      <c r="Y15" s="31">
        <f>IF(Q15="",0,1)</f>
        <v>1</v>
      </c>
      <c r="Z15" s="31">
        <f>IF(R15+U15=2,3,IF(R15+U15=1,1,0))</f>
        <v>1</v>
      </c>
      <c r="AA15" s="31">
        <f>IF(Z15=3,3,IF(X15+Z15=2,2,IF(Z15=1,1,0)))</f>
        <v>1</v>
      </c>
      <c r="AB15" s="31">
        <f>Q15+T15</f>
        <v>8</v>
      </c>
      <c r="AC15" s="31">
        <f>R15+U15+X15</f>
        <v>1</v>
      </c>
      <c r="AD15" s="31"/>
      <c r="AE15" s="77" t="str">
        <f>Players!B25&amp; " / " &amp;Players!C25</f>
        <v>Javier Viloria / Andrea Magaldi</v>
      </c>
      <c r="AF15" s="48">
        <f>Y23+J29+J15+Y19+J33</f>
        <v>5</v>
      </c>
      <c r="AG15" s="48">
        <f t="shared" ref="AG15:AI15" si="5">AA23+L29+L15+AA19+L33</f>
        <v>8</v>
      </c>
      <c r="AH15" s="48">
        <f t="shared" si="5"/>
        <v>43</v>
      </c>
      <c r="AI15" s="49">
        <f t="shared" si="5"/>
        <v>7</v>
      </c>
      <c r="AJ15" s="37"/>
      <c r="AK15" s="37"/>
      <c r="AL15" s="37"/>
      <c r="AM15" s="31"/>
      <c r="AN15" s="31"/>
    </row>
    <row r="16" ht="13.5" customHeight="1">
      <c r="A16" s="31"/>
      <c r="B16" s="37"/>
      <c r="C16" s="31"/>
      <c r="D16" s="31"/>
      <c r="E16" s="31"/>
      <c r="F16" s="31"/>
      <c r="G16" s="31"/>
      <c r="H16" s="54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54"/>
      <c r="X16" s="31"/>
      <c r="Y16" s="31"/>
      <c r="Z16" s="31"/>
      <c r="AA16" s="31"/>
      <c r="AB16" s="31"/>
      <c r="AC16" s="31"/>
      <c r="AD16" s="31"/>
      <c r="AE16" s="31"/>
      <c r="AF16" s="37"/>
      <c r="AG16" s="37"/>
      <c r="AH16" s="37"/>
      <c r="AI16" s="37"/>
      <c r="AJ16" s="37"/>
      <c r="AK16" s="37"/>
      <c r="AL16" s="37"/>
      <c r="AM16" s="31"/>
      <c r="AN16" s="31"/>
    </row>
    <row r="17" ht="13.5" customHeight="1">
      <c r="A17" s="42" t="str">
        <f>AE11</f>
        <v>Willem Steenkamer / Mariska Steenkamer</v>
      </c>
      <c r="B17" s="43">
        <v>0.0</v>
      </c>
      <c r="C17" s="44">
        <f>IF(B17&gt;B19,1,0)</f>
        <v>0</v>
      </c>
      <c r="D17" s="45"/>
      <c r="E17" s="43">
        <v>4.0</v>
      </c>
      <c r="F17" s="44">
        <f>IF(E17&gt;E19,1,0)</f>
        <v>0</v>
      </c>
      <c r="G17" s="45"/>
      <c r="H17" s="46"/>
      <c r="I17" s="31">
        <f>IF(H17&gt;H19,1,0)</f>
        <v>0</v>
      </c>
      <c r="J17" s="31">
        <f>IF(B17="",0,1)</f>
        <v>1</v>
      </c>
      <c r="K17" s="31">
        <f>IF(C17+F17=2,3,IF(C17+F17=1,1,0))</f>
        <v>0</v>
      </c>
      <c r="L17" s="31">
        <f>IF(K17=3,3,IF(I17+K17=2,2,IF(K17=1,1,0)))</f>
        <v>0</v>
      </c>
      <c r="M17" s="31">
        <f>B17+E17</f>
        <v>4</v>
      </c>
      <c r="N17" s="31">
        <f>C17+F17+I17</f>
        <v>0</v>
      </c>
      <c r="O17" s="31"/>
      <c r="P17" s="42" t="str">
        <f>AE11</f>
        <v>Willem Steenkamer / Mariska Steenkamer</v>
      </c>
      <c r="Q17" s="43">
        <v>1.0</v>
      </c>
      <c r="R17" s="44">
        <f>IF(Q17&gt;Q19,1,0)</f>
        <v>0</v>
      </c>
      <c r="S17" s="45"/>
      <c r="T17" s="43">
        <v>6.0</v>
      </c>
      <c r="U17" s="44">
        <f>IF(T17&gt;T19,1,0)</f>
        <v>1</v>
      </c>
      <c r="V17" s="45"/>
      <c r="W17" s="43">
        <v>7.0</v>
      </c>
      <c r="X17" s="31">
        <f>IF(W17&gt;W19,1,0)</f>
        <v>0</v>
      </c>
      <c r="Y17" s="31">
        <f>IF(Q17="",0,1)</f>
        <v>1</v>
      </c>
      <c r="Z17" s="31">
        <f>IF(R17+U17=2,3,IF(R17+U17=1,1,0))</f>
        <v>1</v>
      </c>
      <c r="AA17" s="31">
        <f>IF(Z17=3,3,IF(X17+Z17=2,2,IF(Z17=1,1,0)))</f>
        <v>1</v>
      </c>
      <c r="AB17" s="31">
        <f>Q17+T17</f>
        <v>7</v>
      </c>
      <c r="AC17" s="31">
        <f>R17+U17+X17</f>
        <v>1</v>
      </c>
      <c r="AD17" s="31"/>
      <c r="AE17" s="77" t="str">
        <f>Players!B26&amp; " / " &amp;Players!C26</f>
        <v>Mavric Sawyer / Deborah Farruiga</v>
      </c>
      <c r="AF17" s="48">
        <f>J31+J23+Y15+J27+J37</f>
        <v>5</v>
      </c>
      <c r="AG17" s="48">
        <f t="shared" ref="AG17:AI17" si="6">L31+L23+AA15+L27+L37</f>
        <v>1</v>
      </c>
      <c r="AH17" s="48">
        <f t="shared" si="6"/>
        <v>26</v>
      </c>
      <c r="AI17" s="49">
        <f t="shared" si="6"/>
        <v>1</v>
      </c>
      <c r="AJ17" s="37"/>
      <c r="AK17" s="37"/>
      <c r="AL17" s="37"/>
      <c r="AM17" s="31"/>
      <c r="AN17" s="31"/>
    </row>
    <row r="18" ht="13.5" customHeight="1">
      <c r="A18" s="50" t="s">
        <v>114</v>
      </c>
      <c r="H18" s="51"/>
      <c r="I18" s="52"/>
      <c r="J18" s="31"/>
      <c r="K18" s="31"/>
      <c r="L18" s="31"/>
      <c r="M18" s="31"/>
      <c r="N18" s="31"/>
      <c r="O18" s="31"/>
      <c r="P18" s="50" t="s">
        <v>114</v>
      </c>
      <c r="W18" s="51"/>
      <c r="X18" s="52"/>
      <c r="Y18" s="31"/>
      <c r="Z18" s="31"/>
      <c r="AA18" s="31"/>
      <c r="AB18" s="31"/>
      <c r="AC18" s="31"/>
      <c r="AD18" s="31"/>
      <c r="AE18" s="31"/>
      <c r="AF18" s="37"/>
      <c r="AG18" s="37"/>
      <c r="AH18" s="37"/>
      <c r="AI18" s="37"/>
      <c r="AJ18" s="37"/>
      <c r="AK18" s="37"/>
      <c r="AL18" s="37"/>
      <c r="AM18" s="31"/>
      <c r="AN18" s="31"/>
    </row>
    <row r="19" ht="13.5" customHeight="1">
      <c r="A19" s="53" t="str">
        <f>AE13</f>
        <v>Cyril Lastimosa / Jin Attard</v>
      </c>
      <c r="B19" s="43">
        <v>6.0</v>
      </c>
      <c r="C19" s="54">
        <f>IF(B19&gt;B17,1,0)</f>
        <v>1</v>
      </c>
      <c r="D19" s="55"/>
      <c r="E19" s="43">
        <v>6.0</v>
      </c>
      <c r="F19" s="54">
        <f>IF(E19&gt;E17,1,0)</f>
        <v>1</v>
      </c>
      <c r="G19" s="55"/>
      <c r="H19" s="46"/>
      <c r="I19" s="31">
        <f>IF(H19&gt;H17,1,0)</f>
        <v>0</v>
      </c>
      <c r="J19" s="31">
        <f>IF(B19="",0,1)</f>
        <v>1</v>
      </c>
      <c r="K19" s="31">
        <f>IF(C19+F19=2,3,IF(C19+F19=1,1,0))</f>
        <v>3</v>
      </c>
      <c r="L19" s="31">
        <f>IF(K19=3,3,IF(I19+K19=2,2,IF(K19=1,1,0)))</f>
        <v>3</v>
      </c>
      <c r="M19" s="31">
        <f>B19+E19</f>
        <v>12</v>
      </c>
      <c r="N19" s="31">
        <f>C19+F19+I19</f>
        <v>2</v>
      </c>
      <c r="O19" s="31"/>
      <c r="P19" s="53" t="str">
        <f>AE15</f>
        <v>Javier Viloria / Andrea Magaldi</v>
      </c>
      <c r="Q19" s="43">
        <v>6.0</v>
      </c>
      <c r="R19" s="54">
        <f>IF(Q19&gt;Q17,1,0)</f>
        <v>1</v>
      </c>
      <c r="S19" s="55"/>
      <c r="T19" s="43">
        <v>2.0</v>
      </c>
      <c r="U19" s="54">
        <f>IF(T19&gt;T17,1,0)</f>
        <v>0</v>
      </c>
      <c r="V19" s="55"/>
      <c r="W19" s="43">
        <v>10.0</v>
      </c>
      <c r="X19" s="31">
        <f>IF(W19&gt;W17,1,0)</f>
        <v>1</v>
      </c>
      <c r="Y19" s="31">
        <f>IF(Q19="",0,1)</f>
        <v>1</v>
      </c>
      <c r="Z19" s="31">
        <f>IF(R19+U19=2,3,IF(R19+U19=1,1,0))</f>
        <v>1</v>
      </c>
      <c r="AA19" s="31">
        <f>IF(Z19=3,3,IF(X19+Z19=2,2,IF(Z19=1,1,0)))</f>
        <v>2</v>
      </c>
      <c r="AB19" s="31">
        <f>Q19+T19</f>
        <v>8</v>
      </c>
      <c r="AC19" s="31">
        <f>R19+U19+X19</f>
        <v>2</v>
      </c>
      <c r="AD19" s="31"/>
      <c r="AE19" s="77" t="str">
        <f>Players!B27&amp; " / " &amp;Players!C27</f>
        <v>Trevor Rutter / Karolina Papiernak</v>
      </c>
      <c r="AF19" s="48">
        <f>J35+J39+Y27+Y31+Y35</f>
        <v>5</v>
      </c>
      <c r="AG19" s="48">
        <f t="shared" ref="AG19:AI19" si="7">L35+L39+AA27+AA31+AA35</f>
        <v>14</v>
      </c>
      <c r="AH19" s="48">
        <f t="shared" si="7"/>
        <v>59</v>
      </c>
      <c r="AI19" s="49">
        <f t="shared" si="7"/>
        <v>10</v>
      </c>
      <c r="AJ19" s="31"/>
      <c r="AK19" s="37"/>
      <c r="AL19" s="37"/>
      <c r="AM19" s="31"/>
      <c r="AN19" s="31"/>
    </row>
    <row r="20" ht="13.5" customHeight="1">
      <c r="A20" s="31"/>
      <c r="B20" s="31"/>
      <c r="C20" s="31"/>
      <c r="D20" s="31"/>
      <c r="E20" s="31"/>
      <c r="F20" s="31"/>
      <c r="G20" s="31"/>
      <c r="H20" s="54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54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7"/>
      <c r="AL20" s="31"/>
      <c r="AM20" s="31"/>
      <c r="AN20" s="31"/>
    </row>
    <row r="21" ht="13.5" customHeight="1">
      <c r="A21" s="42" t="str">
        <f>AE11</f>
        <v>Willem Steenkamer / Mariska Steenkamer</v>
      </c>
      <c r="B21" s="43">
        <v>6.0</v>
      </c>
      <c r="C21" s="44">
        <f>IF(B21&gt;B23,1,0)</f>
        <v>1</v>
      </c>
      <c r="D21" s="45"/>
      <c r="E21" s="43">
        <v>7.0</v>
      </c>
      <c r="F21" s="44">
        <f>IF(E21&gt;E23,1,0)</f>
        <v>1</v>
      </c>
      <c r="G21" s="45"/>
      <c r="H21" s="46"/>
      <c r="I21" s="31">
        <f>IF(H21&gt;H23,1,0)</f>
        <v>0</v>
      </c>
      <c r="J21" s="31">
        <f>IF(B21="",0,1)</f>
        <v>1</v>
      </c>
      <c r="K21" s="31">
        <f>IF(C21+F21=2,3,IF(C21+F21=1,1,0))</f>
        <v>3</v>
      </c>
      <c r="L21" s="31">
        <f>IF(K21=3,3,IF(I21+K21=2,2,IF(K21=1,1,0)))</f>
        <v>3</v>
      </c>
      <c r="M21" s="31">
        <f>B21+E21</f>
        <v>13</v>
      </c>
      <c r="N21" s="31">
        <f>C21+F21+I21</f>
        <v>2</v>
      </c>
      <c r="O21" s="31"/>
      <c r="P21" s="42" t="str">
        <f>AE13</f>
        <v>Cyril Lastimosa / Jin Attard</v>
      </c>
      <c r="Q21" s="43">
        <v>6.0</v>
      </c>
      <c r="R21" s="44">
        <f>IF(Q21&gt;Q23,1,0)</f>
        <v>1</v>
      </c>
      <c r="S21" s="45"/>
      <c r="T21" s="43">
        <v>6.0</v>
      </c>
      <c r="U21" s="44">
        <f>IF(T21&gt;T23,1,0)</f>
        <v>1</v>
      </c>
      <c r="V21" s="45"/>
      <c r="W21" s="46"/>
      <c r="X21" s="31">
        <f>IF(W21&gt;W23,1,0)</f>
        <v>0</v>
      </c>
      <c r="Y21" s="31">
        <f>IF(Q21="",0,1)</f>
        <v>1</v>
      </c>
      <c r="Z21" s="31">
        <f>IF(R21+U21=2,3,IF(R21+U21=1,1,0))</f>
        <v>3</v>
      </c>
      <c r="AA21" s="31">
        <f>IF(Z21=3,3,IF(X21+Z21=2,2,IF(Z21=1,1,0)))</f>
        <v>3</v>
      </c>
      <c r="AB21" s="31">
        <f>Q21+T21</f>
        <v>12</v>
      </c>
      <c r="AC21" s="31">
        <f>R21+U21+X21</f>
        <v>2</v>
      </c>
      <c r="AD21" s="31"/>
      <c r="AE21" s="73" t="s">
        <v>115</v>
      </c>
      <c r="AF21" s="34"/>
      <c r="AG21" s="34"/>
      <c r="AH21" s="34"/>
      <c r="AI21" s="8"/>
      <c r="AJ21" s="31"/>
      <c r="AK21" s="31"/>
      <c r="AL21" s="31"/>
      <c r="AM21" s="31"/>
      <c r="AN21" s="31"/>
    </row>
    <row r="22" ht="13.5" customHeight="1">
      <c r="A22" s="50" t="s">
        <v>114</v>
      </c>
      <c r="H22" s="51"/>
      <c r="I22" s="52"/>
      <c r="J22" s="31"/>
      <c r="K22" s="31"/>
      <c r="L22" s="31"/>
      <c r="M22" s="31"/>
      <c r="N22" s="31"/>
      <c r="O22" s="31"/>
      <c r="P22" s="50" t="s">
        <v>114</v>
      </c>
      <c r="W22" s="51"/>
      <c r="X22" s="52"/>
      <c r="Y22" s="31"/>
      <c r="Z22" s="31"/>
      <c r="AA22" s="31"/>
      <c r="AB22" s="31"/>
      <c r="AC22" s="31"/>
      <c r="AD22" s="31"/>
      <c r="AE22" s="57" t="s">
        <v>122</v>
      </c>
      <c r="AF22" s="34"/>
      <c r="AG22" s="34"/>
      <c r="AH22" s="34"/>
      <c r="AI22" s="8"/>
      <c r="AJ22" s="31"/>
      <c r="AK22" s="37"/>
      <c r="AL22" s="31"/>
      <c r="AM22" s="31"/>
      <c r="AN22" s="31"/>
    </row>
    <row r="23" ht="13.5" customHeight="1">
      <c r="A23" s="53" t="str">
        <f>AE17</f>
        <v>Mavric Sawyer / Deborah Farruiga</v>
      </c>
      <c r="B23" s="43">
        <v>1.0</v>
      </c>
      <c r="C23" s="54">
        <f>IF(B23&gt;B21,1,0)</f>
        <v>0</v>
      </c>
      <c r="D23" s="55"/>
      <c r="E23" s="43">
        <v>6.0</v>
      </c>
      <c r="F23" s="54">
        <f>IF(E23&gt;E21,1,0)</f>
        <v>0</v>
      </c>
      <c r="G23" s="55"/>
      <c r="H23" s="46"/>
      <c r="I23" s="31">
        <f>IF(H23&gt;H21,1,0)</f>
        <v>0</v>
      </c>
      <c r="J23" s="31">
        <f>IF(B23="",0,1)</f>
        <v>1</v>
      </c>
      <c r="K23" s="31">
        <f>IF(C23+F23=2,3,IF(C23+F23=1,1,0))</f>
        <v>0</v>
      </c>
      <c r="L23" s="31">
        <f>IF(K23=3,3,IF(I23+K23=2,2,IF(K23=1,1,0)))</f>
        <v>0</v>
      </c>
      <c r="M23" s="31">
        <f>B23+E23</f>
        <v>7</v>
      </c>
      <c r="N23" s="31">
        <f>C23+F23+I23</f>
        <v>0</v>
      </c>
      <c r="O23" s="31"/>
      <c r="P23" s="53" t="str">
        <f>AE15</f>
        <v>Javier Viloria / Andrea Magaldi</v>
      </c>
      <c r="Q23" s="43">
        <v>3.0</v>
      </c>
      <c r="R23" s="54">
        <f>IF(Q23&gt;Q21,1,0)</f>
        <v>0</v>
      </c>
      <c r="S23" s="55"/>
      <c r="T23" s="43">
        <v>1.0</v>
      </c>
      <c r="U23" s="54">
        <f>IF(T23&gt;T21,1,0)</f>
        <v>0</v>
      </c>
      <c r="V23" s="55"/>
      <c r="W23" s="46"/>
      <c r="X23" s="31">
        <f>IF(W23&gt;W21,1,0)</f>
        <v>0</v>
      </c>
      <c r="Y23" s="31">
        <f>IF(Q23="",0,1)</f>
        <v>1</v>
      </c>
      <c r="Z23" s="31">
        <f>IF(R23+U23=2,3,IF(R23+U23=1,1,0))</f>
        <v>0</v>
      </c>
      <c r="AA23" s="31">
        <f>IF(Z23=3,3,IF(X23+Z23=2,2,IF(Z23=1,1,0)))</f>
        <v>0</v>
      </c>
      <c r="AB23" s="31">
        <f>Q23+T23</f>
        <v>4</v>
      </c>
      <c r="AC23" s="31">
        <f>R23+U23+X23</f>
        <v>0</v>
      </c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</row>
    <row r="24" ht="13.5" customHeight="1">
      <c r="A24" s="31"/>
      <c r="B24" s="31"/>
      <c r="C24" s="31"/>
      <c r="D24" s="31"/>
      <c r="E24" s="31"/>
      <c r="F24" s="31"/>
      <c r="G24" s="31"/>
      <c r="H24" s="54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</row>
    <row r="25" ht="13.5" customHeight="1">
      <c r="A25" s="42" t="str">
        <f>AE13</f>
        <v>Cyril Lastimosa / Jin Attard</v>
      </c>
      <c r="B25" s="43">
        <v>6.0</v>
      </c>
      <c r="C25" s="44">
        <f>IF(B25&gt;B27,1,0)</f>
        <v>1</v>
      </c>
      <c r="D25" s="45"/>
      <c r="E25" s="43">
        <v>6.0</v>
      </c>
      <c r="F25" s="44">
        <f>IF(E25&gt;E27,1,0)</f>
        <v>1</v>
      </c>
      <c r="G25" s="45"/>
      <c r="H25" s="46"/>
      <c r="I25" s="31">
        <f>IF(H25&gt;H27,1,0)</f>
        <v>0</v>
      </c>
      <c r="J25" s="31">
        <f>IF(B25="",0,1)</f>
        <v>1</v>
      </c>
      <c r="K25" s="31">
        <f>IF(C25+F25=2,3,IF(C25+F25=1,1,0))</f>
        <v>3</v>
      </c>
      <c r="L25" s="31">
        <f>IF(K25=3,3,IF(I25+K25=2,2,IF(K25=1,1,0)))</f>
        <v>3</v>
      </c>
      <c r="M25" s="31">
        <f>B25+E25</f>
        <v>12</v>
      </c>
      <c r="N25" s="31">
        <f>C25+F25+I25</f>
        <v>2</v>
      </c>
      <c r="O25" s="31"/>
      <c r="P25" s="42" t="str">
        <f>AE9</f>
        <v>Ivan Farrugia / Stephanie Farrugia</v>
      </c>
      <c r="Q25" s="43">
        <v>4.0</v>
      </c>
      <c r="R25" s="44">
        <f>IF(Q25&gt;Q27,1,0)</f>
        <v>0</v>
      </c>
      <c r="S25" s="45"/>
      <c r="T25" s="43">
        <v>1.0</v>
      </c>
      <c r="U25" s="44">
        <f>IF(T25&gt;T27,1,0)</f>
        <v>0</v>
      </c>
      <c r="V25" s="45"/>
      <c r="W25" s="46"/>
      <c r="X25" s="31">
        <f>IF(W25&gt;W23,1,0)</f>
        <v>0</v>
      </c>
      <c r="Y25" s="31">
        <f>IF(Q25="",0,1)</f>
        <v>1</v>
      </c>
      <c r="Z25" s="31">
        <f>IF(R25+U25=2,3,IF(R25+U25=1,1,0))</f>
        <v>0</v>
      </c>
      <c r="AA25" s="31">
        <f>IF(Z25=3,3,IF(X25+Z25=2,2,IF(Z25=1,1,0)))</f>
        <v>0</v>
      </c>
      <c r="AB25" s="31">
        <f>Q25+T25</f>
        <v>5</v>
      </c>
      <c r="AC25" s="31">
        <f>R25+U25+X25</f>
        <v>0</v>
      </c>
      <c r="AD25" s="31"/>
      <c r="AE25" s="73" t="s">
        <v>117</v>
      </c>
      <c r="AF25" s="34"/>
      <c r="AG25" s="34"/>
      <c r="AH25" s="34"/>
      <c r="AI25" s="8"/>
      <c r="AJ25" s="31"/>
      <c r="AK25" s="31"/>
      <c r="AL25" s="31"/>
      <c r="AM25" s="31"/>
      <c r="AN25" s="31"/>
    </row>
    <row r="26" ht="13.5" customHeight="1">
      <c r="A26" s="50" t="s">
        <v>114</v>
      </c>
      <c r="H26" s="51"/>
      <c r="I26" s="52"/>
      <c r="J26" s="31"/>
      <c r="K26" s="31"/>
      <c r="L26" s="31"/>
      <c r="M26" s="31"/>
      <c r="N26" s="31"/>
      <c r="O26" s="31"/>
      <c r="P26" s="50" t="s">
        <v>114</v>
      </c>
      <c r="W26" s="51"/>
      <c r="X26" s="31"/>
      <c r="Y26" s="31"/>
      <c r="Z26" s="31"/>
      <c r="AA26" s="31"/>
      <c r="AB26" s="31"/>
      <c r="AC26" s="31"/>
      <c r="AD26" s="31"/>
      <c r="AE26" s="57" t="s">
        <v>123</v>
      </c>
      <c r="AF26" s="34"/>
      <c r="AG26" s="34"/>
      <c r="AH26" s="34"/>
      <c r="AI26" s="8"/>
      <c r="AJ26" s="31"/>
      <c r="AK26" s="31"/>
      <c r="AL26" s="31"/>
      <c r="AM26" s="31"/>
      <c r="AN26" s="31"/>
    </row>
    <row r="27" ht="13.5" customHeight="1">
      <c r="A27" s="53" t="str">
        <f>AE17</f>
        <v>Mavric Sawyer / Deborah Farruiga</v>
      </c>
      <c r="B27" s="43">
        <v>2.0</v>
      </c>
      <c r="C27" s="54">
        <f>IF(B27&gt;B25,1,0)</f>
        <v>0</v>
      </c>
      <c r="D27" s="55"/>
      <c r="E27" s="43">
        <v>4.0</v>
      </c>
      <c r="F27" s="54">
        <f>IF(E27&gt;E25,1,0)</f>
        <v>0</v>
      </c>
      <c r="G27" s="55"/>
      <c r="H27" s="46"/>
      <c r="I27" s="31">
        <f>IF(H27&gt;H25,1,0)</f>
        <v>0</v>
      </c>
      <c r="J27" s="31">
        <f>IF(B27="",0,1)</f>
        <v>1</v>
      </c>
      <c r="K27" s="31">
        <f>IF(C27+F27=2,3,IF(C27+F27=1,1,0))</f>
        <v>0</v>
      </c>
      <c r="L27" s="31">
        <f>IF(K27=3,3,IF(I27+K27=2,2,IF(K27=1,1,0)))</f>
        <v>0</v>
      </c>
      <c r="M27" s="31">
        <f>B27+E27</f>
        <v>6</v>
      </c>
      <c r="N27" s="31">
        <f>C27+F27+I27</f>
        <v>0</v>
      </c>
      <c r="O27" s="31"/>
      <c r="P27" s="53" t="str">
        <f>AE19</f>
        <v>Trevor Rutter / Karolina Papiernak</v>
      </c>
      <c r="Q27" s="43">
        <v>6.0</v>
      </c>
      <c r="R27" s="54">
        <f>IF(Q27&gt;Q25,1,0)</f>
        <v>1</v>
      </c>
      <c r="S27" s="55"/>
      <c r="T27" s="43">
        <v>6.0</v>
      </c>
      <c r="U27" s="54">
        <f>IF(T27&gt;T25,1,0)</f>
        <v>1</v>
      </c>
      <c r="V27" s="55"/>
      <c r="W27" s="46"/>
      <c r="X27" s="31">
        <f>IF(W27&gt;W25,1,0)</f>
        <v>0</v>
      </c>
      <c r="Y27" s="31">
        <f>IF(Q27="",0,1)</f>
        <v>1</v>
      </c>
      <c r="Z27" s="31">
        <f>IF(R27+U27=2,3,IF(R27+U27=1,1,0))</f>
        <v>3</v>
      </c>
      <c r="AA27" s="31">
        <f>IF(Z27=3,3,IF(X27+Z27=2,2,IF(Z27=1,1,0)))</f>
        <v>3</v>
      </c>
      <c r="AB27" s="31">
        <f>Q27+T27</f>
        <v>12</v>
      </c>
      <c r="AC27" s="31">
        <f>R27+U27+X27</f>
        <v>2</v>
      </c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</row>
    <row r="28" ht="13.5" customHeight="1">
      <c r="A28" s="31"/>
      <c r="B28" s="31"/>
      <c r="C28" s="31"/>
      <c r="D28" s="31"/>
      <c r="E28" s="31"/>
      <c r="F28" s="31"/>
      <c r="G28" s="31"/>
      <c r="H28" s="54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7"/>
      <c r="AI28" s="31"/>
      <c r="AJ28" s="31"/>
      <c r="AK28" s="31"/>
      <c r="AL28" s="31"/>
      <c r="AM28" s="31"/>
      <c r="AN28" s="31"/>
    </row>
    <row r="29" ht="13.5" customHeight="1">
      <c r="A29" s="42" t="str">
        <f>AE15</f>
        <v>Javier Viloria / Andrea Magaldi</v>
      </c>
      <c r="B29" s="43">
        <v>6.0</v>
      </c>
      <c r="C29" s="44">
        <f>IF(B29&gt;B31,1,0)</f>
        <v>1</v>
      </c>
      <c r="D29" s="45"/>
      <c r="E29" s="43">
        <v>6.0</v>
      </c>
      <c r="F29" s="44">
        <f>IF(E29&gt;E31,1,0)</f>
        <v>1</v>
      </c>
      <c r="G29" s="45"/>
      <c r="H29" s="46"/>
      <c r="I29" s="31">
        <f>IF(H29&gt;H31,1,0)</f>
        <v>0</v>
      </c>
      <c r="J29" s="31">
        <f>IF(B29="",0,1)</f>
        <v>1</v>
      </c>
      <c r="K29" s="31">
        <f>IF(C29+F29=2,3,IF(C29+F29=1,1,0))</f>
        <v>3</v>
      </c>
      <c r="L29" s="31">
        <f>IF(K29=3,3,IF(I29+K29=2,2,IF(K29=1,1,0)))</f>
        <v>3</v>
      </c>
      <c r="M29" s="31">
        <f>B29+E29</f>
        <v>12</v>
      </c>
      <c r="N29" s="31">
        <f>C29+F29+I29</f>
        <v>2</v>
      </c>
      <c r="O29" s="31"/>
      <c r="P29" s="42" t="str">
        <f>AE11</f>
        <v>Willem Steenkamer / Mariska Steenkamer</v>
      </c>
      <c r="Q29" s="43">
        <v>2.0</v>
      </c>
      <c r="R29" s="44">
        <f>IF(Q29&gt;Q31,1,0)</f>
        <v>0</v>
      </c>
      <c r="S29" s="45"/>
      <c r="T29" s="43">
        <v>4.0</v>
      </c>
      <c r="U29" s="44">
        <f>IF(T29&gt;T31,1,0)</f>
        <v>0</v>
      </c>
      <c r="V29" s="45"/>
      <c r="W29" s="46"/>
      <c r="X29" s="31">
        <f>IF(W29&gt;W27,1,0)</f>
        <v>0</v>
      </c>
      <c r="Y29" s="31">
        <f>IF(Q29="",0,1)</f>
        <v>1</v>
      </c>
      <c r="Z29" s="31">
        <f>IF(R29+U29=2,3,IF(R29+U29=1,1,0))</f>
        <v>0</v>
      </c>
      <c r="AA29" s="31">
        <f>IF(Z29=3,3,IF(X29+Z29=2,2,IF(Z29=1,1,0)))</f>
        <v>0</v>
      </c>
      <c r="AB29" s="31">
        <f>Q29+T29</f>
        <v>6</v>
      </c>
      <c r="AC29" s="31">
        <f>R29+U29+X29</f>
        <v>0</v>
      </c>
      <c r="AD29" s="31"/>
      <c r="AE29" s="78"/>
      <c r="AF29" s="79"/>
      <c r="AG29" s="78"/>
      <c r="AH29" s="78"/>
      <c r="AI29" s="31"/>
      <c r="AJ29" s="31"/>
      <c r="AK29" s="31"/>
      <c r="AL29" s="31"/>
      <c r="AM29" s="31"/>
      <c r="AN29" s="31"/>
    </row>
    <row r="30" ht="13.5" customHeight="1">
      <c r="A30" s="50" t="s">
        <v>114</v>
      </c>
      <c r="H30" s="51"/>
      <c r="I30" s="52"/>
      <c r="J30" s="31"/>
      <c r="K30" s="31"/>
      <c r="L30" s="31"/>
      <c r="M30" s="31"/>
      <c r="N30" s="31"/>
      <c r="O30" s="31"/>
      <c r="P30" s="50" t="s">
        <v>114</v>
      </c>
      <c r="W30" s="5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59"/>
      <c r="AM30" s="31"/>
      <c r="AN30" s="31"/>
    </row>
    <row r="31" ht="13.5" customHeight="1">
      <c r="A31" s="53" t="str">
        <f>AE17</f>
        <v>Mavric Sawyer / Deborah Farruiga</v>
      </c>
      <c r="B31" s="43">
        <v>1.0</v>
      </c>
      <c r="C31" s="54">
        <f>IF(B31&gt;B29,1,0)</f>
        <v>0</v>
      </c>
      <c r="D31" s="55"/>
      <c r="E31" s="43">
        <v>3.0</v>
      </c>
      <c r="F31" s="54">
        <f>IF(E31&gt;E29,1,0)</f>
        <v>0</v>
      </c>
      <c r="G31" s="55"/>
      <c r="H31" s="46"/>
      <c r="I31" s="31">
        <f>IF(H31&gt;H29,1,0)</f>
        <v>0</v>
      </c>
      <c r="J31" s="31">
        <f>IF(B31="",0,1)</f>
        <v>1</v>
      </c>
      <c r="K31" s="31">
        <f>IF(C31+F31=2,3,IF(C31+F31=1,1,0))</f>
        <v>0</v>
      </c>
      <c r="L31" s="31">
        <f>IF(K31=3,3,IF(I31+K31=2,2,IF(K31=1,1,0)))</f>
        <v>0</v>
      </c>
      <c r="M31" s="31">
        <f>B31+E31</f>
        <v>4</v>
      </c>
      <c r="N31" s="31">
        <f>C31+F31+I31</f>
        <v>0</v>
      </c>
      <c r="O31" s="31"/>
      <c r="P31" s="53" t="str">
        <f>AE19</f>
        <v>Trevor Rutter / Karolina Papiernak</v>
      </c>
      <c r="Q31" s="43">
        <v>6.0</v>
      </c>
      <c r="R31" s="54">
        <f>IF(Q31&gt;Q29,1,0)</f>
        <v>1</v>
      </c>
      <c r="S31" s="55"/>
      <c r="T31" s="43">
        <v>6.0</v>
      </c>
      <c r="U31" s="54">
        <f>IF(T31&gt;T29,1,0)</f>
        <v>1</v>
      </c>
      <c r="V31" s="55"/>
      <c r="W31" s="46"/>
      <c r="X31" s="31">
        <f>IF(W31&gt;W29,1,0)</f>
        <v>0</v>
      </c>
      <c r="Y31" s="31">
        <f>IF(Q31="",0,1)</f>
        <v>1</v>
      </c>
      <c r="Z31" s="31">
        <f>IF(R31+U31=2,3,IF(R31+U31=1,1,0))</f>
        <v>3</v>
      </c>
      <c r="AA31" s="31">
        <f>IF(Z31=3,3,IF(X31+Z31=2,2,IF(Z31=1,1,0)))</f>
        <v>3</v>
      </c>
      <c r="AB31" s="31">
        <f>Q31+T31</f>
        <v>12</v>
      </c>
      <c r="AC31" s="31">
        <f>R31+U31+X31</f>
        <v>2</v>
      </c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7"/>
    </row>
    <row r="32" ht="13.5" customHeight="1">
      <c r="A32" s="31"/>
      <c r="B32" s="31"/>
      <c r="C32" s="31"/>
      <c r="D32" s="31"/>
      <c r="E32" s="37"/>
      <c r="F32" s="31"/>
      <c r="G32" s="31"/>
      <c r="H32" s="37"/>
      <c r="I32" s="31"/>
      <c r="J32" s="37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59"/>
      <c r="AM32" s="31"/>
      <c r="AN32" s="31"/>
    </row>
    <row r="33" ht="13.5" customHeight="1">
      <c r="A33" s="42" t="str">
        <f>AE15</f>
        <v>Javier Viloria / Andrea Magaldi</v>
      </c>
      <c r="B33" s="43">
        <v>5.0</v>
      </c>
      <c r="C33" s="44">
        <f>IF(B33&gt;B35,1,0)</f>
        <v>0</v>
      </c>
      <c r="D33" s="45"/>
      <c r="E33" s="43">
        <v>6.0</v>
      </c>
      <c r="F33" s="44">
        <f>IF(E33&gt;E35,1,0)</f>
        <v>1</v>
      </c>
      <c r="G33" s="45"/>
      <c r="H33" s="43">
        <v>6.0</v>
      </c>
      <c r="I33" s="31">
        <f>IF(H33&gt;H35,1,0)</f>
        <v>0</v>
      </c>
      <c r="J33" s="31">
        <f>IF(B33="",0,1)</f>
        <v>1</v>
      </c>
      <c r="K33" s="31">
        <f>IF(C33+F33=2,3,IF(C33+F33=1,1,0))</f>
        <v>1</v>
      </c>
      <c r="L33" s="31">
        <f>IF(K33=3,3,IF(I33+K33=2,2,IF(K33=1,1,0)))</f>
        <v>1</v>
      </c>
      <c r="M33" s="31">
        <f>B33+E33</f>
        <v>11</v>
      </c>
      <c r="N33" s="31">
        <f>C33+F33+I33</f>
        <v>1</v>
      </c>
      <c r="O33" s="31"/>
      <c r="P33" s="42" t="str">
        <f>AE13</f>
        <v>Cyril Lastimosa / Jin Attard</v>
      </c>
      <c r="Q33" s="43">
        <v>1.0</v>
      </c>
      <c r="R33" s="44">
        <f>IF(Q33&gt;Q35,1,0)</f>
        <v>0</v>
      </c>
      <c r="S33" s="45"/>
      <c r="T33" s="43">
        <v>3.0</v>
      </c>
      <c r="U33" s="44">
        <f>IF(T33&gt;T35,1,0)</f>
        <v>0</v>
      </c>
      <c r="V33" s="45"/>
      <c r="W33" s="46"/>
      <c r="X33" s="31">
        <f>IF(W33&gt;W31,1,0)</f>
        <v>0</v>
      </c>
      <c r="Y33" s="31">
        <f>IF(Q33="",0,1)</f>
        <v>1</v>
      </c>
      <c r="Z33" s="31">
        <f>IF(R33+U33=2,3,IF(R33+U33=1,1,0))</f>
        <v>0</v>
      </c>
      <c r="AA33" s="31">
        <f>IF(Z33=3,3,IF(X33+Z33=2,2,IF(Z33=1,1,0)))</f>
        <v>0</v>
      </c>
      <c r="AB33" s="31">
        <f>Q33+T33</f>
        <v>4</v>
      </c>
      <c r="AC33" s="31">
        <f>R33+U33+X33</f>
        <v>0</v>
      </c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</row>
    <row r="34" ht="13.5" customHeight="1">
      <c r="A34" s="50" t="s">
        <v>114</v>
      </c>
      <c r="H34" s="51"/>
      <c r="I34" s="31"/>
      <c r="J34" s="31"/>
      <c r="K34" s="31"/>
      <c r="L34" s="31"/>
      <c r="M34" s="31"/>
      <c r="N34" s="31"/>
      <c r="O34" s="31"/>
      <c r="P34" s="50" t="s">
        <v>114</v>
      </c>
      <c r="W34" s="5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</row>
    <row r="35" ht="13.5" customHeight="1">
      <c r="A35" s="53" t="str">
        <f>AE19</f>
        <v>Trevor Rutter / Karolina Papiernak</v>
      </c>
      <c r="B35" s="43">
        <v>7.0</v>
      </c>
      <c r="C35" s="54">
        <f>IF(B35&gt;B33,1,0)</f>
        <v>1</v>
      </c>
      <c r="D35" s="55"/>
      <c r="E35" s="43">
        <v>4.0</v>
      </c>
      <c r="F35" s="54">
        <f>IF(E35&gt;E33,1,0)</f>
        <v>0</v>
      </c>
      <c r="G35" s="55"/>
      <c r="H35" s="43">
        <v>10.0</v>
      </c>
      <c r="I35" s="31">
        <f>IF(H35&gt;H37,1,0)</f>
        <v>1</v>
      </c>
      <c r="J35" s="31">
        <f>IF(B35="",0,1)</f>
        <v>1</v>
      </c>
      <c r="K35" s="31">
        <f>IF(C35+F35=2,3,IF(C35+F35=1,1,0))</f>
        <v>1</v>
      </c>
      <c r="L35" s="31">
        <f>IF(K35=3,3,IF(I35+K35=2,2,IF(K35=1,1,0)))</f>
        <v>2</v>
      </c>
      <c r="M35" s="31">
        <f>B35+E35</f>
        <v>11</v>
      </c>
      <c r="N35" s="31">
        <f>C35+F35+I35</f>
        <v>2</v>
      </c>
      <c r="O35" s="31"/>
      <c r="P35" s="80" t="str">
        <f>AE19</f>
        <v>Trevor Rutter / Karolina Papiernak</v>
      </c>
      <c r="Q35" s="43">
        <v>6.0</v>
      </c>
      <c r="R35" s="54">
        <f>IF(Q35&gt;Q33,1,0)</f>
        <v>1</v>
      </c>
      <c r="S35" s="55"/>
      <c r="T35" s="43">
        <v>6.0</v>
      </c>
      <c r="U35" s="54">
        <f>IF(T35&gt;T33,1,0)</f>
        <v>1</v>
      </c>
      <c r="V35" s="55"/>
      <c r="W35" s="46"/>
      <c r="X35" s="31">
        <f>IF(W35&gt;W33,1,0)</f>
        <v>0</v>
      </c>
      <c r="Y35" s="31">
        <f>IF(Q35="",0,1)</f>
        <v>1</v>
      </c>
      <c r="Z35" s="31">
        <f>IF(R35+U35=2,3,IF(R35+U35=1,1,0))</f>
        <v>3</v>
      </c>
      <c r="AA35" s="31">
        <f>IF(Z35=3,3,IF(X35+Z35=2,2,IF(Z35=1,1,0)))</f>
        <v>3</v>
      </c>
      <c r="AB35" s="31">
        <f>Q35+T35</f>
        <v>12</v>
      </c>
      <c r="AC35" s="31">
        <f>R35+U35+X35</f>
        <v>2</v>
      </c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</row>
    <row r="36" ht="13.5" customHeight="1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7"/>
      <c r="AI36" s="31"/>
      <c r="AJ36" s="31"/>
      <c r="AK36" s="37"/>
      <c r="AL36" s="31"/>
      <c r="AM36" s="31"/>
      <c r="AN36" s="31"/>
    </row>
    <row r="37" ht="13.5" customHeight="1">
      <c r="A37" s="42" t="str">
        <f>AE17</f>
        <v>Mavric Sawyer / Deborah Farruiga</v>
      </c>
      <c r="B37" s="43">
        <v>1.0</v>
      </c>
      <c r="C37" s="44">
        <f>IF(B37&gt;B39,1,0)</f>
        <v>0</v>
      </c>
      <c r="D37" s="45"/>
      <c r="E37" s="43">
        <v>0.0</v>
      </c>
      <c r="F37" s="44">
        <f>IF(E37&gt;E39,1,0)</f>
        <v>0</v>
      </c>
      <c r="G37" s="45"/>
      <c r="H37" s="46"/>
      <c r="I37" s="31">
        <f>IF(H37&gt;H39,1,0)</f>
        <v>0</v>
      </c>
      <c r="J37" s="31">
        <f>IF(B37="",0,1)</f>
        <v>1</v>
      </c>
      <c r="K37" s="31">
        <f>IF(C37+F37=2,3,IF(C37+F37=1,1,0))</f>
        <v>0</v>
      </c>
      <c r="L37" s="31">
        <f>IF(K37=3,3,IF(I37+K37=2,2,IF(K37=1,1,0)))</f>
        <v>0</v>
      </c>
      <c r="M37" s="31">
        <f>B37+E37</f>
        <v>1</v>
      </c>
      <c r="N37" s="31">
        <f>C37+F37+I37</f>
        <v>0</v>
      </c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7"/>
      <c r="AL37" s="31"/>
      <c r="AM37" s="31"/>
      <c r="AN37" s="31"/>
    </row>
    <row r="38" ht="13.5" customHeight="1">
      <c r="A38" s="50" t="s">
        <v>114</v>
      </c>
      <c r="H38" s="5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62"/>
      <c r="AK38" s="31"/>
      <c r="AL38" s="31"/>
      <c r="AM38" s="31"/>
      <c r="AN38" s="31"/>
    </row>
    <row r="39" ht="13.5" customHeight="1">
      <c r="A39" s="53" t="str">
        <f>AE19</f>
        <v>Trevor Rutter / Karolina Papiernak</v>
      </c>
      <c r="B39" s="43">
        <v>6.0</v>
      </c>
      <c r="C39" s="54">
        <f>IF(B39&gt;B37,1,0)</f>
        <v>1</v>
      </c>
      <c r="D39" s="55"/>
      <c r="E39" s="43">
        <v>6.0</v>
      </c>
      <c r="F39" s="54">
        <f>IF(E39&gt;E37,1,0)</f>
        <v>1</v>
      </c>
      <c r="G39" s="55"/>
      <c r="H39" s="46"/>
      <c r="I39" s="31">
        <f>IF(H39&gt;H41,1,0)</f>
        <v>0</v>
      </c>
      <c r="J39" s="31">
        <f>IF(B39="",0,1)</f>
        <v>1</v>
      </c>
      <c r="K39" s="31">
        <f>IF(C39+F39=2,3,IF(C39+F39=1,1,0))</f>
        <v>3</v>
      </c>
      <c r="L39" s="31">
        <f>IF(K39=3,3,IF(I39+K39=2,2,IF(K39=1,1,0)))</f>
        <v>3</v>
      </c>
      <c r="M39" s="31">
        <f>B39+E39</f>
        <v>12</v>
      </c>
      <c r="N39" s="31">
        <f>C39+F39+I39</f>
        <v>2</v>
      </c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</row>
    <row r="40" ht="13.5" customHeight="1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</row>
    <row r="41" ht="13.5" customHeight="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62"/>
      <c r="AK41" s="31"/>
      <c r="AL41" s="31"/>
      <c r="AM41" s="31"/>
      <c r="AN41" s="31"/>
    </row>
    <row r="42" ht="13.5" customHeight="1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</row>
    <row r="43" ht="13.5" customHeight="1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</row>
    <row r="44" ht="13.5" customHeight="1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</row>
    <row r="45" ht="13.5" customHeight="1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</row>
    <row r="46" ht="13.5" customHeight="1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62"/>
      <c r="AK46" s="31"/>
      <c r="AL46" s="37"/>
      <c r="AM46" s="31"/>
      <c r="AN46" s="31"/>
    </row>
    <row r="47" ht="13.5" customHeight="1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</row>
    <row r="48" ht="13.5" customHeight="1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</row>
    <row r="49" ht="13.5" customHeight="1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</row>
    <row r="50" ht="13.5" customHeight="1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</row>
    <row r="51" ht="13.5" customHeight="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62"/>
      <c r="AK51" s="31"/>
      <c r="AL51" s="31"/>
      <c r="AM51" s="31"/>
      <c r="AN51" s="37"/>
    </row>
    <row r="52" ht="13.5" customHeight="1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</row>
    <row r="53" ht="13.5" customHeight="1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</row>
    <row r="54" ht="13.5" customHeight="1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</row>
    <row r="55" ht="13.5" customHeight="1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7"/>
      <c r="AI55" s="31"/>
      <c r="AJ55" s="31"/>
      <c r="AK55" s="37"/>
      <c r="AL55" s="31"/>
      <c r="AM55" s="31"/>
      <c r="AN55" s="31"/>
    </row>
    <row r="56" ht="13.5" customHeight="1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</row>
    <row r="57" ht="13.5" customHeight="1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</row>
    <row r="58" ht="13.5" customHeight="1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</row>
    <row r="59" ht="13.5" customHeight="1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</row>
    <row r="60" ht="13.5" customHeight="1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</row>
    <row r="61" ht="13.5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</row>
    <row r="62" ht="13.5" customHeight="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</row>
    <row r="63" ht="13.5" customHeight="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</row>
    <row r="64" ht="13.5" customHeight="1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</row>
    <row r="65" ht="13.5" customHeight="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</row>
    <row r="66" ht="13.5" customHeight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</row>
    <row r="67" ht="13.5" customHeight="1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</row>
    <row r="68" ht="13.5" customHeight="1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</row>
    <row r="69" ht="13.5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</row>
    <row r="70" ht="13.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</row>
    <row r="71" ht="13.5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</row>
    <row r="72" ht="13.5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</row>
    <row r="73" ht="13.5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</row>
    <row r="74" ht="13.5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</row>
    <row r="75" ht="13.5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</row>
    <row r="76" ht="13.5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</row>
    <row r="77" ht="13.5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</row>
    <row r="78" ht="13.5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</row>
    <row r="79" ht="13.5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</row>
    <row r="80" ht="13.5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</row>
    <row r="81" ht="13.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</row>
    <row r="82" ht="13.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</row>
    <row r="83" ht="13.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</row>
    <row r="84" ht="13.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</row>
    <row r="85" ht="13.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</row>
    <row r="86" ht="13.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</row>
    <row r="87" ht="13.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</row>
    <row r="88" ht="13.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</row>
    <row r="89" ht="13.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</row>
    <row r="90" ht="13.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</row>
    <row r="91" ht="13.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</row>
    <row r="92" ht="13.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</row>
    <row r="93" ht="13.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</row>
    <row r="94" ht="13.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</row>
    <row r="95" ht="13.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</row>
    <row r="96" ht="13.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</row>
    <row r="97" ht="13.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</row>
    <row r="98" ht="13.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</row>
    <row r="99" ht="13.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</row>
    <row r="100" ht="13.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</row>
    <row r="101" ht="13.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</row>
    <row r="102" ht="13.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</row>
    <row r="103" ht="13.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</row>
    <row r="104" ht="13.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</row>
    <row r="105" ht="13.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7"/>
      <c r="R105" s="37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</row>
    <row r="106" ht="13.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</row>
    <row r="107" ht="13.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</row>
    <row r="108" ht="13.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</row>
    <row r="109" ht="13.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</row>
    <row r="110" ht="13.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</row>
    <row r="111" ht="13.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</row>
    <row r="112" ht="13.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</row>
    <row r="113" ht="13.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</row>
    <row r="114" ht="13.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</row>
    <row r="115" ht="13.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</row>
    <row r="116" ht="13.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</row>
    <row r="117" ht="13.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</row>
    <row r="118" ht="13.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</row>
    <row r="119" ht="13.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</row>
    <row r="120" ht="13.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</row>
    <row r="121" ht="13.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</row>
    <row r="122" ht="13.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</row>
    <row r="123" ht="13.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</row>
    <row r="124" ht="13.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</row>
    <row r="125" ht="13.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</row>
    <row r="126" ht="13.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</row>
    <row r="127" ht="13.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</row>
    <row r="128" ht="13.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</row>
    <row r="129" ht="13.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</row>
    <row r="130" ht="13.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</row>
    <row r="131" ht="13.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</row>
    <row r="132" ht="13.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</row>
    <row r="133" ht="13.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</row>
    <row r="134" ht="13.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</row>
    <row r="135" ht="13.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</row>
    <row r="136" ht="13.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</row>
    <row r="137" ht="13.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</row>
    <row r="138" ht="13.5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</row>
    <row r="139" ht="13.5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</row>
    <row r="140" ht="13.5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</row>
    <row r="141" ht="13.5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</row>
    <row r="142" ht="13.5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</row>
    <row r="143" ht="13.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</row>
    <row r="144" ht="13.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</row>
    <row r="145" ht="13.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</row>
    <row r="146" ht="13.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</row>
    <row r="147" ht="13.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</row>
    <row r="148" ht="13.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</row>
    <row r="149" ht="13.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</row>
    <row r="150" ht="13.5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</row>
    <row r="151" ht="13.5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</row>
    <row r="152" ht="13.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</row>
    <row r="153" ht="13.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</row>
    <row r="154" ht="13.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</row>
    <row r="155" ht="13.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</row>
    <row r="156" ht="13.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</row>
    <row r="157" ht="13.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</row>
    <row r="158" ht="13.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</row>
    <row r="159" ht="13.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</row>
    <row r="160" ht="13.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</row>
    <row r="161" ht="13.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</row>
    <row r="162" ht="13.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</row>
    <row r="163" ht="13.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</row>
    <row r="164" ht="13.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</row>
    <row r="165" ht="13.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</row>
    <row r="166" ht="13.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</row>
    <row r="167" ht="13.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</row>
    <row r="168" ht="13.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</row>
    <row r="169" ht="13.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</row>
    <row r="170" ht="13.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</row>
    <row r="171" ht="13.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</row>
    <row r="172" ht="13.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</row>
    <row r="173" ht="13.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</row>
    <row r="174" ht="13.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</row>
    <row r="175" ht="13.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</row>
    <row r="176" ht="13.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</row>
    <row r="177" ht="13.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</row>
    <row r="178" ht="13.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</row>
    <row r="179" ht="13.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</row>
    <row r="180" ht="13.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</row>
    <row r="181" ht="13.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</row>
    <row r="182" ht="13.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</row>
    <row r="183" ht="13.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</row>
    <row r="184" ht="13.5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</row>
    <row r="185" ht="13.5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</row>
    <row r="186" ht="13.5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</row>
    <row r="187" ht="13.5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</row>
    <row r="188" ht="13.5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</row>
    <row r="189" ht="13.5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</row>
    <row r="190" ht="13.5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</row>
    <row r="191" ht="13.5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</row>
    <row r="192" ht="13.5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</row>
    <row r="193" ht="13.5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</row>
    <row r="194" ht="13.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</row>
    <row r="195" ht="13.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</row>
    <row r="196" ht="13.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</row>
    <row r="197" ht="13.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</row>
    <row r="198" ht="13.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</row>
    <row r="199" ht="13.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</row>
    <row r="200" ht="13.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</row>
    <row r="201" ht="13.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</row>
    <row r="202" ht="13.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</row>
    <row r="203" ht="13.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</row>
    <row r="204" ht="13.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</row>
    <row r="205" ht="13.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</row>
    <row r="206" ht="13.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</row>
    <row r="207" ht="13.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</row>
    <row r="208" ht="13.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</row>
    <row r="209" ht="13.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</row>
    <row r="210" ht="13.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</row>
    <row r="211" ht="13.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</row>
    <row r="212" ht="13.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</row>
    <row r="213" ht="13.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</row>
    <row r="214" ht="13.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</row>
    <row r="215" ht="13.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</row>
    <row r="216" ht="13.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</row>
    <row r="217" ht="13.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</row>
    <row r="218" ht="13.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</row>
    <row r="219" ht="13.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</row>
    <row r="220" ht="13.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</row>
    <row r="221" ht="13.5" customHeight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</row>
    <row r="222" ht="13.5" customHeight="1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</row>
    <row r="223" ht="13.5" customHeight="1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</row>
    <row r="224" ht="13.5" customHeight="1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</row>
    <row r="225" ht="13.5" customHeight="1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</row>
    <row r="226" ht="13.5" customHeight="1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</row>
    <row r="227" ht="13.5" customHeight="1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</row>
    <row r="228" ht="13.5" customHeight="1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</row>
    <row r="229" ht="13.5" customHeight="1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</row>
    <row r="230" ht="13.5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</row>
    <row r="231" ht="13.5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A1:AI2"/>
    <mergeCell ref="A5:AI5"/>
    <mergeCell ref="B7:E7"/>
    <mergeCell ref="Q7:T7"/>
    <mergeCell ref="A10:H10"/>
    <mergeCell ref="P10:W10"/>
    <mergeCell ref="P14:W14"/>
    <mergeCell ref="A22:H22"/>
    <mergeCell ref="A26:H26"/>
    <mergeCell ref="A30:H30"/>
    <mergeCell ref="A34:H34"/>
    <mergeCell ref="A38:H38"/>
    <mergeCell ref="AE25:AI25"/>
    <mergeCell ref="AE26:AI26"/>
    <mergeCell ref="P30:W30"/>
    <mergeCell ref="P34:W34"/>
    <mergeCell ref="A14:H14"/>
    <mergeCell ref="A18:H18"/>
    <mergeCell ref="P18:W18"/>
    <mergeCell ref="AE21:AI21"/>
    <mergeCell ref="P22:W22"/>
    <mergeCell ref="AE22:AI22"/>
    <mergeCell ref="P26:W26"/>
  </mergeCells>
  <printOptions/>
  <pageMargins bottom="0.75" footer="0.0" header="0.0" left="0.25" right="0.25" top="0.75"/>
  <pageSetup paperSize="9" scale="61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1.75"/>
    <col customWidth="1" min="2" max="2" width="7.0"/>
    <col customWidth="1" hidden="1" min="3" max="3" width="6.13"/>
    <col customWidth="1" min="4" max="4" width="1.63"/>
    <col customWidth="1" min="5" max="5" width="7.0"/>
    <col customWidth="1" hidden="1" min="6" max="6" width="6.13"/>
    <col customWidth="1" min="7" max="7" width="1.63"/>
    <col customWidth="1" min="8" max="8" width="7.0"/>
    <col customWidth="1" hidden="1" min="9" max="9" width="6.13"/>
    <col customWidth="1" hidden="1" min="10" max="10" width="7.63"/>
    <col customWidth="1" hidden="1" min="11" max="11" width="7.38"/>
    <col customWidth="1" hidden="1" min="12" max="12" width="11.38"/>
    <col customWidth="1" hidden="1" min="13" max="13" width="8.0"/>
    <col customWidth="1" hidden="1" min="14" max="14" width="6.13"/>
    <col customWidth="1" min="15" max="15" width="6.5"/>
    <col customWidth="1" min="16" max="16" width="41.75"/>
    <col customWidth="1" min="17" max="17" width="7.0"/>
    <col customWidth="1" hidden="1" min="18" max="18" width="6.13"/>
    <col customWidth="1" min="19" max="19" width="1.63"/>
    <col customWidth="1" min="20" max="20" width="7.0"/>
    <col customWidth="1" hidden="1" min="21" max="21" width="6.13"/>
    <col customWidth="1" min="22" max="22" width="1.63"/>
    <col customWidth="1" min="23" max="23" width="7.0"/>
    <col customWidth="1" hidden="1" min="24" max="24" width="6.13"/>
    <col customWidth="1" hidden="1" min="25" max="25" width="7.63"/>
    <col customWidth="1" hidden="1" min="26" max="26" width="7.38"/>
    <col customWidth="1" hidden="1" min="27" max="27" width="11.38"/>
    <col customWidth="1" hidden="1" min="28" max="28" width="8.0"/>
    <col customWidth="1" hidden="1" min="29" max="29" width="6.13"/>
    <col customWidth="1" min="30" max="30" width="6.38"/>
    <col customWidth="1" min="31" max="31" width="42.5"/>
    <col customWidth="1" min="32" max="35" width="8.63"/>
    <col customWidth="1" hidden="1" min="36" max="36" width="9.38"/>
    <col customWidth="1" hidden="1" min="37" max="37" width="12.0"/>
    <col customWidth="1" hidden="1" min="38" max="38" width="8.0"/>
    <col customWidth="1" hidden="1" min="39" max="40" width="41.13"/>
  </cols>
  <sheetData>
    <row r="1" ht="21.0" customHeight="1">
      <c r="A1" s="1" t="s">
        <v>0</v>
      </c>
      <c r="AJ1" s="4"/>
      <c r="AK1" s="4"/>
      <c r="AL1" s="4"/>
      <c r="AM1" s="4"/>
      <c r="AN1" s="4"/>
    </row>
    <row r="2" ht="21.0" customHeight="1">
      <c r="AJ2" s="4"/>
      <c r="AK2" s="4"/>
      <c r="AL2" s="4"/>
      <c r="AM2" s="4"/>
      <c r="AN2" s="4"/>
    </row>
    <row r="3" ht="13.5" customHeight="1">
      <c r="A3" s="28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</row>
    <row r="4" ht="13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</row>
    <row r="5" ht="13.5" customHeight="1">
      <c r="A5" s="81" t="s">
        <v>40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1"/>
      <c r="AK5" s="31"/>
      <c r="AL5" s="31"/>
      <c r="AM5" s="31"/>
      <c r="AN5" s="31"/>
    </row>
    <row r="6" ht="13.5" customHeight="1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</row>
    <row r="7">
      <c r="A7" s="82" t="s">
        <v>92</v>
      </c>
      <c r="B7" s="83" t="s">
        <v>93</v>
      </c>
      <c r="C7" s="34"/>
      <c r="D7" s="34"/>
      <c r="E7" s="8"/>
      <c r="F7" s="84"/>
      <c r="G7" s="85"/>
      <c r="H7" s="82" t="s">
        <v>94</v>
      </c>
      <c r="I7" s="31"/>
      <c r="J7" s="31"/>
      <c r="K7" s="31"/>
      <c r="L7" s="31"/>
      <c r="M7" s="37"/>
      <c r="N7" s="37"/>
      <c r="O7" s="31"/>
      <c r="P7" s="82" t="s">
        <v>92</v>
      </c>
      <c r="Q7" s="83" t="s">
        <v>93</v>
      </c>
      <c r="R7" s="34"/>
      <c r="S7" s="34"/>
      <c r="T7" s="8"/>
      <c r="U7" s="84"/>
      <c r="V7" s="85"/>
      <c r="W7" s="82" t="s">
        <v>94</v>
      </c>
      <c r="X7" s="31"/>
      <c r="Y7" s="37"/>
      <c r="Z7" s="37"/>
      <c r="AA7" s="37"/>
      <c r="AB7" s="37"/>
      <c r="AC7" s="37"/>
      <c r="AD7" s="31"/>
      <c r="AE7" s="82" t="s">
        <v>95</v>
      </c>
      <c r="AF7" s="86" t="s">
        <v>96</v>
      </c>
      <c r="AG7" s="86" t="s">
        <v>97</v>
      </c>
      <c r="AH7" s="86" t="s">
        <v>98</v>
      </c>
      <c r="AI7" s="86" t="s">
        <v>99</v>
      </c>
      <c r="AJ7" s="37"/>
      <c r="AK7" s="37"/>
      <c r="AL7" s="37"/>
      <c r="AM7" s="31"/>
      <c r="AN7" s="31"/>
    </row>
    <row r="8" hidden="1">
      <c r="A8" s="31"/>
      <c r="B8" s="39" t="s">
        <v>100</v>
      </c>
      <c r="C8" s="39" t="s">
        <v>101</v>
      </c>
      <c r="D8" s="39"/>
      <c r="E8" s="39" t="s">
        <v>100</v>
      </c>
      <c r="F8" s="39" t="s">
        <v>102</v>
      </c>
      <c r="G8" s="39"/>
      <c r="H8" s="39" t="s">
        <v>100</v>
      </c>
      <c r="I8" s="39" t="s">
        <v>103</v>
      </c>
      <c r="J8" s="39" t="s">
        <v>104</v>
      </c>
      <c r="K8" s="39" t="s">
        <v>105</v>
      </c>
      <c r="L8" s="39" t="s">
        <v>106</v>
      </c>
      <c r="M8" s="39" t="s">
        <v>107</v>
      </c>
      <c r="N8" s="39" t="s">
        <v>108</v>
      </c>
      <c r="O8" s="31"/>
      <c r="P8" s="31"/>
      <c r="Q8" s="39" t="s">
        <v>100</v>
      </c>
      <c r="R8" s="39" t="s">
        <v>101</v>
      </c>
      <c r="S8" s="39"/>
      <c r="T8" s="39" t="s">
        <v>100</v>
      </c>
      <c r="U8" s="39" t="s">
        <v>102</v>
      </c>
      <c r="V8" s="39"/>
      <c r="W8" s="39" t="s">
        <v>100</v>
      </c>
      <c r="X8" s="39" t="s">
        <v>103</v>
      </c>
      <c r="Y8" s="39" t="s">
        <v>104</v>
      </c>
      <c r="Z8" s="39" t="s">
        <v>105</v>
      </c>
      <c r="AA8" s="39" t="s">
        <v>106</v>
      </c>
      <c r="AB8" s="39" t="s">
        <v>107</v>
      </c>
      <c r="AC8" s="39" t="s">
        <v>108</v>
      </c>
      <c r="AD8" s="31"/>
      <c r="AE8" s="37"/>
      <c r="AF8" s="37"/>
      <c r="AG8" s="37"/>
      <c r="AH8" s="37"/>
      <c r="AI8" s="37"/>
      <c r="AJ8" s="39" t="s">
        <v>109</v>
      </c>
      <c r="AK8" s="39" t="s">
        <v>110</v>
      </c>
      <c r="AL8" s="40" t="s">
        <v>111</v>
      </c>
      <c r="AM8" s="41" t="s">
        <v>112</v>
      </c>
      <c r="AN8" s="41" t="s">
        <v>113</v>
      </c>
    </row>
    <row r="9" ht="13.5" customHeight="1">
      <c r="A9" s="42" t="str">
        <f>AE9</f>
        <v>Emann Xuereb / Sabrina Xuereb</v>
      </c>
      <c r="B9" s="43">
        <v>6.0</v>
      </c>
      <c r="C9" s="44">
        <f>IF(B9&gt;B11,1,0)</f>
        <v>1</v>
      </c>
      <c r="D9" s="45"/>
      <c r="E9" s="43">
        <v>6.0</v>
      </c>
      <c r="F9" s="44">
        <f>IF(E9&gt;E11,1,0)</f>
        <v>1</v>
      </c>
      <c r="G9" s="45"/>
      <c r="H9" s="46"/>
      <c r="I9" s="31">
        <f>IF(H9&gt;H11,1,0)</f>
        <v>0</v>
      </c>
      <c r="J9" s="31">
        <f>IF(B9="",0,1)</f>
        <v>1</v>
      </c>
      <c r="K9" s="31">
        <f>IF(C9+F9=2,3,IF(C9+F9=1,1,0))</f>
        <v>3</v>
      </c>
      <c r="L9" s="31">
        <f>IF(K9=3,3,IF(I9+K9=2,2,IF(K9=1,1,0)))</f>
        <v>3</v>
      </c>
      <c r="M9" s="31">
        <f>B9+E9</f>
        <v>12</v>
      </c>
      <c r="N9" s="31">
        <f>C9+F9+I9</f>
        <v>2</v>
      </c>
      <c r="O9" s="31"/>
      <c r="P9" s="42" t="str">
        <f>AE9</f>
        <v>Emann Xuereb / Sabrina Xuereb</v>
      </c>
      <c r="Q9" s="43">
        <v>4.0</v>
      </c>
      <c r="R9" s="44">
        <f>IF(Q9&gt;Q11,1,0)</f>
        <v>0</v>
      </c>
      <c r="S9" s="45"/>
      <c r="T9" s="43">
        <v>1.0</v>
      </c>
      <c r="U9" s="44">
        <f>IF(T9&gt;T11,1,0)</f>
        <v>0</v>
      </c>
      <c r="V9" s="45"/>
      <c r="W9" s="46"/>
      <c r="X9" s="31">
        <f>IF(W9&gt;W11,1,0)</f>
        <v>0</v>
      </c>
      <c r="Y9" s="31">
        <f>IF(Q9="",0,1)</f>
        <v>1</v>
      </c>
      <c r="Z9" s="31">
        <f>IF(R9+U9=2,3,IF(R9+U9=1,1,0))</f>
        <v>0</v>
      </c>
      <c r="AA9" s="31">
        <f>IF(Z9=3,3,IF(X9+Z9=2,2,IF(Z9=1,1,0)))</f>
        <v>0</v>
      </c>
      <c r="AB9" s="31">
        <f>Q9+T9</f>
        <v>5</v>
      </c>
      <c r="AC9" s="31">
        <f>R9+U9+X9</f>
        <v>0</v>
      </c>
      <c r="AD9" s="31"/>
      <c r="AE9" s="87" t="str">
        <f>Players!B30&amp; " / " &amp;Players!C30</f>
        <v>Emann Xuereb / Sabrina Xuereb</v>
      </c>
      <c r="AF9" s="48">
        <f>J9+Y9+J13+Y13+J17</f>
        <v>5</v>
      </c>
      <c r="AG9" s="48">
        <f t="shared" ref="AG9:AI9" si="1">L9+AA9+L13+AA13+L17</f>
        <v>12</v>
      </c>
      <c r="AH9" s="48">
        <f t="shared" si="1"/>
        <v>54</v>
      </c>
      <c r="AI9" s="49">
        <f t="shared" si="1"/>
        <v>8</v>
      </c>
      <c r="AJ9" s="31">
        <f>MAX(AG9:AG19)</f>
        <v>13</v>
      </c>
      <c r="AK9" s="31">
        <f>LARGE(AG9:AG19, 2)</f>
        <v>12</v>
      </c>
      <c r="AL9" s="31">
        <f>SUM(AF9:AF19)</f>
        <v>30</v>
      </c>
      <c r="AM9" s="31" t="str">
        <f>IF(AG9=$AJ$9,AE9,IF(AG11=$AJ$9,AE11,IF(AG13=$AJ$9,AE13,IF(AG15=$AJ$9,AE15,IF(AG17=$AJ$9,AE17,IF(AG19=$AJ$9,AE19,""))))))</f>
        <v>George Grech / Jade Sammut</v>
      </c>
      <c r="AN9" s="31" t="str">
        <f>IF(AG9=$AK$9,AE9,IF(AG11=$AK$9,AE11,IF(AG13=$AK$9,AE13,IF(AG15=$AK$9,AE15,IF(AG17=$AK$9,AE17,IF(AG19=$AK$9,AE19,""))))))</f>
        <v>Emann Xuereb / Sabrina Xuereb</v>
      </c>
    </row>
    <row r="10" ht="13.5" customHeight="1">
      <c r="A10" s="50" t="s">
        <v>114</v>
      </c>
      <c r="H10" s="51"/>
      <c r="I10" s="52"/>
      <c r="J10" s="31"/>
      <c r="K10" s="31"/>
      <c r="L10" s="31"/>
      <c r="M10" s="31"/>
      <c r="N10" s="31"/>
      <c r="O10" s="31"/>
      <c r="P10" s="50" t="s">
        <v>114</v>
      </c>
      <c r="W10" s="51"/>
      <c r="X10" s="52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7"/>
      <c r="AL10" s="37"/>
      <c r="AM10" s="31"/>
      <c r="AN10" s="31"/>
    </row>
    <row r="11" ht="13.5" customHeight="1">
      <c r="A11" s="53" t="str">
        <f>AE11</f>
        <v>Dunstan Vella / Heidi Tabone</v>
      </c>
      <c r="B11" s="43">
        <v>1.0</v>
      </c>
      <c r="C11" s="54">
        <f>IF(B11&gt;B9,1,0)</f>
        <v>0</v>
      </c>
      <c r="D11" s="55"/>
      <c r="E11" s="43">
        <v>2.0</v>
      </c>
      <c r="F11" s="54">
        <f>IF(E11&gt;E9,1,0)</f>
        <v>0</v>
      </c>
      <c r="G11" s="55"/>
      <c r="H11" s="46"/>
      <c r="I11" s="31">
        <f>IF(H11&gt;H9,1,0)</f>
        <v>0</v>
      </c>
      <c r="J11" s="31">
        <f>IF(B11="",0,1)</f>
        <v>1</v>
      </c>
      <c r="K11" s="31">
        <f>IF(C11+F11=2,3,IF(C11+F11=1,1,0))</f>
        <v>0</v>
      </c>
      <c r="L11" s="31">
        <f>IF(K11=3,3,IF(I11+K11=2,2,IF(K11=1,1,0)))</f>
        <v>0</v>
      </c>
      <c r="M11" s="31">
        <f>B11+E11</f>
        <v>3</v>
      </c>
      <c r="N11" s="31">
        <f>C11+F11+I11</f>
        <v>0</v>
      </c>
      <c r="O11" s="31"/>
      <c r="P11" s="53" t="str">
        <f>AE13</f>
        <v>George Grech / Jade Sammut</v>
      </c>
      <c r="Q11" s="43">
        <v>6.0</v>
      </c>
      <c r="R11" s="54">
        <f>IF(Q11&gt;Q9,1,0)</f>
        <v>1</v>
      </c>
      <c r="S11" s="55"/>
      <c r="T11" s="43">
        <v>6.0</v>
      </c>
      <c r="U11" s="54">
        <f>IF(T11&gt;T9,1,0)</f>
        <v>1</v>
      </c>
      <c r="V11" s="55"/>
      <c r="W11" s="46"/>
      <c r="X11" s="31">
        <f>IF(W11&gt;W9,1,0)</f>
        <v>0</v>
      </c>
      <c r="Y11" s="31">
        <f>IF(Q11="",0,1)</f>
        <v>1</v>
      </c>
      <c r="Z11" s="31">
        <f>IF(R11+U11=2,3,IF(R11+U11=1,1,0))</f>
        <v>3</v>
      </c>
      <c r="AA11" s="31">
        <f>IF(Z11=3,3,IF(X11+Z11=2,2,IF(Z11=1,1,0)))</f>
        <v>3</v>
      </c>
      <c r="AB11" s="31">
        <f>Q11+T11</f>
        <v>12</v>
      </c>
      <c r="AC11" s="31">
        <f>R11+U11+X11</f>
        <v>2</v>
      </c>
      <c r="AD11" s="31"/>
      <c r="AE11" s="87" t="str">
        <f>Players!B31&amp; " / " &amp;Players!C31</f>
        <v>Dunstan Vella / Heidi Tabone</v>
      </c>
      <c r="AF11" s="48">
        <f>J11+Y25+J25+Y21+J21</f>
        <v>5</v>
      </c>
      <c r="AG11" s="48">
        <f t="shared" ref="AG11:AI11" si="2">L11+AA25+L25+AA21+L21</f>
        <v>3</v>
      </c>
      <c r="AH11" s="48">
        <f t="shared" si="2"/>
        <v>22</v>
      </c>
      <c r="AI11" s="49">
        <f t="shared" si="2"/>
        <v>2</v>
      </c>
      <c r="AJ11" s="37"/>
      <c r="AK11" s="37"/>
      <c r="AL11" s="37"/>
      <c r="AM11" s="31"/>
      <c r="AN11" s="31"/>
    </row>
    <row r="12" ht="13.5" customHeight="1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7"/>
      <c r="AG12" s="37"/>
      <c r="AH12" s="37"/>
      <c r="AI12" s="37"/>
      <c r="AJ12" s="37"/>
      <c r="AK12" s="37"/>
      <c r="AL12" s="37"/>
      <c r="AM12" s="31"/>
      <c r="AN12" s="31"/>
    </row>
    <row r="13" ht="13.5" customHeight="1">
      <c r="A13" s="42" t="str">
        <f>AE9</f>
        <v>Emann Xuereb / Sabrina Xuereb</v>
      </c>
      <c r="B13" s="43">
        <v>6.0</v>
      </c>
      <c r="C13" s="44">
        <f>IF(B13&gt;B15,1,0)</f>
        <v>1</v>
      </c>
      <c r="D13" s="45"/>
      <c r="E13" s="43">
        <v>7.0</v>
      </c>
      <c r="F13" s="44">
        <f>IF(E13&gt;E15,1,0)</f>
        <v>1</v>
      </c>
      <c r="G13" s="45"/>
      <c r="H13" s="46"/>
      <c r="I13" s="31">
        <f>IF(H13&gt;H15,1,0)</f>
        <v>0</v>
      </c>
      <c r="J13" s="31">
        <f>IF(B13="",0,1)</f>
        <v>1</v>
      </c>
      <c r="K13" s="31">
        <f>IF(C13+F13=2,3,IF(C13+F13=1,1,0))</f>
        <v>3</v>
      </c>
      <c r="L13" s="31">
        <f>IF(K13=3,3,IF(I13+K13=2,2,IF(K13=1,1,0)))</f>
        <v>3</v>
      </c>
      <c r="M13" s="31">
        <f>B13+E13</f>
        <v>13</v>
      </c>
      <c r="N13" s="31">
        <f>C13+F13+I13</f>
        <v>2</v>
      </c>
      <c r="O13" s="31"/>
      <c r="P13" s="42" t="str">
        <f>AE9</f>
        <v>Emann Xuereb / Sabrina Xuereb</v>
      </c>
      <c r="Q13" s="43">
        <v>6.0</v>
      </c>
      <c r="R13" s="44">
        <f>IF(Q13&gt;Q15,1,0)</f>
        <v>1</v>
      </c>
      <c r="S13" s="45"/>
      <c r="T13" s="43">
        <v>6.0</v>
      </c>
      <c r="U13" s="44">
        <f>IF(T13&gt;T15,1,0)</f>
        <v>1</v>
      </c>
      <c r="V13" s="45"/>
      <c r="W13" s="46"/>
      <c r="X13" s="31">
        <f>IF(W13&gt;W15,1,0)</f>
        <v>0</v>
      </c>
      <c r="Y13" s="31">
        <f>IF(Q13="",0,1)</f>
        <v>1</v>
      </c>
      <c r="Z13" s="31">
        <f>IF(R13+U13=2,3,IF(R13+U13=1,1,0))</f>
        <v>3</v>
      </c>
      <c r="AA13" s="31">
        <f>IF(Z13=3,3,IF(X13+Z13=2,2,IF(Z13=1,1,0)))</f>
        <v>3</v>
      </c>
      <c r="AB13" s="31">
        <f>Q13+T13</f>
        <v>12</v>
      </c>
      <c r="AC13" s="31">
        <f>R13+U13+X13</f>
        <v>2</v>
      </c>
      <c r="AD13" s="31"/>
      <c r="AE13" s="87" t="str">
        <f>Players!B32&amp; " / " &amp;Players!C32</f>
        <v>George Grech / Jade Sammut</v>
      </c>
      <c r="AF13" s="48">
        <f>Y29+Y11+Y33+J33+J23</f>
        <v>5</v>
      </c>
      <c r="AG13" s="48">
        <f t="shared" ref="AG13:AI13" si="3">AA29+AA11+AA33+L33+L23</f>
        <v>13</v>
      </c>
      <c r="AH13" s="48">
        <f t="shared" si="3"/>
        <v>59</v>
      </c>
      <c r="AI13" s="49">
        <f t="shared" si="3"/>
        <v>9</v>
      </c>
      <c r="AJ13" s="37"/>
      <c r="AK13" s="37"/>
      <c r="AL13" s="37"/>
      <c r="AM13" s="31"/>
      <c r="AN13" s="31"/>
    </row>
    <row r="14" ht="13.5" customHeight="1">
      <c r="A14" s="50" t="s">
        <v>114</v>
      </c>
      <c r="H14" s="51"/>
      <c r="I14" s="52"/>
      <c r="J14" s="31"/>
      <c r="K14" s="31"/>
      <c r="L14" s="31"/>
      <c r="M14" s="31"/>
      <c r="N14" s="31"/>
      <c r="O14" s="31"/>
      <c r="P14" s="50" t="s">
        <v>114</v>
      </c>
      <c r="W14" s="51"/>
      <c r="X14" s="52"/>
      <c r="Y14" s="31"/>
      <c r="Z14" s="31"/>
      <c r="AA14" s="31"/>
      <c r="AB14" s="31"/>
      <c r="AC14" s="31"/>
      <c r="AD14" s="31"/>
      <c r="AE14" s="31"/>
      <c r="AF14" s="37"/>
      <c r="AG14" s="37"/>
      <c r="AH14" s="37"/>
      <c r="AI14" s="37"/>
      <c r="AJ14" s="37"/>
      <c r="AK14" s="37"/>
      <c r="AL14" s="37"/>
      <c r="AM14" s="31"/>
      <c r="AN14" s="31"/>
    </row>
    <row r="15" ht="13.5" customHeight="1">
      <c r="A15" s="53" t="str">
        <f>AE15</f>
        <v>Jayboy Lastimosa / Ceridwen Scerri</v>
      </c>
      <c r="B15" s="43">
        <v>4.0</v>
      </c>
      <c r="C15" s="54">
        <f>IF(B15&gt;B13,1,0)</f>
        <v>0</v>
      </c>
      <c r="D15" s="55"/>
      <c r="E15" s="43">
        <v>6.0</v>
      </c>
      <c r="F15" s="54">
        <f>IF(E15&gt;E13,1,0)</f>
        <v>0</v>
      </c>
      <c r="G15" s="55"/>
      <c r="H15" s="46"/>
      <c r="I15" s="31">
        <f>IF(H15&gt;H13,1,0)</f>
        <v>0</v>
      </c>
      <c r="J15" s="31">
        <f>IF(B15="",0,1)</f>
        <v>1</v>
      </c>
      <c r="K15" s="31">
        <f>IF(C15+F15=2,3,IF(C15+F15=1,1,0))</f>
        <v>0</v>
      </c>
      <c r="L15" s="31">
        <f>IF(K15=3,3,IF(I15+K15=2,2,IF(K15=1,1,0)))</f>
        <v>0</v>
      </c>
      <c r="M15" s="31">
        <f>B15+E15</f>
        <v>10</v>
      </c>
      <c r="N15" s="31">
        <f>C15+F15+I15</f>
        <v>0</v>
      </c>
      <c r="O15" s="31"/>
      <c r="P15" s="53" t="str">
        <f>AE17</f>
        <v>Ryan Ebejer / Sophia Re</v>
      </c>
      <c r="Q15" s="43">
        <v>4.0</v>
      </c>
      <c r="R15" s="54">
        <f>IF(Q15&gt;Q13,1,0)</f>
        <v>0</v>
      </c>
      <c r="S15" s="55"/>
      <c r="T15" s="43">
        <v>1.0</v>
      </c>
      <c r="U15" s="54">
        <f>IF(T15&gt;T13,1,0)</f>
        <v>0</v>
      </c>
      <c r="V15" s="55"/>
      <c r="W15" s="46"/>
      <c r="X15" s="31">
        <f>IF(W15&gt;W13,1,0)</f>
        <v>0</v>
      </c>
      <c r="Y15" s="31">
        <f>IF(Q15="",0,1)</f>
        <v>1</v>
      </c>
      <c r="Z15" s="31">
        <f>IF(R15+U15=2,3,IF(R15+U15=1,1,0))</f>
        <v>0</v>
      </c>
      <c r="AA15" s="31">
        <f>IF(Z15=3,3,IF(X15+Z15=2,2,IF(Z15=1,1,0)))</f>
        <v>0</v>
      </c>
      <c r="AB15" s="31">
        <f>Q15+T15</f>
        <v>5</v>
      </c>
      <c r="AC15" s="31">
        <f>R15+U15+X15</f>
        <v>0</v>
      </c>
      <c r="AD15" s="31"/>
      <c r="AE15" s="87" t="str">
        <f>Players!B33&amp; " / " &amp;Players!C33</f>
        <v>Jayboy Lastimosa / Ceridwen Scerri</v>
      </c>
      <c r="AF15" s="48">
        <f>Y31+J37+J15+Y23+J29</f>
        <v>5</v>
      </c>
      <c r="AG15" s="48">
        <f t="shared" ref="AG15:AI15" si="4">AA31+L37+L15+AA23+L29</f>
        <v>10</v>
      </c>
      <c r="AH15" s="48">
        <f t="shared" si="4"/>
        <v>51</v>
      </c>
      <c r="AI15" s="49">
        <f t="shared" si="4"/>
        <v>8</v>
      </c>
      <c r="AJ15" s="37"/>
      <c r="AK15" s="37"/>
      <c r="AL15" s="37"/>
      <c r="AM15" s="31"/>
      <c r="AN15" s="31"/>
    </row>
    <row r="16" ht="13.5" customHeight="1">
      <c r="A16" s="31"/>
      <c r="B16" s="37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7"/>
      <c r="AG16" s="37"/>
      <c r="AH16" s="37"/>
      <c r="AI16" s="37"/>
      <c r="AJ16" s="37"/>
      <c r="AK16" s="37"/>
      <c r="AL16" s="37"/>
      <c r="AM16" s="31"/>
      <c r="AN16" s="31"/>
    </row>
    <row r="17" ht="13.5" customHeight="1">
      <c r="A17" s="42" t="str">
        <f>AE9</f>
        <v>Emann Xuereb / Sabrina Xuereb</v>
      </c>
      <c r="B17" s="43">
        <v>6.0</v>
      </c>
      <c r="C17" s="44">
        <f>IF(B17&gt;B19,1,0)</f>
        <v>1</v>
      </c>
      <c r="D17" s="45"/>
      <c r="E17" s="43">
        <v>6.0</v>
      </c>
      <c r="F17" s="44">
        <f>IF(E17&gt;E19,1,0)</f>
        <v>1</v>
      </c>
      <c r="G17" s="45"/>
      <c r="H17" s="46"/>
      <c r="I17" s="31">
        <f>IF(H17&gt;H19,1,0)</f>
        <v>0</v>
      </c>
      <c r="J17" s="31">
        <f>IF(B17="",0,1)</f>
        <v>1</v>
      </c>
      <c r="K17" s="31">
        <f>IF(C17+F17=2,3,IF(C17+F17=1,1,0))</f>
        <v>3</v>
      </c>
      <c r="L17" s="31">
        <f>IF(K17=3,3,IF(I17+K17=2,2,IF(K17=1,1,0)))</f>
        <v>3</v>
      </c>
      <c r="M17" s="31">
        <f>B17+E17</f>
        <v>12</v>
      </c>
      <c r="N17" s="31">
        <f>C17+F17+I17</f>
        <v>2</v>
      </c>
      <c r="O17" s="31"/>
      <c r="P17" s="42" t="str">
        <f>AE17</f>
        <v>Ryan Ebejer / Sophia Re</v>
      </c>
      <c r="Q17" s="43">
        <v>6.0</v>
      </c>
      <c r="R17" s="44">
        <f>IF(Q17&gt;Q19,1,0)</f>
        <v>1</v>
      </c>
      <c r="S17" s="45"/>
      <c r="T17" s="43">
        <v>6.0</v>
      </c>
      <c r="U17" s="44">
        <f>IF(T17&gt;T19,1,0)</f>
        <v>1</v>
      </c>
      <c r="V17" s="45"/>
      <c r="W17" s="46"/>
      <c r="X17" s="31">
        <f>IF(W17&gt;W19,1,0)</f>
        <v>0</v>
      </c>
      <c r="Y17" s="31">
        <f>IF(Q17="",0,1)</f>
        <v>1</v>
      </c>
      <c r="Z17" s="31">
        <f>IF(R17+U17=2,3,IF(R17+U17=1,1,0))</f>
        <v>3</v>
      </c>
      <c r="AA17" s="31">
        <f>IF(Z17=3,3,IF(X17+Z17=2,2,IF(Z17=1,1,0)))</f>
        <v>3</v>
      </c>
      <c r="AB17" s="31">
        <f>Q17+T17</f>
        <v>12</v>
      </c>
      <c r="AC17" s="31">
        <f>R17+U17+X17</f>
        <v>2</v>
      </c>
      <c r="AD17" s="58" t="s">
        <v>119</v>
      </c>
      <c r="AE17" s="87" t="str">
        <f>Players!B34&amp; " / " &amp;Players!C34</f>
        <v>Ryan Ebejer / Sophia Re</v>
      </c>
      <c r="AF17" s="48">
        <f>Y17+J39+J27+Y15+J35</f>
        <v>5</v>
      </c>
      <c r="AG17" s="48">
        <f t="shared" ref="AG17:AI17" si="5">AA17+L39+L27+AA15+L35</f>
        <v>6</v>
      </c>
      <c r="AH17" s="48">
        <f t="shared" si="5"/>
        <v>37</v>
      </c>
      <c r="AI17" s="49">
        <f t="shared" si="5"/>
        <v>4</v>
      </c>
      <c r="AJ17" s="37"/>
      <c r="AK17" s="37"/>
      <c r="AL17" s="37"/>
      <c r="AM17" s="31"/>
      <c r="AN17" s="31"/>
    </row>
    <row r="18" ht="13.5" customHeight="1">
      <c r="A18" s="50" t="s">
        <v>114</v>
      </c>
      <c r="H18" s="51"/>
      <c r="I18" s="52"/>
      <c r="J18" s="31"/>
      <c r="K18" s="31"/>
      <c r="L18" s="31"/>
      <c r="M18" s="31"/>
      <c r="N18" s="31"/>
      <c r="O18" s="31"/>
      <c r="P18" s="50" t="s">
        <v>114</v>
      </c>
      <c r="W18" s="51"/>
      <c r="X18" s="52"/>
      <c r="Y18" s="31"/>
      <c r="Z18" s="31"/>
      <c r="AA18" s="31"/>
      <c r="AB18" s="31"/>
      <c r="AC18" s="31"/>
      <c r="AD18" s="31"/>
      <c r="AE18" s="31"/>
      <c r="AF18" s="37"/>
      <c r="AG18" s="37"/>
      <c r="AH18" s="37"/>
      <c r="AI18" s="37"/>
      <c r="AJ18" s="37"/>
      <c r="AK18" s="37"/>
      <c r="AL18" s="37"/>
      <c r="AM18" s="31"/>
      <c r="AN18" s="31"/>
    </row>
    <row r="19" ht="13.5" customHeight="1">
      <c r="A19" s="53" t="str">
        <f>AE19</f>
        <v>Darell Pace / Jennifer Mifsud</v>
      </c>
      <c r="B19" s="43">
        <v>2.0</v>
      </c>
      <c r="C19" s="54">
        <f>IF(B19&gt;B17,1,0)</f>
        <v>0</v>
      </c>
      <c r="D19" s="55"/>
      <c r="E19" s="43">
        <v>1.0</v>
      </c>
      <c r="F19" s="54">
        <f>IF(E19&gt;E17,1,0)</f>
        <v>0</v>
      </c>
      <c r="G19" s="55"/>
      <c r="H19" s="46"/>
      <c r="I19" s="31">
        <f>IF(H19&gt;H17,1,0)</f>
        <v>0</v>
      </c>
      <c r="J19" s="31">
        <f>IF(B19="",0,1)</f>
        <v>1</v>
      </c>
      <c r="K19" s="31">
        <f>IF(C19+F19=2,3,IF(C19+F19=1,1,0))</f>
        <v>0</v>
      </c>
      <c r="L19" s="31">
        <f>IF(K19=3,3,IF(I19+K19=2,2,IF(K19=1,1,0)))</f>
        <v>0</v>
      </c>
      <c r="M19" s="31">
        <f>B19+E19</f>
        <v>3</v>
      </c>
      <c r="N19" s="31">
        <f>C19+F19+I19</f>
        <v>0</v>
      </c>
      <c r="O19" s="31"/>
      <c r="P19" s="53" t="str">
        <f>AE19</f>
        <v>Darell Pace / Jennifer Mifsud</v>
      </c>
      <c r="Q19" s="43">
        <v>0.0</v>
      </c>
      <c r="R19" s="54">
        <f>IF(Q19&gt;Q17,1,0)</f>
        <v>0</v>
      </c>
      <c r="S19" s="55"/>
      <c r="T19" s="43">
        <v>0.0</v>
      </c>
      <c r="U19" s="54">
        <f>IF(T19&gt;T17,1,0)</f>
        <v>0</v>
      </c>
      <c r="V19" s="55"/>
      <c r="W19" s="46"/>
      <c r="X19" s="31">
        <f>IF(W19&gt;W17,1,0)</f>
        <v>0</v>
      </c>
      <c r="Y19" s="31">
        <f>IF(Q19="",0,1)</f>
        <v>1</v>
      </c>
      <c r="Z19" s="31">
        <f>IF(R19+U19=2,3,IF(R19+U19=1,1,0))</f>
        <v>0</v>
      </c>
      <c r="AA19" s="31">
        <f>IF(Z19=3,3,IF(X19+Z19=2,2,IF(Z19=1,1,0)))</f>
        <v>0</v>
      </c>
      <c r="AB19" s="31">
        <f>Q19+T19</f>
        <v>0</v>
      </c>
      <c r="AC19" s="31">
        <f>R19+U19+X19</f>
        <v>0</v>
      </c>
      <c r="AD19" s="31"/>
      <c r="AE19" s="87" t="str">
        <f>Players!B35&amp; " / " &amp;Players!C35</f>
        <v>Darell Pace / Jennifer Mifsud</v>
      </c>
      <c r="AF19" s="48">
        <f>Y19+Y27+Y35+J19+J31</f>
        <v>5</v>
      </c>
      <c r="AG19" s="48">
        <f t="shared" ref="AG19:AI19" si="6">AA19+AA27+AA35+L19+L31</f>
        <v>1</v>
      </c>
      <c r="AH19" s="48">
        <f t="shared" si="6"/>
        <v>26</v>
      </c>
      <c r="AI19" s="49">
        <f t="shared" si="6"/>
        <v>1</v>
      </c>
      <c r="AJ19" s="31"/>
      <c r="AK19" s="37"/>
      <c r="AL19" s="37"/>
      <c r="AM19" s="31"/>
      <c r="AN19" s="31"/>
    </row>
    <row r="20" ht="13.5" customHeight="1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7"/>
      <c r="AL20" s="31"/>
      <c r="AM20" s="31"/>
      <c r="AN20" s="31"/>
    </row>
    <row r="21" ht="13.5" customHeight="1">
      <c r="A21" s="42" t="str">
        <f>AE11</f>
        <v>Dunstan Vella / Heidi Tabone</v>
      </c>
      <c r="B21" s="43">
        <v>0.0</v>
      </c>
      <c r="C21" s="44">
        <f>IF(B21&gt;B23,1,0)</f>
        <v>0</v>
      </c>
      <c r="D21" s="45"/>
      <c r="E21" s="43">
        <v>0.0</v>
      </c>
      <c r="F21" s="44">
        <f>IF(E21&gt;E23,1,0)</f>
        <v>0</v>
      </c>
      <c r="G21" s="45"/>
      <c r="H21" s="46"/>
      <c r="I21" s="31">
        <f>IF(H21&gt;H23,1,0)</f>
        <v>0</v>
      </c>
      <c r="J21" s="31">
        <f>IF(B21="",0,1)</f>
        <v>1</v>
      </c>
      <c r="K21" s="31">
        <f>IF(C21+F21=2,3,IF(C21+F21=1,1,0))</f>
        <v>0</v>
      </c>
      <c r="L21" s="31">
        <f>IF(K21=3,3,IF(I21+K21=2,2,IF(K21=1,1,0)))</f>
        <v>0</v>
      </c>
      <c r="M21" s="31">
        <f>B21+E21</f>
        <v>0</v>
      </c>
      <c r="N21" s="31">
        <f>C21+F21+I21</f>
        <v>0</v>
      </c>
      <c r="O21" s="58" t="s">
        <v>119</v>
      </c>
      <c r="P21" s="42" t="str">
        <f>AE11</f>
        <v>Dunstan Vella / Heidi Tabone</v>
      </c>
      <c r="Q21" s="43">
        <v>2.0</v>
      </c>
      <c r="R21" s="44">
        <f>IF(Q21&gt;Q23,1,0)</f>
        <v>0</v>
      </c>
      <c r="S21" s="45"/>
      <c r="T21" s="43">
        <v>0.0</v>
      </c>
      <c r="U21" s="44">
        <f>IF(T21&gt;T23,1,0)</f>
        <v>0</v>
      </c>
      <c r="V21" s="45"/>
      <c r="W21" s="46"/>
      <c r="X21" s="31">
        <f>IF(W21&gt;W23,1,0)</f>
        <v>0</v>
      </c>
      <c r="Y21" s="31">
        <f>IF(Q21="",0,1)</f>
        <v>1</v>
      </c>
      <c r="Z21" s="31">
        <f>IF(R21+U21=2,3,IF(R21+U21=1,1,0))</f>
        <v>0</v>
      </c>
      <c r="AA21" s="31">
        <f>IF(Z21=3,3,IF(X21+Z21=2,2,IF(Z21=1,1,0)))</f>
        <v>0</v>
      </c>
      <c r="AB21" s="31">
        <f>Q21+T21</f>
        <v>2</v>
      </c>
      <c r="AC21" s="31">
        <f>R21+U21+X21</f>
        <v>0</v>
      </c>
      <c r="AD21" s="31"/>
      <c r="AE21" s="83" t="s">
        <v>115</v>
      </c>
      <c r="AF21" s="34"/>
      <c r="AG21" s="34"/>
      <c r="AH21" s="34"/>
      <c r="AI21" s="8"/>
      <c r="AJ21" s="31"/>
      <c r="AK21" s="31"/>
      <c r="AL21" s="31"/>
      <c r="AM21" s="31"/>
      <c r="AN21" s="31"/>
    </row>
    <row r="22" ht="13.5" customHeight="1">
      <c r="A22" s="50" t="s">
        <v>114</v>
      </c>
      <c r="H22" s="51"/>
      <c r="I22" s="52"/>
      <c r="J22" s="31"/>
      <c r="K22" s="31"/>
      <c r="L22" s="31"/>
      <c r="M22" s="31"/>
      <c r="N22" s="31"/>
      <c r="O22" s="31"/>
      <c r="P22" s="50" t="s">
        <v>114</v>
      </c>
      <c r="W22" s="51"/>
      <c r="X22" s="52"/>
      <c r="Y22" s="31"/>
      <c r="Z22" s="31"/>
      <c r="AA22" s="31"/>
      <c r="AB22" s="31"/>
      <c r="AC22" s="31"/>
      <c r="AD22" s="31"/>
      <c r="AE22" s="57" t="s">
        <v>124</v>
      </c>
      <c r="AF22" s="34"/>
      <c r="AG22" s="34"/>
      <c r="AH22" s="34"/>
      <c r="AI22" s="8"/>
      <c r="AJ22" s="31"/>
      <c r="AK22" s="37"/>
      <c r="AL22" s="31"/>
      <c r="AM22" s="31"/>
      <c r="AN22" s="31"/>
    </row>
    <row r="23" ht="13.5" customHeight="1">
      <c r="A23" s="53" t="str">
        <f>AE13</f>
        <v>George Grech / Jade Sammut</v>
      </c>
      <c r="B23" s="43">
        <v>6.0</v>
      </c>
      <c r="C23" s="54">
        <f>IF(B23&gt;B21,1,0)</f>
        <v>1</v>
      </c>
      <c r="D23" s="55"/>
      <c r="E23" s="43">
        <v>6.0</v>
      </c>
      <c r="F23" s="54">
        <f>IF(E23&gt;E21,1,0)</f>
        <v>1</v>
      </c>
      <c r="G23" s="55"/>
      <c r="H23" s="46"/>
      <c r="I23" s="31">
        <f>IF(H23&gt;H21,1,0)</f>
        <v>0</v>
      </c>
      <c r="J23" s="31">
        <f>IF(B23="",0,1)</f>
        <v>1</v>
      </c>
      <c r="K23" s="31">
        <f>IF(C23+F23=2,3,IF(C23+F23=1,1,0))</f>
        <v>3</v>
      </c>
      <c r="L23" s="31">
        <f>IF(K23=3,3,IF(I23+K23=2,2,IF(K23=1,1,0)))</f>
        <v>3</v>
      </c>
      <c r="M23" s="31">
        <f>B23+E23</f>
        <v>12</v>
      </c>
      <c r="N23" s="31">
        <f>C23+F23+I23</f>
        <v>2</v>
      </c>
      <c r="O23" s="31"/>
      <c r="P23" s="53" t="str">
        <f>AE15</f>
        <v>Jayboy Lastimosa / Ceridwen Scerri</v>
      </c>
      <c r="Q23" s="43">
        <v>6.0</v>
      </c>
      <c r="R23" s="54">
        <f>IF(Q23&gt;Q21,1,0)</f>
        <v>1</v>
      </c>
      <c r="S23" s="55"/>
      <c r="T23" s="43">
        <v>6.0</v>
      </c>
      <c r="U23" s="54">
        <f>IF(T23&gt;T21,1,0)</f>
        <v>1</v>
      </c>
      <c r="V23" s="55"/>
      <c r="W23" s="46"/>
      <c r="X23" s="31">
        <f>IF(W23&gt;W21,1,0)</f>
        <v>0</v>
      </c>
      <c r="Y23" s="31">
        <f>IF(Q23="",0,1)</f>
        <v>1</v>
      </c>
      <c r="Z23" s="31">
        <f>IF(R23+U23=2,3,IF(R23+U23=1,1,0))</f>
        <v>3</v>
      </c>
      <c r="AA23" s="31">
        <f>IF(Z23=3,3,IF(X23+Z23=2,2,IF(Z23=1,1,0)))</f>
        <v>3</v>
      </c>
      <c r="AB23" s="31">
        <f>Q23+T23</f>
        <v>12</v>
      </c>
      <c r="AC23" s="31">
        <f>R23+U23+X23</f>
        <v>2</v>
      </c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</row>
    <row r="24" ht="13.5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</row>
    <row r="25" ht="13.5" customHeight="1">
      <c r="A25" s="42" t="str">
        <f>AE11</f>
        <v>Dunstan Vella / Heidi Tabone</v>
      </c>
      <c r="B25" s="43">
        <v>2.0</v>
      </c>
      <c r="C25" s="44">
        <f>IF(B25&gt;B27,1,0)</f>
        <v>0</v>
      </c>
      <c r="D25" s="45"/>
      <c r="E25" s="43">
        <v>2.0</v>
      </c>
      <c r="F25" s="44">
        <f>IF(E25&gt;E27,1,0)</f>
        <v>0</v>
      </c>
      <c r="G25" s="45"/>
      <c r="H25" s="46"/>
      <c r="I25" s="31">
        <f>IF(H25&gt;H27,1,0)</f>
        <v>0</v>
      </c>
      <c r="J25" s="31">
        <f>IF(B25="",0,1)</f>
        <v>1</v>
      </c>
      <c r="K25" s="31">
        <f>IF(C25+F25=2,3,IF(C25+F25=1,1,0))</f>
        <v>0</v>
      </c>
      <c r="L25" s="31">
        <f>IF(K25=3,3,IF(I25+K25=2,2,IF(K25=1,1,0)))</f>
        <v>0</v>
      </c>
      <c r="M25" s="31">
        <f>B25+E25</f>
        <v>4</v>
      </c>
      <c r="N25" s="31">
        <f>C25+F25+I25</f>
        <v>0</v>
      </c>
      <c r="O25" s="31"/>
      <c r="P25" s="42" t="str">
        <f>AE11</f>
        <v>Dunstan Vella / Heidi Tabone</v>
      </c>
      <c r="Q25" s="43">
        <v>7.0</v>
      </c>
      <c r="R25" s="44">
        <f>IF(Q25&gt;Q27,1,0)</f>
        <v>1</v>
      </c>
      <c r="S25" s="45"/>
      <c r="T25" s="43">
        <v>6.0</v>
      </c>
      <c r="U25" s="44">
        <f>IF(T25&gt;T27,1,0)</f>
        <v>1</v>
      </c>
      <c r="V25" s="45"/>
      <c r="W25" s="46"/>
      <c r="X25" s="31">
        <f>IF(W25&gt;W27,1,0)</f>
        <v>0</v>
      </c>
      <c r="Y25" s="31">
        <f>IF(Q25="",0,1)</f>
        <v>1</v>
      </c>
      <c r="Z25" s="31">
        <f>IF(R25+U25=2,3,IF(R25+U25=1,1,0))</f>
        <v>3</v>
      </c>
      <c r="AA25" s="31">
        <f>IF(Z25=3,3,IF(X25+Z25=2,2,IF(Z25=1,1,0)))</f>
        <v>3</v>
      </c>
      <c r="AB25" s="31">
        <f>Q25+T25</f>
        <v>13</v>
      </c>
      <c r="AC25" s="31">
        <f>R25+U25+X25</f>
        <v>2</v>
      </c>
      <c r="AD25" s="31"/>
      <c r="AE25" s="83" t="s">
        <v>117</v>
      </c>
      <c r="AF25" s="34"/>
      <c r="AG25" s="34"/>
      <c r="AH25" s="34"/>
      <c r="AI25" s="8"/>
      <c r="AJ25" s="31"/>
      <c r="AK25" s="31"/>
      <c r="AL25" s="31"/>
      <c r="AM25" s="31"/>
      <c r="AN25" s="31"/>
    </row>
    <row r="26" ht="13.5" customHeight="1">
      <c r="A26" s="50" t="s">
        <v>114</v>
      </c>
      <c r="H26" s="51"/>
      <c r="I26" s="52"/>
      <c r="J26" s="31"/>
      <c r="K26" s="31"/>
      <c r="L26" s="31"/>
      <c r="M26" s="31"/>
      <c r="N26" s="31"/>
      <c r="O26" s="31"/>
      <c r="P26" s="50" t="s">
        <v>114</v>
      </c>
      <c r="W26" s="51"/>
      <c r="X26" s="52"/>
      <c r="Y26" s="31"/>
      <c r="Z26" s="31"/>
      <c r="AA26" s="31"/>
      <c r="AB26" s="31"/>
      <c r="AC26" s="31"/>
      <c r="AD26" s="31"/>
      <c r="AE26" s="57" t="s">
        <v>125</v>
      </c>
      <c r="AF26" s="34"/>
      <c r="AG26" s="34"/>
      <c r="AH26" s="34"/>
      <c r="AI26" s="8"/>
      <c r="AJ26" s="31"/>
      <c r="AK26" s="31"/>
      <c r="AL26" s="31"/>
      <c r="AM26" s="31"/>
      <c r="AN26" s="31"/>
    </row>
    <row r="27" ht="13.5" customHeight="1">
      <c r="A27" s="53" t="str">
        <f>AE17</f>
        <v>Ryan Ebejer / Sophia Re</v>
      </c>
      <c r="B27" s="43">
        <v>6.0</v>
      </c>
      <c r="C27" s="54">
        <f>IF(B27&gt;B25,1,0)</f>
        <v>1</v>
      </c>
      <c r="D27" s="55"/>
      <c r="E27" s="43">
        <v>6.0</v>
      </c>
      <c r="F27" s="54">
        <f>IF(E27&gt;E25,1,0)</f>
        <v>1</v>
      </c>
      <c r="G27" s="55"/>
      <c r="H27" s="46"/>
      <c r="I27" s="31">
        <f>IF(H27&gt;H25,1,0)</f>
        <v>0</v>
      </c>
      <c r="J27" s="31">
        <f>IF(B27="",0,1)</f>
        <v>1</v>
      </c>
      <c r="K27" s="31">
        <f>IF(C27+F27=2,3,IF(C27+F27=1,1,0))</f>
        <v>3</v>
      </c>
      <c r="L27" s="31">
        <f>IF(K27=3,3,IF(I27+K27=2,2,IF(K27=1,1,0)))</f>
        <v>3</v>
      </c>
      <c r="M27" s="31">
        <f>B27+E27</f>
        <v>12</v>
      </c>
      <c r="N27" s="31">
        <f>C27+F27+I27</f>
        <v>2</v>
      </c>
      <c r="O27" s="31"/>
      <c r="P27" s="53" t="str">
        <f>AE19</f>
        <v>Darell Pace / Jennifer Mifsud</v>
      </c>
      <c r="Q27" s="43">
        <v>6.0</v>
      </c>
      <c r="R27" s="54">
        <f>IF(Q27&gt;Q25,1,0)</f>
        <v>0</v>
      </c>
      <c r="S27" s="55"/>
      <c r="T27" s="43">
        <v>3.0</v>
      </c>
      <c r="U27" s="54">
        <f>IF(T27&gt;T25,1,0)</f>
        <v>0</v>
      </c>
      <c r="V27" s="55"/>
      <c r="W27" s="46"/>
      <c r="X27" s="31">
        <f>IF(W27&gt;W25,1,0)</f>
        <v>0</v>
      </c>
      <c r="Y27" s="31">
        <f>IF(Q27="",0,1)</f>
        <v>1</v>
      </c>
      <c r="Z27" s="31">
        <f>IF(R27+U27=2,3,IF(R27+U27=1,1,0))</f>
        <v>0</v>
      </c>
      <c r="AA27" s="31">
        <f>IF(Z27=3,3,IF(X27+Z27=2,2,IF(Z27=1,1,0)))</f>
        <v>0</v>
      </c>
      <c r="AB27" s="31">
        <f>Q27+T27</f>
        <v>9</v>
      </c>
      <c r="AC27" s="31">
        <f>R27+U27+X27</f>
        <v>0</v>
      </c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</row>
    <row r="28" ht="13.5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7"/>
      <c r="AI28" s="31"/>
      <c r="AJ28" s="31"/>
      <c r="AK28" s="31"/>
      <c r="AL28" s="31"/>
      <c r="AM28" s="31"/>
      <c r="AN28" s="31"/>
    </row>
    <row r="29" ht="13.5" customHeight="1">
      <c r="A29" s="42" t="str">
        <f>AE15</f>
        <v>Jayboy Lastimosa / Ceridwen Scerri</v>
      </c>
      <c r="B29" s="43">
        <v>0.0</v>
      </c>
      <c r="C29" s="44">
        <f>IF(B29&gt;B31,1,0)</f>
        <v>0</v>
      </c>
      <c r="D29" s="45"/>
      <c r="E29" s="43">
        <v>6.0</v>
      </c>
      <c r="F29" s="44">
        <f>IF(E29&gt;E31,1,0)</f>
        <v>1</v>
      </c>
      <c r="G29" s="45"/>
      <c r="H29" s="43">
        <v>10.0</v>
      </c>
      <c r="I29" s="31">
        <f>IF(H29&gt;H31,1,0)</f>
        <v>1</v>
      </c>
      <c r="J29" s="31">
        <f>IF(B29="",0,1)</f>
        <v>1</v>
      </c>
      <c r="K29" s="31">
        <f>IF(C29+F29=2,3,IF(C29+F29=1,1,0))</f>
        <v>1</v>
      </c>
      <c r="L29" s="31">
        <f>IF(K29=3,3,IF(I29+K29=2,2,IF(K29=1,1,0)))</f>
        <v>2</v>
      </c>
      <c r="M29" s="31">
        <f>B29+E29</f>
        <v>6</v>
      </c>
      <c r="N29" s="31">
        <f>C29+F29+I29</f>
        <v>2</v>
      </c>
      <c r="O29" s="31"/>
      <c r="P29" s="42" t="str">
        <f>AE13</f>
        <v>George Grech / Jade Sammut</v>
      </c>
      <c r="Q29" s="43">
        <v>5.0</v>
      </c>
      <c r="R29" s="44">
        <f>IF(Q29&gt;Q31,1,0)</f>
        <v>0</v>
      </c>
      <c r="S29" s="45"/>
      <c r="T29" s="43">
        <v>6.0</v>
      </c>
      <c r="U29" s="44">
        <f>IF(T29&gt;T31,1,0)</f>
        <v>1</v>
      </c>
      <c r="V29" s="45"/>
      <c r="W29" s="43">
        <v>8.0</v>
      </c>
      <c r="X29" s="31">
        <f>IF(W29&gt;W31,1,0)</f>
        <v>0</v>
      </c>
      <c r="Y29" s="31">
        <f>IF(Q29="",0,1)</f>
        <v>1</v>
      </c>
      <c r="Z29" s="31">
        <f>IF(R29+U29=2,3,IF(R29+U29=1,1,0))</f>
        <v>1</v>
      </c>
      <c r="AA29" s="31">
        <f>IF(Z29=3,3,IF(X29+Z29=2,2,IF(Z29=1,1,0)))</f>
        <v>1</v>
      </c>
      <c r="AB29" s="31">
        <f>Q29+T29</f>
        <v>11</v>
      </c>
      <c r="AC29" s="31">
        <f>R29+U29+X29</f>
        <v>1</v>
      </c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</row>
    <row r="30" ht="13.5" customHeight="1">
      <c r="A30" s="50" t="s">
        <v>114</v>
      </c>
      <c r="H30" s="51"/>
      <c r="I30" s="52"/>
      <c r="J30" s="31"/>
      <c r="K30" s="31"/>
      <c r="L30" s="31"/>
      <c r="M30" s="31"/>
      <c r="N30" s="31"/>
      <c r="O30" s="31"/>
      <c r="P30" s="50" t="s">
        <v>114</v>
      </c>
      <c r="W30" s="51"/>
      <c r="X30" s="52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59"/>
      <c r="AM30" s="31"/>
      <c r="AN30" s="31"/>
    </row>
    <row r="31" ht="13.5" customHeight="1">
      <c r="A31" s="53" t="str">
        <f>AE19</f>
        <v>Darell Pace / Jennifer Mifsud</v>
      </c>
      <c r="B31" s="43">
        <v>6.0</v>
      </c>
      <c r="C31" s="54">
        <f>IF(B31&gt;B29,1,0)</f>
        <v>1</v>
      </c>
      <c r="D31" s="55"/>
      <c r="E31" s="43">
        <v>2.0</v>
      </c>
      <c r="F31" s="54">
        <f>IF(E31&gt;E29,1,0)</f>
        <v>0</v>
      </c>
      <c r="G31" s="55"/>
      <c r="H31" s="43">
        <v>4.0</v>
      </c>
      <c r="I31" s="31">
        <f>IF(H31&gt;H29,1,0)</f>
        <v>0</v>
      </c>
      <c r="J31" s="31">
        <f>IF(B31="",0,1)</f>
        <v>1</v>
      </c>
      <c r="K31" s="31">
        <f>IF(C31+F31=2,3,IF(C31+F31=1,1,0))</f>
        <v>1</v>
      </c>
      <c r="L31" s="31">
        <f>IF(K31=3,3,IF(I31+K31=2,2,IF(K31=1,1,0)))</f>
        <v>1</v>
      </c>
      <c r="M31" s="31">
        <f>B31+E31</f>
        <v>8</v>
      </c>
      <c r="N31" s="31">
        <f>C31+F31+I31</f>
        <v>1</v>
      </c>
      <c r="O31" s="31"/>
      <c r="P31" s="53" t="str">
        <f>AE15</f>
        <v>Jayboy Lastimosa / Ceridwen Scerri</v>
      </c>
      <c r="Q31" s="43">
        <v>7.0</v>
      </c>
      <c r="R31" s="54">
        <f>IF(Q31&gt;Q29,1,0)</f>
        <v>1</v>
      </c>
      <c r="S31" s="55"/>
      <c r="T31" s="43">
        <v>4.0</v>
      </c>
      <c r="U31" s="54">
        <f>IF(T31&gt;T29,1,0)</f>
        <v>0</v>
      </c>
      <c r="V31" s="55"/>
      <c r="W31" s="43">
        <v>10.0</v>
      </c>
      <c r="X31" s="31">
        <f>IF(W31&gt;W29,1,0)</f>
        <v>1</v>
      </c>
      <c r="Y31" s="31">
        <f>IF(Q31="",0,1)</f>
        <v>1</v>
      </c>
      <c r="Z31" s="31">
        <f>IF(R31+U31=2,3,IF(R31+U31=1,1,0))</f>
        <v>1</v>
      </c>
      <c r="AA31" s="31">
        <f>IF(Z31=3,3,IF(X31+Z31=2,2,IF(Z31=1,1,0)))</f>
        <v>2</v>
      </c>
      <c r="AB31" s="31">
        <f>Q31+T31</f>
        <v>11</v>
      </c>
      <c r="AC31" s="31">
        <f>R31+U31+X31</f>
        <v>2</v>
      </c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7"/>
    </row>
    <row r="32" ht="13.5" customHeight="1">
      <c r="A32" s="31"/>
      <c r="B32" s="31"/>
      <c r="C32" s="31"/>
      <c r="D32" s="31"/>
      <c r="E32" s="37"/>
      <c r="F32" s="31"/>
      <c r="G32" s="31"/>
      <c r="H32" s="37"/>
      <c r="I32" s="31"/>
      <c r="J32" s="37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7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59"/>
      <c r="AM32" s="31"/>
      <c r="AN32" s="31"/>
    </row>
    <row r="33" ht="13.5" customHeight="1">
      <c r="A33" s="42" t="str">
        <f>AE13</f>
        <v>George Grech / Jade Sammut</v>
      </c>
      <c r="B33" s="43">
        <v>6.0</v>
      </c>
      <c r="C33" s="44">
        <f>IF(B33&gt;B35,1,0)</f>
        <v>1</v>
      </c>
      <c r="D33" s="45"/>
      <c r="E33" s="43">
        <v>6.0</v>
      </c>
      <c r="F33" s="44">
        <f>IF(E33&gt;E35,1,0)</f>
        <v>1</v>
      </c>
      <c r="G33" s="45"/>
      <c r="H33" s="46"/>
      <c r="I33" s="31">
        <f>IF(H33&gt;H35,1,0)</f>
        <v>0</v>
      </c>
      <c r="J33" s="31">
        <f>IF(B33="",0,1)</f>
        <v>1</v>
      </c>
      <c r="K33" s="31">
        <f>IF(C33+F33=2,3,IF(C33+F33=1,1,0))</f>
        <v>3</v>
      </c>
      <c r="L33" s="31">
        <f>IF(K33=3,3,IF(I33+K33=2,2,IF(K33=1,1,0)))</f>
        <v>3</v>
      </c>
      <c r="M33" s="31">
        <f>B33+E33</f>
        <v>12</v>
      </c>
      <c r="N33" s="31">
        <f>C33+F33+I33</f>
        <v>2</v>
      </c>
      <c r="O33" s="31"/>
      <c r="P33" s="42" t="str">
        <f>AE13</f>
        <v>George Grech / Jade Sammut</v>
      </c>
      <c r="Q33" s="43">
        <v>6.0</v>
      </c>
      <c r="R33" s="44">
        <f>IF(Q33&gt;Q35,1,0)</f>
        <v>1</v>
      </c>
      <c r="S33" s="45"/>
      <c r="T33" s="43">
        <v>6.0</v>
      </c>
      <c r="U33" s="44">
        <f>IF(T33&gt;T35,1,0)</f>
        <v>1</v>
      </c>
      <c r="V33" s="45"/>
      <c r="W33" s="46"/>
      <c r="X33" s="31">
        <f>IF(W33&gt;W35,1,0)</f>
        <v>0</v>
      </c>
      <c r="Y33" s="31">
        <f>IF(Q33="",0,1)</f>
        <v>1</v>
      </c>
      <c r="Z33" s="31">
        <f>IF(R33+U33=2,3,IF(R33+U33=1,1,0))</f>
        <v>3</v>
      </c>
      <c r="AA33" s="31">
        <f>IF(Z33=3,3,IF(X33+Z33=2,2,IF(Z33=1,1,0)))</f>
        <v>3</v>
      </c>
      <c r="AB33" s="31">
        <f>Q33+T33</f>
        <v>12</v>
      </c>
      <c r="AC33" s="31">
        <f>R33+U33+X33</f>
        <v>2</v>
      </c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</row>
    <row r="34" ht="13.5" customHeight="1">
      <c r="A34" s="50" t="s">
        <v>114</v>
      </c>
      <c r="H34" s="51"/>
      <c r="I34" s="52"/>
      <c r="J34" s="31"/>
      <c r="K34" s="31"/>
      <c r="L34" s="31"/>
      <c r="M34" s="31"/>
      <c r="N34" s="31"/>
      <c r="O34" s="31"/>
      <c r="P34" s="50" t="s">
        <v>114</v>
      </c>
      <c r="W34" s="51"/>
      <c r="X34" s="52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</row>
    <row r="35" ht="13.5" customHeight="1">
      <c r="A35" s="53" t="str">
        <f>AE17</f>
        <v>Ryan Ebejer / Sophia Re</v>
      </c>
      <c r="B35" s="43">
        <v>1.0</v>
      </c>
      <c r="C35" s="54">
        <f>IF(B35&gt;B33,1,0)</f>
        <v>0</v>
      </c>
      <c r="D35" s="55"/>
      <c r="E35" s="43">
        <v>2.0</v>
      </c>
      <c r="F35" s="54">
        <f>IF(E35&gt;E33,1,0)</f>
        <v>0</v>
      </c>
      <c r="G35" s="55"/>
      <c r="H35" s="46"/>
      <c r="I35" s="31">
        <f>IF(H35&gt;H33,1,0)</f>
        <v>0</v>
      </c>
      <c r="J35" s="31">
        <f>IF(B35="",0,1)</f>
        <v>1</v>
      </c>
      <c r="K35" s="31">
        <f>IF(C35+F35=2,3,IF(C35+F35=1,1,0))</f>
        <v>0</v>
      </c>
      <c r="L35" s="31">
        <f>IF(K35=3,3,IF(I35+K35=2,2,IF(K35=1,1,0)))</f>
        <v>0</v>
      </c>
      <c r="M35" s="31">
        <f>B35+E35</f>
        <v>3</v>
      </c>
      <c r="N35" s="31">
        <f>C35+F35+I35</f>
        <v>0</v>
      </c>
      <c r="O35" s="31"/>
      <c r="P35" s="53" t="str">
        <f>AE19</f>
        <v>Darell Pace / Jennifer Mifsud</v>
      </c>
      <c r="Q35" s="43">
        <v>4.0</v>
      </c>
      <c r="R35" s="54">
        <f>IF(Q35&gt;Q33,1,0)</f>
        <v>0</v>
      </c>
      <c r="S35" s="55"/>
      <c r="T35" s="43">
        <v>2.0</v>
      </c>
      <c r="U35" s="54">
        <f>IF(T35&gt;T33,1,0)</f>
        <v>0</v>
      </c>
      <c r="V35" s="55"/>
      <c r="W35" s="46"/>
      <c r="X35" s="31">
        <f>IF(W35&gt;W33,1,0)</f>
        <v>0</v>
      </c>
      <c r="Y35" s="31">
        <f>IF(Q35="",0,1)</f>
        <v>1</v>
      </c>
      <c r="Z35" s="31">
        <f>IF(R35+U35=2,3,IF(R35+U35=1,1,0))</f>
        <v>0</v>
      </c>
      <c r="AA35" s="31">
        <f>IF(Z35=3,3,IF(X35+Z35=2,2,IF(Z35=1,1,0)))</f>
        <v>0</v>
      </c>
      <c r="AB35" s="31">
        <f>Q35+T35</f>
        <v>6</v>
      </c>
      <c r="AC35" s="31">
        <f>R35+U35+X35</f>
        <v>0</v>
      </c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</row>
    <row r="36" ht="13.5" customHeight="1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7"/>
      <c r="AI36" s="31"/>
      <c r="AJ36" s="31"/>
      <c r="AK36" s="37"/>
      <c r="AL36" s="31"/>
      <c r="AM36" s="31"/>
      <c r="AN36" s="31"/>
    </row>
    <row r="37" ht="13.5" customHeight="1">
      <c r="A37" s="42" t="str">
        <f>AE15</f>
        <v>Jayboy Lastimosa / Ceridwen Scerri</v>
      </c>
      <c r="B37" s="43">
        <v>6.0</v>
      </c>
      <c r="C37" s="44">
        <f>IF(B37&gt;B39,1,0)</f>
        <v>1</v>
      </c>
      <c r="D37" s="45"/>
      <c r="E37" s="43">
        <v>6.0</v>
      </c>
      <c r="F37" s="44">
        <f>IF(E37&gt;E39,1,0)</f>
        <v>1</v>
      </c>
      <c r="G37" s="45"/>
      <c r="H37" s="46"/>
      <c r="I37" s="31">
        <f>IF(H37&gt;H39,1,0)</f>
        <v>0</v>
      </c>
      <c r="J37" s="31">
        <f>IF(B37="",0,1)</f>
        <v>1</v>
      </c>
      <c r="K37" s="31">
        <f>IF(C37+F37=2,3,IF(C37+F37=1,1,0))</f>
        <v>3</v>
      </c>
      <c r="L37" s="31">
        <f>IF(K37=3,3,IF(I37+K37=2,2,IF(K37=1,1,0)))</f>
        <v>3</v>
      </c>
      <c r="M37" s="31">
        <f>B37+E37</f>
        <v>12</v>
      </c>
      <c r="N37" s="31">
        <f>C37+F37+I37</f>
        <v>2</v>
      </c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7"/>
      <c r="AL37" s="31"/>
      <c r="AM37" s="31"/>
      <c r="AN37" s="31"/>
    </row>
    <row r="38" ht="13.5" customHeight="1">
      <c r="A38" s="50" t="s">
        <v>114</v>
      </c>
      <c r="H38" s="51"/>
      <c r="I38" s="52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62"/>
      <c r="AK38" s="31"/>
      <c r="AL38" s="31"/>
      <c r="AM38" s="31"/>
      <c r="AN38" s="31"/>
    </row>
    <row r="39" ht="13.5" customHeight="1">
      <c r="A39" s="53" t="str">
        <f>AE17</f>
        <v>Ryan Ebejer / Sophia Re</v>
      </c>
      <c r="B39" s="43">
        <v>4.0</v>
      </c>
      <c r="C39" s="54">
        <f>IF(B39&gt;B37,1,0)</f>
        <v>0</v>
      </c>
      <c r="D39" s="55"/>
      <c r="E39" s="43">
        <v>1.0</v>
      </c>
      <c r="F39" s="54">
        <f>IF(E39&gt;E37,1,0)</f>
        <v>0</v>
      </c>
      <c r="G39" s="55"/>
      <c r="H39" s="46"/>
      <c r="I39" s="31">
        <f>IF(H39&gt;H37,1,0)</f>
        <v>0</v>
      </c>
      <c r="J39" s="31">
        <f>IF(B39="",0,1)</f>
        <v>1</v>
      </c>
      <c r="K39" s="31">
        <f>IF(C39+F39=2,3,IF(C39+F39=1,1,0))</f>
        <v>0</v>
      </c>
      <c r="L39" s="31">
        <f>IF(K39=3,3,IF(I39+K39=2,2,IF(K39=1,1,0)))</f>
        <v>0</v>
      </c>
      <c r="M39" s="31">
        <f>B39+E39</f>
        <v>5</v>
      </c>
      <c r="N39" s="31">
        <f>C39+F39+I39</f>
        <v>0</v>
      </c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</row>
    <row r="40" ht="13.5" customHeight="1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</row>
    <row r="41" ht="13.5" customHeight="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</row>
    <row r="42" ht="13.5" customHeight="1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62"/>
      <c r="AK42" s="31"/>
      <c r="AL42" s="31"/>
      <c r="AM42" s="31"/>
      <c r="AN42" s="31"/>
    </row>
    <row r="43" ht="13.5" customHeight="1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</row>
    <row r="44" ht="13.5" customHeight="1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</row>
    <row r="45" ht="13.5" customHeight="1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</row>
    <row r="46" ht="13.5" customHeight="1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</row>
    <row r="47" ht="13.5" customHeight="1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62"/>
      <c r="AK47" s="31"/>
      <c r="AL47" s="37"/>
      <c r="AM47" s="31"/>
      <c r="AN47" s="31"/>
    </row>
    <row r="48" ht="13.5" customHeight="1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</row>
    <row r="49" ht="13.5" customHeight="1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</row>
    <row r="50" ht="13.5" customHeight="1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</row>
    <row r="51" ht="13.5" customHeight="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</row>
    <row r="52" ht="13.5" customHeight="1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62"/>
      <c r="AK52" s="31"/>
      <c r="AL52" s="31"/>
      <c r="AM52" s="31"/>
      <c r="AN52" s="37"/>
    </row>
    <row r="53" ht="13.5" customHeight="1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</row>
    <row r="54" ht="13.5" customHeight="1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</row>
    <row r="55" ht="13.5" customHeight="1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</row>
    <row r="56" ht="13.5" customHeight="1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7"/>
      <c r="AI56" s="31"/>
      <c r="AJ56" s="31"/>
      <c r="AK56" s="37"/>
      <c r="AL56" s="31"/>
      <c r="AM56" s="31"/>
      <c r="AN56" s="31"/>
    </row>
    <row r="57" ht="13.5" customHeight="1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</row>
    <row r="58" ht="13.5" customHeight="1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</row>
    <row r="59" ht="13.5" customHeight="1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</row>
    <row r="60" ht="13.5" customHeight="1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</row>
    <row r="61" ht="13.5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</row>
    <row r="62" ht="13.5" customHeight="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</row>
    <row r="63" ht="13.5" customHeight="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</row>
    <row r="64" ht="13.5" customHeight="1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</row>
    <row r="65" ht="13.5" customHeight="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</row>
    <row r="66" ht="13.5" customHeight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</row>
    <row r="67" ht="13.5" customHeight="1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</row>
    <row r="68" ht="13.5" customHeight="1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</row>
    <row r="69" ht="13.5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</row>
    <row r="70" ht="13.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</row>
    <row r="71" ht="13.5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</row>
    <row r="72" ht="13.5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</row>
    <row r="73" ht="13.5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</row>
    <row r="74" ht="13.5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</row>
    <row r="75" ht="13.5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</row>
    <row r="76" ht="13.5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</row>
    <row r="77" ht="13.5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</row>
    <row r="78" ht="13.5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</row>
    <row r="79" ht="13.5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</row>
    <row r="80" ht="13.5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</row>
    <row r="81" ht="13.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</row>
    <row r="82" ht="13.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</row>
    <row r="83" ht="13.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</row>
    <row r="84" ht="13.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</row>
    <row r="85" ht="13.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</row>
    <row r="86" ht="13.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</row>
    <row r="87" ht="13.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</row>
    <row r="88" ht="13.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</row>
    <row r="89" ht="13.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</row>
    <row r="90" ht="13.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</row>
    <row r="91" ht="13.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</row>
    <row r="92" ht="13.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</row>
    <row r="93" ht="13.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</row>
    <row r="94" ht="13.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</row>
    <row r="95" ht="13.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</row>
    <row r="96" ht="13.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</row>
    <row r="97" ht="13.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</row>
    <row r="98" ht="13.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</row>
    <row r="99" ht="13.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</row>
    <row r="100" ht="13.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</row>
    <row r="101" ht="13.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</row>
    <row r="102" ht="13.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</row>
    <row r="103" ht="13.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</row>
    <row r="104" ht="13.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</row>
    <row r="105" ht="13.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</row>
    <row r="106" ht="13.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7"/>
      <c r="R106" s="37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</row>
    <row r="107" ht="13.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</row>
    <row r="108" ht="13.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</row>
    <row r="109" ht="13.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</row>
    <row r="110" ht="13.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</row>
    <row r="111" ht="13.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</row>
    <row r="112" ht="13.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</row>
    <row r="113" ht="13.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</row>
    <row r="114" ht="13.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</row>
    <row r="115" ht="13.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</row>
    <row r="116" ht="13.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</row>
    <row r="117" ht="13.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</row>
    <row r="118" ht="13.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</row>
    <row r="119" ht="13.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</row>
    <row r="120" ht="13.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</row>
    <row r="121" ht="13.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</row>
    <row r="122" ht="13.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</row>
    <row r="123" ht="13.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</row>
    <row r="124" ht="13.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</row>
    <row r="125" ht="13.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</row>
    <row r="126" ht="13.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</row>
    <row r="127" ht="13.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</row>
    <row r="128" ht="13.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</row>
    <row r="129" ht="13.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</row>
    <row r="130" ht="13.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</row>
    <row r="131" ht="13.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</row>
    <row r="132" ht="13.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</row>
    <row r="133" ht="13.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</row>
    <row r="134" ht="13.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</row>
    <row r="135" ht="13.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</row>
    <row r="136" ht="13.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</row>
    <row r="137" ht="13.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</row>
    <row r="138" ht="13.5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</row>
    <row r="139" ht="13.5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</row>
    <row r="140" ht="13.5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</row>
    <row r="141" ht="13.5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</row>
    <row r="142" ht="13.5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</row>
    <row r="143" ht="13.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</row>
    <row r="144" ht="13.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</row>
    <row r="145" ht="13.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</row>
    <row r="146" ht="13.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</row>
    <row r="147" ht="13.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</row>
    <row r="148" ht="13.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</row>
    <row r="149" ht="13.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</row>
    <row r="150" ht="13.5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</row>
    <row r="151" ht="13.5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</row>
    <row r="152" ht="13.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</row>
    <row r="153" ht="13.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</row>
    <row r="154" ht="13.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</row>
    <row r="155" ht="13.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</row>
    <row r="156" ht="13.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</row>
    <row r="157" ht="13.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</row>
    <row r="158" ht="13.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</row>
    <row r="159" ht="13.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</row>
    <row r="160" ht="13.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</row>
    <row r="161" ht="13.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</row>
    <row r="162" ht="13.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</row>
    <row r="163" ht="13.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</row>
    <row r="164" ht="13.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</row>
    <row r="165" ht="13.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</row>
    <row r="166" ht="13.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</row>
    <row r="167" ht="13.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</row>
    <row r="168" ht="13.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</row>
    <row r="169" ht="13.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</row>
    <row r="170" ht="13.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</row>
    <row r="171" ht="13.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</row>
    <row r="172" ht="13.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</row>
    <row r="173" ht="13.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</row>
    <row r="174" ht="13.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</row>
    <row r="175" ht="13.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</row>
    <row r="176" ht="13.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</row>
    <row r="177" ht="13.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</row>
    <row r="178" ht="13.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</row>
    <row r="179" ht="13.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</row>
    <row r="180" ht="13.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</row>
    <row r="181" ht="13.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</row>
    <row r="182" ht="13.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</row>
    <row r="183" ht="13.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</row>
    <row r="184" ht="13.5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</row>
    <row r="185" ht="13.5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</row>
    <row r="186" ht="13.5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</row>
    <row r="187" ht="13.5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</row>
    <row r="188" ht="13.5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</row>
    <row r="189" ht="13.5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</row>
    <row r="190" ht="13.5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</row>
    <row r="191" ht="13.5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</row>
    <row r="192" ht="13.5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</row>
    <row r="193" ht="13.5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</row>
    <row r="194" ht="13.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</row>
    <row r="195" ht="13.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</row>
    <row r="196" ht="13.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</row>
    <row r="197" ht="13.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</row>
    <row r="198" ht="13.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</row>
    <row r="199" ht="13.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</row>
    <row r="200" ht="13.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</row>
    <row r="201" ht="13.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</row>
    <row r="202" ht="13.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</row>
    <row r="203" ht="13.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</row>
    <row r="204" ht="13.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</row>
    <row r="205" ht="13.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</row>
    <row r="206" ht="13.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</row>
    <row r="207" ht="13.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</row>
    <row r="208" ht="13.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</row>
    <row r="209" ht="13.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</row>
    <row r="210" ht="13.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</row>
    <row r="211" ht="13.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</row>
    <row r="212" ht="13.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</row>
    <row r="213" ht="13.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</row>
    <row r="214" ht="13.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</row>
    <row r="215" ht="13.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</row>
    <row r="216" ht="13.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</row>
    <row r="217" ht="13.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</row>
    <row r="218" ht="13.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</row>
    <row r="219" ht="13.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</row>
    <row r="220" ht="13.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</row>
    <row r="221" ht="13.5" customHeight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</row>
    <row r="222" ht="13.5" customHeight="1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</row>
    <row r="223" ht="13.5" customHeight="1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</row>
    <row r="224" ht="13.5" customHeight="1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</row>
    <row r="225" ht="13.5" customHeight="1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</row>
    <row r="226" ht="13.5" customHeight="1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</row>
    <row r="227" ht="13.5" customHeight="1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</row>
    <row r="228" ht="13.5" customHeight="1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</row>
    <row r="229" ht="13.5" customHeight="1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</row>
    <row r="230" ht="13.5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</row>
    <row r="231" ht="13.5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</row>
    <row r="232" ht="13.5" customHeigh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</row>
    <row r="233" ht="13.5" customHeigh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</row>
    <row r="234" ht="13.5" customHeigh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</row>
    <row r="235" ht="13.5" customHeigh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</row>
    <row r="236" ht="13.5" customHeight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</row>
    <row r="237" ht="13.5" customHeight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</row>
    <row r="238" ht="13.5" customHeight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</row>
    <row r="239" ht="13.5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A1:AI2"/>
    <mergeCell ref="A5:AI5"/>
    <mergeCell ref="B7:E7"/>
    <mergeCell ref="Q7:T7"/>
    <mergeCell ref="A10:H10"/>
    <mergeCell ref="P10:W10"/>
    <mergeCell ref="P14:W14"/>
    <mergeCell ref="A22:H22"/>
    <mergeCell ref="A26:H26"/>
    <mergeCell ref="A30:H30"/>
    <mergeCell ref="A34:H34"/>
    <mergeCell ref="A38:H38"/>
    <mergeCell ref="AE25:AI25"/>
    <mergeCell ref="AE26:AI26"/>
    <mergeCell ref="P30:W30"/>
    <mergeCell ref="P34:W34"/>
    <mergeCell ref="A14:H14"/>
    <mergeCell ref="A18:H18"/>
    <mergeCell ref="P18:W18"/>
    <mergeCell ref="AE21:AI21"/>
    <mergeCell ref="P22:W22"/>
    <mergeCell ref="AE22:AI22"/>
    <mergeCell ref="P26:W26"/>
  </mergeCells>
  <printOptions/>
  <pageMargins bottom="0.75" footer="0.0" header="0.0" left="0.25" right="0.25" top="0.75"/>
  <pageSetup paperSize="9" scale="6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2.63"/>
    <col customWidth="1" min="2" max="2" width="7.0"/>
    <col customWidth="1" hidden="1" min="3" max="3" width="6.13"/>
    <col customWidth="1" min="4" max="4" width="1.63"/>
    <col customWidth="1" min="5" max="5" width="7.0"/>
    <col customWidth="1" hidden="1" min="6" max="6" width="6.13"/>
    <col customWidth="1" min="7" max="7" width="1.63"/>
    <col customWidth="1" min="8" max="8" width="7.0"/>
    <col customWidth="1" hidden="1" min="9" max="9" width="6.13"/>
    <col customWidth="1" hidden="1" min="10" max="10" width="7.63"/>
    <col customWidth="1" hidden="1" min="11" max="11" width="7.38"/>
    <col customWidth="1" hidden="1" min="12" max="12" width="11.38"/>
    <col customWidth="1" hidden="1" min="13" max="13" width="8.0"/>
    <col customWidth="1" hidden="1" min="14" max="14" width="6.13"/>
    <col customWidth="1" min="15" max="15" width="6.5"/>
    <col customWidth="1" min="16" max="16" width="33.38"/>
    <col customWidth="1" min="17" max="17" width="7.0"/>
    <col customWidth="1" hidden="1" min="18" max="18" width="6.13"/>
    <col customWidth="1" min="19" max="19" width="1.63"/>
    <col customWidth="1" min="20" max="20" width="7.0"/>
    <col customWidth="1" hidden="1" min="21" max="21" width="6.13"/>
    <col customWidth="1" min="22" max="22" width="1.63"/>
    <col customWidth="1" min="23" max="23" width="7.0"/>
    <col customWidth="1" hidden="1" min="24" max="24" width="6.13"/>
    <col customWidth="1" hidden="1" min="25" max="25" width="7.63"/>
    <col customWidth="1" hidden="1" min="26" max="26" width="7.38"/>
    <col customWidth="1" hidden="1" min="27" max="27" width="11.38"/>
    <col customWidth="1" hidden="1" min="28" max="28" width="8.0"/>
    <col customWidth="1" hidden="1" min="29" max="29" width="6.13"/>
    <col customWidth="1" min="30" max="30" width="6.13"/>
    <col customWidth="1" min="31" max="31" width="35.75"/>
    <col customWidth="1" min="32" max="35" width="8.63"/>
    <col customWidth="1" hidden="1" min="36" max="36" width="9.38"/>
    <col customWidth="1" hidden="1" min="37" max="37" width="8.0"/>
    <col customWidth="1" hidden="1" min="38" max="38" width="41.13"/>
  </cols>
  <sheetData>
    <row r="1" ht="21.0" customHeight="1">
      <c r="A1" s="1" t="s">
        <v>0</v>
      </c>
      <c r="AJ1" s="4"/>
      <c r="AK1" s="4"/>
      <c r="AL1" s="4"/>
    </row>
    <row r="2" ht="21.0" customHeight="1">
      <c r="AJ2" s="4"/>
      <c r="AK2" s="4"/>
      <c r="AL2" s="4"/>
    </row>
    <row r="3" ht="13.5" customHeight="1">
      <c r="A3" s="28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</row>
    <row r="4" ht="13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</row>
    <row r="5" ht="13.5" customHeight="1">
      <c r="A5" s="88" t="s">
        <v>53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1"/>
      <c r="AK5" s="31"/>
      <c r="AL5" s="31"/>
    </row>
    <row r="6" ht="13.5" customHeight="1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</row>
    <row r="7">
      <c r="A7" s="89" t="s">
        <v>92</v>
      </c>
      <c r="B7" s="90" t="s">
        <v>93</v>
      </c>
      <c r="C7" s="34"/>
      <c r="D7" s="34"/>
      <c r="E7" s="8"/>
      <c r="F7" s="91"/>
      <c r="G7" s="92"/>
      <c r="H7" s="89" t="s">
        <v>94</v>
      </c>
      <c r="I7" s="31"/>
      <c r="J7" s="31"/>
      <c r="K7" s="31"/>
      <c r="L7" s="31"/>
      <c r="M7" s="37"/>
      <c r="N7" s="37"/>
      <c r="O7" s="37"/>
      <c r="P7" s="89" t="s">
        <v>92</v>
      </c>
      <c r="Q7" s="90" t="s">
        <v>93</v>
      </c>
      <c r="R7" s="34"/>
      <c r="S7" s="34"/>
      <c r="T7" s="8"/>
      <c r="U7" s="91"/>
      <c r="V7" s="92"/>
      <c r="W7" s="89" t="s">
        <v>94</v>
      </c>
      <c r="X7" s="31"/>
      <c r="Y7" s="37"/>
      <c r="Z7" s="37"/>
      <c r="AA7" s="37"/>
      <c r="AB7" s="37"/>
      <c r="AC7" s="37"/>
      <c r="AD7" s="37"/>
      <c r="AE7" s="89" t="s">
        <v>95</v>
      </c>
      <c r="AF7" s="89" t="s">
        <v>96</v>
      </c>
      <c r="AG7" s="89" t="s">
        <v>97</v>
      </c>
      <c r="AH7" s="89" t="s">
        <v>98</v>
      </c>
      <c r="AI7" s="89" t="s">
        <v>99</v>
      </c>
      <c r="AJ7" s="37"/>
      <c r="AK7" s="37"/>
      <c r="AL7" s="31"/>
    </row>
    <row r="8" hidden="1">
      <c r="A8" s="31"/>
      <c r="B8" s="39" t="s">
        <v>100</v>
      </c>
      <c r="C8" s="39" t="s">
        <v>101</v>
      </c>
      <c r="D8" s="39"/>
      <c r="E8" s="39" t="s">
        <v>100</v>
      </c>
      <c r="F8" s="39" t="s">
        <v>102</v>
      </c>
      <c r="G8" s="39"/>
      <c r="H8" s="39" t="s">
        <v>100</v>
      </c>
      <c r="I8" s="39" t="s">
        <v>103</v>
      </c>
      <c r="J8" s="39" t="s">
        <v>104</v>
      </c>
      <c r="K8" s="39" t="s">
        <v>105</v>
      </c>
      <c r="L8" s="39" t="s">
        <v>106</v>
      </c>
      <c r="M8" s="39" t="s">
        <v>107</v>
      </c>
      <c r="N8" s="39" t="s">
        <v>108</v>
      </c>
      <c r="O8" s="31"/>
      <c r="P8" s="31"/>
      <c r="Q8" s="39" t="s">
        <v>100</v>
      </c>
      <c r="R8" s="39" t="s">
        <v>101</v>
      </c>
      <c r="S8" s="39"/>
      <c r="T8" s="39" t="s">
        <v>100</v>
      </c>
      <c r="U8" s="39" t="s">
        <v>102</v>
      </c>
      <c r="V8" s="39"/>
      <c r="W8" s="39" t="s">
        <v>100</v>
      </c>
      <c r="X8" s="39" t="s">
        <v>103</v>
      </c>
      <c r="Y8" s="39" t="s">
        <v>104</v>
      </c>
      <c r="Z8" s="39" t="s">
        <v>105</v>
      </c>
      <c r="AA8" s="39" t="s">
        <v>106</v>
      </c>
      <c r="AB8" s="39" t="s">
        <v>107</v>
      </c>
      <c r="AC8" s="39" t="s">
        <v>108</v>
      </c>
      <c r="AD8" s="31"/>
      <c r="AE8" s="37"/>
      <c r="AF8" s="37"/>
      <c r="AG8" s="37"/>
      <c r="AH8" s="37"/>
      <c r="AI8" s="37"/>
      <c r="AJ8" s="39" t="s">
        <v>109</v>
      </c>
      <c r="AK8" s="40" t="s">
        <v>111</v>
      </c>
      <c r="AL8" s="41" t="s">
        <v>112</v>
      </c>
    </row>
    <row r="9" ht="13.5" customHeight="1">
      <c r="A9" s="42" t="str">
        <f>AE9</f>
        <v>Dylan Birmingham / Sarah Axiaq</v>
      </c>
      <c r="B9" s="43">
        <v>6.0</v>
      </c>
      <c r="C9" s="44">
        <f>IF(B9&gt;B11,1,0)</f>
        <v>1</v>
      </c>
      <c r="D9" s="45"/>
      <c r="E9" s="43">
        <v>6.0</v>
      </c>
      <c r="F9" s="44">
        <f>IF(E9&gt;E11,1,0)</f>
        <v>1</v>
      </c>
      <c r="G9" s="45"/>
      <c r="H9" s="46"/>
      <c r="I9" s="31">
        <f>IF(H9&gt;H11,1,0)</f>
        <v>0</v>
      </c>
      <c r="J9" s="31">
        <f>IF(B9="",0,1)</f>
        <v>1</v>
      </c>
      <c r="K9" s="31">
        <f>IF(C9+F9=2,3,IF(C9+F9=1,1,0))</f>
        <v>3</v>
      </c>
      <c r="L9" s="31">
        <f>IF(K9=3,3,IF(I9+K9=2,2,IF(K9=1,1,0)))</f>
        <v>3</v>
      </c>
      <c r="M9" s="31">
        <f>B9+E9</f>
        <v>12</v>
      </c>
      <c r="N9" s="31">
        <f>C9+F9+I9</f>
        <v>2</v>
      </c>
      <c r="O9" s="31"/>
      <c r="P9" s="42" t="str">
        <f>AE9</f>
        <v>Dylan Birmingham / Sarah Axiaq</v>
      </c>
      <c r="Q9" s="43">
        <v>6.0</v>
      </c>
      <c r="R9" s="44">
        <f>IF(Q9&gt;Q11,1,0)</f>
        <v>1</v>
      </c>
      <c r="S9" s="45"/>
      <c r="T9" s="43">
        <v>7.0</v>
      </c>
      <c r="U9" s="44">
        <f>IF(T9&gt;T11,1,0)</f>
        <v>1</v>
      </c>
      <c r="V9" s="45"/>
      <c r="W9" s="46"/>
      <c r="X9" s="31">
        <f>IF(W9&gt;W11,1,0)</f>
        <v>0</v>
      </c>
      <c r="Y9" s="31">
        <f>IF(Q9="",0,1)</f>
        <v>1</v>
      </c>
      <c r="Z9" s="31">
        <f>IF(R9+U9=2,3,IF(R9+U9=1,1,0))</f>
        <v>3</v>
      </c>
      <c r="AA9" s="31">
        <f>IF(Z9=3,3,IF(X9+Z9=2,2,IF(Z9=1,1,0)))</f>
        <v>3</v>
      </c>
      <c r="AB9" s="31">
        <f>Q9+T9</f>
        <v>13</v>
      </c>
      <c r="AC9" s="31">
        <f>R9+U9+X9</f>
        <v>2</v>
      </c>
      <c r="AD9" s="31"/>
      <c r="AE9" s="93" t="str">
        <f>Players!B38&amp; " / " &amp;Players!C38</f>
        <v>Dylan Birmingham / Sarah Axiaq</v>
      </c>
      <c r="AF9" s="48">
        <f>J9+Y9+J13+Y13+J17</f>
        <v>5</v>
      </c>
      <c r="AG9" s="48">
        <f t="shared" ref="AG9:AI9" si="1">L9+AA9+L13+AA13+L17</f>
        <v>10</v>
      </c>
      <c r="AH9" s="48">
        <f t="shared" si="1"/>
        <v>45</v>
      </c>
      <c r="AI9" s="49">
        <f t="shared" si="1"/>
        <v>8</v>
      </c>
      <c r="AJ9" s="31">
        <f>MAX(AG9:AG19)</f>
        <v>13</v>
      </c>
      <c r="AK9" s="31">
        <f>SUM(AF9:AF19)</f>
        <v>30</v>
      </c>
      <c r="AL9" s="31" t="str">
        <f>IF(AG9=$AJ$9,AE9,IF(AG11=$AJ$9,AE11,IF(AG13=$AJ$9,AE13,IF(AG15=$AJ$9,AE15,IF(AG17=$AJ$9,AE17,IF(AG19=$AJ$9,AE19,""))))))</f>
        <v>Simone Re / Annmarie Attard</v>
      </c>
    </row>
    <row r="10" ht="13.5" customHeight="1">
      <c r="A10" s="50" t="s">
        <v>114</v>
      </c>
      <c r="H10" s="51"/>
      <c r="I10" s="52"/>
      <c r="J10" s="31"/>
      <c r="K10" s="31"/>
      <c r="L10" s="31"/>
      <c r="M10" s="31"/>
      <c r="N10" s="31"/>
      <c r="O10" s="58" t="s">
        <v>119</v>
      </c>
      <c r="P10" s="50" t="s">
        <v>114</v>
      </c>
      <c r="W10" s="51"/>
      <c r="X10" s="52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7"/>
      <c r="AL10" s="31"/>
    </row>
    <row r="11" ht="13.5" customHeight="1">
      <c r="A11" s="53" t="str">
        <f>AE11</f>
        <v>Matthew Micallef / Josette D'Alessandro</v>
      </c>
      <c r="B11" s="43">
        <v>0.0</v>
      </c>
      <c r="C11" s="54">
        <f>IF(B11&gt;B9,1,0)</f>
        <v>0</v>
      </c>
      <c r="D11" s="55"/>
      <c r="E11" s="43">
        <v>0.0</v>
      </c>
      <c r="F11" s="54">
        <f>IF(E11&gt;E9,1,0)</f>
        <v>0</v>
      </c>
      <c r="G11" s="55"/>
      <c r="H11" s="46"/>
      <c r="I11" s="31">
        <f>IF(H11&gt;H9,1,0)</f>
        <v>0</v>
      </c>
      <c r="J11" s="31">
        <f>IF(B11="",0,1)</f>
        <v>1</v>
      </c>
      <c r="K11" s="31">
        <f>IF(C11+F11=2,3,IF(C11+F11=1,1,0))</f>
        <v>0</v>
      </c>
      <c r="L11" s="31">
        <f>IF(K11=3,3,IF(I11+K11=2,2,IF(K11=1,1,0)))</f>
        <v>0</v>
      </c>
      <c r="M11" s="31">
        <f>B11+E11</f>
        <v>0</v>
      </c>
      <c r="N11" s="31">
        <f>C11+F11+I11</f>
        <v>0</v>
      </c>
      <c r="O11" s="31"/>
      <c r="P11" s="53" t="str">
        <f>AE13</f>
        <v>David Camilleri / Emma Camilleri</v>
      </c>
      <c r="Q11" s="43">
        <v>4.0</v>
      </c>
      <c r="R11" s="54">
        <f>IF(Q11&gt;Q9,1,0)</f>
        <v>0</v>
      </c>
      <c r="S11" s="55"/>
      <c r="T11" s="43">
        <v>5.0</v>
      </c>
      <c r="U11" s="54">
        <f>IF(T11&gt;T9,1,0)</f>
        <v>0</v>
      </c>
      <c r="V11" s="55"/>
      <c r="W11" s="46"/>
      <c r="X11" s="31">
        <f>IF(W11&gt;W9,1,0)</f>
        <v>0</v>
      </c>
      <c r="Y11" s="31">
        <f>IF(Q11="",0,1)</f>
        <v>1</v>
      </c>
      <c r="Z11" s="31">
        <f>IF(R11+U11=2,3,IF(R11+U11=1,1,0))</f>
        <v>0</v>
      </c>
      <c r="AA11" s="31">
        <f>IF(Z11=3,3,IF(X11+Z11=2,2,IF(Z11=1,1,0)))</f>
        <v>0</v>
      </c>
      <c r="AB11" s="31">
        <f>Q11+T11</f>
        <v>9</v>
      </c>
      <c r="AC11" s="31">
        <f>R11+U11+X11</f>
        <v>0</v>
      </c>
      <c r="AD11" s="31"/>
      <c r="AE11" s="93" t="str">
        <f>Players!B39&amp; " / " &amp;Players!C39</f>
        <v>Matthew Micallef / Josette D'Alessandro</v>
      </c>
      <c r="AF11" s="48">
        <f>J11+Y25+J25+Y21+J21</f>
        <v>5</v>
      </c>
      <c r="AG11" s="48">
        <f t="shared" ref="AG11:AI11" si="2">L11+AA25+L25+AA21+L21</f>
        <v>5</v>
      </c>
      <c r="AH11" s="48">
        <f t="shared" si="2"/>
        <v>37</v>
      </c>
      <c r="AI11" s="49">
        <f t="shared" si="2"/>
        <v>4</v>
      </c>
      <c r="AJ11" s="37"/>
      <c r="AK11" s="37"/>
      <c r="AL11" s="31"/>
    </row>
    <row r="12" ht="13.5" customHeight="1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7"/>
      <c r="AG12" s="37"/>
      <c r="AH12" s="37"/>
      <c r="AI12" s="37"/>
      <c r="AJ12" s="37"/>
      <c r="AK12" s="37"/>
      <c r="AL12" s="31"/>
    </row>
    <row r="13" ht="13.5" customHeight="1">
      <c r="A13" s="42" t="str">
        <f>AE9</f>
        <v>Dylan Birmingham / Sarah Axiaq</v>
      </c>
      <c r="B13" s="43">
        <v>1.0</v>
      </c>
      <c r="C13" s="44">
        <f>IF(B13&gt;B15,1,0)</f>
        <v>0</v>
      </c>
      <c r="D13" s="45"/>
      <c r="E13" s="43">
        <v>2.0</v>
      </c>
      <c r="F13" s="44">
        <f>IF(E13&gt;E15,1,0)</f>
        <v>0</v>
      </c>
      <c r="G13" s="45"/>
      <c r="H13" s="46"/>
      <c r="I13" s="31">
        <f>IF(H13&gt;H15,1,0)</f>
        <v>0</v>
      </c>
      <c r="J13" s="31">
        <f>IF(B13="",0,1)</f>
        <v>1</v>
      </c>
      <c r="K13" s="31">
        <f>IF(C13+F13=2,3,IF(C13+F13=1,1,0))</f>
        <v>0</v>
      </c>
      <c r="L13" s="31">
        <f>IF(K13=3,3,IF(I13+K13=2,2,IF(K13=1,1,0)))</f>
        <v>0</v>
      </c>
      <c r="M13" s="31">
        <f>B13+E13</f>
        <v>3</v>
      </c>
      <c r="N13" s="31">
        <f>C13+F13+I13</f>
        <v>0</v>
      </c>
      <c r="O13" s="31"/>
      <c r="P13" s="42" t="str">
        <f>AE9</f>
        <v>Dylan Birmingham / Sarah Axiaq</v>
      </c>
      <c r="Q13" s="43">
        <v>2.0</v>
      </c>
      <c r="R13" s="44">
        <f>IF(Q13&gt;Q15,1,0)</f>
        <v>0</v>
      </c>
      <c r="S13" s="45"/>
      <c r="T13" s="43">
        <v>6.0</v>
      </c>
      <c r="U13" s="44">
        <f>IF(T13&gt;T15,1,0)</f>
        <v>1</v>
      </c>
      <c r="V13" s="45"/>
      <c r="W13" s="43">
        <v>10.0</v>
      </c>
      <c r="X13" s="31">
        <f>IF(W13&gt;W15,1,0)</f>
        <v>1</v>
      </c>
      <c r="Y13" s="31">
        <f>IF(Q13="",0,1)</f>
        <v>1</v>
      </c>
      <c r="Z13" s="31">
        <f>IF(R13+U13=2,3,IF(R13+U13=1,1,0))</f>
        <v>1</v>
      </c>
      <c r="AA13" s="31">
        <f>IF(Z13=3,3,IF(X13+Z13=2,2,IF(Z13=1,1,0)))</f>
        <v>2</v>
      </c>
      <c r="AB13" s="31">
        <f>Q13+T13</f>
        <v>8</v>
      </c>
      <c r="AC13" s="31">
        <f>R13+U13+X13</f>
        <v>2</v>
      </c>
      <c r="AD13" s="31"/>
      <c r="AE13" s="93" t="str">
        <f>Players!B40&amp; " / " &amp;Players!C40</f>
        <v>David Camilleri / Emma Camilleri</v>
      </c>
      <c r="AF13" s="48">
        <f>Y29+Y11+Y33+J33+J23</f>
        <v>5</v>
      </c>
      <c r="AG13" s="48">
        <f t="shared" ref="AG13:AI13" si="3">AA29+AA11+AA33+L33+L23</f>
        <v>5</v>
      </c>
      <c r="AH13" s="48">
        <f t="shared" si="3"/>
        <v>51</v>
      </c>
      <c r="AI13" s="49">
        <f t="shared" si="3"/>
        <v>5</v>
      </c>
      <c r="AJ13" s="37"/>
      <c r="AK13" s="37"/>
      <c r="AL13" s="31"/>
    </row>
    <row r="14" ht="13.5" customHeight="1">
      <c r="A14" s="50" t="s">
        <v>114</v>
      </c>
      <c r="H14" s="51"/>
      <c r="I14" s="52"/>
      <c r="J14" s="31"/>
      <c r="K14" s="31"/>
      <c r="L14" s="31"/>
      <c r="M14" s="31"/>
      <c r="N14" s="31"/>
      <c r="O14" s="31"/>
      <c r="P14" s="50" t="s">
        <v>114</v>
      </c>
      <c r="W14" s="51"/>
      <c r="X14" s="52"/>
      <c r="Y14" s="31"/>
      <c r="Z14" s="31"/>
      <c r="AA14" s="31"/>
      <c r="AB14" s="31"/>
      <c r="AC14" s="31"/>
      <c r="AD14" s="31"/>
      <c r="AE14" s="31"/>
      <c r="AF14" s="37"/>
      <c r="AG14" s="37"/>
      <c r="AH14" s="37"/>
      <c r="AI14" s="37"/>
      <c r="AJ14" s="37"/>
      <c r="AK14" s="37"/>
      <c r="AL14" s="31"/>
    </row>
    <row r="15" ht="13.5" customHeight="1">
      <c r="A15" s="53" t="str">
        <f>AE15</f>
        <v>Simone Re / Annmarie Attard</v>
      </c>
      <c r="B15" s="43">
        <v>6.0</v>
      </c>
      <c r="C15" s="54">
        <f>IF(B15&gt;B13,1,0)</f>
        <v>1</v>
      </c>
      <c r="D15" s="55"/>
      <c r="E15" s="43">
        <v>6.0</v>
      </c>
      <c r="F15" s="54">
        <f>IF(E15&gt;E13,1,0)</f>
        <v>1</v>
      </c>
      <c r="G15" s="55"/>
      <c r="H15" s="46"/>
      <c r="I15" s="31">
        <f>IF(H15&gt;H13,1,0)</f>
        <v>0</v>
      </c>
      <c r="J15" s="31">
        <f>IF(B15="",0,1)</f>
        <v>1</v>
      </c>
      <c r="K15" s="31">
        <f>IF(C15+F15=2,3,IF(C15+F15=1,1,0))</f>
        <v>3</v>
      </c>
      <c r="L15" s="31">
        <f>IF(K15=3,3,IF(I15+K15=2,2,IF(K15=1,1,0)))</f>
        <v>3</v>
      </c>
      <c r="M15" s="31">
        <f>B15+E15</f>
        <v>12</v>
      </c>
      <c r="N15" s="31">
        <f>C15+F15+I15</f>
        <v>2</v>
      </c>
      <c r="O15" s="31"/>
      <c r="P15" s="53" t="str">
        <f>AE17</f>
        <v>Robert Attard / Silvana Portelli</v>
      </c>
      <c r="Q15" s="43">
        <v>6.0</v>
      </c>
      <c r="R15" s="54">
        <f>IF(Q15&gt;Q13,1,0)</f>
        <v>1</v>
      </c>
      <c r="S15" s="55"/>
      <c r="T15" s="43">
        <v>1.0</v>
      </c>
      <c r="U15" s="54">
        <f>IF(T15&gt;T13,1,0)</f>
        <v>0</v>
      </c>
      <c r="V15" s="55"/>
      <c r="W15" s="43">
        <v>7.0</v>
      </c>
      <c r="X15" s="31">
        <f>IF(W15&gt;W13,1,0)</f>
        <v>0</v>
      </c>
      <c r="Y15" s="31">
        <f>IF(Q15="",0,1)</f>
        <v>1</v>
      </c>
      <c r="Z15" s="31">
        <f>IF(R15+U15=2,3,IF(R15+U15=1,1,0))</f>
        <v>1</v>
      </c>
      <c r="AA15" s="31">
        <f>IF(Z15=3,3,IF(X15+Z15=2,2,IF(Z15=1,1,0)))</f>
        <v>1</v>
      </c>
      <c r="AB15" s="31">
        <f>Q15+T15</f>
        <v>7</v>
      </c>
      <c r="AC15" s="31">
        <f>R15+U15+X15</f>
        <v>1</v>
      </c>
      <c r="AD15" s="31"/>
      <c r="AE15" s="93" t="str">
        <f>Players!B41&amp; " / " &amp;Players!C41</f>
        <v>Simone Re / Annmarie Attard</v>
      </c>
      <c r="AF15" s="48">
        <f>Y31+J37+J15+Y23+J29</f>
        <v>5</v>
      </c>
      <c r="AG15" s="48">
        <f t="shared" ref="AG15:AI15" si="4">AA31+L37+L15+AA23+L29</f>
        <v>13</v>
      </c>
      <c r="AH15" s="48">
        <f t="shared" si="4"/>
        <v>61</v>
      </c>
      <c r="AI15" s="49">
        <f t="shared" si="4"/>
        <v>9</v>
      </c>
      <c r="AJ15" s="37"/>
      <c r="AK15" s="37"/>
      <c r="AL15" s="31"/>
    </row>
    <row r="16" ht="13.5" customHeight="1">
      <c r="A16" s="31"/>
      <c r="B16" s="37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7"/>
      <c r="AG16" s="37"/>
      <c r="AH16" s="37"/>
      <c r="AI16" s="37"/>
      <c r="AJ16" s="37"/>
      <c r="AK16" s="37"/>
      <c r="AL16" s="31"/>
    </row>
    <row r="17" ht="13.5" customHeight="1">
      <c r="A17" s="42" t="str">
        <f>AE9</f>
        <v>Dylan Birmingham / Sarah Axiaq</v>
      </c>
      <c r="B17" s="43">
        <v>3.0</v>
      </c>
      <c r="C17" s="44">
        <f>IF(B17&gt;B19,1,0)</f>
        <v>0</v>
      </c>
      <c r="D17" s="45"/>
      <c r="E17" s="43">
        <v>6.0</v>
      </c>
      <c r="F17" s="44">
        <f>IF(E17&gt;E19,1,0)</f>
        <v>1</v>
      </c>
      <c r="G17" s="45"/>
      <c r="H17" s="43">
        <v>11.0</v>
      </c>
      <c r="I17" s="31">
        <f>IF(H17&gt;H19,1,0)</f>
        <v>1</v>
      </c>
      <c r="J17" s="31">
        <f>IF(B17="",0,1)</f>
        <v>1</v>
      </c>
      <c r="K17" s="31">
        <f>IF(C17+F17=2,3,IF(C17+F17=1,1,0))</f>
        <v>1</v>
      </c>
      <c r="L17" s="31">
        <f>IF(K17=3,3,IF(I17+K17=2,2,IF(K17=1,1,0)))</f>
        <v>2</v>
      </c>
      <c r="M17" s="31">
        <f>B17+E17</f>
        <v>9</v>
      </c>
      <c r="N17" s="31">
        <f>C17+F17+I17</f>
        <v>2</v>
      </c>
      <c r="O17" s="31"/>
      <c r="P17" s="42" t="str">
        <f>AE17</f>
        <v>Robert Attard / Silvana Portelli</v>
      </c>
      <c r="Q17" s="43">
        <v>6.0</v>
      </c>
      <c r="R17" s="44">
        <f>IF(Q17&gt;Q19,1,0)</f>
        <v>1</v>
      </c>
      <c r="S17" s="45"/>
      <c r="T17" s="43">
        <v>2.0</v>
      </c>
      <c r="U17" s="44">
        <f>IF(T17&gt;T19,1,0)</f>
        <v>0</v>
      </c>
      <c r="V17" s="45"/>
      <c r="W17" s="43">
        <v>11.0</v>
      </c>
      <c r="X17" s="31">
        <f>IF(W17&gt;W19,1,0)</f>
        <v>1</v>
      </c>
      <c r="Y17" s="31">
        <f>IF(Q17="",0,1)</f>
        <v>1</v>
      </c>
      <c r="Z17" s="31">
        <f>IF(R17+U17=2,3,IF(R17+U17=1,1,0))</f>
        <v>1</v>
      </c>
      <c r="AA17" s="31">
        <f>IF(Z17=3,3,IF(X17+Z17=2,2,IF(Z17=1,1,0)))</f>
        <v>2</v>
      </c>
      <c r="AB17" s="31">
        <f>Q17+T17</f>
        <v>8</v>
      </c>
      <c r="AC17" s="31">
        <f>R17+U17+X17</f>
        <v>2</v>
      </c>
      <c r="AD17" s="31"/>
      <c r="AE17" s="93" t="str">
        <f>Players!B42&amp; " / " &amp;Players!C42</f>
        <v>Robert Attard / Silvana Portelli</v>
      </c>
      <c r="AF17" s="48">
        <f>Y17+J39+J27+Y15+J35</f>
        <v>5</v>
      </c>
      <c r="AG17" s="48">
        <f t="shared" ref="AG17:AI17" si="5">AA17+L39+L27+AA15+L35</f>
        <v>9</v>
      </c>
      <c r="AH17" s="48">
        <f t="shared" si="5"/>
        <v>48</v>
      </c>
      <c r="AI17" s="49">
        <f t="shared" si="5"/>
        <v>8</v>
      </c>
      <c r="AJ17" s="37"/>
      <c r="AK17" s="37"/>
      <c r="AL17" s="31"/>
    </row>
    <row r="18" ht="13.5" customHeight="1">
      <c r="A18" s="50" t="s">
        <v>114</v>
      </c>
      <c r="H18" s="51"/>
      <c r="I18" s="52"/>
      <c r="J18" s="31"/>
      <c r="K18" s="31"/>
      <c r="L18" s="31"/>
      <c r="M18" s="31"/>
      <c r="N18" s="31"/>
      <c r="O18" s="31"/>
      <c r="P18" s="50" t="s">
        <v>114</v>
      </c>
      <c r="W18" s="51"/>
      <c r="X18" s="52"/>
      <c r="Y18" s="31"/>
      <c r="Z18" s="31"/>
      <c r="AA18" s="31"/>
      <c r="AB18" s="31"/>
      <c r="AC18" s="31"/>
      <c r="AD18" s="31"/>
      <c r="AE18" s="31"/>
      <c r="AF18" s="37"/>
      <c r="AG18" s="37"/>
      <c r="AH18" s="37"/>
      <c r="AI18" s="37"/>
      <c r="AJ18" s="37"/>
      <c r="AK18" s="37"/>
      <c r="AL18" s="31"/>
    </row>
    <row r="19" ht="13.5" customHeight="1">
      <c r="A19" s="53" t="str">
        <f>AE19</f>
        <v>JP Sciberras / Brenda Baldacchino</v>
      </c>
      <c r="B19" s="43">
        <v>6.0</v>
      </c>
      <c r="C19" s="54">
        <f>IF(B19&gt;B17,1,0)</f>
        <v>1</v>
      </c>
      <c r="D19" s="55"/>
      <c r="E19" s="43">
        <v>3.0</v>
      </c>
      <c r="F19" s="54">
        <f>IF(E19&gt;E17,1,0)</f>
        <v>0</v>
      </c>
      <c r="G19" s="55"/>
      <c r="H19" s="43">
        <v>9.0</v>
      </c>
      <c r="I19" s="31">
        <f>IF(H19&gt;H17,1,0)</f>
        <v>0</v>
      </c>
      <c r="J19" s="31">
        <f>IF(B19="",0,1)</f>
        <v>1</v>
      </c>
      <c r="K19" s="31">
        <f>IF(C19+F19=2,3,IF(C19+F19=1,1,0))</f>
        <v>1</v>
      </c>
      <c r="L19" s="31">
        <f>IF(K19=3,3,IF(I19+K19=2,2,IF(K19=1,1,0)))</f>
        <v>1</v>
      </c>
      <c r="M19" s="31">
        <f>B19+E19</f>
        <v>9</v>
      </c>
      <c r="N19" s="31">
        <f>C19+F19+I19</f>
        <v>1</v>
      </c>
      <c r="O19" s="31"/>
      <c r="P19" s="53" t="str">
        <f>AE19</f>
        <v>JP Sciberras / Brenda Baldacchino</v>
      </c>
      <c r="Q19" s="43">
        <v>4.0</v>
      </c>
      <c r="R19" s="54">
        <f>IF(Q19&gt;Q17,1,0)</f>
        <v>0</v>
      </c>
      <c r="S19" s="55"/>
      <c r="T19" s="43">
        <v>6.0</v>
      </c>
      <c r="U19" s="54">
        <f>IF(T19&gt;T17,1,0)</f>
        <v>1</v>
      </c>
      <c r="V19" s="55"/>
      <c r="W19" s="43">
        <v>9.0</v>
      </c>
      <c r="X19" s="31">
        <f>IF(W19&gt;W17,1,0)</f>
        <v>0</v>
      </c>
      <c r="Y19" s="31">
        <f>IF(Q19="",0,1)</f>
        <v>1</v>
      </c>
      <c r="Z19" s="31">
        <f>IF(R19+U19=2,3,IF(R19+U19=1,1,0))</f>
        <v>1</v>
      </c>
      <c r="AA19" s="31">
        <f>IF(Z19=3,3,IF(X19+Z19=2,2,IF(Z19=1,1,0)))</f>
        <v>1</v>
      </c>
      <c r="AB19" s="31">
        <f>Q19+T19</f>
        <v>10</v>
      </c>
      <c r="AC19" s="31">
        <f>R19+U19+X19</f>
        <v>1</v>
      </c>
      <c r="AD19" s="31"/>
      <c r="AE19" s="93" t="str">
        <f>Players!B43&amp; " / " &amp;Players!C43</f>
        <v>JP Sciberras / Brenda Baldacchino</v>
      </c>
      <c r="AF19" s="48">
        <f>Y19+Y27+Y35+J19+J31</f>
        <v>5</v>
      </c>
      <c r="AG19" s="48">
        <f>AA19+AA35+L31+AA27+L19</f>
        <v>3</v>
      </c>
      <c r="AH19" s="48">
        <f t="shared" ref="AH19:AI19" si="6">AB19+AB27+AB35+M19+M31</f>
        <v>38</v>
      </c>
      <c r="AI19" s="49">
        <f t="shared" si="6"/>
        <v>3</v>
      </c>
      <c r="AJ19" s="31"/>
      <c r="AK19" s="37"/>
      <c r="AL19" s="31"/>
    </row>
    <row r="20" ht="13.5" customHeight="1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</row>
    <row r="21" ht="13.5" customHeight="1">
      <c r="A21" s="42" t="str">
        <f>AE11</f>
        <v>Matthew Micallef / Josette D'Alessandro</v>
      </c>
      <c r="B21" s="43">
        <v>7.0</v>
      </c>
      <c r="C21" s="44">
        <f>IF(B21&gt;B23,1,0)</f>
        <v>1</v>
      </c>
      <c r="D21" s="45"/>
      <c r="E21" s="43">
        <v>4.0</v>
      </c>
      <c r="F21" s="44">
        <f>IF(E21&gt;E23,1,0)</f>
        <v>0</v>
      </c>
      <c r="G21" s="45"/>
      <c r="H21" s="43">
        <v>10.0</v>
      </c>
      <c r="I21" s="31">
        <f>IF(H21&gt;H23,1,0)</f>
        <v>1</v>
      </c>
      <c r="J21" s="31">
        <f>IF(B21="",0,1)</f>
        <v>1</v>
      </c>
      <c r="K21" s="31">
        <f>IF(C21+F21=2,3,IF(C21+F21=1,1,0))</f>
        <v>1</v>
      </c>
      <c r="L21" s="31">
        <f>IF(K21=3,3,IF(I21+K21=2,2,IF(K21=1,1,0)))</f>
        <v>2</v>
      </c>
      <c r="M21" s="31">
        <f>B21+E21</f>
        <v>11</v>
      </c>
      <c r="N21" s="31">
        <f>C21+F21+I21</f>
        <v>2</v>
      </c>
      <c r="O21" s="31"/>
      <c r="P21" s="42" t="s">
        <v>126</v>
      </c>
      <c r="Q21" s="43">
        <v>3.0</v>
      </c>
      <c r="R21" s="44">
        <f>IF(Q21&gt;Q23,1,0)</f>
        <v>0</v>
      </c>
      <c r="S21" s="45"/>
      <c r="T21" s="43">
        <v>1.0</v>
      </c>
      <c r="U21" s="44">
        <f>IF(T21&gt;T23,1,0)</f>
        <v>0</v>
      </c>
      <c r="V21" s="45"/>
      <c r="W21" s="46"/>
      <c r="X21" s="31">
        <f>IF(W21&gt;W23,1,0)</f>
        <v>0</v>
      </c>
      <c r="Y21" s="31">
        <f>IF(Q21="",0,1)</f>
        <v>1</v>
      </c>
      <c r="Z21" s="31">
        <f>IF(R21+U21=2,3,IF(R21+U21=1,1,0))</f>
        <v>0</v>
      </c>
      <c r="AA21" s="31">
        <f>IF(Z21=3,3,IF(X21+Z21=2,2,IF(Z21=1,1,0)))</f>
        <v>0</v>
      </c>
      <c r="AB21" s="31">
        <f>Q21+T21</f>
        <v>4</v>
      </c>
      <c r="AC21" s="31">
        <f>R21+U21+X21</f>
        <v>0</v>
      </c>
      <c r="AD21" s="31"/>
      <c r="AE21" s="90" t="s">
        <v>127</v>
      </c>
      <c r="AF21" s="34"/>
      <c r="AG21" s="34"/>
      <c r="AH21" s="34"/>
      <c r="AI21" s="8"/>
      <c r="AJ21" s="31"/>
      <c r="AK21" s="31"/>
      <c r="AL21" s="31"/>
    </row>
    <row r="22" ht="13.5" customHeight="1">
      <c r="A22" s="50" t="s">
        <v>114</v>
      </c>
      <c r="H22" s="51"/>
      <c r="I22" s="52"/>
      <c r="J22" s="31"/>
      <c r="K22" s="31"/>
      <c r="L22" s="31"/>
      <c r="M22" s="31"/>
      <c r="N22" s="31"/>
      <c r="O22" s="31"/>
      <c r="P22" s="50"/>
      <c r="W22" s="51"/>
      <c r="X22" s="52"/>
      <c r="Y22" s="31"/>
      <c r="Z22" s="31"/>
      <c r="AA22" s="31"/>
      <c r="AB22" s="31"/>
      <c r="AC22" s="31"/>
      <c r="AD22" s="31"/>
      <c r="AE22" s="57" t="s">
        <v>128</v>
      </c>
      <c r="AF22" s="34"/>
      <c r="AG22" s="34"/>
      <c r="AH22" s="34"/>
      <c r="AI22" s="8"/>
      <c r="AJ22" s="31"/>
      <c r="AK22" s="31"/>
      <c r="AL22" s="31"/>
    </row>
    <row r="23" ht="13.5" customHeight="1">
      <c r="A23" s="53" t="str">
        <f>AE13</f>
        <v>David Camilleri / Emma Camilleri</v>
      </c>
      <c r="B23" s="43">
        <v>6.0</v>
      </c>
      <c r="C23" s="54">
        <f>IF(B23&gt;B21,1,0)</f>
        <v>0</v>
      </c>
      <c r="D23" s="55"/>
      <c r="E23" s="43">
        <v>6.0</v>
      </c>
      <c r="F23" s="54">
        <f>IF(E23&gt;E21,1,0)</f>
        <v>1</v>
      </c>
      <c r="G23" s="55"/>
      <c r="H23" s="43">
        <v>3.0</v>
      </c>
      <c r="I23" s="31">
        <f>IF(H23&gt;H21,1,0)</f>
        <v>0</v>
      </c>
      <c r="J23" s="31">
        <f>IF(B23="",0,1)</f>
        <v>1</v>
      </c>
      <c r="K23" s="31">
        <f>IF(C23+F23=2,3,IF(C23+F23=1,1,0))</f>
        <v>1</v>
      </c>
      <c r="L23" s="31">
        <f>IF(K23=3,3,IF(I23+K23=2,2,IF(K23=1,1,0)))</f>
        <v>1</v>
      </c>
      <c r="M23" s="31">
        <f>B23+E23</f>
        <v>12</v>
      </c>
      <c r="N23" s="31">
        <f>C23+F23+I23</f>
        <v>1</v>
      </c>
      <c r="O23" s="31"/>
      <c r="P23" s="53" t="str">
        <f>AE15</f>
        <v>Simone Re / Annmarie Attard</v>
      </c>
      <c r="Q23" s="43">
        <v>6.0</v>
      </c>
      <c r="R23" s="54">
        <f>IF(Q23&gt;Q21,1,0)</f>
        <v>1</v>
      </c>
      <c r="S23" s="55"/>
      <c r="T23" s="43">
        <v>6.0</v>
      </c>
      <c r="U23" s="54">
        <f>IF(T23&gt;T21,1,0)</f>
        <v>1</v>
      </c>
      <c r="V23" s="55"/>
      <c r="W23" s="46"/>
      <c r="X23" s="31">
        <f>IF(W23&gt;W21,1,0)</f>
        <v>0</v>
      </c>
      <c r="Y23" s="31">
        <f>IF(Q23="",0,1)</f>
        <v>1</v>
      </c>
      <c r="Z23" s="31">
        <f>IF(R23+U23=2,3,IF(R23+U23=1,1,0))</f>
        <v>3</v>
      </c>
      <c r="AA23" s="31">
        <f>IF(Z23=3,3,IF(X23+Z23=2,2,IF(Z23=1,1,0)))</f>
        <v>3</v>
      </c>
      <c r="AB23" s="31">
        <f>Q23+T23</f>
        <v>12</v>
      </c>
      <c r="AC23" s="31">
        <f>R23+U23+X23</f>
        <v>2</v>
      </c>
      <c r="AD23" s="31"/>
      <c r="AE23" s="31"/>
      <c r="AF23" s="31"/>
      <c r="AG23" s="31"/>
      <c r="AH23" s="31"/>
      <c r="AI23" s="31"/>
      <c r="AJ23" s="31"/>
      <c r="AK23" s="31"/>
      <c r="AL23" s="31"/>
    </row>
    <row r="24" ht="13.5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</row>
    <row r="25" ht="13.5" customHeight="1">
      <c r="A25" s="42" t="str">
        <f>AE11</f>
        <v>Matthew Micallef / Josette D'Alessandro</v>
      </c>
      <c r="B25" s="43">
        <v>5.0</v>
      </c>
      <c r="C25" s="44">
        <f>IF(B25&gt;B27,1,0)</f>
        <v>0</v>
      </c>
      <c r="D25" s="45"/>
      <c r="E25" s="43">
        <v>4.0</v>
      </c>
      <c r="F25" s="44">
        <f>IF(E25&gt;E27,1,0)</f>
        <v>0</v>
      </c>
      <c r="G25" s="45"/>
      <c r="H25" s="46"/>
      <c r="I25" s="31">
        <f>IF(H25&gt;H27,1,0)</f>
        <v>0</v>
      </c>
      <c r="J25" s="31">
        <f>IF(B25="",0,1)</f>
        <v>1</v>
      </c>
      <c r="K25" s="31">
        <f>IF(C25+F25=2,3,IF(C25+F25=1,1,0))</f>
        <v>0</v>
      </c>
      <c r="L25" s="31">
        <f>IF(K25=3,3,IF(I25+K25=2,2,IF(K25=1,1,0)))</f>
        <v>0</v>
      </c>
      <c r="M25" s="31">
        <f>B25+E25</f>
        <v>9</v>
      </c>
      <c r="N25" s="31">
        <f>C25+F25+I25</f>
        <v>0</v>
      </c>
      <c r="O25" s="31"/>
      <c r="P25" s="42" t="str">
        <f>AE11</f>
        <v>Matthew Micallef / Josette D'Alessandro</v>
      </c>
      <c r="Q25" s="43">
        <v>6.0</v>
      </c>
      <c r="R25" s="44">
        <f>IF(Q25&gt;Q27,1,0)</f>
        <v>1</v>
      </c>
      <c r="S25" s="45"/>
      <c r="T25" s="43">
        <v>7.0</v>
      </c>
      <c r="U25" s="44">
        <f>IF(T25&gt;T27,1,0)</f>
        <v>1</v>
      </c>
      <c r="V25" s="45"/>
      <c r="W25" s="46"/>
      <c r="X25" s="31">
        <f>IF(W25&gt;W27,1,0)</f>
        <v>0</v>
      </c>
      <c r="Y25" s="31">
        <f>IF(Q25="",0,1)</f>
        <v>1</v>
      </c>
      <c r="Z25" s="31">
        <f>IF(R25+U25=2,3,IF(R25+U25=1,1,0))</f>
        <v>3</v>
      </c>
      <c r="AA25" s="31">
        <f>IF(Z25=3,3,IF(X25+Z25=2,2,IF(Z25=1,1,0)))</f>
        <v>3</v>
      </c>
      <c r="AB25" s="31">
        <f>Q25+T25</f>
        <v>13</v>
      </c>
      <c r="AC25" s="31">
        <f>R25+U25+X25</f>
        <v>2</v>
      </c>
      <c r="AD25" s="31"/>
      <c r="AE25" s="31"/>
      <c r="AF25" s="31"/>
      <c r="AG25" s="31"/>
      <c r="AH25" s="31"/>
      <c r="AI25" s="31"/>
      <c r="AJ25" s="31"/>
      <c r="AK25" s="31"/>
      <c r="AL25" s="31"/>
    </row>
    <row r="26" ht="13.5" customHeight="1">
      <c r="A26" s="50" t="s">
        <v>114</v>
      </c>
      <c r="H26" s="51"/>
      <c r="I26" s="52"/>
      <c r="J26" s="31"/>
      <c r="K26" s="31"/>
      <c r="L26" s="31"/>
      <c r="M26" s="31"/>
      <c r="N26" s="31"/>
      <c r="O26" s="31"/>
      <c r="P26" s="50" t="s">
        <v>114</v>
      </c>
      <c r="W26" s="51"/>
      <c r="X26" s="52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</row>
    <row r="27" ht="13.5" customHeight="1">
      <c r="A27" s="53" t="str">
        <f>AE17</f>
        <v>Robert Attard / Silvana Portelli</v>
      </c>
      <c r="B27" s="43">
        <v>7.0</v>
      </c>
      <c r="C27" s="54">
        <f>IF(B27&gt;B25,1,0)</f>
        <v>1</v>
      </c>
      <c r="D27" s="55"/>
      <c r="E27" s="43">
        <v>6.0</v>
      </c>
      <c r="F27" s="54">
        <f>IF(E27&gt;E25,1,0)</f>
        <v>1</v>
      </c>
      <c r="G27" s="55"/>
      <c r="H27" s="46"/>
      <c r="I27" s="31">
        <f>IF(H27&gt;H25,1,0)</f>
        <v>0</v>
      </c>
      <c r="J27" s="31">
        <f>IF(B27="",0,1)</f>
        <v>1</v>
      </c>
      <c r="K27" s="31">
        <f>IF(C27+F27=2,3,IF(C27+F27=1,1,0))</f>
        <v>3</v>
      </c>
      <c r="L27" s="31">
        <f>IF(K27=3,3,IF(I27+K27=2,2,IF(K27=1,1,0)))</f>
        <v>3</v>
      </c>
      <c r="M27" s="31">
        <f>B27+E27</f>
        <v>13</v>
      </c>
      <c r="N27" s="31">
        <f>C27+F27+I27</f>
        <v>2</v>
      </c>
      <c r="O27" s="31"/>
      <c r="P27" s="53" t="str">
        <f>AE19</f>
        <v>JP Sciberras / Brenda Baldacchino</v>
      </c>
      <c r="Q27" s="43">
        <v>3.0</v>
      </c>
      <c r="R27" s="54">
        <f>IF(Q27&gt;Q25,1,0)</f>
        <v>0</v>
      </c>
      <c r="S27" s="55"/>
      <c r="T27" s="43">
        <v>5.0</v>
      </c>
      <c r="U27" s="54">
        <f>IF(T27&gt;T25,1,0)</f>
        <v>0</v>
      </c>
      <c r="V27" s="55"/>
      <c r="W27" s="46"/>
      <c r="X27" s="31">
        <f>IF(W27&gt;W25,1,0)</f>
        <v>0</v>
      </c>
      <c r="Y27" s="31">
        <f>IF(Q27="",0,1)</f>
        <v>1</v>
      </c>
      <c r="Z27" s="31">
        <f>IF(R27+U27=2,3,IF(R27+U27=1,1,0))</f>
        <v>0</v>
      </c>
      <c r="AA27" s="31">
        <f>IF(Z27=3,3,IF(X27+Z27=2,2,IF(Z27=1,1,0)))</f>
        <v>0</v>
      </c>
      <c r="AB27" s="31">
        <f>Q27+T27</f>
        <v>8</v>
      </c>
      <c r="AC27" s="31">
        <f>R27+U27+X27</f>
        <v>0</v>
      </c>
      <c r="AD27" s="31"/>
      <c r="AE27" s="31"/>
      <c r="AF27" s="31"/>
      <c r="AG27" s="31"/>
      <c r="AH27" s="31"/>
      <c r="AI27" s="31"/>
      <c r="AJ27" s="31"/>
      <c r="AK27" s="31"/>
      <c r="AL27" s="31"/>
    </row>
    <row r="28" ht="13.5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7"/>
      <c r="AI28" s="31"/>
      <c r="AJ28" s="31"/>
      <c r="AK28" s="31"/>
      <c r="AL28" s="31"/>
    </row>
    <row r="29" ht="13.5" customHeight="1">
      <c r="A29" s="42" t="str">
        <f>AE15</f>
        <v>Simone Re / Annmarie Attard</v>
      </c>
      <c r="B29" s="43">
        <v>6.0</v>
      </c>
      <c r="C29" s="44">
        <f>IF(B29&gt;B31,1,0)</f>
        <v>1</v>
      </c>
      <c r="D29" s="45"/>
      <c r="E29" s="43">
        <v>6.0</v>
      </c>
      <c r="F29" s="44">
        <f>IF(E29&gt;E31,1,0)</f>
        <v>1</v>
      </c>
      <c r="G29" s="45"/>
      <c r="H29" s="46"/>
      <c r="I29" s="31">
        <f>IF(H29&gt;H31,1,0)</f>
        <v>0</v>
      </c>
      <c r="J29" s="31">
        <f>IF(B29="",0,1)</f>
        <v>1</v>
      </c>
      <c r="K29" s="31">
        <f>IF(C29+F29=2,3,IF(C29+F29=1,1,0))</f>
        <v>3</v>
      </c>
      <c r="L29" s="31">
        <f>IF(K29=3,3,IF(I29+K29=2,2,IF(K29=1,1,0)))</f>
        <v>3</v>
      </c>
      <c r="M29" s="31">
        <f>B29+E29</f>
        <v>12</v>
      </c>
      <c r="N29" s="31">
        <f>C29+F29+I29</f>
        <v>2</v>
      </c>
      <c r="O29" s="31"/>
      <c r="P29" s="42" t="str">
        <f>AE13</f>
        <v>David Camilleri / Emma Camilleri</v>
      </c>
      <c r="Q29" s="43">
        <v>5.0</v>
      </c>
      <c r="R29" s="44">
        <f>IF(Q29&gt;Q31,1,0)</f>
        <v>0</v>
      </c>
      <c r="S29" s="45"/>
      <c r="T29" s="43">
        <v>4.0</v>
      </c>
      <c r="U29" s="44">
        <f>IF(T29&gt;T31,1,0)</f>
        <v>0</v>
      </c>
      <c r="V29" s="45"/>
      <c r="W29" s="46"/>
      <c r="X29" s="31">
        <f>IF(W29&gt;W31,1,0)</f>
        <v>0</v>
      </c>
      <c r="Y29" s="31">
        <f>IF(Q29="",0,1)</f>
        <v>1</v>
      </c>
      <c r="Z29" s="31">
        <f>IF(R29+U29=2,3,IF(R29+U29=1,1,0))</f>
        <v>0</v>
      </c>
      <c r="AA29" s="31">
        <f>IF(Z29=3,3,IF(X29+Z29=2,2,IF(Z29=1,1,0)))</f>
        <v>0</v>
      </c>
      <c r="AB29" s="31">
        <f>Q29+T29</f>
        <v>9</v>
      </c>
      <c r="AC29" s="31">
        <f>R29+U29+X29</f>
        <v>0</v>
      </c>
      <c r="AD29" s="31"/>
      <c r="AE29" s="31"/>
      <c r="AF29" s="31"/>
      <c r="AG29" s="31"/>
      <c r="AH29" s="31"/>
      <c r="AI29" s="31"/>
      <c r="AJ29" s="31"/>
      <c r="AK29" s="31"/>
      <c r="AL29" s="31"/>
    </row>
    <row r="30" ht="13.5" customHeight="1">
      <c r="A30" s="50" t="s">
        <v>114</v>
      </c>
      <c r="H30" s="51"/>
      <c r="I30" s="52"/>
      <c r="J30" s="31"/>
      <c r="K30" s="31"/>
      <c r="L30" s="31"/>
      <c r="M30" s="31"/>
      <c r="N30" s="31"/>
      <c r="O30" s="31"/>
      <c r="P30" s="50" t="s">
        <v>114</v>
      </c>
      <c r="W30" s="51"/>
      <c r="X30" s="52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59"/>
      <c r="AL30" s="31"/>
    </row>
    <row r="31" ht="13.5" customHeight="1">
      <c r="A31" s="53" t="str">
        <f>AE19</f>
        <v>JP Sciberras / Brenda Baldacchino</v>
      </c>
      <c r="B31" s="43">
        <v>2.0</v>
      </c>
      <c r="C31" s="54">
        <f>IF(B31&gt;B29,1,0)</f>
        <v>0</v>
      </c>
      <c r="D31" s="55"/>
      <c r="E31" s="43">
        <v>2.0</v>
      </c>
      <c r="F31" s="54">
        <f>IF(E31&gt;E29,1,0)</f>
        <v>0</v>
      </c>
      <c r="G31" s="55"/>
      <c r="H31" s="46"/>
      <c r="I31" s="31">
        <f>IF(H31&gt;H29,1,0)</f>
        <v>0</v>
      </c>
      <c r="J31" s="31">
        <f>IF(B31="",0,1)</f>
        <v>1</v>
      </c>
      <c r="K31" s="31">
        <f>IF(C31+F31=2,3,IF(C31+F31=1,1,0))</f>
        <v>0</v>
      </c>
      <c r="L31" s="31">
        <f>IF(K31=3,3,IF(I31+K31=2,2,IF(K31=1,1,0)))</f>
        <v>0</v>
      </c>
      <c r="M31" s="31">
        <f>B31+E31</f>
        <v>4</v>
      </c>
      <c r="N31" s="31">
        <f>C31+F31+I31</f>
        <v>0</v>
      </c>
      <c r="O31" s="31"/>
      <c r="P31" s="53" t="str">
        <f>AE15</f>
        <v>Simone Re / Annmarie Attard</v>
      </c>
      <c r="Q31" s="43">
        <v>7.0</v>
      </c>
      <c r="R31" s="54">
        <f>IF(Q31&gt;Q29,1,0)</f>
        <v>1</v>
      </c>
      <c r="S31" s="55"/>
      <c r="T31" s="43">
        <v>6.0</v>
      </c>
      <c r="U31" s="54">
        <f>IF(T31&gt;T29,1,0)</f>
        <v>1</v>
      </c>
      <c r="V31" s="55"/>
      <c r="W31" s="46"/>
      <c r="X31" s="31">
        <f>IF(W31&gt;W29,1,0)</f>
        <v>0</v>
      </c>
      <c r="Y31" s="31">
        <f>IF(Q31="",0,1)</f>
        <v>1</v>
      </c>
      <c r="Z31" s="31">
        <f>IF(R31+U31=2,3,IF(R31+U31=1,1,0))</f>
        <v>3</v>
      </c>
      <c r="AA31" s="31">
        <f>IF(Z31=3,3,IF(X31+Z31=2,2,IF(Z31=1,1,0)))</f>
        <v>3</v>
      </c>
      <c r="AB31" s="31">
        <f>Q31+T31</f>
        <v>13</v>
      </c>
      <c r="AC31" s="31">
        <f>R31+U31+X31</f>
        <v>2</v>
      </c>
      <c r="AD31" s="31"/>
      <c r="AE31" s="31"/>
      <c r="AF31" s="31"/>
      <c r="AG31" s="31"/>
      <c r="AH31" s="31"/>
      <c r="AI31" s="31"/>
      <c r="AJ31" s="31"/>
      <c r="AK31" s="31"/>
      <c r="AL31" s="31"/>
    </row>
    <row r="32" ht="13.5" customHeight="1">
      <c r="A32" s="31"/>
      <c r="B32" s="31"/>
      <c r="C32" s="31"/>
      <c r="D32" s="31"/>
      <c r="E32" s="37"/>
      <c r="F32" s="31"/>
      <c r="G32" s="31"/>
      <c r="H32" s="37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59"/>
      <c r="AL32" s="31"/>
    </row>
    <row r="33" ht="13.5" customHeight="1">
      <c r="A33" s="42" t="str">
        <f>AE13</f>
        <v>David Camilleri / Emma Camilleri</v>
      </c>
      <c r="B33" s="43">
        <v>6.0</v>
      </c>
      <c r="C33" s="44">
        <f>IF(B33&gt;B35,1,0)</f>
        <v>1</v>
      </c>
      <c r="D33" s="45"/>
      <c r="E33" s="43">
        <v>6.0</v>
      </c>
      <c r="F33" s="44">
        <f>IF(E33&gt;E35,1,0)</f>
        <v>0</v>
      </c>
      <c r="G33" s="45"/>
      <c r="H33" s="43">
        <v>10.0</v>
      </c>
      <c r="I33" s="31">
        <f>IF(H33&gt;H35,1,0)</f>
        <v>1</v>
      </c>
      <c r="J33" s="31">
        <f>IF(B33="",0,1)</f>
        <v>1</v>
      </c>
      <c r="K33" s="31">
        <f>IF(C33+F33=2,3,IF(C33+F33=1,1,0))</f>
        <v>1</v>
      </c>
      <c r="L33" s="31">
        <f>IF(K33=3,3,IF(I33+K33=2,2,IF(K33=1,1,0)))</f>
        <v>2</v>
      </c>
      <c r="M33" s="31">
        <f>B33+E33</f>
        <v>12</v>
      </c>
      <c r="N33" s="31">
        <f>C33+F33+I33</f>
        <v>2</v>
      </c>
      <c r="O33" s="31"/>
      <c r="P33" s="42" t="str">
        <f>AE13</f>
        <v>David Camilleri / Emma Camilleri</v>
      </c>
      <c r="Q33" s="43">
        <v>6.0</v>
      </c>
      <c r="R33" s="44">
        <f>IF(Q33&gt;Q35,1,0)</f>
        <v>1</v>
      </c>
      <c r="S33" s="45"/>
      <c r="T33" s="43">
        <v>3.0</v>
      </c>
      <c r="U33" s="44">
        <f>IF(T33&gt;T35,1,0)</f>
        <v>0</v>
      </c>
      <c r="V33" s="45"/>
      <c r="W33" s="43">
        <v>10.0</v>
      </c>
      <c r="X33" s="31">
        <f>IF(W33&gt;W35,1,0)</f>
        <v>1</v>
      </c>
      <c r="Y33" s="31">
        <f>IF(Q33="",0,1)</f>
        <v>1</v>
      </c>
      <c r="Z33" s="31">
        <f>IF(R33+U33=2,3,IF(R33+U33=1,1,0))</f>
        <v>1</v>
      </c>
      <c r="AA33" s="31">
        <f>IF(Z33=3,3,IF(X33+Z33=2,2,IF(Z33=1,1,0)))</f>
        <v>2</v>
      </c>
      <c r="AB33" s="31">
        <f>Q33+T33</f>
        <v>9</v>
      </c>
      <c r="AC33" s="31">
        <f>R33+U33+X33</f>
        <v>2</v>
      </c>
      <c r="AD33" s="31"/>
      <c r="AE33" s="31"/>
      <c r="AF33" s="31"/>
      <c r="AG33" s="31"/>
      <c r="AH33" s="31"/>
      <c r="AI33" s="31"/>
      <c r="AJ33" s="31"/>
      <c r="AK33" s="31"/>
      <c r="AL33" s="31"/>
    </row>
    <row r="34" ht="13.5" customHeight="1">
      <c r="A34" s="50" t="s">
        <v>114</v>
      </c>
      <c r="H34" s="51"/>
      <c r="I34" s="52"/>
      <c r="J34" s="31"/>
      <c r="K34" s="31"/>
      <c r="L34" s="31"/>
      <c r="M34" s="31"/>
      <c r="N34" s="31"/>
      <c r="O34" s="31"/>
      <c r="P34" s="50" t="s">
        <v>114</v>
      </c>
      <c r="W34" s="51"/>
      <c r="X34" s="52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</row>
    <row r="35" ht="13.5" customHeight="1">
      <c r="A35" s="53" t="str">
        <f>AE17</f>
        <v>Robert Attard / Silvana Portelli</v>
      </c>
      <c r="B35" s="43">
        <v>4.0</v>
      </c>
      <c r="C35" s="54">
        <f>IF(B35&gt;B33,1,0)</f>
        <v>0</v>
      </c>
      <c r="D35" s="55"/>
      <c r="E35" s="43">
        <v>7.0</v>
      </c>
      <c r="F35" s="54">
        <f>IF(E35&gt;E33,1,0)</f>
        <v>1</v>
      </c>
      <c r="G35" s="55"/>
      <c r="H35" s="43">
        <v>7.0</v>
      </c>
      <c r="I35" s="31">
        <f>IF(H35&gt;H33,1,0)</f>
        <v>0</v>
      </c>
      <c r="J35" s="31">
        <f>IF(B35="",0,1)</f>
        <v>1</v>
      </c>
      <c r="K35" s="31">
        <f>IF(C35+F35=2,3,IF(C35+F35=1,1,0))</f>
        <v>1</v>
      </c>
      <c r="L35" s="31">
        <f>IF(K35=3,3,IF(I35+K35=2,2,IF(K35=1,1,0)))</f>
        <v>1</v>
      </c>
      <c r="M35" s="31">
        <f>B35+E35</f>
        <v>11</v>
      </c>
      <c r="N35" s="31">
        <f>C35+F35+I35</f>
        <v>1</v>
      </c>
      <c r="O35" s="31"/>
      <c r="P35" s="53" t="str">
        <f>AE19</f>
        <v>JP Sciberras / Brenda Baldacchino</v>
      </c>
      <c r="Q35" s="43">
        <v>1.0</v>
      </c>
      <c r="R35" s="54">
        <f>IF(Q35&gt;Q33,1,0)</f>
        <v>0</v>
      </c>
      <c r="S35" s="55"/>
      <c r="T35" s="43">
        <v>6.0</v>
      </c>
      <c r="U35" s="54">
        <f>IF(T35&gt;T33,1,0)</f>
        <v>1</v>
      </c>
      <c r="V35" s="55"/>
      <c r="W35" s="43">
        <v>4.0</v>
      </c>
      <c r="X35" s="31">
        <f>IF(W35&gt;W33,1,0)</f>
        <v>0</v>
      </c>
      <c r="Y35" s="31">
        <f>IF(Q35="",0,1)</f>
        <v>1</v>
      </c>
      <c r="Z35" s="31">
        <f>IF(R35+U35=2,3,IF(R35+U35=1,1,0))</f>
        <v>1</v>
      </c>
      <c r="AA35" s="31">
        <f>IF(Z35=3,3,IF(X35+Z35=2,2,IF(Z35=1,1,0)))</f>
        <v>1</v>
      </c>
      <c r="AB35" s="31">
        <f>Q35+T35</f>
        <v>7</v>
      </c>
      <c r="AC35" s="31">
        <f>R35+U35+X35</f>
        <v>1</v>
      </c>
      <c r="AD35" s="31"/>
      <c r="AE35" s="31"/>
      <c r="AF35" s="31"/>
      <c r="AG35" s="31"/>
      <c r="AH35" s="31"/>
      <c r="AI35" s="31"/>
      <c r="AJ35" s="31"/>
      <c r="AK35" s="31"/>
      <c r="AL35" s="31"/>
    </row>
    <row r="36" ht="13.5" customHeight="1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7"/>
      <c r="AI36" s="31"/>
      <c r="AJ36" s="31"/>
      <c r="AK36" s="31"/>
      <c r="AL36" s="31"/>
    </row>
    <row r="37" ht="13.5" customHeight="1">
      <c r="A37" s="42" t="str">
        <f>AE15</f>
        <v>Simone Re / Annmarie Attard</v>
      </c>
      <c r="B37" s="43">
        <v>6.0</v>
      </c>
      <c r="C37" s="44">
        <f>IF(B37&gt;B39,1,0)</f>
        <v>1</v>
      </c>
      <c r="D37" s="45"/>
      <c r="E37" s="43">
        <v>6.0</v>
      </c>
      <c r="F37" s="44">
        <f>IF(E37&gt;E39,1,0)</f>
        <v>0</v>
      </c>
      <c r="G37" s="45"/>
      <c r="H37" s="43">
        <v>5.0</v>
      </c>
      <c r="I37" s="31">
        <f>IF(H37&gt;H39,1,0)</f>
        <v>0</v>
      </c>
      <c r="J37" s="31">
        <f>IF(B37="",0,1)</f>
        <v>1</v>
      </c>
      <c r="K37" s="31">
        <f>IF(C37+F37=2,3,IF(C37+F37=1,1,0))</f>
        <v>1</v>
      </c>
      <c r="L37" s="31">
        <f>IF(K37=3,3,IF(I37+K37=2,2,IF(K37=1,1,0)))</f>
        <v>1</v>
      </c>
      <c r="M37" s="31">
        <f>B37+E37</f>
        <v>12</v>
      </c>
      <c r="N37" s="31">
        <f>C37+F37+I37</f>
        <v>1</v>
      </c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</row>
    <row r="38" ht="13.5" customHeight="1">
      <c r="A38" s="50" t="s">
        <v>114</v>
      </c>
      <c r="H38" s="51"/>
      <c r="I38" s="52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62"/>
      <c r="AK38" s="31"/>
      <c r="AL38" s="31"/>
    </row>
    <row r="39" ht="13.5" customHeight="1">
      <c r="A39" s="53" t="str">
        <f>AE17</f>
        <v>Robert Attard / Silvana Portelli</v>
      </c>
      <c r="B39" s="43">
        <v>2.0</v>
      </c>
      <c r="C39" s="54">
        <f>IF(B39&gt;B37,1,0)</f>
        <v>0</v>
      </c>
      <c r="D39" s="55"/>
      <c r="E39" s="43">
        <v>7.0</v>
      </c>
      <c r="F39" s="54">
        <f>IF(E39&gt;E37,1,0)</f>
        <v>1</v>
      </c>
      <c r="G39" s="55"/>
      <c r="H39" s="43">
        <v>10.0</v>
      </c>
      <c r="I39" s="31">
        <f>IF(H39&gt;H37,1,0)</f>
        <v>1</v>
      </c>
      <c r="J39" s="31">
        <f>IF(B39="",0,1)</f>
        <v>1</v>
      </c>
      <c r="K39" s="31">
        <f>IF(C39+F39=2,3,IF(C39+F39=1,1,0))</f>
        <v>1</v>
      </c>
      <c r="L39" s="31">
        <f>IF(K39=3,3,IF(I39+K39=2,2,IF(K39=1,1,0)))</f>
        <v>2</v>
      </c>
      <c r="M39" s="31">
        <f>B39+E39</f>
        <v>9</v>
      </c>
      <c r="N39" s="31">
        <f>C39+F39+I39</f>
        <v>2</v>
      </c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</row>
    <row r="40" ht="13.5" customHeight="1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</row>
    <row r="41" ht="13.5" customHeight="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</row>
    <row r="42" ht="13.5" customHeight="1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</row>
    <row r="43" ht="13.5" customHeight="1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</row>
    <row r="44" ht="13.5" customHeight="1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</row>
    <row r="45" ht="13.5" customHeight="1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</row>
    <row r="46" ht="13.5" customHeight="1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</row>
    <row r="47" ht="13.5" customHeight="1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</row>
    <row r="48" ht="13.5" customHeight="1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</row>
    <row r="49" ht="13.5" customHeight="1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</row>
    <row r="50" ht="13.5" customHeight="1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</row>
    <row r="51" ht="13.5" customHeight="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</row>
    <row r="52" ht="13.5" customHeight="1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</row>
    <row r="53" ht="13.5" customHeight="1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</row>
    <row r="54" ht="13.5" customHeight="1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</row>
    <row r="55" ht="13.5" customHeight="1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</row>
    <row r="56" ht="13.5" customHeight="1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</row>
    <row r="57" ht="13.5" customHeight="1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</row>
    <row r="58" ht="13.5" customHeight="1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</row>
    <row r="59" ht="13.5" customHeight="1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</row>
    <row r="60" ht="13.5" customHeight="1">
      <c r="A60" s="94" t="s">
        <v>54</v>
      </c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1"/>
      <c r="AK60" s="31"/>
      <c r="AL60" s="31"/>
    </row>
    <row r="61" ht="13.5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</row>
    <row r="62">
      <c r="A62" s="95" t="s">
        <v>92</v>
      </c>
      <c r="B62" s="96" t="s">
        <v>93</v>
      </c>
      <c r="C62" s="34"/>
      <c r="D62" s="34"/>
      <c r="E62" s="8"/>
      <c r="F62" s="97"/>
      <c r="G62" s="98"/>
      <c r="H62" s="95" t="s">
        <v>94</v>
      </c>
      <c r="I62" s="31"/>
      <c r="J62" s="31"/>
      <c r="K62" s="31"/>
      <c r="L62" s="31"/>
      <c r="M62" s="37"/>
      <c r="N62" s="37"/>
      <c r="O62" s="37"/>
      <c r="P62" s="95" t="s">
        <v>92</v>
      </c>
      <c r="Q62" s="96" t="s">
        <v>93</v>
      </c>
      <c r="R62" s="34"/>
      <c r="S62" s="34"/>
      <c r="T62" s="8"/>
      <c r="U62" s="97"/>
      <c r="V62" s="98"/>
      <c r="W62" s="95" t="s">
        <v>94</v>
      </c>
      <c r="X62" s="31"/>
      <c r="Y62" s="37"/>
      <c r="Z62" s="37"/>
      <c r="AA62" s="37"/>
      <c r="AB62" s="37"/>
      <c r="AC62" s="37"/>
      <c r="AD62" s="37"/>
      <c r="AE62" s="95" t="s">
        <v>95</v>
      </c>
      <c r="AF62" s="99" t="s">
        <v>96</v>
      </c>
      <c r="AG62" s="99" t="s">
        <v>97</v>
      </c>
      <c r="AH62" s="99" t="s">
        <v>98</v>
      </c>
      <c r="AI62" s="99" t="s">
        <v>99</v>
      </c>
      <c r="AJ62" s="37"/>
      <c r="AK62" s="37"/>
      <c r="AL62" s="31"/>
    </row>
    <row r="63" ht="15.75" hidden="1" customHeight="1">
      <c r="A63" s="31"/>
      <c r="B63" s="39" t="s">
        <v>100</v>
      </c>
      <c r="C63" s="39" t="s">
        <v>101</v>
      </c>
      <c r="D63" s="39"/>
      <c r="E63" s="39" t="s">
        <v>100</v>
      </c>
      <c r="F63" s="39" t="s">
        <v>102</v>
      </c>
      <c r="G63" s="39"/>
      <c r="H63" s="39" t="s">
        <v>100</v>
      </c>
      <c r="I63" s="39" t="s">
        <v>103</v>
      </c>
      <c r="J63" s="39" t="s">
        <v>104</v>
      </c>
      <c r="K63" s="39" t="s">
        <v>105</v>
      </c>
      <c r="L63" s="39" t="s">
        <v>106</v>
      </c>
      <c r="M63" s="39" t="s">
        <v>107</v>
      </c>
      <c r="N63" s="39" t="s">
        <v>108</v>
      </c>
      <c r="O63" s="31"/>
      <c r="P63" s="31"/>
      <c r="Q63" s="39" t="s">
        <v>100</v>
      </c>
      <c r="R63" s="39" t="s">
        <v>101</v>
      </c>
      <c r="S63" s="39"/>
      <c r="T63" s="39" t="s">
        <v>100</v>
      </c>
      <c r="U63" s="39" t="s">
        <v>102</v>
      </c>
      <c r="V63" s="39"/>
      <c r="W63" s="39" t="s">
        <v>100</v>
      </c>
      <c r="X63" s="39" t="s">
        <v>103</v>
      </c>
      <c r="Y63" s="39" t="s">
        <v>104</v>
      </c>
      <c r="Z63" s="39" t="s">
        <v>105</v>
      </c>
      <c r="AA63" s="39" t="s">
        <v>106</v>
      </c>
      <c r="AB63" s="39" t="s">
        <v>107</v>
      </c>
      <c r="AC63" s="39" t="s">
        <v>108</v>
      </c>
      <c r="AD63" s="31"/>
      <c r="AE63" s="37"/>
      <c r="AF63" s="37"/>
      <c r="AG63" s="37"/>
      <c r="AH63" s="37"/>
      <c r="AI63" s="37"/>
      <c r="AJ63" s="39" t="s">
        <v>109</v>
      </c>
      <c r="AK63" s="40" t="s">
        <v>111</v>
      </c>
      <c r="AL63" s="41" t="s">
        <v>112</v>
      </c>
    </row>
    <row r="64" ht="13.5" customHeight="1">
      <c r="A64" s="42" t="str">
        <f>AE64</f>
        <v>Juan Sammut / Maria Angela Gambin</v>
      </c>
      <c r="B64" s="43">
        <v>6.0</v>
      </c>
      <c r="C64" s="44">
        <f>IF(B64&gt;B66,1,0)</f>
        <v>1</v>
      </c>
      <c r="D64" s="45"/>
      <c r="E64" s="43">
        <v>6.0</v>
      </c>
      <c r="F64" s="44">
        <f>IF(E64&gt;E66,1,0)</f>
        <v>1</v>
      </c>
      <c r="G64" s="45"/>
      <c r="H64" s="46"/>
      <c r="I64" s="31">
        <f>IF(H64&gt;H66,1,0)</f>
        <v>0</v>
      </c>
      <c r="J64" s="31">
        <f>IF(B64="",0,1)</f>
        <v>1</v>
      </c>
      <c r="K64" s="31">
        <f>IF(C64+F64=2,3,IF(C64+F64=1,1,0))</f>
        <v>3</v>
      </c>
      <c r="L64" s="31">
        <f>IF(K64=3,3,IF(I64+K64=2,2,IF(K64=1,1,0)))</f>
        <v>3</v>
      </c>
      <c r="M64" s="31">
        <f>B64+E64</f>
        <v>12</v>
      </c>
      <c r="N64" s="31">
        <f>C64+F64+I64</f>
        <v>2</v>
      </c>
      <c r="O64" s="31"/>
      <c r="P64" s="42" t="str">
        <f>AE64</f>
        <v>Juan Sammut / Maria Angela Gambin</v>
      </c>
      <c r="Q64" s="43">
        <v>6.0</v>
      </c>
      <c r="R64" s="44">
        <f>IF(Q64&gt;Q66,1,0)</f>
        <v>1</v>
      </c>
      <c r="S64" s="45"/>
      <c r="T64" s="43">
        <v>6.0</v>
      </c>
      <c r="U64" s="44">
        <f>IF(T64&gt;T66,1,0)</f>
        <v>1</v>
      </c>
      <c r="V64" s="45"/>
      <c r="W64" s="46"/>
      <c r="X64" s="31">
        <f>IF(W64&gt;W66,1,0)</f>
        <v>0</v>
      </c>
      <c r="Y64" s="31">
        <f>IF(Q64="",0,1)</f>
        <v>1</v>
      </c>
      <c r="Z64" s="31">
        <f>IF(R64+U64=2,3,IF(R64+U64=1,1,0))</f>
        <v>3</v>
      </c>
      <c r="AA64" s="31">
        <f>IF(Z64=3,3,IF(X64+Z64=2,2,IF(Z64=1,1,0)))</f>
        <v>3</v>
      </c>
      <c r="AB64" s="31">
        <f>Q64+T64</f>
        <v>12</v>
      </c>
      <c r="AC64" s="31">
        <f>R64+U64+X64</f>
        <v>2</v>
      </c>
      <c r="AD64" s="31"/>
      <c r="AE64" s="100" t="str">
        <f>Players!F38&amp; " / " &amp;Players!G38</f>
        <v>Juan Sammut / Maria Angela Gambin</v>
      </c>
      <c r="AF64" s="48">
        <f>J64+Y64+J68+Y68+J72</f>
        <v>5</v>
      </c>
      <c r="AG64" s="48">
        <f t="shared" ref="AG64:AI64" si="7">L64+AA64+L68+AA68+L72</f>
        <v>15</v>
      </c>
      <c r="AH64" s="48">
        <f t="shared" si="7"/>
        <v>62</v>
      </c>
      <c r="AI64" s="49">
        <f t="shared" si="7"/>
        <v>10</v>
      </c>
      <c r="AJ64" s="31">
        <f>MAX(AG64:AG74)</f>
        <v>15</v>
      </c>
      <c r="AK64" s="31">
        <f>SUM(AF64:AF74)</f>
        <v>30</v>
      </c>
      <c r="AL64" s="31" t="str">
        <f>IF(AG64=$AJ$64,AE64,IF(AG66=$AJ$64,AE66,IF(AG68=$AJ$64,AE68,IF(AG70=$AJ$64,AE70,IF(AG72=$AJ$64,AE72,IF(AG74=$AJ$64,AE74,""))))))</f>
        <v>Juan Sammut / Maria Angela Gambin</v>
      </c>
    </row>
    <row r="65" ht="13.5" customHeight="1">
      <c r="A65" s="50" t="s">
        <v>114</v>
      </c>
      <c r="H65" s="51"/>
      <c r="I65" s="52"/>
      <c r="J65" s="31"/>
      <c r="K65" s="31"/>
      <c r="L65" s="31"/>
      <c r="M65" s="31"/>
      <c r="N65" s="31"/>
      <c r="O65" s="31"/>
      <c r="P65" s="50" t="s">
        <v>114</v>
      </c>
      <c r="W65" s="51"/>
      <c r="X65" s="52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7"/>
      <c r="AL65" s="31"/>
    </row>
    <row r="66" ht="13.5" customHeight="1">
      <c r="A66" s="53" t="str">
        <f>AE66</f>
        <v>Dayle Scicluna / Alida Borg</v>
      </c>
      <c r="B66" s="43">
        <v>0.0</v>
      </c>
      <c r="C66" s="54">
        <f>IF(B66&gt;B64,1,0)</f>
        <v>0</v>
      </c>
      <c r="D66" s="55"/>
      <c r="E66" s="43">
        <v>3.0</v>
      </c>
      <c r="F66" s="54">
        <f>IF(E66&gt;E64,1,0)</f>
        <v>0</v>
      </c>
      <c r="G66" s="55"/>
      <c r="H66" s="46"/>
      <c r="I66" s="31">
        <f>IF(H66&gt;H64,1,0)</f>
        <v>0</v>
      </c>
      <c r="J66" s="31">
        <f>IF(B66="",0,1)</f>
        <v>1</v>
      </c>
      <c r="K66" s="31">
        <f>IF(C66+F66=2,3,IF(C66+F66=1,1,0))</f>
        <v>0</v>
      </c>
      <c r="L66" s="31">
        <f>IF(K66=3,3,IF(I66+K66=2,2,IF(K66=1,1,0)))</f>
        <v>0</v>
      </c>
      <c r="M66" s="31">
        <f>B66+E66</f>
        <v>3</v>
      </c>
      <c r="N66" s="31">
        <f>C66+F66+I66</f>
        <v>0</v>
      </c>
      <c r="O66" s="31"/>
      <c r="P66" s="53" t="str">
        <f>AE68</f>
        <v>Owen Farrugia / Jodie Stivala</v>
      </c>
      <c r="Q66" s="43">
        <v>0.0</v>
      </c>
      <c r="R66" s="54">
        <f>IF(Q66&gt;Q64,1,0)</f>
        <v>0</v>
      </c>
      <c r="S66" s="55"/>
      <c r="T66" s="43">
        <v>4.0</v>
      </c>
      <c r="U66" s="54">
        <f>IF(T66&gt;T64,1,0)</f>
        <v>0</v>
      </c>
      <c r="V66" s="55"/>
      <c r="W66" s="46"/>
      <c r="X66" s="31">
        <f>IF(W66&gt;W64,1,0)</f>
        <v>0</v>
      </c>
      <c r="Y66" s="31">
        <f>IF(Q66="",0,1)</f>
        <v>1</v>
      </c>
      <c r="Z66" s="31">
        <f>IF(R66+U66=2,3,IF(R66+U66=1,1,0))</f>
        <v>0</v>
      </c>
      <c r="AA66" s="31">
        <f>IF(Z66=3,3,IF(X66+Z66=2,2,IF(Z66=1,1,0)))</f>
        <v>0</v>
      </c>
      <c r="AB66" s="31">
        <f>Q66+T66</f>
        <v>4</v>
      </c>
      <c r="AC66" s="31">
        <f>R66+U66+X66</f>
        <v>0</v>
      </c>
      <c r="AD66" s="31"/>
      <c r="AE66" s="100" t="str">
        <f>Players!F39&amp; " / " &amp;Players!G39</f>
        <v>Dayle Scicluna / Alida Borg</v>
      </c>
      <c r="AF66" s="48">
        <f>J66+Y80+J80+Y76+J76</f>
        <v>5</v>
      </c>
      <c r="AG66" s="48">
        <f t="shared" ref="AG66:AI66" si="8">L66+AA80+L80+AA76+L76</f>
        <v>7</v>
      </c>
      <c r="AH66" s="48">
        <f t="shared" si="8"/>
        <v>44</v>
      </c>
      <c r="AI66" s="49">
        <f t="shared" si="8"/>
        <v>5</v>
      </c>
      <c r="AJ66" s="37"/>
      <c r="AK66" s="37"/>
      <c r="AL66" s="31"/>
    </row>
    <row r="67" ht="13.5" customHeight="1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7"/>
      <c r="AG67" s="37"/>
      <c r="AH67" s="37"/>
      <c r="AI67" s="37"/>
      <c r="AJ67" s="37"/>
      <c r="AK67" s="37"/>
      <c r="AL67" s="31"/>
    </row>
    <row r="68" ht="13.5" customHeight="1">
      <c r="A68" s="42" t="str">
        <f>AE64</f>
        <v>Juan Sammut / Maria Angela Gambin</v>
      </c>
      <c r="B68" s="43">
        <v>6.0</v>
      </c>
      <c r="C68" s="44">
        <f>IF(B68&gt;B70,1,0)</f>
        <v>1</v>
      </c>
      <c r="D68" s="45"/>
      <c r="E68" s="43">
        <v>7.0</v>
      </c>
      <c r="F68" s="44">
        <f>IF(E68&gt;E70,1,0)</f>
        <v>1</v>
      </c>
      <c r="G68" s="45"/>
      <c r="H68" s="46"/>
      <c r="I68" s="31">
        <f>IF(H68&gt;H70,1,0)</f>
        <v>0</v>
      </c>
      <c r="J68" s="31">
        <f>IF(B68="",0,1)</f>
        <v>1</v>
      </c>
      <c r="K68" s="31">
        <f>IF(C68+F68=2,3,IF(C68+F68=1,1,0))</f>
        <v>3</v>
      </c>
      <c r="L68" s="31">
        <f>IF(K68=3,3,IF(I68+K68=2,2,IF(K68=1,1,0)))</f>
        <v>3</v>
      </c>
      <c r="M68" s="31">
        <f>B68+E68</f>
        <v>13</v>
      </c>
      <c r="N68" s="31">
        <f>C68+F68+I68</f>
        <v>2</v>
      </c>
      <c r="O68" s="31"/>
      <c r="P68" s="42" t="str">
        <f>AE64</f>
        <v>Juan Sammut / Maria Angela Gambin</v>
      </c>
      <c r="Q68" s="43">
        <v>6.0</v>
      </c>
      <c r="R68" s="44">
        <f>IF(Q68&gt;Q70,1,0)</f>
        <v>1</v>
      </c>
      <c r="S68" s="45"/>
      <c r="T68" s="43">
        <v>7.0</v>
      </c>
      <c r="U68" s="44">
        <f>IF(T68&gt;T70,1,0)</f>
        <v>1</v>
      </c>
      <c r="V68" s="45"/>
      <c r="W68" s="46"/>
      <c r="X68" s="31">
        <f>IF(W68&gt;W70,1,0)</f>
        <v>0</v>
      </c>
      <c r="Y68" s="31">
        <f>IF(Q68="",0,1)</f>
        <v>1</v>
      </c>
      <c r="Z68" s="31">
        <f>IF(R68+U68=2,3,IF(R68+U68=1,1,0))</f>
        <v>3</v>
      </c>
      <c r="AA68" s="31">
        <f>IF(Z68=3,3,IF(X68+Z68=2,2,IF(Z68=1,1,0)))</f>
        <v>3</v>
      </c>
      <c r="AB68" s="31">
        <f>Q68+T68</f>
        <v>13</v>
      </c>
      <c r="AC68" s="31">
        <f>R68+U68+X68</f>
        <v>2</v>
      </c>
      <c r="AD68" s="31"/>
      <c r="AE68" s="100" t="str">
        <f>Players!F40&amp; " / " &amp;Players!G40</f>
        <v>Owen Farrugia / Jodie Stivala</v>
      </c>
      <c r="AF68" s="48">
        <f>Y84+Y66+Y88+J88+J78</f>
        <v>5</v>
      </c>
      <c r="AG68" s="48">
        <f t="shared" ref="AG68:AI68" si="9">AA84+AA66+AA88+L88+L78</f>
        <v>1</v>
      </c>
      <c r="AH68" s="48">
        <f t="shared" si="9"/>
        <v>27</v>
      </c>
      <c r="AI68" s="49">
        <f t="shared" si="9"/>
        <v>1</v>
      </c>
      <c r="AJ68" s="37"/>
      <c r="AK68" s="37"/>
      <c r="AL68" s="31"/>
    </row>
    <row r="69" ht="13.5" customHeight="1">
      <c r="A69" s="50" t="s">
        <v>114</v>
      </c>
      <c r="H69" s="51"/>
      <c r="I69" s="52"/>
      <c r="J69" s="31"/>
      <c r="K69" s="31"/>
      <c r="L69" s="31"/>
      <c r="M69" s="31"/>
      <c r="N69" s="31"/>
      <c r="O69" s="31"/>
      <c r="P69" s="50" t="s">
        <v>114</v>
      </c>
      <c r="W69" s="51"/>
      <c r="X69" s="52"/>
      <c r="Y69" s="31"/>
      <c r="Z69" s="31"/>
      <c r="AA69" s="31"/>
      <c r="AB69" s="31"/>
      <c r="AC69" s="31"/>
      <c r="AD69" s="31"/>
      <c r="AE69" s="31"/>
      <c r="AF69" s="37"/>
      <c r="AG69" s="37"/>
      <c r="AH69" s="37"/>
      <c r="AI69" s="37"/>
      <c r="AJ69" s="37"/>
      <c r="AK69" s="37"/>
      <c r="AL69" s="31"/>
    </row>
    <row r="70" ht="13.5" customHeight="1">
      <c r="A70" s="53" t="str">
        <f>AE70</f>
        <v>Chris Vella / Leanne Sammut</v>
      </c>
      <c r="B70" s="43">
        <v>3.0</v>
      </c>
      <c r="C70" s="54">
        <f>IF(B70&gt;B68,1,0)</f>
        <v>0</v>
      </c>
      <c r="D70" s="55"/>
      <c r="E70" s="43">
        <v>6.0</v>
      </c>
      <c r="F70" s="54">
        <f>IF(E70&gt;E68,1,0)</f>
        <v>0</v>
      </c>
      <c r="G70" s="55"/>
      <c r="H70" s="46"/>
      <c r="I70" s="31">
        <f>IF(H70&gt;H68,1,0)</f>
        <v>0</v>
      </c>
      <c r="J70" s="31">
        <f>IF(B70="",0,1)</f>
        <v>1</v>
      </c>
      <c r="K70" s="31">
        <f>IF(C70+F70=2,3,IF(C70+F70=1,1,0))</f>
        <v>0</v>
      </c>
      <c r="L70" s="31">
        <f>IF(K70=3,3,IF(I70+K70=2,2,IF(K70=1,1,0)))</f>
        <v>0</v>
      </c>
      <c r="M70" s="31">
        <f>B70+E70</f>
        <v>9</v>
      </c>
      <c r="N70" s="31">
        <f>C70+F70+I70</f>
        <v>0</v>
      </c>
      <c r="O70" s="31"/>
      <c r="P70" s="53" t="str">
        <f>AE72</f>
        <v>Justin Scicluna / Maria Ellul</v>
      </c>
      <c r="Q70" s="43">
        <v>1.0</v>
      </c>
      <c r="R70" s="54">
        <f>IF(Q70&gt;Q68,1,0)</f>
        <v>0</v>
      </c>
      <c r="S70" s="55"/>
      <c r="T70" s="43">
        <v>6.0</v>
      </c>
      <c r="U70" s="54">
        <f>IF(T70&gt;T68,1,0)</f>
        <v>0</v>
      </c>
      <c r="V70" s="55"/>
      <c r="W70" s="46"/>
      <c r="X70" s="31">
        <f>IF(W70&gt;W68,1,0)</f>
        <v>0</v>
      </c>
      <c r="Y70" s="31">
        <f>IF(Q70="",0,1)</f>
        <v>1</v>
      </c>
      <c r="Z70" s="31">
        <f>IF(R70+U70=2,3,IF(R70+U70=1,1,0))</f>
        <v>0</v>
      </c>
      <c r="AA70" s="31">
        <f>IF(Z70=3,3,IF(X70+Z70=2,2,IF(Z70=1,1,0)))</f>
        <v>0</v>
      </c>
      <c r="AB70" s="31">
        <f>Q70+T70</f>
        <v>7</v>
      </c>
      <c r="AC70" s="31">
        <f>R70+U70+X70</f>
        <v>0</v>
      </c>
      <c r="AD70" s="31"/>
      <c r="AE70" s="100" t="str">
        <f>Players!F41&amp; " / " &amp;Players!G41</f>
        <v>Chris Vella / Leanne Sammut</v>
      </c>
      <c r="AF70" s="48">
        <f>Y86+J92+J70+Y78+J84</f>
        <v>5</v>
      </c>
      <c r="AG70" s="48">
        <f t="shared" ref="AG70:AI70" si="10">AA86+L92+L70+AA78+L84</f>
        <v>8</v>
      </c>
      <c r="AH70" s="48">
        <f t="shared" si="10"/>
        <v>48</v>
      </c>
      <c r="AI70" s="49">
        <f t="shared" si="10"/>
        <v>6</v>
      </c>
      <c r="AJ70" s="37"/>
      <c r="AK70" s="37"/>
      <c r="AL70" s="31"/>
    </row>
    <row r="71" ht="13.5" customHeight="1">
      <c r="A71" s="31"/>
      <c r="B71" s="37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7"/>
      <c r="AG71" s="37"/>
      <c r="AH71" s="37"/>
      <c r="AI71" s="37"/>
      <c r="AJ71" s="37"/>
      <c r="AK71" s="37"/>
      <c r="AL71" s="31"/>
    </row>
    <row r="72" ht="13.5" customHeight="1">
      <c r="A72" s="42" t="str">
        <f>AE64</f>
        <v>Juan Sammut / Maria Angela Gambin</v>
      </c>
      <c r="B72" s="43">
        <v>6.0</v>
      </c>
      <c r="C72" s="44">
        <f>IF(B72&gt;B74,1,0)</f>
        <v>1</v>
      </c>
      <c r="D72" s="45"/>
      <c r="E72" s="43">
        <v>6.0</v>
      </c>
      <c r="F72" s="44">
        <f>IF(E72&gt;E74,1,0)</f>
        <v>1</v>
      </c>
      <c r="G72" s="45"/>
      <c r="H72" s="46"/>
      <c r="I72" s="31">
        <f>IF(H72&gt;H74,1,0)</f>
        <v>0</v>
      </c>
      <c r="J72" s="31">
        <f>IF(B72="",0,1)</f>
        <v>1</v>
      </c>
      <c r="K72" s="31">
        <f>IF(C72+F72=2,3,IF(C72+F72=1,1,0))</f>
        <v>3</v>
      </c>
      <c r="L72" s="31">
        <f>IF(K72=3,3,IF(I72+K72=2,2,IF(K72=1,1,0)))</f>
        <v>3</v>
      </c>
      <c r="M72" s="31">
        <f>B72+E72</f>
        <v>12</v>
      </c>
      <c r="N72" s="31">
        <f>C72+F72+I72</f>
        <v>2</v>
      </c>
      <c r="O72" s="31"/>
      <c r="P72" s="42" t="str">
        <f>AE72</f>
        <v>Justin Scicluna / Maria Ellul</v>
      </c>
      <c r="Q72" s="43">
        <v>6.0</v>
      </c>
      <c r="R72" s="44">
        <f>IF(Q72&gt;Q74,1,0)</f>
        <v>1</v>
      </c>
      <c r="S72" s="45"/>
      <c r="T72" s="43">
        <v>6.0</v>
      </c>
      <c r="U72" s="44">
        <f>IF(T72&gt;T74,1,0)</f>
        <v>1</v>
      </c>
      <c r="V72" s="45"/>
      <c r="W72" s="46"/>
      <c r="X72" s="31">
        <f>IF(W72&gt;W74,1,0)</f>
        <v>0</v>
      </c>
      <c r="Y72" s="31">
        <f>IF(Q72="",0,1)</f>
        <v>1</v>
      </c>
      <c r="Z72" s="31">
        <f>IF(R72+U72=2,3,IF(R72+U72=1,1,0))</f>
        <v>3</v>
      </c>
      <c r="AA72" s="31">
        <f>IF(Z72=3,3,IF(X72+Z72=2,2,IF(Z72=1,1,0)))</f>
        <v>3</v>
      </c>
      <c r="AB72" s="31">
        <f>Q72+T72</f>
        <v>12</v>
      </c>
      <c r="AC72" s="31">
        <f>R72+U72+X72</f>
        <v>2</v>
      </c>
      <c r="AD72" s="31"/>
      <c r="AE72" s="100" t="str">
        <f>Players!F42&amp; " / " &amp;Players!G42</f>
        <v>Justin Scicluna / Maria Ellul</v>
      </c>
      <c r="AF72" s="48">
        <f>Y72+J94+J82+Y70+J90</f>
        <v>5</v>
      </c>
      <c r="AG72" s="48">
        <f t="shared" ref="AG72:AI72" si="11">AA72+L94+L82+AA70+L90</f>
        <v>9</v>
      </c>
      <c r="AH72" s="48">
        <f t="shared" si="11"/>
        <v>50</v>
      </c>
      <c r="AI72" s="49">
        <f t="shared" si="11"/>
        <v>7</v>
      </c>
      <c r="AJ72" s="37"/>
      <c r="AK72" s="37"/>
      <c r="AL72" s="31"/>
    </row>
    <row r="73" ht="13.5" customHeight="1">
      <c r="A73" s="50" t="s">
        <v>114</v>
      </c>
      <c r="H73" s="51"/>
      <c r="I73" s="52"/>
      <c r="J73" s="31"/>
      <c r="K73" s="31"/>
      <c r="L73" s="31"/>
      <c r="M73" s="31"/>
      <c r="N73" s="31"/>
      <c r="O73" s="31"/>
      <c r="P73" s="50" t="s">
        <v>114</v>
      </c>
      <c r="W73" s="51"/>
      <c r="X73" s="52"/>
      <c r="Y73" s="31"/>
      <c r="Z73" s="31"/>
      <c r="AA73" s="31"/>
      <c r="AB73" s="31"/>
      <c r="AC73" s="31"/>
      <c r="AD73" s="31"/>
      <c r="AE73" s="31"/>
      <c r="AF73" s="37"/>
      <c r="AG73" s="37"/>
      <c r="AH73" s="37"/>
      <c r="AI73" s="37"/>
      <c r="AJ73" s="37"/>
      <c r="AK73" s="37"/>
      <c r="AL73" s="31"/>
    </row>
    <row r="74" ht="13.5" customHeight="1">
      <c r="A74" s="53" t="str">
        <f>AE74</f>
        <v>Isaac Baldacchino / Janice Galea</v>
      </c>
      <c r="B74" s="43">
        <v>1.0</v>
      </c>
      <c r="C74" s="54">
        <f>IF(B74&gt;B72,1,0)</f>
        <v>0</v>
      </c>
      <c r="D74" s="55"/>
      <c r="E74" s="43">
        <v>2.0</v>
      </c>
      <c r="F74" s="54">
        <f>IF(E74&gt;E72,1,0)</f>
        <v>0</v>
      </c>
      <c r="G74" s="55"/>
      <c r="H74" s="46"/>
      <c r="I74" s="31">
        <f>IF(H74&gt;H72,1,0)</f>
        <v>0</v>
      </c>
      <c r="J74" s="31">
        <f>IF(B74="",0,1)</f>
        <v>1</v>
      </c>
      <c r="K74" s="31">
        <f>IF(C74+F74=2,3,IF(C74+F74=1,1,0))</f>
        <v>0</v>
      </c>
      <c r="L74" s="31">
        <f>IF(K74=3,3,IF(I74+K74=2,2,IF(K74=1,1,0)))</f>
        <v>0</v>
      </c>
      <c r="M74" s="31">
        <f>B74+E74</f>
        <v>3</v>
      </c>
      <c r="N74" s="31">
        <f>C74+F74+I74</f>
        <v>0</v>
      </c>
      <c r="O74" s="31"/>
      <c r="P74" s="53" t="str">
        <f>AE74</f>
        <v>Isaac Baldacchino / Janice Galea</v>
      </c>
      <c r="Q74" s="43">
        <v>1.0</v>
      </c>
      <c r="R74" s="54">
        <f>IF(Q74&gt;Q72,1,0)</f>
        <v>0</v>
      </c>
      <c r="S74" s="55"/>
      <c r="T74" s="43">
        <v>4.0</v>
      </c>
      <c r="U74" s="54">
        <f>IF(T74&gt;T72,1,0)</f>
        <v>0</v>
      </c>
      <c r="V74" s="55"/>
      <c r="W74" s="46"/>
      <c r="X74" s="31">
        <f>IF(W74&gt;W72,1,0)</f>
        <v>0</v>
      </c>
      <c r="Y74" s="31">
        <f>IF(Q74="",0,1)</f>
        <v>1</v>
      </c>
      <c r="Z74" s="31">
        <f>IF(R74+U74=2,3,IF(R74+U74=1,1,0))</f>
        <v>0</v>
      </c>
      <c r="AA74" s="31">
        <f>IF(Z74=3,3,IF(X74+Z74=2,2,IF(Z74=1,1,0)))</f>
        <v>0</v>
      </c>
      <c r="AB74" s="31">
        <f>Q74+T74</f>
        <v>5</v>
      </c>
      <c r="AC74" s="31">
        <f>R74+U74+X74</f>
        <v>0</v>
      </c>
      <c r="AD74" s="31"/>
      <c r="AE74" s="100" t="str">
        <f>Players!F43&amp; " / " &amp;Players!G43</f>
        <v>Isaac Baldacchino / Janice Galea</v>
      </c>
      <c r="AF74" s="48">
        <f>Y74+Y82+Y90+J74+J86</f>
        <v>5</v>
      </c>
      <c r="AG74" s="48">
        <f t="shared" ref="AG74:AI74" si="12">AA74+AA82+AA90+L74+L86</f>
        <v>5</v>
      </c>
      <c r="AH74" s="48">
        <f t="shared" si="12"/>
        <v>38</v>
      </c>
      <c r="AI74" s="49">
        <f t="shared" si="12"/>
        <v>4</v>
      </c>
      <c r="AJ74" s="31"/>
      <c r="AK74" s="37"/>
      <c r="AL74" s="31"/>
    </row>
    <row r="75" ht="13.5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</row>
    <row r="76" ht="13.5" customHeight="1">
      <c r="A76" s="42" t="str">
        <f>AE66</f>
        <v>Dayle Scicluna / Alida Borg</v>
      </c>
      <c r="B76" s="43">
        <v>6.0</v>
      </c>
      <c r="C76" s="44">
        <f>IF(B76&gt;B78,1,0)</f>
        <v>1</v>
      </c>
      <c r="D76" s="45"/>
      <c r="E76" s="43">
        <v>6.0</v>
      </c>
      <c r="F76" s="44">
        <f>IF(E76&gt;E78,1,0)</f>
        <v>1</v>
      </c>
      <c r="G76" s="45"/>
      <c r="H76" s="46"/>
      <c r="I76" s="31">
        <f>IF(H76&gt;H78,1,0)</f>
        <v>0</v>
      </c>
      <c r="J76" s="31">
        <f>IF(B76="",0,1)</f>
        <v>1</v>
      </c>
      <c r="K76" s="31">
        <f>IF(C76+F76=2,3,IF(C76+F76=1,1,0))</f>
        <v>3</v>
      </c>
      <c r="L76" s="31">
        <f>IF(K76=3,3,IF(I76+K76=2,2,IF(K76=1,1,0)))</f>
        <v>3</v>
      </c>
      <c r="M76" s="31">
        <f>B76+E76</f>
        <v>12</v>
      </c>
      <c r="N76" s="31">
        <f>C76+F76+I76</f>
        <v>2</v>
      </c>
      <c r="O76" s="31"/>
      <c r="P76" s="42" t="str">
        <f>AE66</f>
        <v>Dayle Scicluna / Alida Borg</v>
      </c>
      <c r="Q76" s="43">
        <v>6.0</v>
      </c>
      <c r="R76" s="44">
        <f>IF(Q76&gt;Q78,1,0)</f>
        <v>1</v>
      </c>
      <c r="S76" s="45"/>
      <c r="T76" s="43">
        <v>6.0</v>
      </c>
      <c r="U76" s="44">
        <f>IF(T76&gt;T78,1,0)</f>
        <v>1</v>
      </c>
      <c r="V76" s="45"/>
      <c r="W76" s="46"/>
      <c r="X76" s="31">
        <f>IF(W76&gt;W78,1,0)</f>
        <v>0</v>
      </c>
      <c r="Y76" s="31">
        <f>IF(Q76="",0,1)</f>
        <v>1</v>
      </c>
      <c r="Z76" s="31">
        <f>IF(R76+U76=2,3,IF(R76+U76=1,1,0))</f>
        <v>3</v>
      </c>
      <c r="AA76" s="31">
        <f>IF(Z76=3,3,IF(X76+Z76=2,2,IF(Z76=1,1,0)))</f>
        <v>3</v>
      </c>
      <c r="AB76" s="31">
        <f>Q76+T76</f>
        <v>12</v>
      </c>
      <c r="AC76" s="31">
        <f>R76+U76+X76</f>
        <v>2</v>
      </c>
      <c r="AD76" s="31"/>
      <c r="AE76" s="96" t="s">
        <v>129</v>
      </c>
      <c r="AF76" s="34"/>
      <c r="AG76" s="34"/>
      <c r="AH76" s="34"/>
      <c r="AI76" s="8"/>
      <c r="AJ76" s="31"/>
      <c r="AK76" s="31"/>
      <c r="AL76" s="31"/>
    </row>
    <row r="77" ht="13.5" customHeight="1">
      <c r="A77" s="50" t="s">
        <v>114</v>
      </c>
      <c r="H77" s="51"/>
      <c r="I77" s="52"/>
      <c r="J77" s="31"/>
      <c r="K77" s="31"/>
      <c r="L77" s="31"/>
      <c r="M77" s="31"/>
      <c r="N77" s="31"/>
      <c r="O77" s="31"/>
      <c r="P77" s="50" t="s">
        <v>114</v>
      </c>
      <c r="W77" s="51"/>
      <c r="X77" s="52"/>
      <c r="Y77" s="31"/>
      <c r="Z77" s="31"/>
      <c r="AA77" s="31"/>
      <c r="AB77" s="31"/>
      <c r="AC77" s="31"/>
      <c r="AD77" s="31"/>
      <c r="AE77" s="57" t="s">
        <v>130</v>
      </c>
      <c r="AF77" s="34"/>
      <c r="AG77" s="34"/>
      <c r="AH77" s="34"/>
      <c r="AI77" s="8"/>
      <c r="AJ77" s="31"/>
      <c r="AK77" s="31"/>
      <c r="AL77" s="31"/>
    </row>
    <row r="78" ht="13.5" customHeight="1">
      <c r="A78" s="53" t="str">
        <f>AE68</f>
        <v>Owen Farrugia / Jodie Stivala</v>
      </c>
      <c r="B78" s="43">
        <v>1.0</v>
      </c>
      <c r="C78" s="54">
        <f>IF(B78&gt;B76,1,0)</f>
        <v>0</v>
      </c>
      <c r="D78" s="55"/>
      <c r="E78" s="43">
        <v>3.0</v>
      </c>
      <c r="F78" s="54">
        <f>IF(E78&gt;E76,1,0)</f>
        <v>0</v>
      </c>
      <c r="G78" s="55"/>
      <c r="H78" s="46"/>
      <c r="I78" s="31">
        <f>IF(H78&gt;H76,1,0)</f>
        <v>0</v>
      </c>
      <c r="J78" s="31">
        <f>IF(B78="",0,1)</f>
        <v>1</v>
      </c>
      <c r="K78" s="31">
        <f>IF(C78+F78=2,3,IF(C78+F78=1,1,0))</f>
        <v>0</v>
      </c>
      <c r="L78" s="31">
        <f>IF(K78=3,3,IF(I78+K78=2,2,IF(K78=1,1,0)))</f>
        <v>0</v>
      </c>
      <c r="M78" s="31">
        <f>B78+E78</f>
        <v>4</v>
      </c>
      <c r="N78" s="31">
        <f>C78+F78+I78</f>
        <v>0</v>
      </c>
      <c r="O78" s="31"/>
      <c r="P78" s="53" t="str">
        <f>AE70</f>
        <v>Chris Vella / Leanne Sammut</v>
      </c>
      <c r="Q78" s="43">
        <v>2.0</v>
      </c>
      <c r="R78" s="54">
        <f>IF(Q78&gt;Q76,1,0)</f>
        <v>0</v>
      </c>
      <c r="S78" s="55"/>
      <c r="T78" s="43">
        <v>3.0</v>
      </c>
      <c r="U78" s="54">
        <f>IF(T78&gt;T76,1,0)</f>
        <v>0</v>
      </c>
      <c r="V78" s="55"/>
      <c r="W78" s="46"/>
      <c r="X78" s="31">
        <f>IF(W78&gt;W76,1,0)</f>
        <v>0</v>
      </c>
      <c r="Y78" s="31">
        <f>IF(Q78="",0,1)</f>
        <v>1</v>
      </c>
      <c r="Z78" s="31">
        <f>IF(R78+U78=2,3,IF(R78+U78=1,1,0))</f>
        <v>0</v>
      </c>
      <c r="AA78" s="31">
        <f>IF(Z78=3,3,IF(X78+Z78=2,2,IF(Z78=1,1,0)))</f>
        <v>0</v>
      </c>
      <c r="AB78" s="31">
        <f>Q78+T78</f>
        <v>5</v>
      </c>
      <c r="AC78" s="31">
        <f>R78+U78+X78</f>
        <v>0</v>
      </c>
      <c r="AD78" s="31"/>
      <c r="AE78" s="31"/>
      <c r="AF78" s="31"/>
      <c r="AG78" s="31"/>
      <c r="AH78" s="31"/>
      <c r="AI78" s="31"/>
      <c r="AJ78" s="31"/>
      <c r="AK78" s="31"/>
      <c r="AL78" s="31"/>
    </row>
    <row r="79" ht="13.5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</row>
    <row r="80" ht="13.5" customHeight="1">
      <c r="A80" s="42" t="str">
        <f>AE66</f>
        <v>Dayle Scicluna / Alida Borg</v>
      </c>
      <c r="B80" s="43">
        <v>4.0</v>
      </c>
      <c r="C80" s="44">
        <f>IF(B80&gt;B82,1,0)</f>
        <v>0</v>
      </c>
      <c r="D80" s="45"/>
      <c r="E80" s="43">
        <v>6.0</v>
      </c>
      <c r="F80" s="44">
        <f>IF(E80&gt;E82,1,0)</f>
        <v>1</v>
      </c>
      <c r="G80" s="45"/>
      <c r="H80" s="43">
        <v>0.0</v>
      </c>
      <c r="I80" s="31">
        <f>IF(H80&gt;H82,1,0)</f>
        <v>0</v>
      </c>
      <c r="J80" s="31">
        <f>IF(B80="",0,1)</f>
        <v>1</v>
      </c>
      <c r="K80" s="31">
        <f>IF(C80+F80=2,3,IF(C80+F80=1,1,0))</f>
        <v>1</v>
      </c>
      <c r="L80" s="31">
        <f>IF(K80=3,3,IF(I80+K80=2,2,IF(K80=1,1,0)))</f>
        <v>1</v>
      </c>
      <c r="M80" s="31">
        <f>B80+E80</f>
        <v>10</v>
      </c>
      <c r="N80" s="31">
        <f>C80+F80+I80</f>
        <v>1</v>
      </c>
      <c r="O80" s="31"/>
      <c r="P80" s="42" t="str">
        <f>AE66</f>
        <v>Dayle Scicluna / Alida Borg</v>
      </c>
      <c r="Q80" s="43">
        <v>3.0</v>
      </c>
      <c r="R80" s="44">
        <f>IF(Q80&gt;Q82,1,0)</f>
        <v>0</v>
      </c>
      <c r="S80" s="45"/>
      <c r="T80" s="43">
        <v>4.0</v>
      </c>
      <c r="U80" s="44">
        <f>IF(T80&gt;T82,1,0)</f>
        <v>0</v>
      </c>
      <c r="V80" s="45"/>
      <c r="W80" s="46"/>
      <c r="X80" s="31">
        <f>IF(W80&gt;W82,1,0)</f>
        <v>0</v>
      </c>
      <c r="Y80" s="31">
        <f>IF(Q80="",0,1)</f>
        <v>1</v>
      </c>
      <c r="Z80" s="31">
        <f>IF(R80+U80=2,3,IF(R80+U80=1,1,0))</f>
        <v>0</v>
      </c>
      <c r="AA80" s="31">
        <f>IF(Z80=3,3,IF(X80+Z80=2,2,IF(Z80=1,1,0)))</f>
        <v>0</v>
      </c>
      <c r="AB80" s="31">
        <f>Q80+T80</f>
        <v>7</v>
      </c>
      <c r="AC80" s="31">
        <f>R80+U80+X80</f>
        <v>0</v>
      </c>
      <c r="AD80" s="31"/>
      <c r="AE80" s="31"/>
      <c r="AF80" s="31"/>
      <c r="AG80" s="31"/>
      <c r="AH80" s="31"/>
      <c r="AI80" s="31"/>
      <c r="AJ80" s="31"/>
      <c r="AK80" s="31"/>
      <c r="AL80" s="31"/>
    </row>
    <row r="81" ht="13.5" customHeight="1">
      <c r="A81" s="50" t="s">
        <v>114</v>
      </c>
      <c r="H81" s="51"/>
      <c r="I81" s="52"/>
      <c r="J81" s="31"/>
      <c r="K81" s="31"/>
      <c r="L81" s="31"/>
      <c r="M81" s="31"/>
      <c r="N81" s="31"/>
      <c r="O81" s="31"/>
      <c r="P81" s="50" t="s">
        <v>114</v>
      </c>
      <c r="W81" s="51"/>
      <c r="X81" s="52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</row>
    <row r="82" ht="13.5" customHeight="1">
      <c r="A82" s="53" t="str">
        <f>AE72</f>
        <v>Justin Scicluna / Maria Ellul</v>
      </c>
      <c r="B82" s="43">
        <v>6.0</v>
      </c>
      <c r="C82" s="54">
        <f>IF(B82&gt;B80,1,0)</f>
        <v>1</v>
      </c>
      <c r="D82" s="55"/>
      <c r="E82" s="43">
        <v>2.0</v>
      </c>
      <c r="F82" s="54">
        <f>IF(E82&gt;E80,1,0)</f>
        <v>0</v>
      </c>
      <c r="G82" s="55"/>
      <c r="H82" s="43">
        <v>10.0</v>
      </c>
      <c r="I82" s="31">
        <f>IF(H82&gt;H80,1,0)</f>
        <v>1</v>
      </c>
      <c r="J82" s="31">
        <f>IF(B82="",0,1)</f>
        <v>1</v>
      </c>
      <c r="K82" s="31">
        <f>IF(C82+F82=2,3,IF(C82+F82=1,1,0))</f>
        <v>1</v>
      </c>
      <c r="L82" s="31">
        <f>IF(K82=3,3,IF(I82+K82=2,2,IF(K82=1,1,0)))</f>
        <v>2</v>
      </c>
      <c r="M82" s="31">
        <f>B82+E82</f>
        <v>8</v>
      </c>
      <c r="N82" s="31">
        <f>C82+F82+I82</f>
        <v>2</v>
      </c>
      <c r="O82" s="31"/>
      <c r="P82" s="53" t="str">
        <f>AE74</f>
        <v>Isaac Baldacchino / Janice Galea</v>
      </c>
      <c r="Q82" s="43">
        <v>6.0</v>
      </c>
      <c r="R82" s="54">
        <f>IF(Q82&gt;Q80,1,0)</f>
        <v>1</v>
      </c>
      <c r="S82" s="55"/>
      <c r="T82" s="43">
        <v>6.0</v>
      </c>
      <c r="U82" s="54">
        <f>IF(T82&gt;T80,1,0)</f>
        <v>1</v>
      </c>
      <c r="V82" s="55"/>
      <c r="W82" s="46"/>
      <c r="X82" s="31">
        <f>IF(W82&gt;W80,1,0)</f>
        <v>0</v>
      </c>
      <c r="Y82" s="31">
        <f>IF(Q82="",0,1)</f>
        <v>1</v>
      </c>
      <c r="Z82" s="31">
        <f>IF(R82+U82=2,3,IF(R82+U82=1,1,0))</f>
        <v>3</v>
      </c>
      <c r="AA82" s="31">
        <f>IF(Z82=3,3,IF(X82+Z82=2,2,IF(Z82=1,1,0)))</f>
        <v>3</v>
      </c>
      <c r="AB82" s="31">
        <f>Q82+T82</f>
        <v>12</v>
      </c>
      <c r="AC82" s="31">
        <f>R82+U82+X82</f>
        <v>2</v>
      </c>
      <c r="AD82" s="31"/>
      <c r="AE82" s="31"/>
      <c r="AF82" s="31"/>
      <c r="AG82" s="31"/>
      <c r="AH82" s="31"/>
      <c r="AI82" s="31"/>
      <c r="AJ82" s="31"/>
      <c r="AK82" s="31"/>
      <c r="AL82" s="31"/>
    </row>
    <row r="83" ht="13.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7"/>
      <c r="AI83" s="31"/>
      <c r="AJ83" s="31"/>
      <c r="AK83" s="31"/>
      <c r="AL83" s="31"/>
    </row>
    <row r="84" ht="13.5" customHeight="1">
      <c r="A84" s="42" t="str">
        <f>AE70</f>
        <v>Chris Vella / Leanne Sammut</v>
      </c>
      <c r="B84" s="43">
        <v>6.0</v>
      </c>
      <c r="C84" s="44">
        <f>IF(B84&gt;B86,1,0)</f>
        <v>1</v>
      </c>
      <c r="D84" s="45"/>
      <c r="E84" s="43">
        <v>6.0</v>
      </c>
      <c r="F84" s="44">
        <f>IF(E84&gt;E86,1,0)</f>
        <v>1</v>
      </c>
      <c r="G84" s="45"/>
      <c r="H84" s="46"/>
      <c r="I84" s="31">
        <f>IF(H84&gt;H86,1,0)</f>
        <v>0</v>
      </c>
      <c r="J84" s="31">
        <f>IF(B84="",0,1)</f>
        <v>1</v>
      </c>
      <c r="K84" s="31">
        <f>IF(C84+F84=2,3,IF(C84+F84=1,1,0))</f>
        <v>3</v>
      </c>
      <c r="L84" s="31">
        <f>IF(K84=3,3,IF(I84+K84=2,2,IF(K84=1,1,0)))</f>
        <v>3</v>
      </c>
      <c r="M84" s="31">
        <f>B84+E84</f>
        <v>12</v>
      </c>
      <c r="N84" s="31">
        <f>C84+F84+I84</f>
        <v>2</v>
      </c>
      <c r="O84" s="31"/>
      <c r="P84" s="42" t="str">
        <f>AE68</f>
        <v>Owen Farrugia / Jodie Stivala</v>
      </c>
      <c r="Q84" s="43">
        <v>4.0</v>
      </c>
      <c r="R84" s="44">
        <f>IF(Q84&gt;Q86,1,0)</f>
        <v>0</v>
      </c>
      <c r="S84" s="45"/>
      <c r="T84" s="43">
        <v>3.0</v>
      </c>
      <c r="U84" s="44">
        <f>IF(T84&gt;T86,1,0)</f>
        <v>0</v>
      </c>
      <c r="V84" s="45"/>
      <c r="W84" s="46"/>
      <c r="X84" s="31">
        <f>IF(W84&gt;W86,1,0)</f>
        <v>0</v>
      </c>
      <c r="Y84" s="31">
        <f>IF(Q84="",0,1)</f>
        <v>1</v>
      </c>
      <c r="Z84" s="31">
        <f>IF(R84+U84=2,3,IF(R84+U84=1,1,0))</f>
        <v>0</v>
      </c>
      <c r="AA84" s="31">
        <f>IF(Z84=3,3,IF(X84+Z84=2,2,IF(Z84=1,1,0)))</f>
        <v>0</v>
      </c>
      <c r="AB84" s="31">
        <f>Q84+T84</f>
        <v>7</v>
      </c>
      <c r="AC84" s="31">
        <f>R84+U84+X84</f>
        <v>0</v>
      </c>
      <c r="AD84" s="31"/>
      <c r="AE84" s="31"/>
      <c r="AF84" s="31"/>
      <c r="AG84" s="31"/>
      <c r="AH84" s="31"/>
      <c r="AI84" s="31"/>
      <c r="AJ84" s="31"/>
      <c r="AK84" s="31"/>
      <c r="AL84" s="31"/>
    </row>
    <row r="85" ht="13.5" customHeight="1">
      <c r="A85" s="50" t="s">
        <v>114</v>
      </c>
      <c r="H85" s="51"/>
      <c r="I85" s="52"/>
      <c r="J85" s="31"/>
      <c r="K85" s="31"/>
      <c r="L85" s="31"/>
      <c r="M85" s="31"/>
      <c r="N85" s="31"/>
      <c r="O85" s="31"/>
      <c r="P85" s="50" t="s">
        <v>114</v>
      </c>
      <c r="W85" s="51"/>
      <c r="X85" s="52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59"/>
      <c r="AL85" s="31"/>
    </row>
    <row r="86" ht="13.5" customHeight="1">
      <c r="A86" s="53" t="str">
        <f>AE74</f>
        <v>Isaac Baldacchino / Janice Galea</v>
      </c>
      <c r="B86" s="43">
        <v>4.0</v>
      </c>
      <c r="C86" s="54">
        <f>IF(B86&gt;B84,1,0)</f>
        <v>0</v>
      </c>
      <c r="D86" s="55"/>
      <c r="E86" s="43">
        <v>2.0</v>
      </c>
      <c r="F86" s="54">
        <f>IF(E86&gt;E84,1,0)</f>
        <v>0</v>
      </c>
      <c r="G86" s="55"/>
      <c r="H86" s="46"/>
      <c r="I86" s="31">
        <f>IF(H86&gt;H84,1,0)</f>
        <v>0</v>
      </c>
      <c r="J86" s="31">
        <f>IF(B86="",0,1)</f>
        <v>1</v>
      </c>
      <c r="K86" s="31">
        <f>IF(C86+F86=2,3,IF(C86+F86=1,1,0))</f>
        <v>0</v>
      </c>
      <c r="L86" s="31">
        <f>IF(K86=3,3,IF(I86+K86=2,2,IF(K86=1,1,0)))</f>
        <v>0</v>
      </c>
      <c r="M86" s="31">
        <f>B86+E86</f>
        <v>6</v>
      </c>
      <c r="N86" s="31">
        <f>C86+F86+I86</f>
        <v>0</v>
      </c>
      <c r="O86" s="31"/>
      <c r="P86" s="53" t="str">
        <f>AE70</f>
        <v>Chris Vella / Leanne Sammut</v>
      </c>
      <c r="Q86" s="43">
        <v>6.0</v>
      </c>
      <c r="R86" s="54">
        <f>IF(Q86&gt;Q84,1,0)</f>
        <v>1</v>
      </c>
      <c r="S86" s="55"/>
      <c r="T86" s="43">
        <v>6.0</v>
      </c>
      <c r="U86" s="54">
        <f>IF(T86&gt;T84,1,0)</f>
        <v>1</v>
      </c>
      <c r="V86" s="55"/>
      <c r="W86" s="46"/>
      <c r="X86" s="31">
        <f>IF(W86&gt;W84,1,0)</f>
        <v>0</v>
      </c>
      <c r="Y86" s="31">
        <f>IF(Q86="",0,1)</f>
        <v>1</v>
      </c>
      <c r="Z86" s="31">
        <f>IF(R86+U86=2,3,IF(R86+U86=1,1,0))</f>
        <v>3</v>
      </c>
      <c r="AA86" s="31">
        <f>IF(Z86=3,3,IF(X86+Z86=2,2,IF(Z86=1,1,0)))</f>
        <v>3</v>
      </c>
      <c r="AB86" s="31">
        <f>Q86+T86</f>
        <v>12</v>
      </c>
      <c r="AC86" s="31">
        <f>R86+U86+X86</f>
        <v>2</v>
      </c>
      <c r="AD86" s="31"/>
      <c r="AE86" s="31"/>
      <c r="AF86" s="31"/>
      <c r="AG86" s="31"/>
      <c r="AH86" s="31"/>
      <c r="AI86" s="31"/>
      <c r="AJ86" s="31"/>
      <c r="AK86" s="31"/>
      <c r="AL86" s="31"/>
    </row>
    <row r="87" ht="13.5" customHeight="1">
      <c r="A87" s="31"/>
      <c r="B87" s="31"/>
      <c r="C87" s="31"/>
      <c r="D87" s="31"/>
      <c r="E87" s="37"/>
      <c r="F87" s="31"/>
      <c r="G87" s="31"/>
      <c r="H87" s="37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59"/>
      <c r="AL87" s="31"/>
    </row>
    <row r="88" ht="13.5" customHeight="1">
      <c r="A88" s="42" t="str">
        <f>AE68</f>
        <v>Owen Farrugia / Jodie Stivala</v>
      </c>
      <c r="B88" s="43">
        <v>2.0</v>
      </c>
      <c r="C88" s="44">
        <f>IF(B88&gt;B90,1,0)</f>
        <v>0</v>
      </c>
      <c r="D88" s="45"/>
      <c r="E88" s="43">
        <v>0.0</v>
      </c>
      <c r="F88" s="44">
        <f>IF(E88&gt;E90,1,0)</f>
        <v>0</v>
      </c>
      <c r="G88" s="45"/>
      <c r="H88" s="46"/>
      <c r="I88" s="31">
        <f>IF(H88&gt;H90,1,0)</f>
        <v>0</v>
      </c>
      <c r="J88" s="31">
        <f>IF(B88="",0,1)</f>
        <v>1</v>
      </c>
      <c r="K88" s="31">
        <f>IF(C88+F88=2,3,IF(C88+F88=1,1,0))</f>
        <v>0</v>
      </c>
      <c r="L88" s="31">
        <f>IF(K88=3,3,IF(I88+K88=2,2,IF(K88=1,1,0)))</f>
        <v>0</v>
      </c>
      <c r="M88" s="31">
        <f>B88+E88</f>
        <v>2</v>
      </c>
      <c r="N88" s="31">
        <f>C88+F88+I88</f>
        <v>0</v>
      </c>
      <c r="O88" s="31"/>
      <c r="P88" s="42" t="str">
        <f>AE68</f>
        <v>Owen Farrugia / Jodie Stivala</v>
      </c>
      <c r="Q88" s="43">
        <v>3.0</v>
      </c>
      <c r="R88" s="44">
        <f>IF(Q88&gt;Q90,1,0)</f>
        <v>0</v>
      </c>
      <c r="S88" s="45"/>
      <c r="T88" s="43">
        <v>7.0</v>
      </c>
      <c r="U88" s="44">
        <f>IF(T88&gt;T90,1,0)</f>
        <v>1</v>
      </c>
      <c r="V88" s="45"/>
      <c r="W88" s="43">
        <v>5.0</v>
      </c>
      <c r="X88" s="31">
        <f>IF(W88&gt;W90,1,0)</f>
        <v>0</v>
      </c>
      <c r="Y88" s="31">
        <f>IF(Q88="",0,1)</f>
        <v>1</v>
      </c>
      <c r="Z88" s="31">
        <f>IF(R88+U88=2,3,IF(R88+U88=1,1,0))</f>
        <v>1</v>
      </c>
      <c r="AA88" s="31">
        <f>IF(Z88=3,3,IF(X88+Z88=2,2,IF(Z88=1,1,0)))</f>
        <v>1</v>
      </c>
      <c r="AB88" s="31">
        <f>Q88+T88</f>
        <v>10</v>
      </c>
      <c r="AC88" s="31">
        <f>R88+U88+X88</f>
        <v>1</v>
      </c>
      <c r="AD88" s="31"/>
      <c r="AE88" s="31"/>
      <c r="AF88" s="31"/>
      <c r="AG88" s="31"/>
      <c r="AH88" s="31"/>
      <c r="AI88" s="31"/>
      <c r="AJ88" s="31"/>
      <c r="AK88" s="31"/>
      <c r="AL88" s="31"/>
    </row>
    <row r="89" ht="13.5" customHeight="1">
      <c r="A89" s="50" t="s">
        <v>114</v>
      </c>
      <c r="H89" s="51"/>
      <c r="I89" s="52"/>
      <c r="J89" s="31"/>
      <c r="K89" s="31"/>
      <c r="L89" s="31"/>
      <c r="M89" s="31"/>
      <c r="N89" s="31"/>
      <c r="O89" s="31"/>
      <c r="P89" s="50" t="s">
        <v>114</v>
      </c>
      <c r="W89" s="51"/>
      <c r="X89" s="52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</row>
    <row r="90" ht="13.5" customHeight="1">
      <c r="A90" s="53" t="str">
        <f>AE72</f>
        <v>Justin Scicluna / Maria Ellul</v>
      </c>
      <c r="B90" s="43">
        <v>6.0</v>
      </c>
      <c r="C90" s="54">
        <f>IF(B90&gt;B88,1,0)</f>
        <v>1</v>
      </c>
      <c r="D90" s="55"/>
      <c r="E90" s="43">
        <v>6.0</v>
      </c>
      <c r="F90" s="54">
        <f>IF(E90&gt;E88,1,0)</f>
        <v>1</v>
      </c>
      <c r="G90" s="55"/>
      <c r="H90" s="46"/>
      <c r="I90" s="31">
        <f>IF(H90&gt;H88,1,0)</f>
        <v>0</v>
      </c>
      <c r="J90" s="31">
        <f>IF(B90="",0,1)</f>
        <v>1</v>
      </c>
      <c r="K90" s="31">
        <f>IF(C90+F90=2,3,IF(C90+F90=1,1,0))</f>
        <v>3</v>
      </c>
      <c r="L90" s="31">
        <f>IF(K90=3,3,IF(I90+K90=2,2,IF(K90=1,1,0)))</f>
        <v>3</v>
      </c>
      <c r="M90" s="31">
        <f>B90+E90</f>
        <v>12</v>
      </c>
      <c r="N90" s="31">
        <f>C90+F90+I90</f>
        <v>2</v>
      </c>
      <c r="O90" s="31"/>
      <c r="P90" s="53" t="str">
        <f>AE74</f>
        <v>Isaac Baldacchino / Janice Galea</v>
      </c>
      <c r="Q90" s="43">
        <v>6.0</v>
      </c>
      <c r="R90" s="54">
        <f>IF(Q90&gt;Q88,1,0)</f>
        <v>1</v>
      </c>
      <c r="S90" s="55"/>
      <c r="T90" s="43">
        <v>6.0</v>
      </c>
      <c r="U90" s="54">
        <f>IF(T90&gt;T88,1,0)</f>
        <v>0</v>
      </c>
      <c r="V90" s="55"/>
      <c r="W90" s="43">
        <v>10.0</v>
      </c>
      <c r="X90" s="31">
        <f>IF(W90&gt;W88,1,0)</f>
        <v>1</v>
      </c>
      <c r="Y90" s="31">
        <f>IF(Q90="",0,1)</f>
        <v>1</v>
      </c>
      <c r="Z90" s="31">
        <f>IF(R90+U90=2,3,IF(R90+U90=1,1,0))</f>
        <v>1</v>
      </c>
      <c r="AA90" s="31">
        <f>IF(Z90=3,3,IF(X90+Z90=2,2,IF(Z90=1,1,0)))</f>
        <v>2</v>
      </c>
      <c r="AB90" s="31">
        <f>Q90+T90</f>
        <v>12</v>
      </c>
      <c r="AC90" s="31">
        <f>R90+U90+X90</f>
        <v>2</v>
      </c>
      <c r="AD90" s="31"/>
      <c r="AE90" s="31"/>
      <c r="AF90" s="31"/>
      <c r="AG90" s="31"/>
      <c r="AH90" s="31"/>
      <c r="AI90" s="31"/>
      <c r="AJ90" s="31"/>
      <c r="AK90" s="31"/>
      <c r="AL90" s="31"/>
    </row>
    <row r="91" ht="13.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7"/>
      <c r="AI91" s="31"/>
      <c r="AJ91" s="31"/>
      <c r="AK91" s="31"/>
      <c r="AL91" s="31"/>
    </row>
    <row r="92" ht="13.5" customHeight="1">
      <c r="A92" s="42" t="str">
        <f>AE70</f>
        <v>Chris Vella / Leanne Sammut</v>
      </c>
      <c r="B92" s="43">
        <v>3.0</v>
      </c>
      <c r="C92" s="44">
        <f>IF(B92&gt;B94,1,0)</f>
        <v>0</v>
      </c>
      <c r="D92" s="45"/>
      <c r="E92" s="43">
        <v>7.0</v>
      </c>
      <c r="F92" s="44">
        <f>IF(E92&gt;E94,1,0)</f>
        <v>1</v>
      </c>
      <c r="G92" s="45"/>
      <c r="H92" s="43">
        <v>10.0</v>
      </c>
      <c r="I92" s="31">
        <f>IF(H92&gt;H94,1,0)</f>
        <v>1</v>
      </c>
      <c r="J92" s="31">
        <f>IF(B92="",0,1)</f>
        <v>1</v>
      </c>
      <c r="K92" s="31">
        <f>IF(C92+F92=2,3,IF(C92+F92=1,1,0))</f>
        <v>1</v>
      </c>
      <c r="L92" s="31">
        <f>IF(K92=3,3,IF(I92+K92=2,2,IF(K92=1,1,0)))</f>
        <v>2</v>
      </c>
      <c r="M92" s="31">
        <f>B92+E92</f>
        <v>10</v>
      </c>
      <c r="N92" s="31">
        <f>C92+F92+I92</f>
        <v>2</v>
      </c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</row>
    <row r="93" ht="13.5" customHeight="1">
      <c r="A93" s="50" t="s">
        <v>114</v>
      </c>
      <c r="H93" s="51"/>
      <c r="I93" s="52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62"/>
      <c r="AK93" s="31"/>
      <c r="AL93" s="31"/>
    </row>
    <row r="94" ht="13.5" customHeight="1">
      <c r="A94" s="53" t="str">
        <f>AE72</f>
        <v>Justin Scicluna / Maria Ellul</v>
      </c>
      <c r="B94" s="43">
        <v>6.0</v>
      </c>
      <c r="C94" s="54">
        <f>IF(B94&gt;B92,1,0)</f>
        <v>1</v>
      </c>
      <c r="D94" s="55"/>
      <c r="E94" s="43">
        <v>5.0</v>
      </c>
      <c r="F94" s="54">
        <f>IF(E94&gt;E92,1,0)</f>
        <v>0</v>
      </c>
      <c r="G94" s="55"/>
      <c r="H94" s="43">
        <v>7.0</v>
      </c>
      <c r="I94" s="31">
        <f>IF(H94&gt;H92,1,0)</f>
        <v>0</v>
      </c>
      <c r="J94" s="31">
        <f>IF(B94="",0,1)</f>
        <v>1</v>
      </c>
      <c r="K94" s="31">
        <f>IF(C94+F94=2,3,IF(C94+F94=1,1,0))</f>
        <v>1</v>
      </c>
      <c r="L94" s="31">
        <f>IF(K94=3,3,IF(I94+K94=2,2,IF(K94=1,1,0)))</f>
        <v>1</v>
      </c>
      <c r="M94" s="31">
        <f>B94+E94</f>
        <v>11</v>
      </c>
      <c r="N94" s="31">
        <f>C94+F94+I94</f>
        <v>1</v>
      </c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</row>
    <row r="95" ht="13.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</row>
    <row r="96" ht="13.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101" t="s">
        <v>131</v>
      </c>
      <c r="Q96" s="34"/>
      <c r="R96" s="34"/>
      <c r="S96" s="34"/>
      <c r="T96" s="34"/>
      <c r="U96" s="34"/>
      <c r="V96" s="34"/>
      <c r="W96" s="34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</row>
    <row r="97" ht="13.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</row>
    <row r="98" ht="30.0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102" t="s">
        <v>92</v>
      </c>
      <c r="Q98" s="101" t="s">
        <v>93</v>
      </c>
      <c r="R98" s="34"/>
      <c r="S98" s="34"/>
      <c r="T98" s="8"/>
      <c r="U98" s="103"/>
      <c r="V98" s="104"/>
      <c r="W98" s="102" t="s">
        <v>94</v>
      </c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</row>
    <row r="99" ht="15.75" hidden="1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9" t="s">
        <v>100</v>
      </c>
      <c r="R99" s="39" t="s">
        <v>101</v>
      </c>
      <c r="S99" s="39"/>
      <c r="T99" s="39" t="s">
        <v>100</v>
      </c>
      <c r="U99" s="39" t="s">
        <v>102</v>
      </c>
      <c r="V99" s="39"/>
      <c r="W99" s="39" t="s">
        <v>100</v>
      </c>
      <c r="X99" s="39" t="s">
        <v>103</v>
      </c>
      <c r="Y99" s="39" t="s">
        <v>104</v>
      </c>
      <c r="Z99" s="39" t="s">
        <v>105</v>
      </c>
      <c r="AA99" s="39" t="s">
        <v>106</v>
      </c>
      <c r="AB99" s="39" t="s">
        <v>107</v>
      </c>
      <c r="AC99" s="39" t="s">
        <v>108</v>
      </c>
      <c r="AD99" s="31"/>
      <c r="AE99" s="31"/>
      <c r="AF99" s="31"/>
      <c r="AG99" s="31"/>
      <c r="AH99" s="31"/>
      <c r="AI99" s="31"/>
      <c r="AJ99" s="31"/>
      <c r="AK99" s="31"/>
      <c r="AL99" s="31"/>
    </row>
    <row r="100" ht="13.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42" t="str">
        <f>AE22</f>
        <v>Simone Re/Annmarie Attard</v>
      </c>
      <c r="Q100" s="43">
        <v>7.0</v>
      </c>
      <c r="R100" s="44">
        <f>IF(Q100&gt;Q102,1,0)</f>
        <v>1</v>
      </c>
      <c r="S100" s="45"/>
      <c r="T100" s="43">
        <v>7.0</v>
      </c>
      <c r="U100" s="44">
        <f>IF(T100&gt;T102,1,0)</f>
        <v>1</v>
      </c>
      <c r="V100" s="45"/>
      <c r="W100" s="46"/>
      <c r="X100" s="31">
        <f>IF(W100&gt;W102,1,0)</f>
        <v>0</v>
      </c>
      <c r="Y100" s="31">
        <f>IF(Q100="",0,1)</f>
        <v>1</v>
      </c>
      <c r="Z100" s="31">
        <f>IF(R100+U100=2,3,IF(R100+U100=1,1,0))</f>
        <v>3</v>
      </c>
      <c r="AA100" s="31">
        <f>IF(Z100=3,3,IF(X100+Z100=2,2,IF(Z100=1,1,0)))</f>
        <v>3</v>
      </c>
      <c r="AB100" s="31">
        <f>Q100+T100</f>
        <v>14</v>
      </c>
      <c r="AC100" s="31">
        <f>R100+U100+X100</f>
        <v>2</v>
      </c>
      <c r="AD100" s="31"/>
      <c r="AE100" s="31"/>
      <c r="AF100" s="31"/>
      <c r="AG100" s="31"/>
      <c r="AH100" s="31"/>
      <c r="AI100" s="31"/>
      <c r="AJ100" s="31"/>
      <c r="AK100" s="31"/>
      <c r="AL100" s="31"/>
    </row>
    <row r="101" ht="13.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50" t="s">
        <v>114</v>
      </c>
      <c r="W101" s="51"/>
      <c r="X101" s="52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</row>
    <row r="102" ht="13.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53" t="str">
        <f>AE77</f>
        <v>Juan Sammut/Maria Angela Gambin</v>
      </c>
      <c r="Q102" s="43">
        <v>6.0</v>
      </c>
      <c r="R102" s="54">
        <f>IF(Q102&gt;Q100,1,0)</f>
        <v>0</v>
      </c>
      <c r="S102" s="55"/>
      <c r="T102" s="43">
        <v>6.0</v>
      </c>
      <c r="U102" s="54">
        <f>IF(T102&gt;T100,1,0)</f>
        <v>0</v>
      </c>
      <c r="V102" s="55"/>
      <c r="W102" s="46"/>
      <c r="X102" s="31">
        <f>IF(W102&gt;W100,1,0)</f>
        <v>0</v>
      </c>
      <c r="Y102" s="31">
        <f>IF(Q102="",0,1)</f>
        <v>1</v>
      </c>
      <c r="Z102" s="31">
        <f>IF(R102+U102=2,3,IF(R102+U102=1,1,0))</f>
        <v>0</v>
      </c>
      <c r="AA102" s="31">
        <f>IF(Z102=3,3,IF(X102+Z102=2,2,IF(Z102=1,1,0)))</f>
        <v>0</v>
      </c>
      <c r="AB102" s="31">
        <f>Q102+T102</f>
        <v>12</v>
      </c>
      <c r="AC102" s="31">
        <f>R102+U102+X102</f>
        <v>0</v>
      </c>
      <c r="AD102" s="31"/>
      <c r="AE102" s="31"/>
      <c r="AF102" s="31"/>
      <c r="AG102" s="31"/>
      <c r="AH102" s="31"/>
      <c r="AI102" s="31"/>
      <c r="AJ102" s="31"/>
      <c r="AK102" s="31"/>
      <c r="AL102" s="31"/>
    </row>
    <row r="103" ht="13.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</row>
    <row r="104" ht="13.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101" t="s">
        <v>115</v>
      </c>
      <c r="Q104" s="34"/>
      <c r="R104" s="34"/>
      <c r="S104" s="34"/>
      <c r="T104" s="34"/>
      <c r="U104" s="34"/>
      <c r="V104" s="34"/>
      <c r="W104" s="8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</row>
    <row r="105" ht="13.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105" t="str">
        <f>IF(AA100&gt;AA102,P100,P102)</f>
        <v>Simone Re/Annmarie Attard</v>
      </c>
      <c r="Q105" s="106"/>
      <c r="R105" s="106"/>
      <c r="S105" s="106"/>
      <c r="T105" s="106"/>
      <c r="U105" s="106"/>
      <c r="V105" s="106"/>
      <c r="W105" s="107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</row>
    <row r="106" ht="13.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</row>
    <row r="107" ht="13.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</row>
    <row r="108" ht="13.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101" t="s">
        <v>117</v>
      </c>
      <c r="Q108" s="34"/>
      <c r="R108" s="34"/>
      <c r="S108" s="34"/>
      <c r="T108" s="34"/>
      <c r="U108" s="34"/>
      <c r="V108" s="34"/>
      <c r="W108" s="8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</row>
    <row r="109" ht="13.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105" t="str">
        <f>IF(AA100&lt;AA102,P100,P102)</f>
        <v>Juan Sammut/Maria Angela Gambin</v>
      </c>
      <c r="Q109" s="106"/>
      <c r="R109" s="106"/>
      <c r="S109" s="106"/>
      <c r="T109" s="106"/>
      <c r="U109" s="106"/>
      <c r="V109" s="106"/>
      <c r="W109" s="107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</row>
    <row r="110" ht="13.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</row>
    <row r="111" ht="13.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</row>
    <row r="112" ht="13.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</row>
    <row r="113" ht="13.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</row>
    <row r="114" ht="13.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</row>
    <row r="115" ht="13.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</row>
    <row r="116" ht="13.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</row>
    <row r="117" ht="13.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</row>
    <row r="118" ht="13.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</row>
    <row r="119" ht="13.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</row>
    <row r="120" ht="13.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</row>
    <row r="121" ht="13.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</row>
    <row r="122" ht="13.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</row>
    <row r="123" ht="13.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</row>
    <row r="124" ht="13.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</row>
    <row r="125" ht="13.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7"/>
      <c r="R125" s="37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</row>
    <row r="126" ht="13.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</row>
    <row r="127" ht="13.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</row>
    <row r="128" ht="13.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</row>
    <row r="129" ht="13.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</row>
    <row r="130" ht="13.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</row>
    <row r="131" ht="13.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</row>
    <row r="132" ht="13.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</row>
    <row r="133" ht="13.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</row>
    <row r="134" ht="13.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</row>
    <row r="135" ht="13.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</row>
    <row r="136" ht="13.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</row>
    <row r="137" ht="13.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</row>
    <row r="138" ht="13.5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</row>
    <row r="139" ht="13.5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</row>
    <row r="140" ht="13.5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</row>
    <row r="141" ht="13.5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</row>
    <row r="142" ht="13.5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</row>
    <row r="143" ht="13.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</row>
    <row r="144" ht="13.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</row>
    <row r="145" ht="13.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</row>
    <row r="146" ht="13.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</row>
    <row r="147" ht="13.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</row>
    <row r="148" ht="13.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</row>
    <row r="149" ht="13.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</row>
    <row r="150" ht="13.5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</row>
    <row r="151" ht="13.5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</row>
    <row r="152" ht="13.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</row>
    <row r="153" ht="13.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</row>
    <row r="154" ht="13.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</row>
    <row r="155" ht="13.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</row>
    <row r="156" ht="13.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</row>
    <row r="157" ht="13.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</row>
    <row r="158" ht="13.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</row>
    <row r="159" ht="13.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</row>
    <row r="160" ht="13.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</row>
    <row r="161" ht="13.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</row>
    <row r="162" ht="13.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</row>
    <row r="163" ht="13.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</row>
    <row r="164" ht="13.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</row>
    <row r="165" ht="13.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</row>
    <row r="166" ht="13.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</row>
    <row r="167" ht="13.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</row>
    <row r="168" ht="13.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</row>
    <row r="169" ht="13.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</row>
    <row r="170" ht="13.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</row>
    <row r="171" ht="13.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</row>
    <row r="172" ht="13.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</row>
    <row r="173" ht="13.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</row>
    <row r="174" ht="13.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</row>
    <row r="175" ht="13.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</row>
    <row r="176" ht="13.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</row>
    <row r="177" ht="13.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</row>
    <row r="178" ht="13.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</row>
    <row r="179" ht="13.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</row>
    <row r="180" ht="13.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</row>
    <row r="181" ht="13.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</row>
    <row r="182" ht="13.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</row>
    <row r="183" ht="13.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</row>
    <row r="184" ht="13.5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</row>
    <row r="185" ht="13.5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</row>
    <row r="186" ht="13.5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</row>
    <row r="187" ht="13.5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</row>
    <row r="188" ht="13.5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</row>
    <row r="189" ht="13.5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</row>
    <row r="190" ht="13.5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</row>
    <row r="191" ht="13.5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</row>
    <row r="192" ht="13.5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</row>
    <row r="193" ht="13.5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</row>
    <row r="194" ht="13.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</row>
    <row r="195" ht="13.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</row>
    <row r="196" ht="13.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</row>
    <row r="197" ht="13.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</row>
    <row r="198" ht="13.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</row>
    <row r="199" ht="13.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</row>
    <row r="200" ht="13.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</row>
    <row r="201" ht="13.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</row>
    <row r="202" ht="13.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</row>
    <row r="203" ht="13.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</row>
    <row r="204" ht="13.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</row>
    <row r="205" ht="13.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</row>
    <row r="206" ht="13.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</row>
    <row r="207" ht="13.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</row>
    <row r="208" ht="13.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</row>
    <row r="209" ht="13.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</row>
    <row r="210" ht="13.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</row>
    <row r="211" ht="13.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</row>
    <row r="212" ht="13.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</row>
    <row r="213" ht="13.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</row>
    <row r="214" ht="13.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</row>
    <row r="215" ht="13.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</row>
    <row r="216" ht="13.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</row>
    <row r="217" ht="13.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</row>
    <row r="218" ht="13.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</row>
    <row r="219" ht="13.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</row>
    <row r="220" ht="13.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</row>
    <row r="221" ht="13.5" customHeight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</row>
    <row r="222" ht="13.5" customHeight="1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</row>
    <row r="223" ht="13.5" customHeight="1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</row>
    <row r="224" ht="13.5" customHeight="1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</row>
    <row r="225" ht="13.5" customHeight="1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</row>
    <row r="226" ht="13.5" customHeight="1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</row>
    <row r="227" ht="13.5" customHeight="1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</row>
    <row r="228" ht="13.5" customHeight="1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</row>
    <row r="229" ht="13.5" customHeight="1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</row>
    <row r="230" ht="13.5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</row>
    <row r="231" ht="13.5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</row>
    <row r="232" ht="13.5" customHeigh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</row>
    <row r="233" ht="13.5" customHeigh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</row>
    <row r="234" ht="13.5" customHeigh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</row>
    <row r="235" ht="13.5" customHeigh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</row>
    <row r="236" ht="13.5" customHeight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</row>
    <row r="237" ht="13.5" customHeight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</row>
    <row r="238" ht="13.5" customHeight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</row>
    <row r="239" ht="13.5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</row>
    <row r="240" ht="13.5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</row>
    <row r="241" ht="13.5" customHeigh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</row>
    <row r="242" ht="13.5" customHeigh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</row>
    <row r="243" ht="13.5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</row>
    <row r="244" ht="13.5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</row>
    <row r="245" ht="13.5" customHeigh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</row>
    <row r="246" ht="13.5" customHeigh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</row>
    <row r="247" ht="13.5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</row>
    <row r="248" ht="13.5" customHeight="1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</row>
    <row r="249" ht="13.5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</row>
    <row r="250" ht="13.5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</row>
    <row r="251" ht="13.5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</row>
    <row r="252" ht="13.5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</row>
    <row r="253" ht="13.5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</row>
    <row r="254" ht="13.5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</row>
    <row r="255" ht="13.5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</row>
    <row r="256" ht="13.5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</row>
    <row r="257" ht="13.5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</row>
    <row r="258" ht="13.5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</row>
    <row r="259" ht="13.5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</row>
    <row r="260" ht="13.5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</row>
    <row r="261" ht="13.5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</row>
    <row r="262" ht="13.5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</row>
    <row r="263" ht="13.5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</row>
    <row r="264" ht="13.5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</row>
    <row r="265" ht="13.5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</row>
    <row r="266" ht="13.5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</row>
    <row r="267" ht="13.5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</row>
    <row r="268" ht="13.5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</row>
    <row r="269" ht="13.5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</row>
    <row r="270" ht="13.5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</row>
    <row r="271" ht="13.5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</row>
    <row r="272" ht="13.5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</row>
    <row r="273" ht="13.5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</row>
    <row r="274" ht="13.5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</row>
    <row r="275" ht="13.5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</row>
    <row r="276" ht="13.5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</row>
    <row r="277" ht="13.5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</row>
    <row r="278" ht="13.5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</row>
    <row r="279" ht="13.5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</row>
    <row r="280" ht="13.5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</row>
    <row r="281" ht="13.5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</row>
    <row r="282" ht="13.5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</row>
    <row r="283" ht="13.5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</row>
    <row r="284" ht="13.5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</row>
    <row r="285" ht="13.5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</row>
    <row r="286" ht="13.5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</row>
    <row r="287" ht="13.5" customHeigh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</row>
    <row r="288" ht="13.5" customHeigh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</row>
    <row r="289" ht="13.5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</row>
    <row r="290" ht="13.5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</row>
    <row r="291" ht="13.5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</row>
    <row r="292" ht="13.5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</row>
    <row r="293" ht="13.5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</row>
    <row r="294" ht="13.5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</row>
    <row r="295" ht="13.5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</row>
    <row r="296" ht="13.5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</row>
    <row r="297" ht="13.5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</row>
    <row r="298" ht="13.5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</row>
    <row r="299" ht="13.5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</row>
    <row r="300" ht="13.5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</row>
    <row r="301" ht="13.5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</row>
    <row r="302" ht="13.5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</row>
    <row r="303" ht="13.5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</row>
    <row r="304" ht="13.5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</row>
    <row r="305" ht="13.5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</row>
    <row r="306" ht="13.5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</row>
    <row r="307" ht="13.5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</row>
    <row r="308" ht="13.5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</row>
    <row r="309" ht="13.5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</row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</sheetData>
  <mergeCells count="48">
    <mergeCell ref="A1:AI2"/>
    <mergeCell ref="A5:AI5"/>
    <mergeCell ref="B7:E7"/>
    <mergeCell ref="Q7:T7"/>
    <mergeCell ref="A10:H10"/>
    <mergeCell ref="P10:W10"/>
    <mergeCell ref="P14:W14"/>
    <mergeCell ref="A14:H14"/>
    <mergeCell ref="A18:H18"/>
    <mergeCell ref="P18:W18"/>
    <mergeCell ref="AE21:AI21"/>
    <mergeCell ref="A22:H22"/>
    <mergeCell ref="P22:W22"/>
    <mergeCell ref="AE22:AI22"/>
    <mergeCell ref="A26:H26"/>
    <mergeCell ref="P26:W26"/>
    <mergeCell ref="A30:H30"/>
    <mergeCell ref="P30:W30"/>
    <mergeCell ref="A34:H34"/>
    <mergeCell ref="P34:W34"/>
    <mergeCell ref="A38:H38"/>
    <mergeCell ref="A60:AI60"/>
    <mergeCell ref="B62:E62"/>
    <mergeCell ref="Q62:T62"/>
    <mergeCell ref="A65:H65"/>
    <mergeCell ref="P65:W65"/>
    <mergeCell ref="A69:H69"/>
    <mergeCell ref="P69:W69"/>
    <mergeCell ref="A73:H73"/>
    <mergeCell ref="P73:W73"/>
    <mergeCell ref="AE76:AI76"/>
    <mergeCell ref="A77:H77"/>
    <mergeCell ref="P77:W77"/>
    <mergeCell ref="AE77:AI77"/>
    <mergeCell ref="P81:W81"/>
    <mergeCell ref="Q98:T98"/>
    <mergeCell ref="P101:W101"/>
    <mergeCell ref="P104:W104"/>
    <mergeCell ref="P105:W105"/>
    <mergeCell ref="P108:W108"/>
    <mergeCell ref="P109:W109"/>
    <mergeCell ref="A81:H81"/>
    <mergeCell ref="A85:H85"/>
    <mergeCell ref="P85:W85"/>
    <mergeCell ref="A89:H89"/>
    <mergeCell ref="P89:W89"/>
    <mergeCell ref="A93:H93"/>
    <mergeCell ref="P96:W96"/>
  </mergeCells>
  <printOptions/>
  <pageMargins bottom="0.75" footer="0.0" header="0.0" left="0.25" right="0.25" top="0.75"/>
  <pageSetup paperSize="9" scale="62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3.38"/>
    <col customWidth="1" min="2" max="2" width="7.0"/>
    <col customWidth="1" hidden="1" min="3" max="3" width="6.13"/>
    <col customWidth="1" min="4" max="4" width="1.63"/>
    <col customWidth="1" min="5" max="5" width="7.0"/>
    <col customWidth="1" hidden="1" min="6" max="6" width="6.13"/>
    <col customWidth="1" min="7" max="7" width="1.63"/>
    <col customWidth="1" min="8" max="8" width="7.0"/>
    <col customWidth="1" hidden="1" min="9" max="9" width="6.13"/>
    <col customWidth="1" hidden="1" min="10" max="10" width="7.63"/>
    <col customWidth="1" hidden="1" min="11" max="11" width="7.38"/>
    <col customWidth="1" hidden="1" min="12" max="12" width="11.38"/>
    <col customWidth="1" hidden="1" min="13" max="13" width="8.0"/>
    <col customWidth="1" hidden="1" min="14" max="14" width="6.13"/>
    <col customWidth="1" min="15" max="15" width="5.5"/>
    <col customWidth="1" min="16" max="16" width="43.88"/>
    <col customWidth="1" min="17" max="17" width="7.0"/>
    <col customWidth="1" hidden="1" min="18" max="18" width="6.13"/>
    <col customWidth="1" min="19" max="19" width="1.63"/>
    <col customWidth="1" min="20" max="20" width="7.0"/>
    <col customWidth="1" hidden="1" min="21" max="21" width="6.13"/>
    <col customWidth="1" min="22" max="22" width="1.63"/>
    <col customWidth="1" min="23" max="23" width="7.0"/>
    <col customWidth="1" hidden="1" min="24" max="24" width="6.13"/>
    <col customWidth="1" hidden="1" min="25" max="25" width="7.63"/>
    <col customWidth="1" hidden="1" min="26" max="26" width="7.38"/>
    <col customWidth="1" hidden="1" min="27" max="27" width="11.38"/>
    <col customWidth="1" hidden="1" min="28" max="28" width="8.0"/>
    <col customWidth="1" hidden="1" min="29" max="29" width="6.13"/>
    <col customWidth="1" min="30" max="30" width="5.75"/>
    <col customWidth="1" min="31" max="31" width="35.13"/>
    <col customWidth="1" min="32" max="35" width="8.63"/>
    <col customWidth="1" hidden="1" min="36" max="36" width="9.38"/>
    <col customWidth="1" hidden="1" min="37" max="37" width="12.0"/>
    <col customWidth="1" hidden="1" min="38" max="38" width="8.0"/>
    <col customWidth="1" hidden="1" min="39" max="40" width="41.13"/>
  </cols>
  <sheetData>
    <row r="1" ht="21.0" customHeight="1">
      <c r="A1" s="1" t="s">
        <v>0</v>
      </c>
      <c r="AJ1" s="4"/>
      <c r="AK1" s="4"/>
      <c r="AL1" s="4"/>
      <c r="AM1" s="4"/>
      <c r="AN1" s="4"/>
    </row>
    <row r="2" ht="21.0" customHeight="1">
      <c r="AJ2" s="4"/>
      <c r="AK2" s="4"/>
      <c r="AL2" s="4"/>
      <c r="AM2" s="4"/>
      <c r="AN2" s="4"/>
    </row>
    <row r="3" ht="13.5" customHeight="1">
      <c r="A3" s="28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</row>
    <row r="4" ht="13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</row>
    <row r="5" ht="13.5" customHeight="1">
      <c r="A5" s="108" t="s">
        <v>132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1"/>
      <c r="AK5" s="31"/>
      <c r="AL5" s="31"/>
      <c r="AM5" s="31"/>
      <c r="AN5" s="31"/>
    </row>
    <row r="6" ht="13.5" customHeight="1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</row>
    <row r="7">
      <c r="A7" s="109" t="s">
        <v>92</v>
      </c>
      <c r="B7" s="110" t="s">
        <v>93</v>
      </c>
      <c r="C7" s="34"/>
      <c r="D7" s="34"/>
      <c r="E7" s="8"/>
      <c r="F7" s="111"/>
      <c r="G7" s="112"/>
      <c r="H7" s="109" t="s">
        <v>94</v>
      </c>
      <c r="I7" s="31"/>
      <c r="J7" s="31"/>
      <c r="K7" s="31"/>
      <c r="L7" s="31"/>
      <c r="M7" s="37"/>
      <c r="N7" s="37"/>
      <c r="O7" s="31"/>
      <c r="P7" s="109" t="s">
        <v>92</v>
      </c>
      <c r="Q7" s="110" t="s">
        <v>93</v>
      </c>
      <c r="R7" s="34"/>
      <c r="S7" s="34"/>
      <c r="T7" s="8"/>
      <c r="U7" s="111"/>
      <c r="V7" s="112"/>
      <c r="W7" s="109" t="s">
        <v>94</v>
      </c>
      <c r="X7" s="31"/>
      <c r="Y7" s="37"/>
      <c r="Z7" s="37"/>
      <c r="AA7" s="37"/>
      <c r="AB7" s="37"/>
      <c r="AC7" s="37"/>
      <c r="AD7" s="31"/>
      <c r="AE7" s="109" t="s">
        <v>95</v>
      </c>
      <c r="AF7" s="113" t="s">
        <v>96</v>
      </c>
      <c r="AG7" s="113" t="s">
        <v>97</v>
      </c>
      <c r="AH7" s="113" t="s">
        <v>98</v>
      </c>
      <c r="AI7" s="113" t="s">
        <v>99</v>
      </c>
      <c r="AJ7" s="37"/>
      <c r="AK7" s="37"/>
      <c r="AL7" s="37"/>
      <c r="AM7" s="31"/>
      <c r="AN7" s="31"/>
    </row>
    <row r="8" hidden="1">
      <c r="A8" s="31"/>
      <c r="B8" s="39" t="s">
        <v>100</v>
      </c>
      <c r="C8" s="39" t="s">
        <v>101</v>
      </c>
      <c r="D8" s="39"/>
      <c r="E8" s="39" t="s">
        <v>100</v>
      </c>
      <c r="F8" s="39" t="s">
        <v>102</v>
      </c>
      <c r="G8" s="39"/>
      <c r="H8" s="39" t="s">
        <v>100</v>
      </c>
      <c r="I8" s="39" t="s">
        <v>103</v>
      </c>
      <c r="J8" s="39" t="s">
        <v>104</v>
      </c>
      <c r="K8" s="39" t="s">
        <v>105</v>
      </c>
      <c r="L8" s="39" t="s">
        <v>106</v>
      </c>
      <c r="M8" s="39" t="s">
        <v>107</v>
      </c>
      <c r="N8" s="39" t="s">
        <v>108</v>
      </c>
      <c r="O8" s="31"/>
      <c r="P8" s="31"/>
      <c r="Q8" s="39" t="s">
        <v>100</v>
      </c>
      <c r="R8" s="39" t="s">
        <v>101</v>
      </c>
      <c r="S8" s="39"/>
      <c r="T8" s="39" t="s">
        <v>100</v>
      </c>
      <c r="U8" s="39" t="s">
        <v>102</v>
      </c>
      <c r="V8" s="39"/>
      <c r="W8" s="39" t="s">
        <v>100</v>
      </c>
      <c r="X8" s="39" t="s">
        <v>103</v>
      </c>
      <c r="Y8" s="39" t="s">
        <v>104</v>
      </c>
      <c r="Z8" s="39" t="s">
        <v>105</v>
      </c>
      <c r="AA8" s="39" t="s">
        <v>106</v>
      </c>
      <c r="AB8" s="39" t="s">
        <v>107</v>
      </c>
      <c r="AC8" s="39" t="s">
        <v>108</v>
      </c>
      <c r="AD8" s="31"/>
      <c r="AE8" s="37"/>
      <c r="AF8" s="37"/>
      <c r="AG8" s="37"/>
      <c r="AH8" s="37"/>
      <c r="AI8" s="37"/>
      <c r="AJ8" s="39" t="s">
        <v>109</v>
      </c>
      <c r="AK8" s="39" t="s">
        <v>110</v>
      </c>
      <c r="AL8" s="40" t="s">
        <v>111</v>
      </c>
      <c r="AM8" s="41" t="s">
        <v>112</v>
      </c>
      <c r="AN8" s="41" t="s">
        <v>113</v>
      </c>
    </row>
    <row r="9" ht="13.5" customHeight="1">
      <c r="A9" s="42" t="str">
        <f>AE9</f>
        <v>Steve Gambin / Suzanne Gambin</v>
      </c>
      <c r="B9" s="43">
        <v>6.0</v>
      </c>
      <c r="C9" s="44">
        <f>IF(B9&gt;B11,1,0)</f>
        <v>1</v>
      </c>
      <c r="D9" s="45"/>
      <c r="E9" s="43">
        <v>6.0</v>
      </c>
      <c r="F9" s="44">
        <f>IF(E9&gt;E11,1,0)</f>
        <v>1</v>
      </c>
      <c r="G9" s="45"/>
      <c r="H9" s="46"/>
      <c r="I9" s="31">
        <f>IF(H9&gt;H11,1,0)</f>
        <v>0</v>
      </c>
      <c r="J9" s="31">
        <f>IF(B9="",0,1)</f>
        <v>1</v>
      </c>
      <c r="K9" s="31">
        <f>IF(C9+F9=2,3,IF(C9+F9=1,1,0))</f>
        <v>3</v>
      </c>
      <c r="L9" s="31">
        <f>IF(K9=3,3,IF(I9+K9=2,2,IF(K9=1,1,0)))</f>
        <v>3</v>
      </c>
      <c r="M9" s="31">
        <f>B9+E9</f>
        <v>12</v>
      </c>
      <c r="N9" s="31">
        <f>C9+F9+I9</f>
        <v>2</v>
      </c>
      <c r="O9" s="31"/>
      <c r="P9" s="42" t="str">
        <f>AE9</f>
        <v>Steve Gambin / Suzanne Gambin</v>
      </c>
      <c r="Q9" s="43">
        <v>6.0</v>
      </c>
      <c r="R9" s="44">
        <f>IF(Q9&gt;Q11,1,0)</f>
        <v>1</v>
      </c>
      <c r="S9" s="45"/>
      <c r="T9" s="43">
        <v>6.0</v>
      </c>
      <c r="U9" s="44">
        <f>IF(T9&gt;T11,1,0)</f>
        <v>1</v>
      </c>
      <c r="V9" s="45"/>
      <c r="W9" s="46"/>
      <c r="X9" s="31">
        <f>IF(W9&gt;W11,1,0)</f>
        <v>0</v>
      </c>
      <c r="Y9" s="31">
        <f>IF(Q9="",0,1)</f>
        <v>1</v>
      </c>
      <c r="Z9" s="31">
        <f>IF(R9+U9=2,3,IF(R9+U9=1,1,0))</f>
        <v>3</v>
      </c>
      <c r="AA9" s="31">
        <f>IF(Z9=3,3,IF(X9+Z9=2,2,IF(Z9=1,1,0)))</f>
        <v>3</v>
      </c>
      <c r="AB9" s="31">
        <f>Q9+T9</f>
        <v>12</v>
      </c>
      <c r="AC9" s="31">
        <f>R9+U9+X9</f>
        <v>2</v>
      </c>
      <c r="AD9" s="31"/>
      <c r="AE9" s="114" t="str">
        <f>Players!B46&amp; " / " &amp;Players!C46</f>
        <v>Steve Gambin / Suzanne Gambin</v>
      </c>
      <c r="AF9" s="48">
        <f>J9+J13+Y9+J17+Y29</f>
        <v>5</v>
      </c>
      <c r="AG9" s="48">
        <f t="shared" ref="AG9:AI9" si="1">L9+L13+AA9+L17+AA29</f>
        <v>12</v>
      </c>
      <c r="AH9" s="48">
        <f t="shared" si="1"/>
        <v>50</v>
      </c>
      <c r="AI9" s="48">
        <f t="shared" si="1"/>
        <v>8</v>
      </c>
      <c r="AJ9" s="31">
        <f>MAX(AG9:AG19)</f>
        <v>15</v>
      </c>
      <c r="AK9" s="31">
        <f>LARGE(AG9:AG19, 2)</f>
        <v>12</v>
      </c>
      <c r="AL9" s="31">
        <f>SUM(AF9:AF19)</f>
        <v>30</v>
      </c>
      <c r="AM9" s="31" t="str">
        <f>IF(AG9=$AJ$9,AE9,IF(AG11=$AJ$9,AE11,IF(AG13=$AJ$9,AE13,IF(AG15=$AJ$9,AE15,IF(AG17=$AJ$9,AE17,IF(AG19=$AJ$9,AE19,""))))))</f>
        <v>Cory Greenland  / Christabelle Chetcuti</v>
      </c>
      <c r="AN9" s="31" t="str">
        <f>IF(AG9=$AK$9,AE9,IF(AG11=$AK$9,AE11,IF(AG13=$AK$9,AE13,IF(AG15=$AK$9,AE15,IF(AG17=$AK$9,AE17,IF(AG19=$AK$9,AE19,""))))))</f>
        <v>Steve Gambin / Suzanne Gambin</v>
      </c>
    </row>
    <row r="10" ht="13.5" customHeight="1">
      <c r="A10" s="50" t="s">
        <v>114</v>
      </c>
      <c r="H10" s="51"/>
      <c r="I10" s="52"/>
      <c r="J10" s="31"/>
      <c r="K10" s="31"/>
      <c r="L10" s="31"/>
      <c r="M10" s="31"/>
      <c r="N10" s="31"/>
      <c r="O10" s="31"/>
      <c r="P10" s="50" t="s">
        <v>114</v>
      </c>
      <c r="W10" s="51"/>
      <c r="X10" s="52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7"/>
      <c r="AL10" s="37"/>
      <c r="AM10" s="31"/>
      <c r="AN10" s="31"/>
    </row>
    <row r="11" ht="13.5" customHeight="1">
      <c r="A11" s="53" t="str">
        <f>AE11</f>
        <v>Gabriel Gauci / Tiffany Fenech</v>
      </c>
      <c r="B11" s="43">
        <v>4.0</v>
      </c>
      <c r="C11" s="54">
        <f>IF(B11&gt;B9,1,0)</f>
        <v>0</v>
      </c>
      <c r="D11" s="55"/>
      <c r="E11" s="43">
        <v>3.0</v>
      </c>
      <c r="F11" s="54">
        <f>IF(E11&gt;E9,1,0)</f>
        <v>0</v>
      </c>
      <c r="G11" s="55"/>
      <c r="H11" s="46"/>
      <c r="I11" s="31">
        <f>IF(H11&gt;H9,1,0)</f>
        <v>0</v>
      </c>
      <c r="J11" s="31">
        <f>IF(B11="",0,1)</f>
        <v>1</v>
      </c>
      <c r="K11" s="31">
        <f>IF(C11+F11=2,3,IF(C11+F11=1,1,0))</f>
        <v>0</v>
      </c>
      <c r="L11" s="31">
        <f>IF(K11=3,3,IF(I11+K11=2,2,IF(K11=1,1,0)))</f>
        <v>0</v>
      </c>
      <c r="M11" s="31">
        <f>B11+E11</f>
        <v>7</v>
      </c>
      <c r="N11" s="31">
        <f>C11+F11+I11</f>
        <v>0</v>
      </c>
      <c r="O11" s="31"/>
      <c r="P11" s="53" t="str">
        <f>AE17</f>
        <v>Sammy Ben Tamer / Martina Murdocco</v>
      </c>
      <c r="Q11" s="43">
        <v>3.0</v>
      </c>
      <c r="R11" s="54">
        <f>IF(Q11&gt;Q9,1,0)</f>
        <v>0</v>
      </c>
      <c r="S11" s="55"/>
      <c r="T11" s="43">
        <v>3.0</v>
      </c>
      <c r="U11" s="54">
        <f>IF(T11&gt;T9,1,0)</f>
        <v>0</v>
      </c>
      <c r="V11" s="55"/>
      <c r="W11" s="46"/>
      <c r="X11" s="31">
        <f>IF(W11&gt;W9,1,0)</f>
        <v>0</v>
      </c>
      <c r="Y11" s="31">
        <f>IF(Q11="",0,1)</f>
        <v>1</v>
      </c>
      <c r="Z11" s="31">
        <f>IF(R11+U11=2,3,IF(R11+U11=1,1,0))</f>
        <v>0</v>
      </c>
      <c r="AA11" s="31">
        <f>IF(Z11=3,3,IF(X11+Z11=2,2,IF(Z11=1,1,0)))</f>
        <v>0</v>
      </c>
      <c r="AB11" s="31">
        <f>Q11+T11</f>
        <v>6</v>
      </c>
      <c r="AC11" s="31">
        <f>R11+U11+X11</f>
        <v>0</v>
      </c>
      <c r="AD11" s="31"/>
      <c r="AE11" s="114" t="str">
        <f>Players!B47&amp; " / " &amp;Players!C47</f>
        <v>Gabriel Gauci / Tiffany Fenech</v>
      </c>
      <c r="AF11" s="48">
        <f>J11+J21+J25+Y25+Y21</f>
        <v>5</v>
      </c>
      <c r="AG11" s="48">
        <f t="shared" ref="AG11:AI11" si="2">L11+L21+L25+AA21+AA25</f>
        <v>7</v>
      </c>
      <c r="AH11" s="48">
        <f t="shared" si="2"/>
        <v>51</v>
      </c>
      <c r="AI11" s="48">
        <f t="shared" si="2"/>
        <v>6</v>
      </c>
      <c r="AJ11" s="37"/>
      <c r="AK11" s="37"/>
      <c r="AL11" s="37"/>
      <c r="AM11" s="31"/>
      <c r="AN11" s="31"/>
    </row>
    <row r="12" ht="13.5" customHeight="1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7"/>
      <c r="AG12" s="37"/>
      <c r="AH12" s="37"/>
      <c r="AI12" s="37"/>
      <c r="AJ12" s="37"/>
      <c r="AK12" s="37"/>
      <c r="AL12" s="37"/>
      <c r="AM12" s="31"/>
      <c r="AN12" s="31"/>
    </row>
    <row r="13" ht="13.5" customHeight="1">
      <c r="A13" s="42" t="str">
        <f>AE9</f>
        <v>Steve Gambin / Suzanne Gambin</v>
      </c>
      <c r="B13" s="43">
        <v>0.0</v>
      </c>
      <c r="C13" s="44">
        <f>IF(B13&gt;B15,1,0)</f>
        <v>0</v>
      </c>
      <c r="D13" s="45"/>
      <c r="E13" s="43">
        <v>1.0</v>
      </c>
      <c r="F13" s="44">
        <f>IF(E13&gt;E15,1,0)</f>
        <v>0</v>
      </c>
      <c r="G13" s="45"/>
      <c r="H13" s="46"/>
      <c r="I13" s="31">
        <f>IF(H13&gt;H15,1,0)</f>
        <v>0</v>
      </c>
      <c r="J13" s="31">
        <f>IF(B13="",0,1)</f>
        <v>1</v>
      </c>
      <c r="K13" s="31">
        <f>IF(C13+F13=2,3,IF(C13+F13=1,1,0))</f>
        <v>0</v>
      </c>
      <c r="L13" s="31">
        <f>IF(K13=3,3,IF(I13+K13=2,2,IF(K13=1,1,0)))</f>
        <v>0</v>
      </c>
      <c r="M13" s="31">
        <f>B13+E13</f>
        <v>1</v>
      </c>
      <c r="N13" s="31">
        <f>C13+F13+I13</f>
        <v>0</v>
      </c>
      <c r="O13" s="31"/>
      <c r="P13" s="42" t="str">
        <f>AE15</f>
        <v>Cory Greenland  / Christabelle Chetcuti</v>
      </c>
      <c r="Q13" s="43">
        <v>6.0</v>
      </c>
      <c r="R13" s="44">
        <f>IF(Q13&gt;Q15,1,0)</f>
        <v>1</v>
      </c>
      <c r="S13" s="45"/>
      <c r="T13" s="43">
        <v>6.0</v>
      </c>
      <c r="U13" s="44">
        <f>IF(T13&gt;T15,1,0)</f>
        <v>1</v>
      </c>
      <c r="V13" s="45"/>
      <c r="W13" s="46"/>
      <c r="X13" s="31">
        <f>IF(W13&gt;W15,1,0)</f>
        <v>0</v>
      </c>
      <c r="Y13" s="31">
        <f>IF(Q13="",0,1)</f>
        <v>1</v>
      </c>
      <c r="Z13" s="31">
        <f>IF(R13+U13=2,3,IF(R13+U13=1,1,0))</f>
        <v>3</v>
      </c>
      <c r="AA13" s="31">
        <f>IF(Z13=3,3,IF(X13+Z13=2,2,IF(Z13=1,1,0)))</f>
        <v>3</v>
      </c>
      <c r="AB13" s="31">
        <f>Q13+T13</f>
        <v>12</v>
      </c>
      <c r="AC13" s="31">
        <f>R13+U13+X13</f>
        <v>2</v>
      </c>
      <c r="AD13" s="31"/>
      <c r="AE13" s="114" t="str">
        <f>Players!B48&amp; " / " &amp;Players!C48</f>
        <v>Jason Lee Evans / Lillian Badacchino</v>
      </c>
      <c r="AF13" s="48">
        <f>J23+J34+J38+J44+Y31</f>
        <v>5</v>
      </c>
      <c r="AG13" s="48">
        <f>L23+L34+L38+L44+AA31</f>
        <v>6</v>
      </c>
      <c r="AH13" s="48">
        <f>M34+M23+M44+M38+AB31</f>
        <v>43</v>
      </c>
      <c r="AI13" s="48">
        <f>N23+N34+N38+N44+AC31</f>
        <v>5</v>
      </c>
      <c r="AJ13" s="37"/>
      <c r="AK13" s="37"/>
      <c r="AL13" s="37"/>
      <c r="AM13" s="31"/>
      <c r="AN13" s="31"/>
    </row>
    <row r="14" ht="13.5" customHeight="1">
      <c r="A14" s="50" t="s">
        <v>114</v>
      </c>
      <c r="H14" s="51"/>
      <c r="I14" s="52"/>
      <c r="J14" s="31"/>
      <c r="K14" s="31"/>
      <c r="L14" s="31"/>
      <c r="M14" s="31"/>
      <c r="N14" s="31"/>
      <c r="O14" s="31"/>
      <c r="P14" s="50" t="s">
        <v>114</v>
      </c>
      <c r="W14" s="51"/>
      <c r="X14" s="52"/>
      <c r="Y14" s="31"/>
      <c r="Z14" s="31"/>
      <c r="AA14" s="31"/>
      <c r="AB14" s="31"/>
      <c r="AC14" s="31"/>
      <c r="AD14" s="31"/>
      <c r="AE14" s="31"/>
      <c r="AF14" s="37"/>
      <c r="AG14" s="37"/>
      <c r="AH14" s="37"/>
      <c r="AI14" s="37"/>
      <c r="AJ14" s="37"/>
      <c r="AK14" s="37"/>
      <c r="AL14" s="37"/>
      <c r="AM14" s="31"/>
      <c r="AN14" s="31"/>
    </row>
    <row r="15" ht="13.5" customHeight="1">
      <c r="A15" s="53" t="str">
        <f>AE15</f>
        <v>Cory Greenland  / Christabelle Chetcuti</v>
      </c>
      <c r="B15" s="43">
        <v>6.0</v>
      </c>
      <c r="C15" s="54">
        <f>IF(B15&gt;B13,1,0)</f>
        <v>1</v>
      </c>
      <c r="D15" s="55"/>
      <c r="E15" s="43">
        <v>6.0</v>
      </c>
      <c r="F15" s="54">
        <f>IF(E15&gt;E13,1,0)</f>
        <v>1</v>
      </c>
      <c r="G15" s="55"/>
      <c r="H15" s="46"/>
      <c r="I15" s="31">
        <f>IF(H15&gt;H13,1,0)</f>
        <v>0</v>
      </c>
      <c r="J15" s="31">
        <f>IF(B15="",0,1)</f>
        <v>1</v>
      </c>
      <c r="K15" s="31">
        <f>IF(C15+F15=2,3,IF(C15+F15=1,1,0))</f>
        <v>3</v>
      </c>
      <c r="L15" s="31">
        <f>IF(K15=3,3,IF(I15+K15=2,2,IF(K15=1,1,0)))</f>
        <v>3</v>
      </c>
      <c r="M15" s="31">
        <f>B15+E15</f>
        <v>12</v>
      </c>
      <c r="N15" s="31">
        <f>C15+F15+I15</f>
        <v>2</v>
      </c>
      <c r="O15" s="31"/>
      <c r="P15" s="53" t="str">
        <f>AE17</f>
        <v>Sammy Ben Tamer / Martina Murdocco</v>
      </c>
      <c r="Q15" s="43">
        <v>2.0</v>
      </c>
      <c r="R15" s="54">
        <f>IF(Q15&gt;Q13,1,0)</f>
        <v>0</v>
      </c>
      <c r="S15" s="55"/>
      <c r="T15" s="43">
        <v>0.0</v>
      </c>
      <c r="U15" s="54">
        <f>IF(T15&gt;T13,1,0)</f>
        <v>0</v>
      </c>
      <c r="V15" s="55"/>
      <c r="W15" s="46"/>
      <c r="X15" s="31">
        <f>IF(W15&gt;W13,1,0)</f>
        <v>0</v>
      </c>
      <c r="Y15" s="31">
        <f>IF(Q15="",0,1)</f>
        <v>1</v>
      </c>
      <c r="Z15" s="31">
        <f>IF(R15+U15=2,3,IF(R15+U15=1,1,0))</f>
        <v>0</v>
      </c>
      <c r="AA15" s="31">
        <f>IF(Z15=3,3,IF(X15+Z15=2,2,IF(Z15=1,1,0)))</f>
        <v>0</v>
      </c>
      <c r="AB15" s="31">
        <f>Q15+T15</f>
        <v>2</v>
      </c>
      <c r="AC15" s="31">
        <f>R15+U15+X15</f>
        <v>0</v>
      </c>
      <c r="AD15" s="31"/>
      <c r="AE15" s="114" t="str">
        <f>Players!B49&amp; " / " &amp;Players!C49</f>
        <v>Cory Greenland  / Christabelle Chetcuti</v>
      </c>
      <c r="AF15" s="48">
        <f>J15+J29+J42+Y13+Y23</f>
        <v>5</v>
      </c>
      <c r="AG15" s="48">
        <f t="shared" ref="AG15:AI15" si="3">L15+L29+L42+AA13+AA23</f>
        <v>15</v>
      </c>
      <c r="AH15" s="48">
        <f t="shared" si="3"/>
        <v>61</v>
      </c>
      <c r="AI15" s="48">
        <f t="shared" si="3"/>
        <v>10</v>
      </c>
      <c r="AJ15" s="37"/>
      <c r="AK15" s="37"/>
      <c r="AL15" s="37"/>
      <c r="AM15" s="31"/>
      <c r="AN15" s="31"/>
    </row>
    <row r="16" ht="13.5" customHeight="1">
      <c r="A16" s="31"/>
      <c r="B16" s="37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7"/>
      <c r="AG16" s="37"/>
      <c r="AH16" s="37"/>
      <c r="AI16" s="37"/>
      <c r="AJ16" s="37"/>
      <c r="AK16" s="37"/>
      <c r="AL16" s="37"/>
      <c r="AM16" s="31"/>
      <c r="AN16" s="31"/>
    </row>
    <row r="17" ht="13.5" customHeight="1">
      <c r="A17" s="42" t="str">
        <f>AE9</f>
        <v>Steve Gambin / Suzanne Gambin</v>
      </c>
      <c r="B17" s="43">
        <v>6.0</v>
      </c>
      <c r="C17" s="44">
        <f>IF(B17&gt;B19,1,0)</f>
        <v>1</v>
      </c>
      <c r="D17" s="45"/>
      <c r="E17" s="43">
        <v>6.0</v>
      </c>
      <c r="F17" s="44">
        <f>IF(E17&gt;E19,1,0)</f>
        <v>1</v>
      </c>
      <c r="G17" s="45"/>
      <c r="H17" s="46"/>
      <c r="I17" s="31">
        <f>IF(H17&gt;H19,1,0)</f>
        <v>0</v>
      </c>
      <c r="J17" s="31">
        <f>IF(B17="",0,1)</f>
        <v>1</v>
      </c>
      <c r="K17" s="31">
        <f>IF(C17+F17=2,3,IF(C17+F17=1,1,0))</f>
        <v>3</v>
      </c>
      <c r="L17" s="31">
        <f>IF(K17=3,3,IF(I17+K17=2,2,IF(K17=1,1,0)))</f>
        <v>3</v>
      </c>
      <c r="M17" s="31">
        <f>B17+E17</f>
        <v>12</v>
      </c>
      <c r="N17" s="31">
        <f>C17+F17+I17</f>
        <v>2</v>
      </c>
      <c r="O17" s="31"/>
      <c r="P17" s="42" t="str">
        <f>AE17</f>
        <v>Sammy Ben Tamer / Martina Murdocco</v>
      </c>
      <c r="Q17" s="43">
        <v>3.0</v>
      </c>
      <c r="R17" s="44">
        <f>IF(Q17&gt;Q19,1,0)</f>
        <v>0</v>
      </c>
      <c r="S17" s="45"/>
      <c r="T17" s="43">
        <v>6.0</v>
      </c>
      <c r="U17" s="44">
        <f>IF(T17&gt;T19,1,0)</f>
        <v>1</v>
      </c>
      <c r="V17" s="45"/>
      <c r="W17" s="43">
        <v>10.0</v>
      </c>
      <c r="X17" s="31">
        <f>IF(W17&gt;W19,1,0)</f>
        <v>1</v>
      </c>
      <c r="Y17" s="31">
        <f>IF(Q17="",0,1)</f>
        <v>1</v>
      </c>
      <c r="Z17" s="31">
        <f>IF(R17+U17=2,3,IF(R17+U17=1,1,0))</f>
        <v>1</v>
      </c>
      <c r="AA17" s="31">
        <f>IF(Z17=3,3,IF(X17+Z17=2,2,IF(Z17=1,1,0)))</f>
        <v>2</v>
      </c>
      <c r="AB17" s="31">
        <f>Q17+T17</f>
        <v>9</v>
      </c>
      <c r="AC17" s="31">
        <f>R17+U17+X17</f>
        <v>2</v>
      </c>
      <c r="AD17" s="31"/>
      <c r="AE17" s="114" t="str">
        <f>Players!B51&amp; " / " &amp;Players!C51</f>
        <v>Sammy Ben Tamer / Martina Murdocco</v>
      </c>
      <c r="AF17" s="48">
        <f>J27+J36+Y11+Y15+Y17</f>
        <v>5</v>
      </c>
      <c r="AG17" s="48">
        <f t="shared" ref="AG17:AI17" si="4">L27+L36+AA11+AA15+AA17</f>
        <v>3</v>
      </c>
      <c r="AH17" s="48">
        <f t="shared" si="4"/>
        <v>36</v>
      </c>
      <c r="AI17" s="48">
        <f t="shared" si="4"/>
        <v>3</v>
      </c>
      <c r="AJ17" s="37"/>
      <c r="AK17" s="37"/>
      <c r="AL17" s="37"/>
      <c r="AM17" s="31"/>
      <c r="AN17" s="31"/>
    </row>
    <row r="18" ht="13.5" customHeight="1">
      <c r="A18" s="50" t="s">
        <v>114</v>
      </c>
      <c r="H18" s="51"/>
      <c r="I18" s="52"/>
      <c r="J18" s="31"/>
      <c r="K18" s="31"/>
      <c r="L18" s="31"/>
      <c r="M18" s="31"/>
      <c r="N18" s="31"/>
      <c r="O18" s="31"/>
      <c r="P18" s="50" t="s">
        <v>114</v>
      </c>
      <c r="W18" s="51"/>
      <c r="X18" s="52"/>
      <c r="Y18" s="31"/>
      <c r="Z18" s="31"/>
      <c r="AA18" s="31"/>
      <c r="AB18" s="31"/>
      <c r="AC18" s="31"/>
      <c r="AD18" s="31"/>
      <c r="AE18" s="31"/>
      <c r="AF18" s="37"/>
      <c r="AG18" s="37"/>
      <c r="AH18" s="37"/>
      <c r="AI18" s="37"/>
      <c r="AJ18" s="37"/>
      <c r="AK18" s="37"/>
      <c r="AL18" s="37"/>
      <c r="AM18" s="31"/>
      <c r="AN18" s="31"/>
    </row>
    <row r="19" ht="13.5" customHeight="1">
      <c r="A19" s="53" t="str">
        <f>AE19</f>
        <v>Kevin Sciberras / Sharleen Sciberras</v>
      </c>
      <c r="B19" s="43">
        <v>4.0</v>
      </c>
      <c r="C19" s="54">
        <f>IF(B19&gt;B17,1,0)</f>
        <v>0</v>
      </c>
      <c r="D19" s="55"/>
      <c r="E19" s="43">
        <v>4.0</v>
      </c>
      <c r="F19" s="54">
        <f>IF(E19&gt;E17,1,0)</f>
        <v>0</v>
      </c>
      <c r="G19" s="55"/>
      <c r="H19" s="46"/>
      <c r="I19" s="31">
        <f>IF(H19&gt;H17,1,0)</f>
        <v>0</v>
      </c>
      <c r="J19" s="31">
        <f>IF(B19="",0,1)</f>
        <v>1</v>
      </c>
      <c r="K19" s="31">
        <f>IF(C19+F19=2,3,IF(C19+F19=1,1,0))</f>
        <v>0</v>
      </c>
      <c r="L19" s="31">
        <f>IF(K19=3,3,IF(I19+K19=2,2,IF(K19=1,1,0)))</f>
        <v>0</v>
      </c>
      <c r="M19" s="31">
        <f>B19+E19</f>
        <v>8</v>
      </c>
      <c r="N19" s="31">
        <f>C19+F19+I19</f>
        <v>0</v>
      </c>
      <c r="O19" s="31"/>
      <c r="P19" s="53" t="str">
        <f>AE19</f>
        <v>Kevin Sciberras / Sharleen Sciberras</v>
      </c>
      <c r="Q19" s="43">
        <v>6.0</v>
      </c>
      <c r="R19" s="54">
        <f>IF(Q19&gt;Q17,1,0)</f>
        <v>1</v>
      </c>
      <c r="S19" s="55"/>
      <c r="T19" s="43">
        <v>2.0</v>
      </c>
      <c r="U19" s="54">
        <f>IF(T19&gt;T17,1,0)</f>
        <v>0</v>
      </c>
      <c r="V19" s="55"/>
      <c r="W19" s="43">
        <v>5.0</v>
      </c>
      <c r="X19" s="31">
        <f>IF(W19&gt;W17,1,0)</f>
        <v>0</v>
      </c>
      <c r="Y19" s="31">
        <f>IF(Q19="",0,1)</f>
        <v>1</v>
      </c>
      <c r="Z19" s="31">
        <f>IF(R19+U19=2,3,IF(R19+U19=1,1,0))</f>
        <v>1</v>
      </c>
      <c r="AA19" s="31">
        <f>IF(Z19=3,3,IF(X19+Z19=2,2,IF(Z19=1,1,0)))</f>
        <v>1</v>
      </c>
      <c r="AB19" s="31">
        <f>Q19+T19</f>
        <v>8</v>
      </c>
      <c r="AC19" s="31">
        <f>R19+U19+X19</f>
        <v>1</v>
      </c>
      <c r="AD19" s="31"/>
      <c r="AE19" s="114" t="str">
        <f>Players!B50&amp; " / " &amp;Players!C50</f>
        <v>Kevin Sciberras / Sharleen Sciberras</v>
      </c>
      <c r="AF19" s="48">
        <f>J19+J31+J40+Y19+Y27</f>
        <v>5</v>
      </c>
      <c r="AG19" s="48">
        <f t="shared" ref="AG19:AI19" si="5">L19+L31+L40+AA19+AA27</f>
        <v>2</v>
      </c>
      <c r="AH19" s="48">
        <f t="shared" si="5"/>
        <v>38</v>
      </c>
      <c r="AI19" s="48">
        <f t="shared" si="5"/>
        <v>2</v>
      </c>
      <c r="AJ19" s="31"/>
      <c r="AK19" s="37"/>
      <c r="AL19" s="37"/>
      <c r="AM19" s="31"/>
      <c r="AN19" s="31"/>
    </row>
    <row r="20" ht="13.5" customHeight="1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7"/>
      <c r="AL20" s="31"/>
      <c r="AM20" s="31"/>
      <c r="AN20" s="31"/>
    </row>
    <row r="21" ht="13.5" customHeight="1">
      <c r="A21" s="42" t="str">
        <f>AE11</f>
        <v>Gabriel Gauci / Tiffany Fenech</v>
      </c>
      <c r="B21" s="43">
        <v>7.0</v>
      </c>
      <c r="C21" s="44">
        <f>IF(B21&gt;B23,1,0)</f>
        <v>1</v>
      </c>
      <c r="D21" s="45"/>
      <c r="E21" s="43">
        <v>4.0</v>
      </c>
      <c r="F21" s="44">
        <f>IF(E21&gt;E23,1,0)</f>
        <v>0</v>
      </c>
      <c r="G21" s="45"/>
      <c r="H21" s="43">
        <v>10.0</v>
      </c>
      <c r="I21" s="31">
        <f>IF(H21&gt;H23,1,0)</f>
        <v>1</v>
      </c>
      <c r="J21" s="31">
        <f>IF(B21="",0,1)</f>
        <v>1</v>
      </c>
      <c r="K21" s="31">
        <f>IF(C21+F21=2,3,IF(C21+F21=1,1,0))</f>
        <v>1</v>
      </c>
      <c r="L21" s="31">
        <f>IF(K21=3,3,IF(I21+K21=2,2,IF(K21=1,1,0)))</f>
        <v>2</v>
      </c>
      <c r="M21" s="31">
        <f>B21+E21</f>
        <v>11</v>
      </c>
      <c r="N21" s="31">
        <f>C21+F21+I21</f>
        <v>2</v>
      </c>
      <c r="O21" s="31"/>
      <c r="P21" s="42" t="str">
        <f>AE11</f>
        <v>Gabriel Gauci / Tiffany Fenech</v>
      </c>
      <c r="Q21" s="43">
        <v>3.0</v>
      </c>
      <c r="R21" s="44">
        <f>IF(Q21&gt;Q23,1,0)</f>
        <v>0</v>
      </c>
      <c r="S21" s="45"/>
      <c r="T21" s="43">
        <v>5.0</v>
      </c>
      <c r="U21" s="44">
        <f>IF(T21&gt;T23,1,0)</f>
        <v>0</v>
      </c>
      <c r="V21" s="45"/>
      <c r="W21" s="46"/>
      <c r="X21" s="31">
        <f>IF(W21&gt;W23,1,0)</f>
        <v>0</v>
      </c>
      <c r="Y21" s="31">
        <f>IF(Q21="",0,1)</f>
        <v>1</v>
      </c>
      <c r="Z21" s="31">
        <f>IF(R21+U21=2,3,IF(R21+U21=1,1,0))</f>
        <v>0</v>
      </c>
      <c r="AA21" s="31">
        <f>IF(Z21=3,3,IF(X21+Z21=2,2,IF(Z21=1,1,0)))</f>
        <v>0</v>
      </c>
      <c r="AB21" s="31">
        <f>Q21+T21</f>
        <v>8</v>
      </c>
      <c r="AC21" s="31">
        <f>R21+U21+X21</f>
        <v>0</v>
      </c>
      <c r="AD21" s="31"/>
      <c r="AE21" s="110" t="s">
        <v>115</v>
      </c>
      <c r="AF21" s="34"/>
      <c r="AG21" s="34"/>
      <c r="AH21" s="34"/>
      <c r="AI21" s="8"/>
      <c r="AJ21" s="31"/>
      <c r="AK21" s="31"/>
      <c r="AL21" s="31"/>
      <c r="AM21" s="31"/>
      <c r="AN21" s="31"/>
    </row>
    <row r="22" ht="13.5" customHeight="1">
      <c r="A22" s="50" t="s">
        <v>114</v>
      </c>
      <c r="H22" s="51"/>
      <c r="I22" s="52"/>
      <c r="J22" s="31"/>
      <c r="K22" s="31"/>
      <c r="L22" s="31"/>
      <c r="M22" s="31"/>
      <c r="N22" s="31"/>
      <c r="O22" s="31"/>
      <c r="P22" s="50" t="s">
        <v>114</v>
      </c>
      <c r="W22" s="51"/>
      <c r="X22" s="52"/>
      <c r="Y22" s="31"/>
      <c r="Z22" s="31"/>
      <c r="AA22" s="31"/>
      <c r="AB22" s="31"/>
      <c r="AC22" s="31"/>
      <c r="AD22" s="31"/>
      <c r="AE22" s="57" t="s">
        <v>133</v>
      </c>
      <c r="AF22" s="34"/>
      <c r="AG22" s="34"/>
      <c r="AH22" s="34"/>
      <c r="AI22" s="8"/>
      <c r="AJ22" s="31"/>
      <c r="AK22" s="37"/>
      <c r="AL22" s="31"/>
      <c r="AM22" s="31"/>
      <c r="AN22" s="31"/>
    </row>
    <row r="23" ht="13.5" customHeight="1">
      <c r="A23" s="53" t="str">
        <f>AE13</f>
        <v>Jason Lee Evans / Lillian Badacchino</v>
      </c>
      <c r="B23" s="43">
        <v>5.0</v>
      </c>
      <c r="C23" s="54">
        <f>IF(B23&gt;B21,1,0)</f>
        <v>0</v>
      </c>
      <c r="D23" s="55"/>
      <c r="E23" s="43">
        <v>6.0</v>
      </c>
      <c r="F23" s="54">
        <f>IF(E23&gt;E21,1,0)</f>
        <v>1</v>
      </c>
      <c r="G23" s="55"/>
      <c r="H23" s="43">
        <v>7.0</v>
      </c>
      <c r="I23" s="31">
        <f>IF(H23&gt;H21,1,0)</f>
        <v>0</v>
      </c>
      <c r="J23" s="31">
        <f>IF(B23="",0,1)</f>
        <v>1</v>
      </c>
      <c r="K23" s="31">
        <f>IF(C23+F23=2,3,IF(C23+F23=1,1,0))</f>
        <v>1</v>
      </c>
      <c r="L23" s="31">
        <f>IF(K23=3,3,IF(I23+K23=2,2,IF(K23=1,1,0)))</f>
        <v>1</v>
      </c>
      <c r="M23" s="31">
        <f>B23+E23</f>
        <v>11</v>
      </c>
      <c r="N23" s="31">
        <f>C23+F23+I23</f>
        <v>1</v>
      </c>
      <c r="O23" s="31"/>
      <c r="P23" s="53" t="str">
        <f>AE15</f>
        <v>Cory Greenland  / Christabelle Chetcuti</v>
      </c>
      <c r="Q23" s="43">
        <v>6.0</v>
      </c>
      <c r="R23" s="54">
        <f>IF(Q23&gt;Q21,1,0)</f>
        <v>1</v>
      </c>
      <c r="S23" s="55"/>
      <c r="T23" s="43">
        <v>7.0</v>
      </c>
      <c r="U23" s="54">
        <f>IF(T23&gt;T21,1,0)</f>
        <v>1</v>
      </c>
      <c r="V23" s="55"/>
      <c r="W23" s="46"/>
      <c r="X23" s="31">
        <f>IF(W23&gt;W21,1,0)</f>
        <v>0</v>
      </c>
      <c r="Y23" s="31">
        <f>IF(Q23="",0,1)</f>
        <v>1</v>
      </c>
      <c r="Z23" s="31">
        <f>IF(R23+U23=2,3,IF(R23+U23=1,1,0))</f>
        <v>3</v>
      </c>
      <c r="AA23" s="31">
        <f>IF(Z23=3,3,IF(X23+Z23=2,2,IF(Z23=1,1,0)))</f>
        <v>3</v>
      </c>
      <c r="AB23" s="31">
        <f>Q23+T23</f>
        <v>13</v>
      </c>
      <c r="AC23" s="31">
        <f>R23+U23+X23</f>
        <v>2</v>
      </c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</row>
    <row r="24" ht="13.5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</row>
    <row r="25" ht="13.5" customHeight="1">
      <c r="A25" s="42" t="str">
        <f>AE11</f>
        <v>Gabriel Gauci / Tiffany Fenech</v>
      </c>
      <c r="B25" s="43">
        <v>6.0</v>
      </c>
      <c r="C25" s="44">
        <f>IF(B25&gt;B27,1,0)</f>
        <v>0</v>
      </c>
      <c r="D25" s="45"/>
      <c r="E25" s="43">
        <v>6.0</v>
      </c>
      <c r="F25" s="44">
        <f>IF(E25&gt;E27,1,0)</f>
        <v>1</v>
      </c>
      <c r="G25" s="45"/>
      <c r="H25" s="43">
        <v>10.0</v>
      </c>
      <c r="I25" s="31">
        <f>IF(H25&gt;H27,1,0)</f>
        <v>1</v>
      </c>
      <c r="J25" s="31">
        <f>IF(B25="",0,1)</f>
        <v>1</v>
      </c>
      <c r="K25" s="31">
        <f>IF(C25+F25=2,3,IF(C25+F25=1,1,0))</f>
        <v>1</v>
      </c>
      <c r="L25" s="31">
        <f>IF(K25=3,3,IF(I25+K25=2,2,IF(K25=1,1,0)))</f>
        <v>2</v>
      </c>
      <c r="M25" s="31">
        <f>B25+E25</f>
        <v>12</v>
      </c>
      <c r="N25" s="31">
        <f>C25+F25+I25</f>
        <v>2</v>
      </c>
      <c r="O25" s="31"/>
      <c r="P25" s="42" t="str">
        <f>AE11</f>
        <v>Gabriel Gauci / Tiffany Fenech</v>
      </c>
      <c r="Q25" s="43">
        <v>7.0</v>
      </c>
      <c r="R25" s="44">
        <f>IF(Q25&gt;Q27,1,0)</f>
        <v>1</v>
      </c>
      <c r="S25" s="45"/>
      <c r="T25" s="43">
        <v>6.0</v>
      </c>
      <c r="U25" s="44">
        <f>IF(T25&gt;T27,1,0)</f>
        <v>1</v>
      </c>
      <c r="V25" s="45"/>
      <c r="W25" s="46"/>
      <c r="X25" s="31">
        <f>IF(W25&gt;W27,1,0)</f>
        <v>0</v>
      </c>
      <c r="Y25" s="31">
        <f>IF(Q25="",0,1)</f>
        <v>1</v>
      </c>
      <c r="Z25" s="31">
        <f>IF(R25+U25=2,3,IF(R25+U25=1,1,0))</f>
        <v>3</v>
      </c>
      <c r="AA25" s="31">
        <f>IF(Z25=3,3,IF(X25+Z25=2,2,IF(Z25=1,1,0)))</f>
        <v>3</v>
      </c>
      <c r="AB25" s="31">
        <f>Q25+T25</f>
        <v>13</v>
      </c>
      <c r="AC25" s="31">
        <f>R25+U25+X25</f>
        <v>2</v>
      </c>
      <c r="AD25" s="31"/>
      <c r="AE25" s="110" t="s">
        <v>117</v>
      </c>
      <c r="AF25" s="34"/>
      <c r="AG25" s="34"/>
      <c r="AH25" s="34"/>
      <c r="AI25" s="8"/>
      <c r="AJ25" s="31"/>
      <c r="AK25" s="31"/>
      <c r="AL25" s="31"/>
      <c r="AM25" s="31"/>
      <c r="AN25" s="31"/>
    </row>
    <row r="26" ht="13.5" customHeight="1">
      <c r="A26" s="50" t="s">
        <v>114</v>
      </c>
      <c r="H26" s="51"/>
      <c r="I26" s="52"/>
      <c r="J26" s="31"/>
      <c r="K26" s="31"/>
      <c r="L26" s="31"/>
      <c r="M26" s="31"/>
      <c r="N26" s="31"/>
      <c r="O26" s="31"/>
      <c r="P26" s="50" t="s">
        <v>114</v>
      </c>
      <c r="W26" s="51"/>
      <c r="X26" s="52"/>
      <c r="Y26" s="31"/>
      <c r="Z26" s="31"/>
      <c r="AA26" s="31"/>
      <c r="AB26" s="31"/>
      <c r="AC26" s="31"/>
      <c r="AD26" s="31"/>
      <c r="AE26" s="57" t="s">
        <v>134</v>
      </c>
      <c r="AF26" s="34"/>
      <c r="AG26" s="34"/>
      <c r="AH26" s="34"/>
      <c r="AI26" s="8"/>
      <c r="AJ26" s="31"/>
      <c r="AK26" s="31"/>
      <c r="AL26" s="31"/>
      <c r="AM26" s="31"/>
      <c r="AN26" s="31"/>
    </row>
    <row r="27" ht="13.5" customHeight="1">
      <c r="A27" s="53" t="str">
        <f>AE17</f>
        <v>Sammy Ben Tamer / Martina Murdocco</v>
      </c>
      <c r="B27" s="43">
        <v>7.0</v>
      </c>
      <c r="C27" s="54">
        <f>IF(B27&gt;B25,1,0)</f>
        <v>1</v>
      </c>
      <c r="D27" s="55"/>
      <c r="E27" s="43">
        <v>4.0</v>
      </c>
      <c r="F27" s="54">
        <f>IF(E27&gt;E25,1,0)</f>
        <v>0</v>
      </c>
      <c r="G27" s="55"/>
      <c r="H27" s="43">
        <v>3.0</v>
      </c>
      <c r="I27" s="31">
        <f>IF(H27&gt;H25,1,0)</f>
        <v>0</v>
      </c>
      <c r="J27" s="31">
        <f>IF(B27="",0,1)</f>
        <v>1</v>
      </c>
      <c r="K27" s="31">
        <f>IF(C27+F27=2,3,IF(C27+F27=1,1,0))</f>
        <v>1</v>
      </c>
      <c r="L27" s="31">
        <f>IF(K27=3,3,IF(I27+K27=2,2,IF(K27=1,1,0)))</f>
        <v>1</v>
      </c>
      <c r="M27" s="31">
        <f>B27+E27</f>
        <v>11</v>
      </c>
      <c r="N27" s="31">
        <f>C27+F27+I27</f>
        <v>1</v>
      </c>
      <c r="O27" s="31"/>
      <c r="P27" s="53" t="str">
        <f>AE19</f>
        <v>Kevin Sciberras / Sharleen Sciberras</v>
      </c>
      <c r="Q27" s="43">
        <v>5.0</v>
      </c>
      <c r="R27" s="54">
        <f>IF(Q27&gt;Q25,1,0)</f>
        <v>0</v>
      </c>
      <c r="S27" s="55"/>
      <c r="T27" s="43">
        <v>4.0</v>
      </c>
      <c r="U27" s="54">
        <f>IF(T27&gt;T25,1,0)</f>
        <v>0</v>
      </c>
      <c r="V27" s="55"/>
      <c r="W27" s="46"/>
      <c r="X27" s="31">
        <f>IF(W27&gt;W25,1,0)</f>
        <v>0</v>
      </c>
      <c r="Y27" s="31">
        <f>IF(Q27="",0,1)</f>
        <v>1</v>
      </c>
      <c r="Z27" s="31">
        <f>IF(R27+U27=2,3,IF(R27+U27=1,1,0))</f>
        <v>0</v>
      </c>
      <c r="AA27" s="31">
        <f>IF(Z27=3,3,IF(X27+Z27=2,2,IF(Z27=1,1,0)))</f>
        <v>0</v>
      </c>
      <c r="AB27" s="31">
        <f>Q27+T27</f>
        <v>9</v>
      </c>
      <c r="AC27" s="31">
        <f>R27+U27+X27</f>
        <v>0</v>
      </c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</row>
    <row r="28" ht="13.5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7"/>
      <c r="AI28" s="31"/>
      <c r="AJ28" s="31"/>
      <c r="AK28" s="31"/>
      <c r="AL28" s="31"/>
      <c r="AM28" s="31"/>
      <c r="AN28" s="31"/>
    </row>
    <row r="29" ht="13.5" customHeight="1">
      <c r="A29" s="42" t="str">
        <f>AE15</f>
        <v>Cory Greenland  / Christabelle Chetcuti</v>
      </c>
      <c r="B29" s="43">
        <v>6.0</v>
      </c>
      <c r="C29" s="44">
        <f>IF(B29&gt;B31,1,0)</f>
        <v>1</v>
      </c>
      <c r="D29" s="45"/>
      <c r="E29" s="43">
        <v>6.0</v>
      </c>
      <c r="F29" s="44">
        <f>IF(E29&gt;E31,1,0)</f>
        <v>1</v>
      </c>
      <c r="G29" s="45"/>
      <c r="H29" s="46"/>
      <c r="I29" s="31">
        <f>IF(H29&gt;H31,1,0)</f>
        <v>0</v>
      </c>
      <c r="J29" s="31">
        <f>IF(B29="",0,1)</f>
        <v>1</v>
      </c>
      <c r="K29" s="31">
        <f>IF(C29+F29=2,3,IF(C29+F29=1,1,0))</f>
        <v>3</v>
      </c>
      <c r="L29" s="31">
        <f>IF(K29=3,3,IF(I29+K29=2,2,IF(K29=1,1,0)))</f>
        <v>3</v>
      </c>
      <c r="M29" s="31">
        <f>B29+E29</f>
        <v>12</v>
      </c>
      <c r="N29" s="31">
        <f>C29+F29+I29</f>
        <v>2</v>
      </c>
      <c r="O29" s="31"/>
      <c r="P29" s="42" t="str">
        <f>AE9</f>
        <v>Steve Gambin / Suzanne Gambin</v>
      </c>
      <c r="Q29" s="43">
        <v>7.0</v>
      </c>
      <c r="R29" s="44">
        <f>IF(Q29&gt;Q31,1,0)</f>
        <v>1</v>
      </c>
      <c r="S29" s="45"/>
      <c r="T29" s="43">
        <v>6.0</v>
      </c>
      <c r="U29" s="44">
        <f>IF(T29&gt;T31,1,0)</f>
        <v>1</v>
      </c>
      <c r="V29" s="45"/>
      <c r="W29" s="46"/>
      <c r="X29" s="31">
        <f>IF(W29&gt;W31,1,0)</f>
        <v>0</v>
      </c>
      <c r="Y29" s="31">
        <f>IF(Q29="",0,1)</f>
        <v>1</v>
      </c>
      <c r="Z29" s="31">
        <f>IF(R29+U29=2,3,IF(R29+U29=1,1,0))</f>
        <v>3</v>
      </c>
      <c r="AA29" s="31">
        <f>IF(Z29=3,3,IF(X29+Z29=2,2,IF(Z29=1,1,0)))</f>
        <v>3</v>
      </c>
      <c r="AB29" s="31">
        <f>Q29+T29</f>
        <v>13</v>
      </c>
      <c r="AC29" s="31">
        <f>R29+U29+X29</f>
        <v>2</v>
      </c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</row>
    <row r="30" ht="13.5" customHeight="1">
      <c r="A30" s="50" t="s">
        <v>114</v>
      </c>
      <c r="H30" s="51"/>
      <c r="I30" s="52"/>
      <c r="J30" s="31"/>
      <c r="K30" s="31"/>
      <c r="L30" s="31"/>
      <c r="M30" s="31"/>
      <c r="N30" s="31"/>
      <c r="O30" s="31"/>
      <c r="P30" s="50" t="s">
        <v>114</v>
      </c>
      <c r="W30" s="51"/>
      <c r="X30" s="52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59"/>
      <c r="AM30" s="31"/>
      <c r="AN30" s="31"/>
    </row>
    <row r="31" ht="13.5" customHeight="1">
      <c r="A31" s="53" t="str">
        <f>AE19</f>
        <v>Kevin Sciberras / Sharleen Sciberras</v>
      </c>
      <c r="B31" s="43">
        <v>1.0</v>
      </c>
      <c r="C31" s="54">
        <f>IF(B31&gt;B29,1,0)</f>
        <v>0</v>
      </c>
      <c r="D31" s="55"/>
      <c r="E31" s="43">
        <v>3.0</v>
      </c>
      <c r="F31" s="54">
        <f>IF(E31&gt;E29,1,0)</f>
        <v>0</v>
      </c>
      <c r="G31" s="55"/>
      <c r="H31" s="46"/>
      <c r="I31" s="31">
        <f>IF(H31&gt;H29,1,0)</f>
        <v>0</v>
      </c>
      <c r="J31" s="31">
        <f>IF(B31="",0,1)</f>
        <v>1</v>
      </c>
      <c r="K31" s="31">
        <f>IF(C31+F31=2,3,IF(C31+F31=1,1,0))</f>
        <v>0</v>
      </c>
      <c r="L31" s="31">
        <f>IF(K31=3,3,IF(I31+K31=2,2,IF(K31=1,1,0)))</f>
        <v>0</v>
      </c>
      <c r="M31" s="31">
        <f>B31+E31</f>
        <v>4</v>
      </c>
      <c r="N31" s="31">
        <f>C31+F31+I31</f>
        <v>0</v>
      </c>
      <c r="O31" s="31"/>
      <c r="P31" s="53" t="str">
        <f>AE13</f>
        <v>Jason Lee Evans / Lillian Badacchino</v>
      </c>
      <c r="Q31" s="43">
        <v>5.0</v>
      </c>
      <c r="R31" s="54">
        <f>IF(Q31&gt;Q29,1,0)</f>
        <v>0</v>
      </c>
      <c r="S31" s="55"/>
      <c r="T31" s="43">
        <v>2.0</v>
      </c>
      <c r="U31" s="54">
        <f>IF(T31&gt;T29,1,0)</f>
        <v>0</v>
      </c>
      <c r="V31" s="55"/>
      <c r="W31" s="46"/>
      <c r="X31" s="31">
        <f>IF(W31&gt;W29,1,0)</f>
        <v>0</v>
      </c>
      <c r="Y31" s="31">
        <f>IF(Q31="",0,1)</f>
        <v>1</v>
      </c>
      <c r="Z31" s="31">
        <f>IF(R31+U31=2,3,IF(R31+U31=1,1,0))</f>
        <v>0</v>
      </c>
      <c r="AA31" s="31">
        <f>IF(Z31=3,3,IF(X31+Z31=2,2,IF(Z31=1,1,0)))</f>
        <v>0</v>
      </c>
      <c r="AB31" s="31">
        <f>Q31+T31</f>
        <v>7</v>
      </c>
      <c r="AC31" s="31">
        <f>R31+U31+X31</f>
        <v>0</v>
      </c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7"/>
    </row>
    <row r="32" ht="13.5" customHeight="1">
      <c r="A32" s="31"/>
      <c r="B32" s="31"/>
      <c r="C32" s="31"/>
      <c r="D32" s="31"/>
      <c r="E32" s="37"/>
      <c r="F32" s="31"/>
      <c r="G32" s="31"/>
      <c r="H32" s="37"/>
      <c r="I32" s="31"/>
      <c r="J32" s="37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7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59"/>
      <c r="AM32" s="31"/>
      <c r="AN32" s="31"/>
    </row>
    <row r="33" ht="15.75" hidden="1" customHeight="1">
      <c r="A33" s="31"/>
      <c r="B33" s="39" t="s">
        <v>100</v>
      </c>
      <c r="C33" s="39" t="s">
        <v>101</v>
      </c>
      <c r="D33" s="39"/>
      <c r="E33" s="39" t="s">
        <v>100</v>
      </c>
      <c r="F33" s="39" t="s">
        <v>102</v>
      </c>
      <c r="G33" s="39"/>
      <c r="H33" s="39" t="s">
        <v>100</v>
      </c>
      <c r="I33" s="39" t="s">
        <v>103</v>
      </c>
      <c r="J33" s="39" t="s">
        <v>104</v>
      </c>
      <c r="K33" s="39" t="s">
        <v>105</v>
      </c>
      <c r="L33" s="39" t="s">
        <v>106</v>
      </c>
      <c r="M33" s="39" t="s">
        <v>107</v>
      </c>
      <c r="N33" s="39" t="s">
        <v>108</v>
      </c>
      <c r="O33" s="31"/>
      <c r="P33" s="31"/>
      <c r="Q33" s="39" t="s">
        <v>100</v>
      </c>
      <c r="R33" s="39" t="s">
        <v>101</v>
      </c>
      <c r="S33" s="39"/>
      <c r="T33" s="39" t="s">
        <v>100</v>
      </c>
      <c r="U33" s="39" t="s">
        <v>102</v>
      </c>
      <c r="V33" s="39"/>
      <c r="W33" s="39" t="s">
        <v>100</v>
      </c>
      <c r="X33" s="39" t="s">
        <v>103</v>
      </c>
      <c r="Y33" s="39" t="s">
        <v>104</v>
      </c>
      <c r="Z33" s="39" t="s">
        <v>105</v>
      </c>
      <c r="AA33" s="39" t="s">
        <v>106</v>
      </c>
      <c r="AB33" s="39" t="s">
        <v>107</v>
      </c>
      <c r="AC33" s="39" t="s">
        <v>108</v>
      </c>
      <c r="AD33" s="31"/>
      <c r="AE33" s="31"/>
      <c r="AF33" s="31"/>
      <c r="AG33" s="31"/>
      <c r="AH33" s="37"/>
      <c r="AI33" s="31"/>
      <c r="AJ33" s="31"/>
      <c r="AK33" s="37"/>
      <c r="AL33" s="31"/>
      <c r="AM33" s="31"/>
      <c r="AN33" s="31"/>
    </row>
    <row r="34" ht="13.5" customHeight="1">
      <c r="A34" s="42" t="str">
        <f>AE13</f>
        <v>Jason Lee Evans / Lillian Badacchino</v>
      </c>
      <c r="B34" s="43">
        <v>6.0</v>
      </c>
      <c r="C34" s="44">
        <f>IF(B34&gt;B36,1,0)</f>
        <v>1</v>
      </c>
      <c r="D34" s="45"/>
      <c r="E34" s="43">
        <v>7.0</v>
      </c>
      <c r="F34" s="44">
        <f>IF(E34&gt;E36,1,0)</f>
        <v>1</v>
      </c>
      <c r="G34" s="45"/>
      <c r="H34" s="46"/>
      <c r="I34" s="31">
        <f>IF(H34&gt;H36,1,0)</f>
        <v>0</v>
      </c>
      <c r="J34" s="31">
        <f>IF(B34="",0,1)</f>
        <v>1</v>
      </c>
      <c r="K34" s="31">
        <f>IF(C34+F34=2,3,IF(C34+F34=1,1,0))</f>
        <v>3</v>
      </c>
      <c r="L34" s="31">
        <f>IF(K34=3,3,IF(I34+K34=2,2,IF(K34=1,1,0)))</f>
        <v>3</v>
      </c>
      <c r="M34" s="31">
        <f>B34+E34</f>
        <v>13</v>
      </c>
      <c r="N34" s="31">
        <f>C34+F34+I34</f>
        <v>2</v>
      </c>
      <c r="O34" s="31"/>
      <c r="AD34" s="31"/>
      <c r="AE34" s="31"/>
      <c r="AF34" s="31"/>
      <c r="AG34" s="31"/>
      <c r="AH34" s="31"/>
      <c r="AI34" s="31"/>
      <c r="AJ34" s="31"/>
      <c r="AK34" s="37"/>
      <c r="AL34" s="31"/>
      <c r="AM34" s="31"/>
      <c r="AN34" s="31"/>
    </row>
    <row r="35" ht="13.5" customHeight="1">
      <c r="A35" s="50" t="s">
        <v>114</v>
      </c>
      <c r="H35" s="51"/>
      <c r="I35" s="52"/>
      <c r="J35" s="31"/>
      <c r="K35" s="31"/>
      <c r="L35" s="31"/>
      <c r="M35" s="31"/>
      <c r="N35" s="31"/>
      <c r="O35" s="31"/>
      <c r="AD35" s="31"/>
      <c r="AE35" s="31"/>
      <c r="AF35" s="31"/>
      <c r="AG35" s="31"/>
      <c r="AH35" s="31"/>
      <c r="AI35" s="31"/>
      <c r="AJ35" s="62"/>
      <c r="AK35" s="31"/>
      <c r="AL35" s="31"/>
      <c r="AM35" s="31"/>
      <c r="AN35" s="31"/>
    </row>
    <row r="36" ht="13.5" customHeight="1">
      <c r="A36" s="53" t="str">
        <f>AE17</f>
        <v>Sammy Ben Tamer / Martina Murdocco</v>
      </c>
      <c r="B36" s="43">
        <v>3.0</v>
      </c>
      <c r="C36" s="54">
        <f>IF(B36&gt;B34,1,0)</f>
        <v>0</v>
      </c>
      <c r="D36" s="55"/>
      <c r="E36" s="43">
        <v>5.0</v>
      </c>
      <c r="F36" s="54">
        <f>IF(E36&gt;E34,1,0)</f>
        <v>0</v>
      </c>
      <c r="G36" s="55"/>
      <c r="H36" s="46"/>
      <c r="I36" s="31">
        <f>IF(H36&gt;H34,1,0)</f>
        <v>0</v>
      </c>
      <c r="J36" s="31">
        <f>IF(B36="",0,1)</f>
        <v>1</v>
      </c>
      <c r="K36" s="31">
        <f>IF(C36+F36=2,3,IF(C36+F36=1,1,0))</f>
        <v>0</v>
      </c>
      <c r="L36" s="31">
        <f>IF(K36=3,3,IF(I36+K36=2,2,IF(K36=1,1,0)))</f>
        <v>0</v>
      </c>
      <c r="M36" s="31">
        <f>B36+E36</f>
        <v>8</v>
      </c>
      <c r="N36" s="31">
        <f>C36+F36+I36</f>
        <v>0</v>
      </c>
      <c r="O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</row>
    <row r="37" ht="13.5" customHeight="1">
      <c r="A37" s="31"/>
      <c r="B37" s="37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</row>
    <row r="38" ht="13.5" customHeight="1">
      <c r="A38" s="42" t="str">
        <f>AE13</f>
        <v>Jason Lee Evans / Lillian Badacchino</v>
      </c>
      <c r="B38" s="43">
        <v>6.0</v>
      </c>
      <c r="C38" s="44">
        <f>IF(B38&gt;B40,1,0)</f>
        <v>1</v>
      </c>
      <c r="D38" s="45"/>
      <c r="E38" s="43">
        <v>6.0</v>
      </c>
      <c r="F38" s="44">
        <f>IF(E38&gt;E40,1,0)</f>
        <v>0</v>
      </c>
      <c r="G38" s="45"/>
      <c r="H38" s="43">
        <v>10.0</v>
      </c>
      <c r="I38" s="31">
        <f>IF(H38&gt;H40,1,0)</f>
        <v>1</v>
      </c>
      <c r="J38" s="31">
        <f>IF(B38="",0,1)</f>
        <v>1</v>
      </c>
      <c r="K38" s="31">
        <f>IF(C38+F38=2,3,IF(C38+F38=1,1,0))</f>
        <v>1</v>
      </c>
      <c r="L38" s="31">
        <f>IF(K38=3,3,IF(I38+K38=2,2,IF(K38=1,1,0)))</f>
        <v>2</v>
      </c>
      <c r="M38" s="31">
        <f>B38+E38</f>
        <v>12</v>
      </c>
      <c r="N38" s="31">
        <f>C38+F38+I38</f>
        <v>2</v>
      </c>
      <c r="O38" s="31"/>
      <c r="P38" s="31"/>
      <c r="Q38" s="37"/>
      <c r="R38" s="31"/>
      <c r="S38" s="37"/>
      <c r="T38" s="37"/>
      <c r="U38" s="31"/>
      <c r="V38" s="37"/>
      <c r="W38" s="37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</row>
    <row r="39" ht="13.5" customHeight="1">
      <c r="A39" s="50" t="s">
        <v>114</v>
      </c>
      <c r="H39" s="51"/>
      <c r="I39" s="52"/>
      <c r="J39" s="31"/>
      <c r="K39" s="31"/>
      <c r="L39" s="31"/>
      <c r="M39" s="31"/>
      <c r="N39" s="31"/>
      <c r="O39" s="31"/>
      <c r="P39" s="31"/>
      <c r="X39" s="52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62"/>
      <c r="AK39" s="31"/>
      <c r="AL39" s="31"/>
      <c r="AM39" s="31"/>
      <c r="AN39" s="31"/>
    </row>
    <row r="40" ht="13.5" customHeight="1">
      <c r="A40" s="53" t="str">
        <f>AE19</f>
        <v>Kevin Sciberras / Sharleen Sciberras</v>
      </c>
      <c r="B40" s="43">
        <v>2.0</v>
      </c>
      <c r="C40" s="54">
        <f>IF(B40&gt;B38,1,0)</f>
        <v>0</v>
      </c>
      <c r="D40" s="55"/>
      <c r="E40" s="43">
        <v>7.0</v>
      </c>
      <c r="F40" s="54">
        <f>IF(E40&gt;E38,1,0)</f>
        <v>1</v>
      </c>
      <c r="G40" s="55"/>
      <c r="H40" s="43">
        <v>5.0</v>
      </c>
      <c r="I40" s="31">
        <f>IF(H40&gt;H38,1,0)</f>
        <v>0</v>
      </c>
      <c r="J40" s="31">
        <f>IF(B40="",0,1)</f>
        <v>1</v>
      </c>
      <c r="K40" s="31">
        <f>IF(C40+F40=2,3,IF(C40+F40=1,1,0))</f>
        <v>1</v>
      </c>
      <c r="L40" s="31">
        <f>IF(K40=3,3,IF(I40+K40=2,2,IF(K40=1,1,0)))</f>
        <v>1</v>
      </c>
      <c r="M40" s="31">
        <f>B40+E40</f>
        <v>9</v>
      </c>
      <c r="N40" s="31">
        <f>C40+F40+I40</f>
        <v>1</v>
      </c>
      <c r="O40" s="31"/>
      <c r="P40" s="31"/>
      <c r="Q40" s="37"/>
      <c r="R40" s="31"/>
      <c r="S40" s="37"/>
      <c r="T40" s="37"/>
      <c r="U40" s="31"/>
      <c r="V40" s="37"/>
      <c r="W40" s="37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</row>
    <row r="41" ht="13.5" customHeight="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</row>
    <row r="42" ht="13.5" customHeight="1">
      <c r="A42" s="42" t="str">
        <f>AE15</f>
        <v>Cory Greenland  / Christabelle Chetcuti</v>
      </c>
      <c r="B42" s="43">
        <v>6.0</v>
      </c>
      <c r="C42" s="44">
        <f>IF(B42&gt;B44,1,0)</f>
        <v>1</v>
      </c>
      <c r="D42" s="45"/>
      <c r="E42" s="43">
        <v>6.0</v>
      </c>
      <c r="F42" s="44">
        <f>IF(E42&gt;E44,1,0)</f>
        <v>1</v>
      </c>
      <c r="G42" s="45"/>
      <c r="H42" s="46"/>
      <c r="I42" s="31">
        <f>IF(H42&gt;H44,1,0)</f>
        <v>0</v>
      </c>
      <c r="J42" s="31">
        <f>IF(B42="",0,1)</f>
        <v>1</v>
      </c>
      <c r="K42" s="31">
        <f>IF(C42+F42=2,3,IF(C42+F42=1,1,0))</f>
        <v>3</v>
      </c>
      <c r="L42" s="31">
        <f>IF(K42=3,3,IF(I42+K42=2,2,IF(K42=1,1,0)))</f>
        <v>3</v>
      </c>
      <c r="M42" s="31">
        <f>B42+E42</f>
        <v>12</v>
      </c>
      <c r="N42" s="31">
        <f>C42+F42+I42</f>
        <v>2</v>
      </c>
      <c r="O42" s="31"/>
      <c r="P42" s="31"/>
      <c r="Q42" s="37"/>
      <c r="R42" s="31"/>
      <c r="S42" s="37"/>
      <c r="T42" s="37"/>
      <c r="U42" s="31"/>
      <c r="V42" s="37"/>
      <c r="W42" s="37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</row>
    <row r="43" ht="13.5" customHeight="1">
      <c r="A43" s="50" t="s">
        <v>114</v>
      </c>
      <c r="H43" s="51"/>
      <c r="I43" s="52"/>
      <c r="J43" s="31"/>
      <c r="K43" s="31"/>
      <c r="L43" s="31"/>
      <c r="M43" s="31"/>
      <c r="N43" s="31"/>
      <c r="O43" s="31"/>
      <c r="P43" s="31"/>
      <c r="X43" s="52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</row>
    <row r="44" ht="13.5" customHeight="1">
      <c r="A44" s="80" t="str">
        <f>AE13</f>
        <v>Jason Lee Evans / Lillian Badacchino</v>
      </c>
      <c r="B44" s="43">
        <v>0.0</v>
      </c>
      <c r="C44" s="54">
        <f>IF(B44&gt;B42,1,0)</f>
        <v>0</v>
      </c>
      <c r="D44" s="55"/>
      <c r="E44" s="43">
        <v>0.0</v>
      </c>
      <c r="F44" s="54">
        <f>IF(E44&gt;E42,1,0)</f>
        <v>0</v>
      </c>
      <c r="G44" s="55"/>
      <c r="H44" s="46"/>
      <c r="I44" s="31">
        <f>IF(H44&gt;H42,1,0)</f>
        <v>0</v>
      </c>
      <c r="J44" s="31">
        <f>IF(B44="",0,1)</f>
        <v>1</v>
      </c>
      <c r="K44" s="31">
        <f>IF(C44+F44=2,3,IF(C44+F44=1,1,0))</f>
        <v>0</v>
      </c>
      <c r="L44" s="31">
        <f>IF(K44=3,3,IF(I44+K44=2,2,IF(K44=1,1,0)))</f>
        <v>0</v>
      </c>
      <c r="M44" s="31">
        <f>B44+E44</f>
        <v>0</v>
      </c>
      <c r="N44" s="31">
        <f>C44+F44+I44</f>
        <v>0</v>
      </c>
      <c r="O44" s="31"/>
      <c r="P44" s="31"/>
      <c r="Q44" s="37"/>
      <c r="R44" s="31"/>
      <c r="S44" s="37"/>
      <c r="T44" s="37"/>
      <c r="U44" s="31"/>
      <c r="V44" s="37"/>
      <c r="W44" s="37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62"/>
      <c r="AK44" s="31"/>
      <c r="AL44" s="37"/>
      <c r="AM44" s="31"/>
      <c r="AN44" s="31"/>
    </row>
    <row r="45" ht="13.5" customHeight="1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</row>
    <row r="46" ht="13.5" customHeight="1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</row>
    <row r="47" ht="13.5" customHeight="1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</row>
    <row r="48" ht="13.5" customHeight="1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</row>
    <row r="49" ht="13.5" customHeight="1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62"/>
      <c r="AK49" s="31"/>
      <c r="AL49" s="31"/>
      <c r="AM49" s="31"/>
      <c r="AN49" s="37"/>
    </row>
    <row r="50" ht="13.5" customHeight="1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</row>
    <row r="51" ht="13.5" customHeight="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</row>
    <row r="52" ht="13.5" customHeight="1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</row>
    <row r="53" ht="13.5" customHeight="1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7"/>
      <c r="AI53" s="31"/>
      <c r="AJ53" s="31"/>
      <c r="AK53" s="37"/>
      <c r="AL53" s="31"/>
      <c r="AM53" s="31"/>
      <c r="AN53" s="31"/>
    </row>
    <row r="54" ht="13.5" customHeight="1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</row>
    <row r="55" ht="13.5" customHeight="1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</row>
    <row r="56" ht="13.5" customHeight="1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</row>
    <row r="57" ht="13.5" customHeight="1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</row>
    <row r="58" ht="13.5" customHeight="1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</row>
    <row r="59" ht="13.5" customHeight="1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</row>
    <row r="60" ht="13.5" customHeight="1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</row>
    <row r="61" ht="13.5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</row>
    <row r="62" ht="13.5" customHeight="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</row>
    <row r="63" ht="13.5" customHeight="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</row>
    <row r="64" ht="13.5" customHeight="1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</row>
    <row r="65" ht="13.5" customHeight="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</row>
    <row r="66" ht="13.5" customHeight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</row>
    <row r="67" ht="13.5" customHeight="1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</row>
    <row r="68" ht="13.5" customHeight="1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</row>
    <row r="69" ht="13.5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</row>
    <row r="70" ht="13.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</row>
    <row r="71" ht="13.5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</row>
    <row r="72" ht="13.5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</row>
    <row r="73" ht="13.5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</row>
    <row r="74" ht="13.5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</row>
    <row r="75" ht="13.5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</row>
    <row r="76" ht="13.5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</row>
    <row r="77" ht="13.5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</row>
    <row r="78" ht="13.5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</row>
    <row r="79" ht="13.5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</row>
    <row r="80" ht="13.5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</row>
    <row r="81" ht="13.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</row>
    <row r="82" ht="13.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</row>
    <row r="83" ht="13.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</row>
    <row r="84" ht="13.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</row>
    <row r="85" ht="13.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</row>
    <row r="86" ht="13.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</row>
    <row r="87" ht="13.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</row>
    <row r="88" ht="13.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</row>
    <row r="89" ht="13.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</row>
    <row r="90" ht="13.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</row>
    <row r="91" ht="13.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</row>
    <row r="92" ht="13.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</row>
    <row r="93" ht="13.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</row>
    <row r="94" ht="13.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</row>
    <row r="95" ht="13.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</row>
    <row r="96" ht="13.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</row>
    <row r="97" ht="13.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</row>
    <row r="98" ht="13.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</row>
    <row r="99" ht="13.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</row>
    <row r="100" ht="13.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</row>
    <row r="101" ht="13.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</row>
    <row r="102" ht="13.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</row>
    <row r="103" ht="13.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7"/>
      <c r="R103" s="37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</row>
    <row r="104" ht="13.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</row>
    <row r="105" ht="13.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</row>
    <row r="106" ht="13.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</row>
    <row r="107" ht="13.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</row>
    <row r="108" ht="13.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</row>
    <row r="109" ht="13.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</row>
    <row r="110" ht="13.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</row>
    <row r="111" ht="13.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</row>
    <row r="112" ht="13.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</row>
    <row r="113" ht="13.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</row>
    <row r="114" ht="13.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</row>
    <row r="115" ht="13.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</row>
    <row r="116" ht="13.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</row>
    <row r="117" ht="13.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</row>
    <row r="118" ht="13.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</row>
    <row r="119" ht="13.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</row>
    <row r="120" ht="13.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</row>
    <row r="121" ht="13.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</row>
    <row r="122" ht="13.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</row>
    <row r="123" ht="13.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</row>
    <row r="124" ht="13.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</row>
    <row r="125" ht="13.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</row>
    <row r="126" ht="13.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</row>
    <row r="127" ht="13.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</row>
    <row r="128" ht="13.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</row>
    <row r="129" ht="13.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</row>
    <row r="130" ht="13.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</row>
    <row r="131" ht="13.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</row>
    <row r="132" ht="13.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</row>
    <row r="133" ht="13.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</row>
    <row r="134" ht="13.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</row>
    <row r="135" ht="13.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</row>
    <row r="136" ht="13.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</row>
    <row r="137" ht="13.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</row>
    <row r="138" ht="13.5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</row>
    <row r="139" ht="13.5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</row>
    <row r="140" ht="13.5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</row>
    <row r="141" ht="13.5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</row>
    <row r="142" ht="13.5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</row>
    <row r="143" ht="13.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</row>
    <row r="144" ht="13.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</row>
    <row r="145" ht="13.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</row>
    <row r="146" ht="13.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</row>
    <row r="147" ht="13.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</row>
    <row r="148" ht="13.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</row>
    <row r="149" ht="13.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</row>
    <row r="150" ht="13.5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</row>
    <row r="151" ht="13.5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</row>
    <row r="152" ht="13.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</row>
    <row r="153" ht="13.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</row>
    <row r="154" ht="13.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</row>
    <row r="155" ht="13.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</row>
    <row r="156" ht="13.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</row>
    <row r="157" ht="13.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</row>
    <row r="158" ht="13.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</row>
    <row r="159" ht="13.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</row>
    <row r="160" ht="13.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</row>
    <row r="161" ht="13.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</row>
    <row r="162" ht="13.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</row>
    <row r="163" ht="13.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</row>
    <row r="164" ht="13.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</row>
    <row r="165" ht="13.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</row>
    <row r="166" ht="13.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</row>
    <row r="167" ht="13.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</row>
    <row r="168" ht="13.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</row>
    <row r="169" ht="13.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</row>
    <row r="170" ht="13.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</row>
    <row r="171" ht="13.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</row>
    <row r="172" ht="13.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</row>
    <row r="173" ht="13.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</row>
    <row r="174" ht="13.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</row>
    <row r="175" ht="13.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</row>
    <row r="176" ht="13.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</row>
    <row r="177" ht="13.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</row>
    <row r="178" ht="13.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</row>
    <row r="179" ht="13.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</row>
    <row r="180" ht="13.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</row>
    <row r="181" ht="13.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</row>
    <row r="182" ht="13.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</row>
    <row r="183" ht="13.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</row>
    <row r="184" ht="13.5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</row>
    <row r="185" ht="13.5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</row>
    <row r="186" ht="13.5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</row>
    <row r="187" ht="13.5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</row>
    <row r="188" ht="13.5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</row>
    <row r="189" ht="13.5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</row>
    <row r="190" ht="13.5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</row>
    <row r="191" ht="13.5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</row>
    <row r="192" ht="13.5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</row>
    <row r="193" ht="13.5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</row>
    <row r="194" ht="13.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</row>
    <row r="195" ht="13.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</row>
    <row r="196" ht="13.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</row>
    <row r="197" ht="13.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</row>
    <row r="198" ht="13.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</row>
    <row r="199" ht="13.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</row>
    <row r="200" ht="13.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</row>
    <row r="201" ht="13.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</row>
    <row r="202" ht="13.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</row>
    <row r="203" ht="13.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</row>
    <row r="204" ht="13.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</row>
    <row r="205" ht="13.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</row>
    <row r="206" ht="13.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</row>
    <row r="207" ht="13.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</row>
    <row r="208" ht="13.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</row>
    <row r="209" ht="13.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</row>
    <row r="210" ht="13.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</row>
    <row r="211" ht="13.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</row>
    <row r="212" ht="13.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</row>
    <row r="213" ht="13.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</row>
    <row r="214" ht="13.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</row>
    <row r="215" ht="13.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</row>
    <row r="216" ht="13.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</row>
    <row r="217" ht="13.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</row>
    <row r="218" ht="13.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</row>
    <row r="219" ht="13.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</row>
    <row r="220" ht="13.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</row>
    <row r="221" ht="13.5" customHeight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</row>
    <row r="222" ht="13.5" customHeight="1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</row>
    <row r="223" ht="13.5" customHeight="1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</row>
    <row r="224" ht="13.5" customHeight="1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</row>
    <row r="225" ht="13.5" customHeight="1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</row>
    <row r="226" ht="13.5" customHeight="1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</row>
    <row r="227" ht="13.5" customHeight="1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</row>
    <row r="228" ht="13.5" customHeight="1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</row>
    <row r="229" ht="13.5" customHeight="1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</row>
    <row r="230" ht="13.5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</row>
    <row r="231" ht="13.5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</row>
    <row r="232" ht="13.5" customHeigh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</row>
    <row r="233" ht="13.5" customHeigh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</row>
    <row r="234" ht="13.5" customHeigh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</row>
    <row r="235" ht="13.5" customHeigh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</row>
    <row r="236" ht="13.5" customHeight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25">
    <mergeCell ref="A1:AI2"/>
    <mergeCell ref="A5:AI5"/>
    <mergeCell ref="B7:E7"/>
    <mergeCell ref="Q7:T7"/>
    <mergeCell ref="A10:H10"/>
    <mergeCell ref="P10:W10"/>
    <mergeCell ref="P14:W14"/>
    <mergeCell ref="A22:H22"/>
    <mergeCell ref="A26:H26"/>
    <mergeCell ref="A30:H30"/>
    <mergeCell ref="A35:H35"/>
    <mergeCell ref="A39:H39"/>
    <mergeCell ref="A43:H43"/>
    <mergeCell ref="AE25:AI25"/>
    <mergeCell ref="AE26:AI26"/>
    <mergeCell ref="P30:W30"/>
    <mergeCell ref="P39:W39"/>
    <mergeCell ref="P43:W43"/>
    <mergeCell ref="A14:H14"/>
    <mergeCell ref="A18:H18"/>
    <mergeCell ref="P18:W18"/>
    <mergeCell ref="AE21:AI21"/>
    <mergeCell ref="P22:W22"/>
    <mergeCell ref="AE22:AI22"/>
    <mergeCell ref="P26:W26"/>
  </mergeCells>
  <printOptions/>
  <pageMargins bottom="0.75" footer="0.0" header="0.0" left="0.25" right="0.25" top="0.75"/>
  <pageSetup paperSize="9" scale="61" orientation="landscape"/>
  <drawing r:id="rId1"/>
</worksheet>
</file>