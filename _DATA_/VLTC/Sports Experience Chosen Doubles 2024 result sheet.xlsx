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 Men" sheetId="1" r:id="rId4"/>
    <sheet state="visible" name="Men Div 1" sheetId="2" r:id="rId5"/>
    <sheet state="visible" name="Men Div 2" sheetId="3" r:id="rId6"/>
    <sheet state="visible" name="Men Div 3" sheetId="4" r:id="rId7"/>
    <sheet state="visible" name="Men Div 4" sheetId="5" r:id="rId8"/>
    <sheet state="visible" name="Players Ladies" sheetId="6" r:id="rId9"/>
    <sheet state="visible" name="Lad Div 1" sheetId="7" r:id="rId10"/>
    <sheet state="visible" name="Lad Div 2" sheetId="8" r:id="rId11"/>
    <sheet state="visible" name="Lad Div 3" sheetId="9" r:id="rId12"/>
  </sheets>
  <definedNames/>
  <calcPr/>
  <extLst>
    <ext uri="GoogleSheetsCustomDataVersion2">
      <go:sheetsCustomData xmlns:go="http://customooxmlschemas.google.com/" r:id="rId13" roundtripDataChecksum="P9m8b43jfeEsS4LyKmvqFG9O/piZ137nfhFpqbcf8Ng="/>
    </ext>
  </extLst>
</workbook>
</file>

<file path=xl/sharedStrings.xml><?xml version="1.0" encoding="utf-8"?>
<sst xmlns="http://schemas.openxmlformats.org/spreadsheetml/2006/main" count="726" uniqueCount="107">
  <si>
    <t>VITTORIOSA LAWN TENNIS CLUB
MENS CHOSEN DOUBLES 2024</t>
  </si>
  <si>
    <t>Men Division 1 - Group A</t>
  </si>
  <si>
    <t>Men Division 1 - Group B</t>
  </si>
  <si>
    <t>Matthew Borg/Jean Attard</t>
  </si>
  <si>
    <t>Duncan D'Alessandro/Jesmond Pule’</t>
  </si>
  <si>
    <t>Gavin Borg/Massimo Giovannini</t>
  </si>
  <si>
    <t>Gabriel Pace/Nikolai Belli</t>
  </si>
  <si>
    <t xml:space="preserve">                                  </t>
  </si>
  <si>
    <t>Claude Mifsud Wismayer/Adrian Chetcuti</t>
  </si>
  <si>
    <t>Reuben Borg/Luigi Porto</t>
  </si>
  <si>
    <t>Trevor Rutter/Jean Carl Azzopardi</t>
  </si>
  <si>
    <t>Matthew Borg/Roderick Spiteri</t>
  </si>
  <si>
    <t>Matthew Mifsud/Melchior Farrugia</t>
  </si>
  <si>
    <t>David Schembri/Fotis Evangelou</t>
  </si>
  <si>
    <t>Men Division 2 - Group A</t>
  </si>
  <si>
    <t>Men Division 2 - Group B</t>
  </si>
  <si>
    <t>Ivan Cachia/Willem Steenkamer</t>
  </si>
  <si>
    <t>Manuel Mifsud/Julian Esposito</t>
  </si>
  <si>
    <t>Chi Chi Canonce/Kristen Cachia</t>
  </si>
  <si>
    <t>Ivan Cassar/Kurt Cassar</t>
  </si>
  <si>
    <t>Gene Zammit/Justin Graeme Christie</t>
  </si>
  <si>
    <t>Mavric Sawyer/Keith Tanti</t>
  </si>
  <si>
    <t>Jonathan Vella/Clint Aguis</t>
  </si>
  <si>
    <t>Neville Sciriha/Roberto Murdocco</t>
  </si>
  <si>
    <t>Jonathan Martinelli/Daryl Pace</t>
  </si>
  <si>
    <t>Etienne Formosa Carabez/Javier Viloria</t>
  </si>
  <si>
    <t>Men Division 3</t>
  </si>
  <si>
    <t>Denis Caruana/Duncan Zammit</t>
  </si>
  <si>
    <t>Aaron Micallef Piccone/Adrian Sciberras</t>
  </si>
  <si>
    <t>Cory Greenland/Benjamin Valencia</t>
  </si>
  <si>
    <t>Dunstan Vella/Cyril Lastimosa</t>
  </si>
  <si>
    <t>Maurice Borg/Kenneth Caruana</t>
  </si>
  <si>
    <t>Kenneth Farrugia/Juan Sammut</t>
  </si>
  <si>
    <t>Men Division 4</t>
  </si>
  <si>
    <t>Charles Micallef/Charles Grech</t>
  </si>
  <si>
    <t>Antoine Bugeja/Simone Ercolani</t>
  </si>
  <si>
    <t>Kevin Sciberras/Justin Scicluna</t>
  </si>
  <si>
    <t>Sean Cachia/Isaac Joseph Zammit</t>
  </si>
  <si>
    <t>Robert Attard/Steve Gambin</t>
  </si>
  <si>
    <t>Isaac Baldacchino/JP Sciberras</t>
  </si>
  <si>
    <t>VITTORIOSA LAWN TENNIS CLUB
Sports Experience Chosen Doubles 2024</t>
  </si>
  <si>
    <t>Players</t>
  </si>
  <si>
    <t>Set Scores</t>
  </si>
  <si>
    <t>Tie</t>
  </si>
  <si>
    <t>Player</t>
  </si>
  <si>
    <t>Matches Played</t>
  </si>
  <si>
    <t>Points Overall</t>
  </si>
  <si>
    <t>Games Won</t>
  </si>
  <si>
    <t>Sets Won</t>
  </si>
  <si>
    <t>Score</t>
  </si>
  <si>
    <t>Set 1 Work</t>
  </si>
  <si>
    <t>Set 2 Work</t>
  </si>
  <si>
    <t>Tie Work</t>
  </si>
  <si>
    <t>Game Played</t>
  </si>
  <si>
    <t>Sets Points Work</t>
  </si>
  <si>
    <t>Sets &amp; Tie Points Work</t>
  </si>
  <si>
    <t>Games Wins Work</t>
  </si>
  <si>
    <t>Sets Wins Work</t>
  </si>
  <si>
    <t>Winner Working</t>
  </si>
  <si>
    <t>Total Games Work</t>
  </si>
  <si>
    <t>Winner</t>
  </si>
  <si>
    <t>vs.</t>
  </si>
  <si>
    <t>Group A Winner</t>
  </si>
  <si>
    <t xml:space="preserve">Ret </t>
  </si>
  <si>
    <t>w/o</t>
  </si>
  <si>
    <t>Group B Winner</t>
  </si>
  <si>
    <t>Duncan D'Alessandro/Jesmond Pule'</t>
  </si>
  <si>
    <t>Final</t>
  </si>
  <si>
    <t>Divison Winner</t>
  </si>
  <si>
    <t>Divison Runner Up</t>
  </si>
  <si>
    <t>Runner Up Working</t>
  </si>
  <si>
    <t>Runner Up</t>
  </si>
  <si>
    <t>Division Winner</t>
  </si>
  <si>
    <t>Division Runner Up</t>
  </si>
  <si>
    <t>VITTORIOSA LAWN TENNIS CLUB
LADIES CHOSEN DOUBLES 2024</t>
  </si>
  <si>
    <t>Ladies Division 1</t>
  </si>
  <si>
    <t>Renette Magra/Diane Fenech</t>
  </si>
  <si>
    <t>Alexia Spiteri Willets/Kirsty Mercieca</t>
  </si>
  <si>
    <t>Natalya Abela/Yana Marie Cachia</t>
  </si>
  <si>
    <t>Annabelle Abela/Alison Muscat</t>
  </si>
  <si>
    <t>Christine Schembri/Luiza Andreozzi</t>
  </si>
  <si>
    <t>Roberta Fenech/Christina Bonett</t>
  </si>
  <si>
    <t>Ladies Division 2 - Group A</t>
  </si>
  <si>
    <t>Ladies Division 2 - Group B</t>
  </si>
  <si>
    <t>Diane Farrugia/Anna Napier</t>
  </si>
  <si>
    <t>Nancy Wong/Rowena Caruana</t>
  </si>
  <si>
    <t>Kristina Briffa/Sarah Axiaq</t>
  </si>
  <si>
    <t>Angele Pule'/Jennifer Mifsud</t>
  </si>
  <si>
    <t>Brenda Baldacchino/Deborah Farrugia</t>
  </si>
  <si>
    <t>Hiedi Tabone/Anabel Borg</t>
  </si>
  <si>
    <t>Mariska Steenkamer/Romina Gauci</t>
  </si>
  <si>
    <t>Marcette Sciriha/Tanya Cassar</t>
  </si>
  <si>
    <t>Francesca Sciortino/Julie Spiteri</t>
  </si>
  <si>
    <t>Ann Marie Attard/Christine Seychell</t>
  </si>
  <si>
    <t>Ladies Division 3 - Group A</t>
  </si>
  <si>
    <t>Ladies Division 3 - Group B</t>
  </si>
  <si>
    <t>Jodie Stivala/Elisa Sacco</t>
  </si>
  <si>
    <t>Ceridwen Scerri/Jade Sammut</t>
  </si>
  <si>
    <t>Marica Cassar/Daphne Vella</t>
  </si>
  <si>
    <t>Giada Sciberras/Sophia Re</t>
  </si>
  <si>
    <t>Maria Ellul/Maria Angela Gambin</t>
  </si>
  <si>
    <t>Kaya Sammut/Leanne Sammut</t>
  </si>
  <si>
    <t>Karolina Papiernak/Jennifer Roca</t>
  </si>
  <si>
    <t>Mary Borg/Christine Scerri</t>
  </si>
  <si>
    <t>Helga Azzopardi/Bernardette Fenech</t>
  </si>
  <si>
    <t>Janice Galea/Nicole Lia</t>
  </si>
  <si>
    <t>W/0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</si>
</sst>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9">
    <font>
      <sz val="11.0"/>
      <color theme="1"/>
      <name val="Aptos narrow"/>
      <scheme val="minor"/>
    </font>
    <font>
      <b/>
      <u/>
      <sz val="16.0"/>
      <color theme="1"/>
      <name val="Calibri"/>
    </font>
    <font>
      <sz val="10.0"/>
      <color theme="1"/>
      <name val="Arial"/>
    </font>
    <font>
      <sz val="11.0"/>
      <color theme="1"/>
      <name val="Aptos narrow"/>
    </font>
    <font>
      <sz val="16.0"/>
      <color theme="1"/>
      <name val="Arial"/>
    </font>
    <font>
      <b/>
      <sz val="16.0"/>
      <color theme="1"/>
      <name val="Arial"/>
    </font>
    <font/>
    <font>
      <b/>
      <u/>
      <sz val="16.0"/>
      <color theme="1"/>
      <name val="Arial"/>
    </font>
    <font>
      <b/>
      <u/>
      <sz val="11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2.0"/>
      <color theme="1"/>
      <name val="Aptos narrow"/>
    </font>
    <font>
      <sz val="10.0"/>
      <color rgb="FF000000"/>
      <name val="Times New Roman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F4861"/>
        <bgColor rgb="FF0F4861"/>
      </patternFill>
    </fill>
    <fill>
      <patternFill patternType="solid">
        <fgColor rgb="FF803065"/>
        <bgColor rgb="FF803065"/>
      </patternFill>
    </fill>
    <fill>
      <patternFill patternType="solid">
        <fgColor rgb="FFF1A983"/>
        <bgColor rgb="FFF1A983"/>
      </patternFill>
    </fill>
    <fill>
      <patternFill patternType="solid">
        <fgColor rgb="FF77E8E5"/>
        <bgColor rgb="FF77E8E5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215E99"/>
        <bgColor rgb="FF215E99"/>
      </patternFill>
    </fill>
    <fill>
      <patternFill patternType="solid">
        <fgColor rgb="FFFB33C2"/>
        <bgColor rgb="FFFB33C2"/>
      </patternFill>
    </fill>
    <fill>
      <patternFill patternType="solid">
        <fgColor rgb="FFFF9966"/>
        <bgColor rgb="FFFF9966"/>
      </patternFill>
    </fill>
    <fill>
      <patternFill patternType="solid">
        <fgColor rgb="FF7F7F7F"/>
        <bgColor rgb="FF7F7F7F"/>
      </patternFill>
    </fill>
    <fill>
      <patternFill patternType="solid">
        <fgColor rgb="FF78206E"/>
        <bgColor rgb="FF78206E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46826F"/>
        <bgColor rgb="FF46826F"/>
      </patternFill>
    </fill>
    <fill>
      <patternFill patternType="solid">
        <fgColor rgb="FFD76DCC"/>
        <bgColor rgb="FFD76DCC"/>
      </patternFill>
    </fill>
    <fill>
      <patternFill patternType="solid">
        <fgColor rgb="FFB08314"/>
        <bgColor rgb="FFB08314"/>
      </patternFill>
    </fill>
    <fill>
      <patternFill patternType="solid">
        <fgColor rgb="FFF37D07"/>
        <bgColor rgb="FFF37D07"/>
      </patternFill>
    </fill>
    <fill>
      <patternFill patternType="solid">
        <fgColor rgb="FF437D6B"/>
        <bgColor rgb="FF437D6B"/>
      </patternFill>
    </fill>
    <fill>
      <patternFill patternType="solid">
        <fgColor rgb="FFFFC000"/>
        <bgColor rgb="FFFFC000"/>
      </patternFill>
    </fill>
  </fills>
  <borders count="26">
    <border/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3" fontId="5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5" fillId="6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0" fillId="0" fontId="9" numFmtId="0" xfId="0" applyAlignment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8" fontId="9" numFmtId="0" xfId="0" applyAlignment="1" applyBorder="1" applyFill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1" fillId="2" fontId="9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4" fillId="2" fontId="15" numFmtId="0" xfId="0" applyAlignment="1" applyBorder="1" applyFont="1">
      <alignment horizontal="center" readingOrder="0" shrinkToFit="0" vertical="center" wrapText="1"/>
    </xf>
    <xf borderId="13" fillId="9" fontId="16" numFmtId="0" xfId="0" applyAlignment="1" applyBorder="1" applyFill="1" applyFont="1">
      <alignment horizontal="center" shrinkToFit="0" vertical="center" wrapText="1"/>
    </xf>
    <xf borderId="14" fillId="9" fontId="17" numFmtId="0" xfId="0" applyAlignment="1" applyBorder="1" applyFont="1">
      <alignment horizontal="center" shrinkToFit="0" vertical="center" wrapText="1"/>
    </xf>
    <xf borderId="4" fillId="9" fontId="18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17" fillId="2" fontId="19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19" fillId="0" fontId="6" numFmtId="0" xfId="0" applyBorder="1" applyFont="1"/>
    <xf borderId="0" fillId="0" fontId="9" numFmtId="0" xfId="0" applyAlignment="1" applyFont="1">
      <alignment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21" fillId="0" fontId="13" numFmtId="0" xfId="0" applyAlignment="1" applyBorder="1" applyFont="1">
      <alignment horizontal="center" shrinkToFit="0" vertical="center" wrapText="1"/>
    </xf>
    <xf borderId="10" fillId="10" fontId="13" numFmtId="0" xfId="0" applyAlignment="1" applyBorder="1" applyFill="1" applyFont="1">
      <alignment horizontal="center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7" fillId="11" fontId="21" numFmtId="0" xfId="0" applyAlignment="1" applyBorder="1" applyFill="1" applyFont="1">
      <alignment horizontal="center" shrinkToFit="0" vertical="center" wrapText="1"/>
    </xf>
    <xf borderId="4" fillId="11" fontId="22" numFmtId="0" xfId="0" applyAlignment="1" applyBorder="1" applyFont="1">
      <alignment horizontal="center" shrinkToFit="0" vertical="center" wrapText="1"/>
    </xf>
    <xf borderId="5" fillId="11" fontId="23" numFmtId="0" xfId="0" applyAlignment="1" applyBorder="1" applyFont="1">
      <alignment horizontal="center" shrinkToFit="0" vertical="center" wrapText="1"/>
    </xf>
    <xf borderId="11" fillId="11" fontId="9" numFmtId="0" xfId="0" applyAlignment="1" applyBorder="1" applyFont="1">
      <alignment horizontal="center" shrinkToFit="0" vertical="center" wrapText="1"/>
    </xf>
    <xf borderId="11" fillId="12" fontId="9" numFmtId="0" xfId="0" applyAlignment="1" applyBorder="1" applyFill="1" applyFont="1">
      <alignment horizontal="center" shrinkToFit="0" vertical="center" wrapText="1"/>
    </xf>
    <xf borderId="4" fillId="11" fontId="24" numFmtId="0" xfId="0" applyAlignment="1" applyBorder="1" applyFont="1">
      <alignment horizontal="center" readingOrder="0" shrinkToFit="0" vertical="center" wrapText="1"/>
    </xf>
    <xf borderId="11" fillId="13" fontId="13" numFmtId="0" xfId="0" applyAlignment="1" applyBorder="1" applyFill="1" applyFont="1">
      <alignment horizontal="center" shrinkToFit="0" vertical="center" wrapText="1"/>
    </xf>
    <xf borderId="17" fillId="11" fontId="25" numFmtId="0" xfId="0" applyAlignment="1" applyBorder="1" applyFont="1">
      <alignment horizontal="center" shrinkToFit="0" vertical="center" wrapText="1"/>
    </xf>
    <xf borderId="5" fillId="14" fontId="26" numFmtId="0" xfId="0" applyAlignment="1" applyBorder="1" applyFill="1" applyFont="1">
      <alignment horizontal="center" shrinkToFit="0" vertical="center" wrapText="1"/>
    </xf>
    <xf borderId="22" fillId="0" fontId="6" numFmtId="0" xfId="0" applyBorder="1" applyFont="1"/>
    <xf borderId="4" fillId="14" fontId="27" numFmtId="0" xfId="0" applyAlignment="1" applyBorder="1" applyFont="1">
      <alignment horizontal="center" shrinkToFit="0" vertical="center" wrapText="1"/>
    </xf>
    <xf borderId="11" fillId="10" fontId="9" numFmtId="0" xfId="0" applyAlignment="1" applyBorder="1" applyFont="1">
      <alignment horizontal="center" shrinkToFit="0" vertical="center" wrapText="1"/>
    </xf>
    <xf borderId="23" fillId="10" fontId="28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20" fillId="0" fontId="9" numFmtId="0" xfId="0" applyAlignment="1" applyBorder="1" applyFont="1">
      <alignment horizontal="center" readingOrder="0" shrinkToFit="0" vertical="center" wrapText="1"/>
    </xf>
    <xf borderId="20" fillId="0" fontId="29" numFmtId="0" xfId="0" applyAlignment="1" applyBorder="1" applyFont="1">
      <alignment horizontal="center" shrinkToFit="0" vertical="center" wrapText="1"/>
    </xf>
    <xf borderId="21" fillId="0" fontId="6" numFmtId="0" xfId="0" applyBorder="1" applyFont="1"/>
    <xf borderId="24" fillId="0" fontId="6" numFmtId="0" xfId="0" applyBorder="1" applyFont="1"/>
    <xf borderId="11" fillId="14" fontId="3" numFmtId="0" xfId="0" applyBorder="1" applyFont="1"/>
    <xf borderId="11" fillId="14" fontId="9" numFmtId="0" xfId="0" applyAlignment="1" applyBorder="1" applyFont="1">
      <alignment horizontal="center" shrinkToFit="0" vertical="center" wrapText="1"/>
    </xf>
    <xf borderId="25" fillId="14" fontId="9" numFmtId="0" xfId="0" applyAlignment="1" applyBorder="1" applyFont="1">
      <alignment horizontal="center" shrinkToFit="0" vertical="center" wrapText="1"/>
    </xf>
    <xf borderId="11" fillId="14" fontId="9" numFmtId="0" xfId="0" applyAlignment="1" applyBorder="1" applyFont="1">
      <alignment shrinkToFit="0" vertical="center" wrapText="1"/>
    </xf>
    <xf borderId="7" fillId="15" fontId="30" numFmtId="0" xfId="0" applyAlignment="1" applyBorder="1" applyFill="1" applyFont="1">
      <alignment horizontal="center" shrinkToFit="0" vertical="center" wrapText="1"/>
    </xf>
    <xf borderId="4" fillId="15" fontId="31" numFmtId="0" xfId="0" applyAlignment="1" applyBorder="1" applyFont="1">
      <alignment horizontal="center" shrinkToFit="0" vertical="center" wrapText="1"/>
    </xf>
    <xf borderId="5" fillId="15" fontId="32" numFmtId="0" xfId="0" applyAlignment="1" applyBorder="1" applyFont="1">
      <alignment horizontal="center" shrinkToFit="0" vertical="center" wrapText="1"/>
    </xf>
    <xf borderId="4" fillId="4" fontId="33" numFmtId="0" xfId="0" applyAlignment="1" applyBorder="1" applyFont="1">
      <alignment horizontal="center" readingOrder="0" shrinkToFit="0" vertical="center" wrapText="1"/>
    </xf>
    <xf borderId="4" fillId="4" fontId="34" numFmtId="0" xfId="0" applyAlignment="1" applyBorder="1" applyFont="1">
      <alignment horizontal="center" shrinkToFit="0" vertical="center" wrapText="1"/>
    </xf>
    <xf borderId="17" fillId="15" fontId="35" numFmtId="0" xfId="0" applyAlignment="1" applyBorder="1" applyFont="1">
      <alignment horizontal="center" shrinkToFit="0" vertical="center" wrapText="1"/>
    </xf>
    <xf borderId="10" fillId="16" fontId="13" numFmtId="0" xfId="0" applyAlignment="1" applyBorder="1" applyFill="1" applyFont="1">
      <alignment horizontal="center" shrinkToFit="0" vertical="center" wrapText="1"/>
    </xf>
    <xf borderId="7" fillId="5" fontId="36" numFmtId="0" xfId="0" applyAlignment="1" applyBorder="1" applyFont="1">
      <alignment horizontal="center" shrinkToFit="0" vertical="center" wrapText="1"/>
    </xf>
    <xf borderId="4" fillId="5" fontId="37" numFmtId="0" xfId="0" applyAlignment="1" applyBorder="1" applyFont="1">
      <alignment horizontal="center" shrinkToFit="0" vertical="center" wrapText="1"/>
    </xf>
    <xf borderId="5" fillId="5" fontId="38" numFmtId="0" xfId="0" applyAlignment="1" applyBorder="1" applyFont="1">
      <alignment horizontal="center" shrinkToFit="0" vertical="center" wrapText="1"/>
    </xf>
    <xf borderId="4" fillId="5" fontId="39" numFmtId="0" xfId="0" applyAlignment="1" applyBorder="1" applyFont="1">
      <alignment horizontal="center" readingOrder="0" shrinkToFit="0" vertical="center" wrapText="1"/>
    </xf>
    <xf borderId="17" fillId="5" fontId="40" numFmtId="0" xfId="0" applyAlignment="1" applyBorder="1" applyFont="1">
      <alignment horizontal="center" shrinkToFit="0" vertical="center" wrapText="1"/>
    </xf>
    <xf borderId="7" fillId="17" fontId="41" numFmtId="0" xfId="0" applyAlignment="1" applyBorder="1" applyFill="1" applyFont="1">
      <alignment horizontal="center" shrinkToFit="0" vertical="center" wrapText="1"/>
    </xf>
    <xf borderId="4" fillId="17" fontId="42" numFmtId="0" xfId="0" applyAlignment="1" applyBorder="1" applyFont="1">
      <alignment horizontal="center" shrinkToFit="0" vertical="center" wrapText="1"/>
    </xf>
    <xf borderId="5" fillId="17" fontId="43" numFmtId="0" xfId="0" applyAlignment="1" applyBorder="1" applyFont="1">
      <alignment horizontal="center" shrinkToFit="0" vertical="center" wrapText="1"/>
    </xf>
    <xf borderId="4" fillId="17" fontId="44" numFmtId="0" xfId="0" applyAlignment="1" applyBorder="1" applyFont="1">
      <alignment horizontal="center" readingOrder="0" shrinkToFit="0" vertical="center" wrapText="1"/>
    </xf>
    <xf borderId="17" fillId="17" fontId="45" numFmtId="0" xfId="0" applyAlignment="1" applyBorder="1" applyFont="1">
      <alignment horizontal="center" shrinkToFit="0" vertical="center" wrapText="1"/>
    </xf>
    <xf borderId="5" fillId="0" fontId="46" numFmtId="0" xfId="0" applyAlignment="1" applyBorder="1" applyFont="1">
      <alignment horizontal="center" shrinkToFit="0" vertical="center" wrapText="1"/>
    </xf>
    <xf borderId="7" fillId="7" fontId="47" numFmtId="0" xfId="0" applyAlignment="1" applyBorder="1" applyFont="1">
      <alignment horizontal="center" shrinkToFit="0" vertical="center" wrapText="1"/>
    </xf>
    <xf borderId="4" fillId="7" fontId="48" numFmtId="0" xfId="0" applyAlignment="1" applyBorder="1" applyFont="1">
      <alignment horizontal="center" shrinkToFit="0" vertical="center" wrapText="1"/>
    </xf>
    <xf borderId="5" fillId="7" fontId="49" numFmtId="0" xfId="0" applyAlignment="1" applyBorder="1" applyFont="1">
      <alignment horizontal="center" shrinkToFit="0" vertical="center" wrapText="1"/>
    </xf>
    <xf borderId="4" fillId="7" fontId="50" numFmtId="0" xfId="0" applyAlignment="1" applyBorder="1" applyFont="1">
      <alignment horizontal="center" readingOrder="0" shrinkToFit="0" vertical="center" wrapText="1"/>
    </xf>
    <xf borderId="17" fillId="7" fontId="51" numFmtId="0" xfId="0" applyAlignment="1" applyBorder="1" applyFont="1">
      <alignment horizontal="center" shrinkToFit="0" vertical="center" wrapText="1"/>
    </xf>
    <xf borderId="1" fillId="18" fontId="5" numFmtId="0" xfId="0" applyAlignment="1" applyBorder="1" applyFill="1" applyFont="1">
      <alignment horizontal="center" vertical="center"/>
    </xf>
    <xf borderId="0" fillId="0" fontId="52" numFmtId="0" xfId="0" applyAlignment="1" applyFont="1">
      <alignment horizontal="center"/>
    </xf>
    <xf borderId="5" fillId="19" fontId="5" numFmtId="0" xfId="0" applyAlignment="1" applyBorder="1" applyFill="1" applyFont="1">
      <alignment horizontal="center" vertical="center"/>
    </xf>
    <xf borderId="0" fillId="0" fontId="53" numFmtId="0" xfId="0" applyAlignment="1" applyFont="1">
      <alignment horizontal="left" shrinkToFit="0" wrapText="1"/>
    </xf>
    <xf borderId="3" fillId="20" fontId="5" numFmtId="0" xfId="0" applyAlignment="1" applyBorder="1" applyFill="1" applyFont="1">
      <alignment horizontal="center" vertical="center"/>
    </xf>
    <xf borderId="1" fillId="21" fontId="5" numFmtId="0" xfId="0" applyAlignment="1" applyBorder="1" applyFill="1" applyFont="1">
      <alignment horizontal="center" vertical="center"/>
    </xf>
    <xf borderId="3" fillId="22" fontId="5" numFmtId="0" xfId="0" applyAlignment="1" applyBorder="1" applyFill="1" applyFont="1">
      <alignment horizontal="center" vertical="center"/>
    </xf>
    <xf borderId="7" fillId="18" fontId="54" numFmtId="0" xfId="0" applyAlignment="1" applyBorder="1" applyFont="1">
      <alignment horizontal="center" shrinkToFit="0" vertical="center" wrapText="1"/>
    </xf>
    <xf borderId="4" fillId="18" fontId="55" numFmtId="0" xfId="0" applyAlignment="1" applyBorder="1" applyFont="1">
      <alignment horizontal="center" shrinkToFit="0" vertical="center" wrapText="1"/>
    </xf>
    <xf borderId="5" fillId="18" fontId="56" numFmtId="0" xfId="0" applyAlignment="1" applyBorder="1" applyFont="1">
      <alignment horizontal="center" shrinkToFit="0" vertical="center" wrapText="1"/>
    </xf>
    <xf borderId="4" fillId="18" fontId="57" numFmtId="0" xfId="0" applyAlignment="1" applyBorder="1" applyFont="1">
      <alignment horizontal="center" readingOrder="0" shrinkToFit="0" vertical="center" wrapText="1"/>
    </xf>
    <xf borderId="17" fillId="18" fontId="58" numFmtId="0" xfId="0" applyAlignment="1" applyBorder="1" applyFont="1">
      <alignment horizontal="center" shrinkToFit="0" vertical="center" wrapText="1"/>
    </xf>
    <xf borderId="7" fillId="23" fontId="59" numFmtId="0" xfId="0" applyAlignment="1" applyBorder="1" applyFill="1" applyFont="1">
      <alignment horizontal="center" shrinkToFit="0" vertical="center" wrapText="1"/>
    </xf>
    <xf borderId="4" fillId="23" fontId="60" numFmtId="0" xfId="0" applyAlignment="1" applyBorder="1" applyFont="1">
      <alignment horizontal="center" shrinkToFit="0" vertical="center" wrapText="1"/>
    </xf>
    <xf borderId="5" fillId="23" fontId="61" numFmtId="0" xfId="0" applyAlignment="1" applyBorder="1" applyFont="1">
      <alignment horizontal="center" shrinkToFit="0" vertical="center" wrapText="1"/>
    </xf>
    <xf borderId="4" fillId="23" fontId="62" numFmtId="0" xfId="0" applyAlignment="1" applyBorder="1" applyFont="1">
      <alignment horizontal="center" readingOrder="0" shrinkToFit="0" vertical="center" wrapText="1"/>
    </xf>
    <xf borderId="11" fillId="24" fontId="13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17" fillId="23" fontId="63" numFmtId="0" xfId="0" applyAlignment="1" applyBorder="1" applyFont="1">
      <alignment horizontal="center" shrinkToFit="0" vertical="center" wrapText="1"/>
    </xf>
    <xf borderId="7" fillId="20" fontId="64" numFmtId="0" xfId="0" applyAlignment="1" applyBorder="1" applyFont="1">
      <alignment horizontal="center" shrinkToFit="0" vertical="center" wrapText="1"/>
    </xf>
    <xf borderId="4" fillId="20" fontId="65" numFmtId="0" xfId="0" applyAlignment="1" applyBorder="1" applyFont="1">
      <alignment horizontal="center" shrinkToFit="0" vertical="center" wrapText="1"/>
    </xf>
    <xf borderId="5" fillId="20" fontId="66" numFmtId="0" xfId="0" applyAlignment="1" applyBorder="1" applyFont="1">
      <alignment horizontal="center" shrinkToFit="0" vertical="center" wrapText="1"/>
    </xf>
    <xf borderId="4" fillId="20" fontId="67" numFmtId="0" xfId="0" applyAlignment="1" applyBorder="1" applyFont="1">
      <alignment horizontal="center" readingOrder="0" shrinkToFit="0" vertical="center" wrapText="1"/>
    </xf>
    <xf borderId="15" fillId="18" fontId="9" numFmtId="0" xfId="0" applyAlignment="1" applyBorder="1" applyFont="1">
      <alignment horizontal="center" shrinkToFit="0" vertical="center" wrapText="1"/>
    </xf>
    <xf borderId="4" fillId="18" fontId="13" numFmtId="0" xfId="0" applyAlignment="1" applyBorder="1" applyFont="1">
      <alignment horizontal="center" shrinkToFit="0" vertical="center" wrapText="1"/>
    </xf>
    <xf borderId="16" fillId="18" fontId="9" numFmtId="0" xfId="0" applyAlignment="1" applyBorder="1" applyFont="1">
      <alignment horizontal="center" shrinkToFit="0" vertical="center" wrapText="1"/>
    </xf>
    <xf borderId="16" fillId="18" fontId="13" numFmtId="0" xfId="0" applyAlignment="1" applyBorder="1" applyFont="1">
      <alignment horizontal="center" shrinkToFit="0" vertical="center" wrapText="1"/>
    </xf>
    <xf borderId="17" fillId="20" fontId="68" numFmtId="0" xfId="0" applyAlignment="1" applyBorder="1" applyFont="1">
      <alignment horizontal="center" shrinkToFit="0" vertical="center" wrapText="1"/>
    </xf>
    <xf borderId="18" fillId="18" fontId="9" numFmtId="0" xfId="0" applyAlignment="1" applyBorder="1" applyFont="1">
      <alignment horizontal="center" shrinkToFit="0" vertical="center" wrapText="1"/>
    </xf>
    <xf borderId="20" fillId="18" fontId="9" numFmtId="0" xfId="0" applyAlignment="1" applyBorder="1" applyFont="1">
      <alignment horizontal="center" shrinkToFit="0" vertical="center" wrapText="1"/>
    </xf>
    <xf borderId="21" fillId="18" fontId="9" numFmtId="0" xfId="0" applyAlignment="1" applyBorder="1" applyFont="1">
      <alignment horizontal="center" shrinkToFit="0" vertical="center" wrapText="1"/>
    </xf>
    <xf borderId="21" fillId="18" fontId="13" numFmtId="0" xfId="0" applyAlignment="1" applyBorder="1" applyFont="1">
      <alignment horizontal="center" shrinkToFit="0" vertical="center" wrapText="1"/>
    </xf>
    <xf borderId="10" fillId="18" fontId="13" numFmtId="0" xfId="0" applyAlignment="1" applyBorder="1" applyFont="1">
      <alignment horizontal="center" shrinkToFit="0" vertical="center" wrapText="1"/>
    </xf>
    <xf borderId="6" fillId="18" fontId="13" numFmtId="0" xfId="0" applyAlignment="1" applyBorder="1" applyFont="1">
      <alignment horizontal="center" shrinkToFit="0" vertical="center" wrapText="1"/>
    </xf>
    <xf borderId="4" fillId="18" fontId="13" numFmtId="0" xfId="0" applyAlignment="1" applyBorder="1" applyFont="1">
      <alignment horizontal="center" readingOrder="0" shrinkToFit="0" vertical="center" wrapText="1"/>
    </xf>
    <xf borderId="7" fillId="21" fontId="69" numFmtId="0" xfId="0" applyAlignment="1" applyBorder="1" applyFont="1">
      <alignment horizontal="center" shrinkToFit="0" vertical="center" wrapText="1"/>
    </xf>
    <xf borderId="4" fillId="21" fontId="70" numFmtId="0" xfId="0" applyAlignment="1" applyBorder="1" applyFont="1">
      <alignment horizontal="center" shrinkToFit="0" vertical="center" wrapText="1"/>
    </xf>
    <xf borderId="5" fillId="21" fontId="71" numFmtId="0" xfId="0" applyAlignment="1" applyBorder="1" applyFont="1">
      <alignment horizontal="center" shrinkToFit="0" vertical="center" wrapText="1"/>
    </xf>
    <xf borderId="4" fillId="21" fontId="72" numFmtId="0" xfId="0" applyAlignment="1" applyBorder="1" applyFont="1">
      <alignment horizontal="center" readingOrder="0" shrinkToFit="0" vertical="center" wrapText="1"/>
    </xf>
    <xf borderId="17" fillId="21" fontId="73" numFmtId="0" xfId="0" applyAlignment="1" applyBorder="1" applyFont="1">
      <alignment horizontal="center" shrinkToFit="0" vertical="center" wrapText="1"/>
    </xf>
    <xf borderId="7" fillId="22" fontId="74" numFmtId="0" xfId="0" applyAlignment="1" applyBorder="1" applyFont="1">
      <alignment horizontal="center" shrinkToFit="0" vertical="center" wrapText="1"/>
    </xf>
    <xf borderId="4" fillId="22" fontId="75" numFmtId="0" xfId="0" applyAlignment="1" applyBorder="1" applyFont="1">
      <alignment horizontal="center" shrinkToFit="0" vertical="center" wrapText="1"/>
    </xf>
    <xf borderId="5" fillId="22" fontId="76" numFmtId="0" xfId="0" applyAlignment="1" applyBorder="1" applyFont="1">
      <alignment horizontal="center" shrinkToFit="0" vertical="center" wrapText="1"/>
    </xf>
    <xf borderId="4" fillId="22" fontId="77" numFmtId="0" xfId="0" applyAlignment="1" applyBorder="1" applyFont="1">
      <alignment horizontal="center" readingOrder="0" shrinkToFit="0" vertical="center" wrapText="1"/>
    </xf>
    <xf borderId="17" fillId="22" fontId="7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3067050</xdr:colOff>
      <xdr:row>0</xdr:row>
      <xdr:rowOff>0</xdr:rowOff>
    </xdr:from>
    <xdr:ext cx="80010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19050</xdr:rowOff>
    </xdr:from>
    <xdr:ext cx="819150" cy="647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0</xdr:row>
      <xdr:rowOff>76200</xdr:rowOff>
    </xdr:from>
    <xdr:ext cx="981075" cy="4191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0</xdr:row>
      <xdr:rowOff>76200</xdr:rowOff>
    </xdr:from>
    <xdr:ext cx="981075" cy="4191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0</xdr:row>
      <xdr:rowOff>76200</xdr:rowOff>
    </xdr:from>
    <xdr:ext cx="981075" cy="4191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0</xdr:row>
      <xdr:rowOff>76200</xdr:rowOff>
    </xdr:from>
    <xdr:ext cx="981075" cy="4191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3067050</xdr:colOff>
      <xdr:row>0</xdr:row>
      <xdr:rowOff>0</xdr:rowOff>
    </xdr:from>
    <xdr:ext cx="80010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19050</xdr:rowOff>
    </xdr:from>
    <xdr:ext cx="819150" cy="647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0</xdr:row>
      <xdr:rowOff>76200</xdr:rowOff>
    </xdr:from>
    <xdr:ext cx="981075" cy="4191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0</xdr:row>
      <xdr:rowOff>76200</xdr:rowOff>
    </xdr:from>
    <xdr:ext cx="981075" cy="4191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819150" cy="742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0</xdr:row>
      <xdr:rowOff>76200</xdr:rowOff>
    </xdr:from>
    <xdr:ext cx="981075" cy="4191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4.75"/>
    <col customWidth="1" min="3" max="3" width="19.25"/>
    <col customWidth="1" min="4" max="4" width="9.13"/>
    <col customWidth="1" min="5" max="5" width="8.0"/>
    <col customWidth="1" min="6" max="6" width="58.13"/>
    <col customWidth="1" min="7" max="10" width="9.13"/>
    <col customWidth="1" min="11" max="26" width="12.75"/>
  </cols>
  <sheetData>
    <row r="1" ht="21.0" customHeight="1">
      <c r="A1" s="1" t="s">
        <v>0</v>
      </c>
      <c r="G1" s="2"/>
      <c r="H1" s="2"/>
    </row>
    <row r="2" ht="30.0" customHeight="1">
      <c r="G2" s="2"/>
      <c r="H2" s="2"/>
    </row>
    <row r="3" ht="9.75" customHeight="1">
      <c r="A3" s="2"/>
      <c r="B3" s="2"/>
      <c r="C3" s="2"/>
      <c r="D3" s="2"/>
      <c r="E3" s="2"/>
      <c r="F3" s="2"/>
      <c r="G3" s="2"/>
      <c r="H3" s="2"/>
    </row>
    <row r="4" ht="9.75" customHeight="1">
      <c r="A4" s="2"/>
      <c r="B4" s="2"/>
      <c r="C4" s="2"/>
      <c r="D4" s="2"/>
      <c r="E4" s="2"/>
      <c r="F4" s="2"/>
      <c r="G4" s="2"/>
      <c r="H4" s="2"/>
      <c r="I4" s="3"/>
      <c r="J4" s="3"/>
    </row>
    <row r="5" ht="21.0" customHeight="1">
      <c r="A5" s="4"/>
      <c r="B5" s="5" t="s">
        <v>1</v>
      </c>
      <c r="C5" s="6"/>
      <c r="D5" s="2"/>
      <c r="E5" s="4"/>
      <c r="F5" s="7" t="s">
        <v>2</v>
      </c>
      <c r="G5" s="2"/>
      <c r="H5" s="8"/>
      <c r="I5" s="3"/>
      <c r="J5" s="3"/>
    </row>
    <row r="6" ht="21.0" customHeight="1">
      <c r="A6" s="9">
        <v>1.0</v>
      </c>
      <c r="B6" s="10" t="s">
        <v>3</v>
      </c>
      <c r="C6" s="11"/>
      <c r="D6" s="2"/>
      <c r="E6" s="9">
        <v>1.0</v>
      </c>
      <c r="F6" s="12" t="s">
        <v>4</v>
      </c>
      <c r="G6" s="2"/>
      <c r="I6" s="13"/>
      <c r="J6" s="3"/>
    </row>
    <row r="7" ht="21.0" customHeight="1">
      <c r="A7" s="9">
        <v>2.0</v>
      </c>
      <c r="B7" s="10" t="s">
        <v>5</v>
      </c>
      <c r="C7" s="11"/>
      <c r="D7" s="2"/>
      <c r="E7" s="9">
        <v>2.0</v>
      </c>
      <c r="F7" s="12" t="s">
        <v>6</v>
      </c>
      <c r="G7" s="2"/>
      <c r="H7" s="13" t="s">
        <v>7</v>
      </c>
    </row>
    <row r="8" ht="21.0" customHeight="1">
      <c r="A8" s="9">
        <v>3.0</v>
      </c>
      <c r="B8" s="10" t="s">
        <v>8</v>
      </c>
      <c r="C8" s="11"/>
      <c r="D8" s="2"/>
      <c r="E8" s="9">
        <v>3.0</v>
      </c>
      <c r="F8" s="12" t="s">
        <v>9</v>
      </c>
      <c r="G8" s="2"/>
    </row>
    <row r="9" ht="21.0" customHeight="1">
      <c r="A9" s="9">
        <v>4.0</v>
      </c>
      <c r="B9" s="10" t="s">
        <v>10</v>
      </c>
      <c r="C9" s="11"/>
      <c r="D9" s="2"/>
      <c r="E9" s="9">
        <v>4.0</v>
      </c>
      <c r="F9" s="12" t="s">
        <v>11</v>
      </c>
      <c r="G9" s="2"/>
    </row>
    <row r="10" ht="21.0" customHeight="1">
      <c r="A10" s="9">
        <v>5.0</v>
      </c>
      <c r="B10" s="10" t="s">
        <v>12</v>
      </c>
      <c r="C10" s="11"/>
      <c r="D10" s="2"/>
      <c r="E10" s="9">
        <v>5.0</v>
      </c>
      <c r="F10" s="12" t="s">
        <v>13</v>
      </c>
      <c r="G10" s="2"/>
    </row>
    <row r="11" ht="21.0" customHeight="1">
      <c r="A11" s="4"/>
      <c r="B11" s="14"/>
      <c r="D11" s="2"/>
      <c r="E11" s="2"/>
      <c r="F11" s="2"/>
      <c r="G11" s="2"/>
    </row>
    <row r="12" ht="21.0" customHeight="1">
      <c r="A12" s="4"/>
      <c r="B12" s="15" t="s">
        <v>14</v>
      </c>
      <c r="C12" s="6"/>
      <c r="D12" s="2"/>
      <c r="E12" s="4"/>
      <c r="F12" s="16" t="s">
        <v>15</v>
      </c>
      <c r="G12" s="2"/>
      <c r="H12" s="13"/>
    </row>
    <row r="13" ht="21.0" customHeight="1">
      <c r="A13" s="9">
        <v>1.0</v>
      </c>
      <c r="B13" s="10" t="s">
        <v>16</v>
      </c>
      <c r="C13" s="11"/>
      <c r="D13" s="2"/>
      <c r="E13" s="9">
        <v>1.0</v>
      </c>
      <c r="F13" s="12" t="s">
        <v>17</v>
      </c>
      <c r="G13" s="2"/>
    </row>
    <row r="14" ht="21.0" customHeight="1">
      <c r="A14" s="9">
        <v>2.0</v>
      </c>
      <c r="B14" s="17" t="s">
        <v>18</v>
      </c>
      <c r="C14" s="11"/>
      <c r="D14" s="2"/>
      <c r="E14" s="9">
        <v>2.0</v>
      </c>
      <c r="F14" s="12" t="s">
        <v>19</v>
      </c>
      <c r="G14" s="2"/>
    </row>
    <row r="15" ht="21.0" customHeight="1">
      <c r="A15" s="9">
        <v>3.0</v>
      </c>
      <c r="B15" s="10" t="s">
        <v>20</v>
      </c>
      <c r="C15" s="11"/>
      <c r="D15" s="2"/>
      <c r="E15" s="9">
        <v>3.0</v>
      </c>
      <c r="F15" s="12" t="s">
        <v>21</v>
      </c>
      <c r="G15" s="2"/>
      <c r="H15" s="2"/>
    </row>
    <row r="16" ht="21.0" customHeight="1">
      <c r="A16" s="9">
        <v>4.0</v>
      </c>
      <c r="B16" s="10" t="s">
        <v>22</v>
      </c>
      <c r="C16" s="11"/>
      <c r="D16" s="2"/>
      <c r="E16" s="9">
        <v>4.0</v>
      </c>
      <c r="F16" s="18" t="s">
        <v>23</v>
      </c>
      <c r="G16" s="2"/>
      <c r="H16" s="2"/>
    </row>
    <row r="17" ht="21.0" customHeight="1">
      <c r="A17" s="9">
        <v>5.0</v>
      </c>
      <c r="B17" s="10" t="s">
        <v>24</v>
      </c>
      <c r="C17" s="11"/>
      <c r="D17" s="2"/>
      <c r="E17" s="9">
        <v>5.0</v>
      </c>
      <c r="F17" s="12" t="s">
        <v>25</v>
      </c>
    </row>
    <row r="18" ht="21.0" customHeight="1">
      <c r="A18" s="4"/>
      <c r="B18" s="4"/>
      <c r="C18" s="4"/>
      <c r="D18" s="2"/>
      <c r="E18" s="2"/>
      <c r="F18" s="2"/>
    </row>
    <row r="19" ht="21.0" customHeight="1">
      <c r="A19" s="4"/>
      <c r="B19" s="19" t="s">
        <v>26</v>
      </c>
      <c r="C19" s="11"/>
      <c r="D19" s="13"/>
      <c r="E19" s="4"/>
      <c r="F19" s="20"/>
    </row>
    <row r="20" ht="21.0" customHeight="1">
      <c r="A20" s="9">
        <v>1.0</v>
      </c>
      <c r="B20" s="10" t="s">
        <v>27</v>
      </c>
      <c r="C20" s="11"/>
      <c r="D20" s="2"/>
      <c r="E20" s="4"/>
      <c r="F20" s="21"/>
    </row>
    <row r="21" ht="21.0" customHeight="1">
      <c r="A21" s="9">
        <v>2.0</v>
      </c>
      <c r="B21" s="10" t="s">
        <v>28</v>
      </c>
      <c r="C21" s="11"/>
      <c r="D21" s="2"/>
      <c r="E21" s="4"/>
      <c r="F21" s="21"/>
    </row>
    <row r="22" ht="21.0" customHeight="1">
      <c r="A22" s="9">
        <v>3.0</v>
      </c>
      <c r="B22" s="10" t="s">
        <v>29</v>
      </c>
      <c r="C22" s="11"/>
      <c r="D22" s="2"/>
      <c r="E22" s="4"/>
      <c r="F22" s="21"/>
    </row>
    <row r="23" ht="21.0" customHeight="1">
      <c r="A23" s="9">
        <v>4.0</v>
      </c>
      <c r="B23" s="10" t="s">
        <v>30</v>
      </c>
      <c r="C23" s="11"/>
      <c r="D23" s="2"/>
      <c r="E23" s="4"/>
      <c r="F23" s="21"/>
    </row>
    <row r="24" ht="21.0" customHeight="1">
      <c r="A24" s="9">
        <v>5.0</v>
      </c>
      <c r="B24" s="10" t="s">
        <v>31</v>
      </c>
      <c r="C24" s="11"/>
      <c r="D24" s="2"/>
      <c r="E24" s="4"/>
      <c r="F24" s="21"/>
    </row>
    <row r="25" ht="21.0" customHeight="1">
      <c r="A25" s="9">
        <v>6.0</v>
      </c>
      <c r="B25" s="10" t="s">
        <v>32</v>
      </c>
      <c r="C25" s="11"/>
      <c r="D25" s="2"/>
      <c r="E25" s="4"/>
      <c r="F25" s="21"/>
    </row>
    <row r="26" ht="21.0" customHeight="1">
      <c r="A26" s="4"/>
      <c r="B26" s="4"/>
      <c r="C26" s="4"/>
      <c r="D26" s="2"/>
      <c r="E26" s="2"/>
      <c r="F26" s="2"/>
      <c r="H26" s="8"/>
    </row>
    <row r="27" ht="21.0" customHeight="1">
      <c r="A27" s="4"/>
      <c r="B27" s="22" t="s">
        <v>33</v>
      </c>
      <c r="C27" s="6"/>
      <c r="D27" s="2"/>
      <c r="E27" s="2"/>
      <c r="F27" s="2"/>
    </row>
    <row r="28" ht="21.0" customHeight="1">
      <c r="A28" s="9">
        <v>1.0</v>
      </c>
      <c r="B28" s="10" t="s">
        <v>34</v>
      </c>
      <c r="C28" s="11"/>
      <c r="D28" s="2"/>
      <c r="E28" s="2"/>
      <c r="F28" s="2"/>
    </row>
    <row r="29" ht="21.0" customHeight="1">
      <c r="A29" s="9">
        <v>2.0</v>
      </c>
      <c r="B29" s="10" t="s">
        <v>35</v>
      </c>
      <c r="C29" s="11"/>
      <c r="D29" s="2"/>
      <c r="E29" s="2"/>
      <c r="F29" s="2"/>
    </row>
    <row r="30" ht="21.0" customHeight="1">
      <c r="A30" s="9">
        <v>3.0</v>
      </c>
      <c r="B30" s="10" t="s">
        <v>36</v>
      </c>
      <c r="C30" s="11"/>
      <c r="D30" s="2"/>
      <c r="E30" s="2"/>
      <c r="F30" s="2"/>
    </row>
    <row r="31" ht="21.0" customHeight="1">
      <c r="A31" s="9">
        <v>4.0</v>
      </c>
      <c r="B31" s="17" t="s">
        <v>37</v>
      </c>
      <c r="C31" s="11"/>
      <c r="D31" s="2"/>
      <c r="E31" s="2"/>
      <c r="F31" s="2"/>
    </row>
    <row r="32" ht="21.0" customHeight="1">
      <c r="A32" s="9">
        <v>5.0</v>
      </c>
      <c r="B32" s="10" t="s">
        <v>38</v>
      </c>
      <c r="C32" s="11"/>
      <c r="D32" s="2"/>
      <c r="E32" s="2"/>
      <c r="F32" s="2"/>
    </row>
    <row r="33" ht="21.0" customHeight="1">
      <c r="A33" s="9">
        <v>6.0</v>
      </c>
      <c r="B33" s="10" t="s">
        <v>39</v>
      </c>
      <c r="C33" s="11"/>
    </row>
    <row r="34" ht="21.0" customHeight="1">
      <c r="A34" s="4"/>
      <c r="B34" s="4"/>
      <c r="C34" s="4"/>
    </row>
    <row r="35" ht="21.0" customHeight="1">
      <c r="A35" s="4"/>
      <c r="B35" s="1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F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5:C35"/>
    <mergeCell ref="B19:C19"/>
    <mergeCell ref="B20:C20"/>
    <mergeCell ref="B21:C21"/>
    <mergeCell ref="B22:C22"/>
    <mergeCell ref="B23:C23"/>
    <mergeCell ref="B24:C24"/>
    <mergeCell ref="B25:C25"/>
  </mergeCells>
  <printOptions/>
  <pageMargins bottom="0.75" footer="0.0" header="0.0" left="0.25" right="0.25" top="0.75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7.0"/>
    <col customWidth="1" hidden="1" min="3" max="3" width="11.88"/>
    <col customWidth="1" min="4" max="4" width="1.75"/>
    <col customWidth="1" min="5" max="5" width="7.0"/>
    <col customWidth="1" hidden="1" min="6" max="6" width="3.38"/>
    <col customWidth="1" min="7" max="7" width="1.75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4.88"/>
    <col customWidth="1" min="16" max="16" width="34.38"/>
    <col customWidth="1" min="17" max="17" width="7.0"/>
    <col customWidth="1" hidden="1" min="18" max="18" width="11.88"/>
    <col customWidth="1" min="19" max="19" width="1.75"/>
    <col customWidth="1" min="20" max="20" width="7.0"/>
    <col customWidth="1" hidden="1" min="21" max="21" width="11.88"/>
    <col customWidth="1" min="22" max="22" width="1.75"/>
    <col customWidth="1" min="23" max="23" width="7.0"/>
    <col customWidth="1" hidden="1" min="24" max="24" width="5.88"/>
    <col customWidth="1" hidden="1" min="25" max="25" width="4.75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4.75"/>
    <col customWidth="1" min="31" max="31" width="36.88"/>
    <col customWidth="1" min="32" max="35" width="8.75"/>
    <col customWidth="1" hidden="1" min="36" max="36" width="9.25"/>
    <col customWidth="1" hidden="1" min="37" max="37" width="8.0"/>
    <col customWidth="1" hidden="1" min="38" max="38" width="41.13"/>
  </cols>
  <sheetData>
    <row r="1" ht="21.0" customHeight="1">
      <c r="A1" s="1" t="s">
        <v>40</v>
      </c>
      <c r="AJ1" s="2"/>
      <c r="AK1" s="2"/>
      <c r="AL1" s="2"/>
    </row>
    <row r="2" ht="21.0" customHeight="1">
      <c r="AJ2" s="2"/>
      <c r="AK2" s="2"/>
      <c r="AL2" s="2"/>
    </row>
    <row r="3" ht="15.0" customHeight="1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.0" customHeight="1">
      <c r="A5" s="24" t="s">
        <v>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</row>
    <row r="6" ht="15.0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28" t="s">
        <v>41</v>
      </c>
      <c r="B7" s="29" t="s">
        <v>42</v>
      </c>
      <c r="C7" s="30"/>
      <c r="D7" s="30"/>
      <c r="E7" s="11"/>
      <c r="F7" s="31"/>
      <c r="G7" s="32"/>
      <c r="H7" s="28" t="s">
        <v>43</v>
      </c>
      <c r="I7" s="27"/>
      <c r="J7" s="27"/>
      <c r="K7" s="27"/>
      <c r="L7" s="27"/>
      <c r="M7" s="33"/>
      <c r="N7" s="33"/>
      <c r="O7" s="33"/>
      <c r="P7" s="28" t="s">
        <v>41</v>
      </c>
      <c r="Q7" s="29" t="s">
        <v>42</v>
      </c>
      <c r="R7" s="30"/>
      <c r="S7" s="30"/>
      <c r="T7" s="11"/>
      <c r="U7" s="34"/>
      <c r="V7" s="35"/>
      <c r="W7" s="28" t="s">
        <v>43</v>
      </c>
      <c r="X7" s="27"/>
      <c r="Y7" s="33"/>
      <c r="Z7" s="33"/>
      <c r="AA7" s="33"/>
      <c r="AB7" s="33"/>
      <c r="AC7" s="33"/>
      <c r="AD7" s="33"/>
      <c r="AE7" s="28" t="s">
        <v>44</v>
      </c>
      <c r="AF7" s="36" t="s">
        <v>45</v>
      </c>
      <c r="AG7" s="36" t="s">
        <v>46</v>
      </c>
      <c r="AH7" s="28" t="s">
        <v>47</v>
      </c>
      <c r="AI7" s="28" t="s">
        <v>48</v>
      </c>
      <c r="AJ7" s="33"/>
      <c r="AK7" s="33"/>
      <c r="AL7" s="27"/>
    </row>
    <row r="8" hidden="1">
      <c r="A8" s="27"/>
      <c r="B8" s="37" t="s">
        <v>49</v>
      </c>
      <c r="C8" s="37" t="s">
        <v>50</v>
      </c>
      <c r="D8" s="37"/>
      <c r="E8" s="37" t="s">
        <v>49</v>
      </c>
      <c r="F8" s="37" t="s">
        <v>51</v>
      </c>
      <c r="G8" s="37"/>
      <c r="H8" s="37" t="s">
        <v>49</v>
      </c>
      <c r="I8" s="37" t="s">
        <v>52</v>
      </c>
      <c r="J8" s="37" t="s">
        <v>53</v>
      </c>
      <c r="K8" s="37" t="s">
        <v>54</v>
      </c>
      <c r="L8" s="37" t="s">
        <v>55</v>
      </c>
      <c r="M8" s="37" t="s">
        <v>56</v>
      </c>
      <c r="N8" s="37" t="s">
        <v>57</v>
      </c>
      <c r="O8" s="27"/>
      <c r="P8" s="27"/>
      <c r="Q8" s="37" t="s">
        <v>49</v>
      </c>
      <c r="R8" s="37" t="s">
        <v>50</v>
      </c>
      <c r="S8" s="37"/>
      <c r="T8" s="37" t="s">
        <v>49</v>
      </c>
      <c r="U8" s="37" t="s">
        <v>51</v>
      </c>
      <c r="V8" s="37"/>
      <c r="W8" s="37" t="s">
        <v>49</v>
      </c>
      <c r="X8" s="37" t="s">
        <v>52</v>
      </c>
      <c r="Y8" s="37" t="s">
        <v>53</v>
      </c>
      <c r="Z8" s="37" t="s">
        <v>54</v>
      </c>
      <c r="AA8" s="37" t="s">
        <v>55</v>
      </c>
      <c r="AB8" s="37" t="s">
        <v>56</v>
      </c>
      <c r="AC8" s="37" t="s">
        <v>57</v>
      </c>
      <c r="AD8" s="27"/>
      <c r="AE8" s="33"/>
      <c r="AF8" s="33"/>
      <c r="AG8" s="33"/>
      <c r="AH8" s="33"/>
      <c r="AI8" s="33"/>
      <c r="AJ8" s="37" t="s">
        <v>58</v>
      </c>
      <c r="AK8" s="38" t="s">
        <v>59</v>
      </c>
      <c r="AL8" s="39" t="s">
        <v>60</v>
      </c>
    </row>
    <row r="9" ht="15.0" customHeight="1">
      <c r="A9" s="40" t="str">
        <f>AE9</f>
        <v>Matthew Borg/Jean Attard</v>
      </c>
      <c r="B9" s="41">
        <v>7.0</v>
      </c>
      <c r="C9" s="42">
        <f>IF(B9&gt;B11,1,0)</f>
        <v>1</v>
      </c>
      <c r="D9" s="43"/>
      <c r="E9" s="41">
        <v>6.0</v>
      </c>
      <c r="F9" s="42">
        <f>IF(E9&gt;E11,1,0)</f>
        <v>0</v>
      </c>
      <c r="G9" s="43"/>
      <c r="H9" s="41">
        <v>10.0</v>
      </c>
      <c r="I9" s="27">
        <f>IF(H9&gt;H11,1,0)</f>
        <v>1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2</v>
      </c>
      <c r="M9" s="27">
        <f>B9+E9</f>
        <v>13</v>
      </c>
      <c r="N9" s="27">
        <f>C9+F9+I9</f>
        <v>2</v>
      </c>
      <c r="O9" s="27"/>
      <c r="P9" s="40" t="str">
        <f>AE9</f>
        <v>Matthew Borg/Jean Attard</v>
      </c>
      <c r="Q9" s="41">
        <v>6.0</v>
      </c>
      <c r="R9" s="42">
        <f>IF(Q9&gt;Q11,1,0)</f>
        <v>1</v>
      </c>
      <c r="S9" s="43"/>
      <c r="T9" s="41">
        <v>6.0</v>
      </c>
      <c r="U9" s="42">
        <f>IF(T9&gt;T11,1,0)</f>
        <v>1</v>
      </c>
      <c r="V9" s="43"/>
      <c r="W9" s="44"/>
      <c r="X9" s="27">
        <f>IF(W9&gt;W11,1,0)</f>
        <v>0</v>
      </c>
      <c r="Y9" s="27">
        <f>IF(Q9="",0,1)</f>
        <v>1</v>
      </c>
      <c r="Z9" s="27">
        <f>IF(R9+U9=2,3,IF(R9+U9=1,1,0))</f>
        <v>3</v>
      </c>
      <c r="AA9" s="27">
        <f>IF(Z9=3,3,IF(X9+Z9=2,2,IF(Z9=1,1,0)))</f>
        <v>3</v>
      </c>
      <c r="AB9" s="27">
        <f>Q9+T9</f>
        <v>12</v>
      </c>
      <c r="AC9" s="27">
        <f>R9+U9+X9</f>
        <v>2</v>
      </c>
      <c r="AD9" s="27"/>
      <c r="AE9" s="45" t="str">
        <f>'Players Men'!B6</f>
        <v>Matthew Borg/Jean Attard</v>
      </c>
      <c r="AF9" s="46">
        <f>J9+Y9+Y13+J13</f>
        <v>4</v>
      </c>
      <c r="AG9" s="46">
        <f t="shared" ref="AG9:AI9" si="1">L9+AA9+L13+AA13</f>
        <v>9</v>
      </c>
      <c r="AH9" s="46">
        <f t="shared" si="1"/>
        <v>46</v>
      </c>
      <c r="AI9" s="47">
        <f t="shared" si="1"/>
        <v>7</v>
      </c>
      <c r="AJ9" s="27">
        <f>MAX(AG9:AG19)</f>
        <v>11</v>
      </c>
      <c r="AK9" s="27">
        <f>SUM(AF9:AF19)</f>
        <v>20</v>
      </c>
      <c r="AL9" s="27" t="str">
        <f>IF(AG9=$AJ$9,AE9,IF(AG11=$AJ$9,AE11,IF(AG13=$AJ$9,AE13,IF(AG15=$AJ$9,AE15,IF(AG17=$AJ$9,AE17,IF(AG19=$AJ$9,AE19,""))))))</f>
        <v>Matthew Mifsud/Melchior Farrugia</v>
      </c>
    </row>
    <row r="10" ht="15.0" customHeight="1">
      <c r="A10" s="48" t="s">
        <v>61</v>
      </c>
      <c r="H10" s="49"/>
      <c r="I10" s="50"/>
      <c r="J10" s="27"/>
      <c r="K10" s="27"/>
      <c r="L10" s="27"/>
      <c r="M10" s="27"/>
      <c r="N10" s="27"/>
      <c r="O10" s="27"/>
      <c r="P10" s="48" t="s">
        <v>61</v>
      </c>
      <c r="W10" s="49"/>
      <c r="X10" s="50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27"/>
    </row>
    <row r="11" ht="15.0" customHeight="1">
      <c r="A11" s="51" t="str">
        <f>AE11</f>
        <v>Gavin Borg/Massimo Giovannini</v>
      </c>
      <c r="B11" s="41">
        <v>5.0</v>
      </c>
      <c r="C11" s="52">
        <f>IF(B11&gt;B9,1,0)</f>
        <v>0</v>
      </c>
      <c r="D11" s="53"/>
      <c r="E11" s="41">
        <v>7.0</v>
      </c>
      <c r="F11" s="52">
        <f>IF(E11&gt;E9,1,0)</f>
        <v>1</v>
      </c>
      <c r="G11" s="53"/>
      <c r="H11" s="41">
        <v>5.0</v>
      </c>
      <c r="I11" s="27">
        <f>IF(H11&gt;H9,1,0)</f>
        <v>0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1</v>
      </c>
      <c r="M11" s="27">
        <f>B11+E11</f>
        <v>12</v>
      </c>
      <c r="N11" s="27">
        <f>C11+F11+I11</f>
        <v>1</v>
      </c>
      <c r="O11" s="27"/>
      <c r="P11" s="51" t="str">
        <f>AE13</f>
        <v>Claude Mifsud Wismayer/Adrian Chetcuti</v>
      </c>
      <c r="Q11" s="41">
        <v>2.0</v>
      </c>
      <c r="R11" s="52">
        <f>IF(Q11&gt;Q9,1,0)</f>
        <v>0</v>
      </c>
      <c r="S11" s="53"/>
      <c r="T11" s="41">
        <v>0.0</v>
      </c>
      <c r="U11" s="52">
        <f>IF(T11&gt;T9,1,0)</f>
        <v>0</v>
      </c>
      <c r="V11" s="53"/>
      <c r="W11" s="44"/>
      <c r="X11" s="27">
        <f>IF(W11&gt;W9,1,0)</f>
        <v>0</v>
      </c>
      <c r="Y11" s="27">
        <f>IF(Q11="",0,1)</f>
        <v>1</v>
      </c>
      <c r="Z11" s="27">
        <f>IF(R11+U11=2,3,IF(R11+U11=1,1,0))</f>
        <v>0</v>
      </c>
      <c r="AA11" s="27">
        <f>IF(Z11=3,3,IF(X11+Z11=2,2,IF(Z11=1,1,0)))</f>
        <v>0</v>
      </c>
      <c r="AB11" s="27">
        <f>Q11+T11</f>
        <v>2</v>
      </c>
      <c r="AC11" s="27">
        <f>R11+U11+X11</f>
        <v>0</v>
      </c>
      <c r="AD11" s="27"/>
      <c r="AE11" s="45" t="str">
        <f>'Players Men'!B7</f>
        <v>Gavin Borg/Massimo Giovannini</v>
      </c>
      <c r="AF11" s="46">
        <f>J11+J25+Y21+J21</f>
        <v>4</v>
      </c>
      <c r="AG11" s="46">
        <f t="shared" ref="AG11:AI11" si="2">L11+L25+AA21+L21</f>
        <v>1</v>
      </c>
      <c r="AH11" s="54">
        <f t="shared" si="2"/>
        <v>29</v>
      </c>
      <c r="AI11" s="47">
        <f t="shared" si="2"/>
        <v>1</v>
      </c>
      <c r="AJ11" s="33"/>
      <c r="AK11" s="33"/>
      <c r="AL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27"/>
    </row>
    <row r="13" ht="15.0" customHeight="1">
      <c r="A13" s="40" t="str">
        <f>AE9</f>
        <v>Matthew Borg/Jean Attard</v>
      </c>
      <c r="B13" s="41">
        <v>6.0</v>
      </c>
      <c r="C13" s="42">
        <f>IF(B13&gt;B15,1,0)</f>
        <v>1</v>
      </c>
      <c r="D13" s="43"/>
      <c r="E13" s="41">
        <v>6.0</v>
      </c>
      <c r="F13" s="42">
        <f>IF(E13&gt;E15,1,0)</f>
        <v>1</v>
      </c>
      <c r="G13" s="43"/>
      <c r="H13" s="44"/>
      <c r="I13" s="27">
        <f>IF(H13&gt;H15,1,0)</f>
        <v>0</v>
      </c>
      <c r="J13" s="27">
        <f>IF(B13="",0,1)</f>
        <v>1</v>
      </c>
      <c r="K13" s="27">
        <f>IF(C13+F13=2,3,IF(C13+F13=1,1,0))</f>
        <v>3</v>
      </c>
      <c r="L13" s="27">
        <f>IF(K13=3,3,IF(I13+K13=2,2,IF(K13=1,1,0)))</f>
        <v>3</v>
      </c>
      <c r="M13" s="27">
        <f>B13+E13</f>
        <v>12</v>
      </c>
      <c r="N13" s="27">
        <f>C13+F13+I13</f>
        <v>2</v>
      </c>
      <c r="O13" s="27"/>
      <c r="P13" s="40" t="str">
        <f>AE9</f>
        <v>Matthew Borg/Jean Attard</v>
      </c>
      <c r="Q13" s="41">
        <v>3.0</v>
      </c>
      <c r="R13" s="42">
        <f>IF(Q13&gt;Q15,1,0)</f>
        <v>0</v>
      </c>
      <c r="S13" s="43"/>
      <c r="T13" s="41">
        <v>6.0</v>
      </c>
      <c r="U13" s="42">
        <f>IF(T13&gt;T15,1,0)</f>
        <v>1</v>
      </c>
      <c r="V13" s="43"/>
      <c r="W13" s="41">
        <v>8.0</v>
      </c>
      <c r="X13" s="27">
        <f>IF(W13&gt;W15,1,0)</f>
        <v>0</v>
      </c>
      <c r="Y13" s="27">
        <f>IF(Q13="",0,1)</f>
        <v>1</v>
      </c>
      <c r="Z13" s="27">
        <f>IF(R13+U13=2,3,IF(R13+U13=1,1,0))</f>
        <v>1</v>
      </c>
      <c r="AA13" s="27">
        <f>IF(Z13=3,3,IF(X13+Z13=2,2,IF(Z13=1,1,0)))</f>
        <v>1</v>
      </c>
      <c r="AB13" s="27">
        <f>Q13+T13</f>
        <v>9</v>
      </c>
      <c r="AC13" s="27">
        <f>R13+U13+X13</f>
        <v>1</v>
      </c>
      <c r="AD13" s="27"/>
      <c r="AE13" s="45" t="str">
        <f>'Players Men'!B8</f>
        <v>Claude Mifsud Wismayer/Adrian Chetcuti</v>
      </c>
      <c r="AF13" s="46">
        <f>Y17+J23+J17+Y11</f>
        <v>4</v>
      </c>
      <c r="AG13" s="46">
        <f>L17+AA17+AA11+L23</f>
        <v>4</v>
      </c>
      <c r="AH13" s="46">
        <f>M17+AB11+M23+AB17</f>
        <v>29</v>
      </c>
      <c r="AI13" s="47">
        <f>N17+AC17+AC11+N23</f>
        <v>3</v>
      </c>
      <c r="AJ13" s="33"/>
      <c r="AK13" s="33"/>
      <c r="AL13" s="27"/>
    </row>
    <row r="14" ht="15.0" customHeight="1">
      <c r="A14" s="48" t="s">
        <v>61</v>
      </c>
      <c r="H14" s="49"/>
      <c r="I14" s="50"/>
      <c r="J14" s="27"/>
      <c r="K14" s="27"/>
      <c r="L14" s="27"/>
      <c r="M14" s="27"/>
      <c r="N14" s="27"/>
      <c r="O14" s="27"/>
      <c r="P14" s="48" t="s">
        <v>61</v>
      </c>
      <c r="W14" s="49"/>
      <c r="X14" s="50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27"/>
    </row>
    <row r="15" ht="15.0" customHeight="1">
      <c r="A15" s="51" t="str">
        <f>AE15</f>
        <v>Trevor Rutter/Jean Carl Azzopardi</v>
      </c>
      <c r="B15" s="41">
        <v>3.0</v>
      </c>
      <c r="C15" s="52">
        <f>IF(B15&gt;B13,1,0)</f>
        <v>0</v>
      </c>
      <c r="D15" s="53"/>
      <c r="E15" s="41">
        <v>4.0</v>
      </c>
      <c r="F15" s="52">
        <f>IF(E15&gt;E13,1,0)</f>
        <v>0</v>
      </c>
      <c r="G15" s="53"/>
      <c r="H15" s="44"/>
      <c r="I15" s="27">
        <f>IF(H15&gt;H13,1,0)</f>
        <v>0</v>
      </c>
      <c r="J15" s="27">
        <f>IF(B15="",0,1)</f>
        <v>1</v>
      </c>
      <c r="K15" s="27">
        <f>IF(C15+F15=2,3,IF(C15+F15=1,1,0))</f>
        <v>0</v>
      </c>
      <c r="L15" s="27">
        <f>IF(K15=3,3,IF(I15+K15=2,2,IF(K15=1,1,0)))</f>
        <v>0</v>
      </c>
      <c r="M15" s="27">
        <f>B15+E15</f>
        <v>7</v>
      </c>
      <c r="N15" s="27">
        <f>C15+F15+I15</f>
        <v>0</v>
      </c>
      <c r="O15" s="27"/>
      <c r="P15" s="51" t="str">
        <f>AE17</f>
        <v>Matthew Mifsud/Melchior Farrugia</v>
      </c>
      <c r="Q15" s="41">
        <v>6.0</v>
      </c>
      <c r="R15" s="52">
        <f>IF(Q15&gt;Q13,1,0)</f>
        <v>1</v>
      </c>
      <c r="S15" s="53"/>
      <c r="T15" s="41">
        <v>3.0</v>
      </c>
      <c r="U15" s="52">
        <f>IF(T15&gt;T13,1,0)</f>
        <v>0</v>
      </c>
      <c r="V15" s="53"/>
      <c r="W15" s="41">
        <v>10.0</v>
      </c>
      <c r="X15" s="27">
        <f>IF(W15&gt;W13,1,0)</f>
        <v>1</v>
      </c>
      <c r="Y15" s="27">
        <f>IF(Q15="",0,1)</f>
        <v>1</v>
      </c>
      <c r="Z15" s="27">
        <f>IF(R15+U15=2,3,IF(R15+U15=1,1,0))</f>
        <v>1</v>
      </c>
      <c r="AA15" s="27">
        <f>IF(Z15=3,3,IF(X15+Z15=2,2,IF(Z15=1,1,0)))</f>
        <v>2</v>
      </c>
      <c r="AB15" s="27">
        <f>Q15+T15</f>
        <v>9</v>
      </c>
      <c r="AC15" s="27">
        <f>R15+U15+X15</f>
        <v>2</v>
      </c>
      <c r="AD15" s="27"/>
      <c r="AE15" s="45" t="str">
        <f>'Players Men'!B9</f>
        <v>Trevor Rutter/Jean Carl Azzopardi</v>
      </c>
      <c r="AF15" s="46">
        <f>Y19+J15+Y23+J29</f>
        <v>4</v>
      </c>
      <c r="AG15" s="46">
        <f t="shared" ref="AG15:AI15" si="3">AA19+L15+AA23+L29</f>
        <v>5</v>
      </c>
      <c r="AH15" s="46">
        <f t="shared" si="3"/>
        <v>34</v>
      </c>
      <c r="AI15" s="47">
        <f t="shared" si="3"/>
        <v>4</v>
      </c>
      <c r="AJ15" s="33"/>
      <c r="AK15" s="33"/>
      <c r="AL15" s="27"/>
    </row>
    <row r="17" ht="15.0" customHeight="1">
      <c r="A17" s="40" t="str">
        <f>AE13</f>
        <v>Claude Mifsud Wismayer/Adrian Chetcuti</v>
      </c>
      <c r="B17" s="41">
        <v>4.0</v>
      </c>
      <c r="C17" s="42">
        <f>IF(B17&gt;B19,1,0)</f>
        <v>0</v>
      </c>
      <c r="D17" s="43"/>
      <c r="E17" s="41">
        <v>2.0</v>
      </c>
      <c r="F17" s="42">
        <f>IF(E17&gt;E19,1,0)</f>
        <v>0</v>
      </c>
      <c r="G17" s="43"/>
      <c r="H17" s="44"/>
      <c r="I17" s="27">
        <f>IF(H17&gt;H19,1,0)</f>
        <v>0</v>
      </c>
      <c r="J17" s="27">
        <f>IF(B17="",0,1)</f>
        <v>1</v>
      </c>
      <c r="K17" s="27">
        <f>IF(C17+F17=2,3,IF(C17+F17=1,1,0))</f>
        <v>0</v>
      </c>
      <c r="L17" s="27">
        <f>IF(K17=3,3,IF(I17+K17=2,2,IF(K17=1,1,0)))</f>
        <v>0</v>
      </c>
      <c r="M17" s="27">
        <f>B17+E17</f>
        <v>6</v>
      </c>
      <c r="N17" s="27">
        <f>C17+F17+I17</f>
        <v>0</v>
      </c>
      <c r="O17" s="27"/>
      <c r="P17" s="40" t="str">
        <f>AE13</f>
        <v>Claude Mifsud Wismayer/Adrian Chetcuti</v>
      </c>
      <c r="Q17" s="41">
        <v>3.0</v>
      </c>
      <c r="R17" s="42">
        <f>IF(Q17&gt;Q19,1,0)</f>
        <v>0</v>
      </c>
      <c r="S17" s="43"/>
      <c r="T17" s="41">
        <v>6.0</v>
      </c>
      <c r="U17" s="42">
        <f>IF(T17&gt;T19,1,0)</f>
        <v>1</v>
      </c>
      <c r="V17" s="43"/>
      <c r="W17" s="41">
        <v>5.0</v>
      </c>
      <c r="X17" s="27">
        <f>IF(W17&gt;W19,1,0)</f>
        <v>0</v>
      </c>
      <c r="Y17" s="27">
        <f>IF(Q17="",0,1)</f>
        <v>1</v>
      </c>
      <c r="Z17" s="27">
        <f>IF(R17+U17=2,3,IF(R17+U17=1,1,0))</f>
        <v>1</v>
      </c>
      <c r="AA17" s="27">
        <f>IF(Z17=3,3,IF(X17+Z17=2,2,IF(Z17=1,1,0)))</f>
        <v>1</v>
      </c>
      <c r="AB17" s="27">
        <f>Q17+T17</f>
        <v>9</v>
      </c>
      <c r="AC17" s="27">
        <f>R17+U17+X17</f>
        <v>1</v>
      </c>
      <c r="AD17" s="27"/>
      <c r="AE17" s="45" t="str">
        <f>'Players Men'!B10</f>
        <v>Matthew Mifsud/Melchior Farrugia</v>
      </c>
      <c r="AF17" s="46">
        <f>Y15+J27+J19+J31</f>
        <v>4</v>
      </c>
      <c r="AG17" s="54">
        <f t="shared" ref="AG17:AH17" si="4">AA15+L27+L19+L31</f>
        <v>11</v>
      </c>
      <c r="AH17" s="46">
        <f t="shared" si="4"/>
        <v>46</v>
      </c>
      <c r="AI17" s="47">
        <f>N31+N27+AC15+N19</f>
        <v>8</v>
      </c>
    </row>
    <row r="18" ht="15.0" customHeight="1">
      <c r="A18" s="48" t="s">
        <v>61</v>
      </c>
      <c r="H18" s="49"/>
      <c r="I18" s="50"/>
      <c r="J18" s="27"/>
      <c r="K18" s="27"/>
      <c r="L18" s="27"/>
      <c r="M18" s="27"/>
      <c r="N18" s="27"/>
      <c r="O18" s="27"/>
      <c r="P18" s="48" t="s">
        <v>61</v>
      </c>
      <c r="W18" s="49"/>
      <c r="X18" s="50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</row>
    <row r="19" ht="15.0" customHeight="1">
      <c r="A19" s="51" t="str">
        <f>AE17</f>
        <v>Matthew Mifsud/Melchior Farrugia</v>
      </c>
      <c r="B19" s="41">
        <v>6.0</v>
      </c>
      <c r="C19" s="52">
        <f>IF(B19&gt;B17,1,0)</f>
        <v>1</v>
      </c>
      <c r="D19" s="53"/>
      <c r="E19" s="41">
        <v>6.0</v>
      </c>
      <c r="F19" s="52">
        <f>IF(E19&gt;E17,1,0)</f>
        <v>1</v>
      </c>
      <c r="G19" s="53"/>
      <c r="H19" s="44"/>
      <c r="I19" s="27">
        <f>IF(H19&gt;H17,1,0)</f>
        <v>0</v>
      </c>
      <c r="J19" s="27">
        <f>IF(B19="",0,1)</f>
        <v>1</v>
      </c>
      <c r="K19" s="27">
        <f>IF(C19+F19=2,3,IF(C19+F19=1,1,0))</f>
        <v>3</v>
      </c>
      <c r="L19" s="27">
        <f>IF(K19=3,3,IF(I19+K19=2,2,IF(K19=1,1,0)))</f>
        <v>3</v>
      </c>
      <c r="M19" s="27">
        <f>B19+E19</f>
        <v>12</v>
      </c>
      <c r="N19" s="27">
        <f>C19+F19+I19</f>
        <v>2</v>
      </c>
      <c r="O19" s="27"/>
      <c r="P19" s="51" t="str">
        <f>AE15</f>
        <v>Trevor Rutter/Jean Carl Azzopardi</v>
      </c>
      <c r="Q19" s="41">
        <v>6.0</v>
      </c>
      <c r="R19" s="52">
        <f>IF(Q19&gt;Q17,1,0)</f>
        <v>1</v>
      </c>
      <c r="S19" s="53"/>
      <c r="T19" s="41">
        <v>3.0</v>
      </c>
      <c r="U19" s="52">
        <f>IF(T19&gt;T17,1,0)</f>
        <v>0</v>
      </c>
      <c r="V19" s="53"/>
      <c r="W19" s="41">
        <v>10.0</v>
      </c>
      <c r="X19" s="27">
        <f>IF(W19&gt;W17,1,0)</f>
        <v>1</v>
      </c>
      <c r="Y19" s="27">
        <f>IF(Q19="",0,1)</f>
        <v>1</v>
      </c>
      <c r="Z19" s="27">
        <f>IF(R19+U19=2,3,IF(R19+U19=1,1,0))</f>
        <v>1</v>
      </c>
      <c r="AA19" s="27">
        <f>IF(Z19=3,3,IF(X19+Z19=2,2,IF(Z19=1,1,0)))</f>
        <v>2</v>
      </c>
      <c r="AB19" s="27">
        <f>Q19+T19</f>
        <v>9</v>
      </c>
      <c r="AC19" s="27">
        <f>R19+U19+X19</f>
        <v>2</v>
      </c>
      <c r="AD19" s="27"/>
      <c r="AE19" s="29" t="s">
        <v>62</v>
      </c>
      <c r="AF19" s="30"/>
      <c r="AG19" s="30"/>
      <c r="AH19" s="30"/>
      <c r="AI19" s="11"/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55" t="s">
        <v>12</v>
      </c>
      <c r="AF20" s="30"/>
      <c r="AG20" s="30"/>
      <c r="AH20" s="30"/>
      <c r="AI20" s="11"/>
    </row>
    <row r="21" ht="15.0" customHeight="1">
      <c r="A21" s="40" t="str">
        <f>AE11</f>
        <v>Gavin Borg/Massimo Giovannini</v>
      </c>
      <c r="B21" s="41">
        <v>2.0</v>
      </c>
      <c r="C21" s="42">
        <f>IF(B21&gt;B23,1,0)</f>
        <v>0</v>
      </c>
      <c r="D21" s="43"/>
      <c r="E21" s="41">
        <v>3.0</v>
      </c>
      <c r="F21" s="42">
        <f>IF(E21&gt;E23,1,0)</f>
        <v>0</v>
      </c>
      <c r="G21" s="43"/>
      <c r="H21" s="44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5</v>
      </c>
      <c r="N21" s="27">
        <f>C21+F21+I21</f>
        <v>0</v>
      </c>
      <c r="O21" s="27"/>
      <c r="P21" s="40" t="str">
        <f>AE11</f>
        <v>Gavin Borg/Massimo Giovannini</v>
      </c>
      <c r="Q21" s="41">
        <v>2.0</v>
      </c>
      <c r="R21" s="42">
        <f>IF(Q21&gt;Q23,1,0)</f>
        <v>0</v>
      </c>
      <c r="S21" s="43"/>
      <c r="T21" s="41">
        <v>3.0</v>
      </c>
      <c r="U21" s="42">
        <f>IF(T21&gt;T23,1,0)</f>
        <v>0</v>
      </c>
      <c r="V21" s="43"/>
      <c r="W21" s="44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5</v>
      </c>
      <c r="AC21" s="27">
        <f>R21+U21+X21</f>
        <v>0</v>
      </c>
      <c r="AD21" s="27"/>
    </row>
    <row r="22" ht="15.0" customHeight="1">
      <c r="A22" s="48" t="s">
        <v>61</v>
      </c>
      <c r="H22" s="49"/>
      <c r="I22" s="50"/>
      <c r="J22" s="27"/>
      <c r="K22" s="27"/>
      <c r="L22" s="27"/>
      <c r="M22" s="27"/>
      <c r="N22" s="27"/>
      <c r="O22" s="27"/>
      <c r="P22" s="48" t="s">
        <v>61</v>
      </c>
      <c r="W22" s="49"/>
      <c r="X22" s="50"/>
      <c r="Y22" s="27"/>
      <c r="Z22" s="27"/>
      <c r="AA22" s="27"/>
      <c r="AB22" s="27"/>
      <c r="AC22" s="27"/>
      <c r="AD22" s="27"/>
    </row>
    <row r="23" ht="15.0" customHeight="1">
      <c r="A23" s="51" t="str">
        <f>AE13</f>
        <v>Claude Mifsud Wismayer/Adrian Chetcuti</v>
      </c>
      <c r="B23" s="41">
        <v>6.0</v>
      </c>
      <c r="C23" s="52">
        <f>IF(B23&gt;B21,1,0)</f>
        <v>1</v>
      </c>
      <c r="D23" s="53"/>
      <c r="E23" s="41">
        <v>6.0</v>
      </c>
      <c r="F23" s="52">
        <f>IF(E23&gt;E21,1,0)</f>
        <v>1</v>
      </c>
      <c r="G23" s="53"/>
      <c r="H23" s="44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1" t="str">
        <f>AE15</f>
        <v>Trevor Rutter/Jean Carl Azzopardi</v>
      </c>
      <c r="Q23" s="41">
        <v>6.0</v>
      </c>
      <c r="R23" s="52">
        <f>IF(Q23&gt;Q21,1,0)</f>
        <v>1</v>
      </c>
      <c r="S23" s="53"/>
      <c r="T23" s="41">
        <v>6.0</v>
      </c>
      <c r="U23" s="52">
        <f>IF(T23&gt;T21,1,0)</f>
        <v>1</v>
      </c>
      <c r="V23" s="53"/>
      <c r="W23" s="44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</row>
    <row r="24" ht="15.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ht="15.0" customHeight="1">
      <c r="A25" s="40" t="str">
        <f>AE11</f>
        <v>Gavin Borg/Massimo Giovannini</v>
      </c>
      <c r="B25" s="41">
        <v>5.0</v>
      </c>
      <c r="C25" s="42">
        <f>IF(B25&gt;B27,1,0)</f>
        <v>0</v>
      </c>
      <c r="D25" s="43"/>
      <c r="E25" s="41">
        <v>2.0</v>
      </c>
      <c r="F25" s="42">
        <f>IF(E25&gt;E27,1,0)</f>
        <v>0</v>
      </c>
      <c r="G25" s="43"/>
      <c r="H25" s="44"/>
      <c r="I25" s="27">
        <f>IF(H25&gt;H27,1,0)</f>
        <v>0</v>
      </c>
      <c r="J25" s="27">
        <f>IF(B25="",0,1)</f>
        <v>1</v>
      </c>
      <c r="K25" s="27">
        <f>IF(C25+F25=2,3,IF(C25+F25=1,1,0))</f>
        <v>0</v>
      </c>
      <c r="L25" s="27">
        <f>IF(K25=3,3,IF(I25+K25=2,2,IF(K25=1,1,0)))</f>
        <v>0</v>
      </c>
      <c r="M25" s="27">
        <f>B25+E25</f>
        <v>7</v>
      </c>
      <c r="N25" s="27">
        <f>C25+F25+I25</f>
        <v>0</v>
      </c>
      <c r="O25" s="56" t="s">
        <v>63</v>
      </c>
      <c r="P25" s="27"/>
      <c r="Q25" s="33"/>
      <c r="R25" s="27"/>
      <c r="S25" s="33"/>
      <c r="T25" s="33"/>
      <c r="U25" s="27"/>
      <c r="V25" s="33"/>
      <c r="W25" s="33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33"/>
      <c r="AI25" s="27"/>
    </row>
    <row r="26" ht="15.0" customHeight="1">
      <c r="A26" s="48" t="s">
        <v>61</v>
      </c>
      <c r="H26" s="49"/>
      <c r="I26" s="50"/>
      <c r="J26" s="27"/>
      <c r="K26" s="27"/>
      <c r="L26" s="27"/>
      <c r="M26" s="27"/>
      <c r="N26" s="27"/>
      <c r="O26" s="27"/>
      <c r="X26" s="50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ht="15.0" customHeight="1">
      <c r="A27" s="51" t="str">
        <f>AE17</f>
        <v>Matthew Mifsud/Melchior Farrugia</v>
      </c>
      <c r="B27" s="41">
        <v>7.0</v>
      </c>
      <c r="C27" s="52">
        <f>IF(B27&gt;B25,1,0)</f>
        <v>1</v>
      </c>
      <c r="D27" s="53"/>
      <c r="E27" s="41">
        <v>6.0</v>
      </c>
      <c r="F27" s="52">
        <f>IF(E27&gt;E25,1,0)</f>
        <v>1</v>
      </c>
      <c r="G27" s="53"/>
      <c r="H27" s="44"/>
      <c r="I27" s="27">
        <f>IF(H27&gt;H25,1,0)</f>
        <v>0</v>
      </c>
      <c r="J27" s="27">
        <f>IF(B27="",0,1)</f>
        <v>1</v>
      </c>
      <c r="K27" s="27">
        <f>IF(C27+F27=2,3,IF(C27+F27=1,1,0))</f>
        <v>3</v>
      </c>
      <c r="L27" s="27">
        <f>IF(K27=3,3,IF(I27+K27=2,2,IF(K27=1,1,0)))</f>
        <v>3</v>
      </c>
      <c r="M27" s="27">
        <f>B27+E27</f>
        <v>13</v>
      </c>
      <c r="N27" s="27">
        <f>C27+F27+I27</f>
        <v>2</v>
      </c>
      <c r="O27" s="27"/>
      <c r="P27" s="27"/>
      <c r="Q27" s="33"/>
      <c r="R27" s="27"/>
      <c r="S27" s="33"/>
      <c r="T27" s="33"/>
      <c r="U27" s="27"/>
      <c r="V27" s="33"/>
      <c r="W27" s="33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</row>
    <row r="29" ht="15.0" customHeight="1">
      <c r="A29" s="40" t="str">
        <f>AE15</f>
        <v>Trevor Rutter/Jean Carl Azzopardi</v>
      </c>
      <c r="B29" s="41">
        <v>2.0</v>
      </c>
      <c r="C29" s="42">
        <f>IF(B29&gt;B31,1,0)</f>
        <v>0</v>
      </c>
      <c r="D29" s="43"/>
      <c r="E29" s="41">
        <v>4.0</v>
      </c>
      <c r="F29" s="42">
        <f>IF(E29&gt;E31,1,0)</f>
        <v>0</v>
      </c>
      <c r="G29" s="43"/>
      <c r="H29" s="44"/>
      <c r="I29" s="27">
        <f>IF(H29&gt;H31,1,0)</f>
        <v>0</v>
      </c>
      <c r="J29" s="27">
        <f>IF(B29="",0,1)</f>
        <v>1</v>
      </c>
      <c r="K29" s="27">
        <f>IF(C29+F29=2,3,IF(C29+F29=1,1,0))</f>
        <v>0</v>
      </c>
      <c r="L29" s="27">
        <f>IF(K29=3,3,IF(I29+K29=2,2,IF(K29=1,1,0)))</f>
        <v>0</v>
      </c>
      <c r="M29" s="27">
        <f>B29+E29</f>
        <v>6</v>
      </c>
      <c r="N29" s="27">
        <f>C29+F29+I29</f>
        <v>0</v>
      </c>
      <c r="O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 ht="15.0" customHeight="1">
      <c r="A30" s="48" t="s">
        <v>61</v>
      </c>
      <c r="H30" s="49"/>
      <c r="I30" s="50"/>
      <c r="J30" s="27"/>
      <c r="K30" s="27"/>
      <c r="L30" s="27"/>
      <c r="M30" s="27"/>
      <c r="N30" s="27"/>
      <c r="O30" s="27"/>
      <c r="X30" s="50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ht="15.0" customHeight="1">
      <c r="A31" s="51" t="str">
        <f>AE17</f>
        <v>Matthew Mifsud/Melchior Farrugia</v>
      </c>
      <c r="B31" s="41">
        <v>6.0</v>
      </c>
      <c r="C31" s="52">
        <f>IF(B31&gt;B29,1,0)</f>
        <v>1</v>
      </c>
      <c r="D31" s="53"/>
      <c r="E31" s="41">
        <v>6.0</v>
      </c>
      <c r="F31" s="52">
        <f>IF(E31&gt;E29,1,0)</f>
        <v>1</v>
      </c>
      <c r="G31" s="53"/>
      <c r="H31" s="44"/>
      <c r="I31" s="27">
        <f>IF(H31&gt;H29,1,0)</f>
        <v>0</v>
      </c>
      <c r="J31" s="27">
        <f>IF(B31="",0,1)</f>
        <v>1</v>
      </c>
      <c r="K31" s="27">
        <f>IF(C31+F31=2,3,IF(C31+F31=1,1,0))</f>
        <v>3</v>
      </c>
      <c r="L31" s="27">
        <f>IF(K31=3,3,IF(I31+K31=2,2,IF(K31=1,1,0)))</f>
        <v>3</v>
      </c>
      <c r="M31" s="27">
        <f>B31+E31</f>
        <v>12</v>
      </c>
      <c r="N31" s="27">
        <f>C31+F31+I31</f>
        <v>2</v>
      </c>
      <c r="O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0" customHeight="1">
      <c r="A53" s="57" t="s">
        <v>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6"/>
      <c r="AJ53" s="27"/>
      <c r="AK53" s="27"/>
      <c r="AL53" s="27"/>
    </row>
    <row r="54" ht="15.0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ht="30.0" customHeight="1">
      <c r="A55" s="58" t="s">
        <v>41</v>
      </c>
      <c r="B55" s="59" t="s">
        <v>42</v>
      </c>
      <c r="C55" s="30"/>
      <c r="D55" s="30"/>
      <c r="E55" s="11"/>
      <c r="F55" s="60"/>
      <c r="G55" s="32"/>
      <c r="H55" s="58" t="s">
        <v>43</v>
      </c>
      <c r="I55" s="27"/>
      <c r="J55" s="27"/>
      <c r="K55" s="27"/>
      <c r="L55" s="27"/>
      <c r="M55" s="33"/>
      <c r="N55" s="33"/>
      <c r="O55" s="33"/>
      <c r="P55" s="58" t="s">
        <v>41</v>
      </c>
      <c r="Q55" s="59" t="s">
        <v>42</v>
      </c>
      <c r="R55" s="30"/>
      <c r="S55" s="30"/>
      <c r="T55" s="11"/>
      <c r="U55" s="61"/>
      <c r="V55" s="32"/>
      <c r="W55" s="58" t="s">
        <v>43</v>
      </c>
      <c r="X55" s="27"/>
      <c r="Y55" s="33"/>
      <c r="Z55" s="33"/>
      <c r="AA55" s="33"/>
      <c r="AB55" s="33"/>
      <c r="AC55" s="33"/>
      <c r="AD55" s="33"/>
      <c r="AE55" s="58" t="s">
        <v>44</v>
      </c>
      <c r="AF55" s="62" t="s">
        <v>45</v>
      </c>
      <c r="AG55" s="62" t="s">
        <v>46</v>
      </c>
      <c r="AH55" s="58" t="s">
        <v>47</v>
      </c>
      <c r="AI55" s="58" t="s">
        <v>48</v>
      </c>
      <c r="AJ55" s="63"/>
      <c r="AK55" s="63"/>
      <c r="AL55" s="27"/>
    </row>
    <row r="56" ht="15.75" hidden="1" customHeight="1">
      <c r="A56" s="27"/>
      <c r="B56" s="37" t="s">
        <v>49</v>
      </c>
      <c r="C56" s="37" t="s">
        <v>50</v>
      </c>
      <c r="D56" s="37"/>
      <c r="E56" s="37" t="s">
        <v>49</v>
      </c>
      <c r="F56" s="37" t="s">
        <v>51</v>
      </c>
      <c r="G56" s="37"/>
      <c r="H56" s="37" t="s">
        <v>49</v>
      </c>
      <c r="I56" s="37" t="s">
        <v>52</v>
      </c>
      <c r="J56" s="37" t="s">
        <v>53</v>
      </c>
      <c r="K56" s="37" t="s">
        <v>54</v>
      </c>
      <c r="L56" s="37" t="s">
        <v>55</v>
      </c>
      <c r="M56" s="37" t="s">
        <v>56</v>
      </c>
      <c r="N56" s="37" t="s">
        <v>57</v>
      </c>
      <c r="O56" s="27"/>
      <c r="P56" s="27"/>
      <c r="Q56" s="37" t="s">
        <v>49</v>
      </c>
      <c r="R56" s="37" t="s">
        <v>50</v>
      </c>
      <c r="S56" s="37"/>
      <c r="T56" s="37" t="s">
        <v>49</v>
      </c>
      <c r="U56" s="37" t="s">
        <v>51</v>
      </c>
      <c r="V56" s="37"/>
      <c r="W56" s="37" t="s">
        <v>49</v>
      </c>
      <c r="X56" s="37" t="s">
        <v>52</v>
      </c>
      <c r="Y56" s="37" t="s">
        <v>53</v>
      </c>
      <c r="Z56" s="37" t="s">
        <v>54</v>
      </c>
      <c r="AA56" s="37" t="s">
        <v>55</v>
      </c>
      <c r="AB56" s="37" t="s">
        <v>56</v>
      </c>
      <c r="AC56" s="37" t="s">
        <v>57</v>
      </c>
      <c r="AD56" s="27"/>
      <c r="AE56" s="33"/>
      <c r="AF56" s="33"/>
      <c r="AG56" s="33"/>
      <c r="AH56" s="33"/>
      <c r="AI56" s="33"/>
      <c r="AJ56" s="37" t="s">
        <v>58</v>
      </c>
      <c r="AK56" s="38" t="s">
        <v>59</v>
      </c>
      <c r="AL56" s="39" t="s">
        <v>60</v>
      </c>
    </row>
    <row r="57" ht="15.0" customHeight="1">
      <c r="A57" s="40" t="str">
        <f>AE57</f>
        <v>Duncan D'Alessandro/Jesmond Pule’</v>
      </c>
      <c r="B57" s="41">
        <v>7.0</v>
      </c>
      <c r="C57" s="42">
        <f>IF(B57&gt;B59,1,0)</f>
        <v>1</v>
      </c>
      <c r="D57" s="43"/>
      <c r="E57" s="41">
        <v>3.0</v>
      </c>
      <c r="F57" s="42">
        <f>IF(E57&gt;E59,1,0)</f>
        <v>0</v>
      </c>
      <c r="G57" s="43"/>
      <c r="H57" s="41">
        <v>10.0</v>
      </c>
      <c r="I57" s="27">
        <f>IF(H57&gt;H59,1,0)</f>
        <v>1</v>
      </c>
      <c r="J57" s="27">
        <f>IF(B57="",0,1)</f>
        <v>1</v>
      </c>
      <c r="K57" s="27">
        <f>IF(C57+F57=2,3,IF(C57+F57=1,1,0))</f>
        <v>1</v>
      </c>
      <c r="L57" s="27">
        <f>IF(K57=3,3,IF(I57+K57=2,2,IF(K57=1,1,0)))</f>
        <v>2</v>
      </c>
      <c r="M57" s="27">
        <f>B57+E57</f>
        <v>10</v>
      </c>
      <c r="N57" s="27">
        <f>C57+F57+I57</f>
        <v>2</v>
      </c>
      <c r="O57" s="27"/>
      <c r="P57" s="40" t="str">
        <f>AE57</f>
        <v>Duncan D'Alessandro/Jesmond Pule’</v>
      </c>
      <c r="Q57" s="41">
        <v>6.0</v>
      </c>
      <c r="R57" s="42">
        <f>IF(Q57&gt;Q59,1,0)</f>
        <v>1</v>
      </c>
      <c r="S57" s="43"/>
      <c r="T57" s="41">
        <v>6.0</v>
      </c>
      <c r="U57" s="42">
        <f>IF(T57&gt;T59,1,0)</f>
        <v>1</v>
      </c>
      <c r="V57" s="43"/>
      <c r="W57" s="44"/>
      <c r="X57" s="27">
        <f>IF(W57&gt;W59,1,0)</f>
        <v>0</v>
      </c>
      <c r="Y57" s="27">
        <f>IF(Q57="",0,1)</f>
        <v>1</v>
      </c>
      <c r="Z57" s="27">
        <f>IF(R57+U57=2,3,IF(R57+U57=1,1,0))</f>
        <v>3</v>
      </c>
      <c r="AA57" s="27">
        <f>IF(Z57=3,3,IF(X57+Z57=2,2,IF(Z57=1,1,0)))</f>
        <v>3</v>
      </c>
      <c r="AB57" s="27">
        <f>Q57+T57</f>
        <v>12</v>
      </c>
      <c r="AC57" s="27">
        <f>R57+U57+X57</f>
        <v>2</v>
      </c>
      <c r="AD57" s="27"/>
      <c r="AE57" s="64" t="str">
        <f>'Players Men'!F6</f>
        <v>Duncan D'Alessandro/Jesmond Pule’</v>
      </c>
      <c r="AF57" s="46">
        <f>J57+Y57+J61+Y61</f>
        <v>4</v>
      </c>
      <c r="AG57" s="46">
        <f t="shared" ref="AG57:AI57" si="5">L57+AA57+L61+AA61</f>
        <v>11</v>
      </c>
      <c r="AH57" s="46">
        <f t="shared" si="5"/>
        <v>47</v>
      </c>
      <c r="AI57" s="47">
        <f t="shared" si="5"/>
        <v>8</v>
      </c>
      <c r="AJ57" s="27">
        <f>MAX(AG57:AG66)</f>
        <v>11</v>
      </c>
      <c r="AK57" s="27">
        <f>SUM(AF57:AF66)</f>
        <v>18</v>
      </c>
      <c r="AL57" s="27" t="str">
        <f>IF(AG57=$AJ$57,AE57,IF(AG59=$AJ$57,AE59,IF(AG61=$AJ$57,AE61,IF(AG63=$AJ$57,AE63,IF(AG65=$AJ$57,AE65,IF(#REF!=$AJ$57,#REF!,""))))))</f>
        <v>Duncan D'Alessandro/Jesmond Pule’</v>
      </c>
    </row>
    <row r="58" ht="15.0" customHeight="1">
      <c r="A58" s="48" t="s">
        <v>61</v>
      </c>
      <c r="H58" s="49"/>
      <c r="I58" s="50"/>
      <c r="J58" s="27"/>
      <c r="K58" s="27"/>
      <c r="L58" s="27"/>
      <c r="M58" s="27"/>
      <c r="N58" s="27"/>
      <c r="O58" s="27"/>
      <c r="P58" s="48" t="s">
        <v>61</v>
      </c>
      <c r="W58" s="49"/>
      <c r="X58" s="50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33"/>
      <c r="AL58" s="27"/>
    </row>
    <row r="59" ht="15.0" customHeight="1">
      <c r="A59" s="51" t="str">
        <f>AE59</f>
        <v>Gabriel Pace/Nikolai Belli</v>
      </c>
      <c r="B59" s="41">
        <v>6.0</v>
      </c>
      <c r="C59" s="52">
        <f>IF(B59&gt;B57,1,0)</f>
        <v>0</v>
      </c>
      <c r="D59" s="53"/>
      <c r="E59" s="41">
        <v>6.0</v>
      </c>
      <c r="F59" s="52">
        <f>IF(E59&gt;E57,1,0)</f>
        <v>1</v>
      </c>
      <c r="G59" s="53"/>
      <c r="H59" s="41">
        <v>6.0</v>
      </c>
      <c r="I59" s="27">
        <f>IF(H59&gt;H57,1,0)</f>
        <v>0</v>
      </c>
      <c r="J59" s="27">
        <f>IF(B59="",0,1)</f>
        <v>1</v>
      </c>
      <c r="K59" s="27">
        <f>IF(C59+F59=2,3,IF(C59+F59=1,1,0))</f>
        <v>1</v>
      </c>
      <c r="L59" s="27">
        <f>IF(K59=3,3,IF(I59+K59=2,2,IF(K59=1,1,0)))</f>
        <v>1</v>
      </c>
      <c r="M59" s="27">
        <f>B59+E59</f>
        <v>12</v>
      </c>
      <c r="N59" s="27">
        <f>C59+F59+I59</f>
        <v>1</v>
      </c>
      <c r="O59" s="27"/>
      <c r="P59" s="51" t="str">
        <f>AE61</f>
        <v>Reuben Borg/Luigi Porto</v>
      </c>
      <c r="Q59" s="41">
        <v>3.0</v>
      </c>
      <c r="R59" s="52">
        <f>IF(Q59&gt;Q57,1,0)</f>
        <v>0</v>
      </c>
      <c r="S59" s="53"/>
      <c r="T59" s="41">
        <v>1.0</v>
      </c>
      <c r="U59" s="52">
        <f>IF(T59&gt;T57,1,0)</f>
        <v>0</v>
      </c>
      <c r="V59" s="53"/>
      <c r="W59" s="44"/>
      <c r="X59" s="27">
        <f>IF(W59&gt;W57,1,0)</f>
        <v>0</v>
      </c>
      <c r="Y59" s="27">
        <f>IF(Q59="",0,1)</f>
        <v>1</v>
      </c>
      <c r="Z59" s="27">
        <f>IF(R59+U59=2,3,IF(R59+U59=1,1,0))</f>
        <v>0</v>
      </c>
      <c r="AA59" s="27">
        <f>IF(Z59=3,3,IF(X59+Z59=2,2,IF(Z59=1,1,0)))</f>
        <v>0</v>
      </c>
      <c r="AB59" s="27">
        <f>Q59+T59</f>
        <v>4</v>
      </c>
      <c r="AC59" s="27">
        <f>R59+U59+X59</f>
        <v>0</v>
      </c>
      <c r="AD59" s="27"/>
      <c r="AE59" s="64" t="str">
        <f>'Players Men'!F7</f>
        <v>Gabriel Pace/Nikolai Belli</v>
      </c>
      <c r="AF59" s="46">
        <f>J59+J73+Y69+J69</f>
        <v>3</v>
      </c>
      <c r="AG59" s="46">
        <f t="shared" ref="AG59:AI59" si="6">L59+L73+AA69+L69</f>
        <v>6</v>
      </c>
      <c r="AH59" s="46">
        <f t="shared" si="6"/>
        <v>37</v>
      </c>
      <c r="AI59" s="47">
        <f t="shared" si="6"/>
        <v>5</v>
      </c>
      <c r="AJ59" s="33"/>
      <c r="AK59" s="33"/>
      <c r="AL59" s="27"/>
    </row>
    <row r="60" ht="15.0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33"/>
      <c r="AG60" s="33"/>
      <c r="AH60" s="33"/>
      <c r="AI60" s="33"/>
      <c r="AJ60" s="33"/>
      <c r="AK60" s="33"/>
      <c r="AL60" s="27"/>
    </row>
    <row r="61" ht="15.0" customHeight="1">
      <c r="A61" s="40" t="str">
        <f>AE57</f>
        <v>Duncan D'Alessandro/Jesmond Pule’</v>
      </c>
      <c r="B61" s="41">
        <v>7.0</v>
      </c>
      <c r="C61" s="42">
        <f>IF(B61&gt;B63,1,0)</f>
        <v>1</v>
      </c>
      <c r="D61" s="43"/>
      <c r="E61" s="41">
        <v>6.0</v>
      </c>
      <c r="F61" s="42">
        <f>IF(E61&gt;E63,1,0)</f>
        <v>1</v>
      </c>
      <c r="G61" s="43"/>
      <c r="H61" s="44"/>
      <c r="I61" s="27">
        <f>IF(H61&gt;H63,1,0)</f>
        <v>0</v>
      </c>
      <c r="J61" s="27">
        <f>IF(B61="",0,1)</f>
        <v>1</v>
      </c>
      <c r="K61" s="27">
        <f>IF(C61+F61=2,3,IF(C61+F61=1,1,0))</f>
        <v>3</v>
      </c>
      <c r="L61" s="27">
        <f>IF(K61=3,3,IF(I61+K61=2,2,IF(K61=1,1,0)))</f>
        <v>3</v>
      </c>
      <c r="M61" s="27">
        <f>B61+E61</f>
        <v>13</v>
      </c>
      <c r="N61" s="27">
        <f>C61+F61+I61</f>
        <v>2</v>
      </c>
      <c r="O61" s="27"/>
      <c r="P61" s="40" t="str">
        <f>AE57</f>
        <v>Duncan D'Alessandro/Jesmond Pule’</v>
      </c>
      <c r="Q61" s="41">
        <v>6.0</v>
      </c>
      <c r="R61" s="42">
        <f>IF(Q61&gt;Q63,1,0)</f>
        <v>1</v>
      </c>
      <c r="S61" s="43"/>
      <c r="T61" s="41">
        <v>6.0</v>
      </c>
      <c r="U61" s="42">
        <f>IF(T61&gt;T63,1,0)</f>
        <v>1</v>
      </c>
      <c r="V61" s="43"/>
      <c r="W61" s="44"/>
      <c r="X61" s="27">
        <f>IF(W61&gt;W63,1,0)</f>
        <v>0</v>
      </c>
      <c r="Y61" s="27">
        <f>IF(Q61="",0,1)</f>
        <v>1</v>
      </c>
      <c r="Z61" s="27">
        <f>IF(R61+U61=2,3,IF(R61+U61=1,1,0))</f>
        <v>3</v>
      </c>
      <c r="AA61" s="27">
        <f>IF(Z61=3,3,IF(X61+Z61=2,2,IF(Z61=1,1,0)))</f>
        <v>3</v>
      </c>
      <c r="AB61" s="27">
        <f>Q61+T61</f>
        <v>12</v>
      </c>
      <c r="AC61" s="27">
        <f>R61+U61+X61</f>
        <v>2</v>
      </c>
      <c r="AD61" s="27"/>
      <c r="AE61" s="64" t="str">
        <f>'Players Men'!F8</f>
        <v>Reuben Borg/Luigi Porto</v>
      </c>
      <c r="AF61" s="46">
        <f>Y65+Y59+J65+J71</f>
        <v>3</v>
      </c>
      <c r="AG61" s="46">
        <f t="shared" ref="AG61:AI61" si="7">AA65+AA59+L65+L71</f>
        <v>4</v>
      </c>
      <c r="AH61" s="46">
        <f t="shared" si="7"/>
        <v>28</v>
      </c>
      <c r="AI61" s="47">
        <f t="shared" si="7"/>
        <v>3</v>
      </c>
      <c r="AJ61" s="33"/>
      <c r="AK61" s="33"/>
      <c r="AL61" s="27"/>
    </row>
    <row r="62" ht="15.0" customHeight="1">
      <c r="A62" s="48" t="s">
        <v>61</v>
      </c>
      <c r="H62" s="49"/>
      <c r="I62" s="50"/>
      <c r="J62" s="27"/>
      <c r="K62" s="27"/>
      <c r="L62" s="27"/>
      <c r="M62" s="27"/>
      <c r="N62" s="27"/>
      <c r="O62" s="27"/>
      <c r="P62" s="48" t="s">
        <v>61</v>
      </c>
      <c r="W62" s="49"/>
      <c r="X62" s="50"/>
      <c r="Y62" s="27"/>
      <c r="Z62" s="27"/>
      <c r="AA62" s="27"/>
      <c r="AB62" s="27"/>
      <c r="AC62" s="27"/>
      <c r="AD62" s="27"/>
      <c r="AE62" s="27"/>
      <c r="AF62" s="33"/>
      <c r="AG62" s="33"/>
      <c r="AH62" s="33"/>
      <c r="AI62" s="33"/>
      <c r="AJ62" s="33"/>
      <c r="AK62" s="33"/>
      <c r="AL62" s="27"/>
    </row>
    <row r="63" ht="15.0" customHeight="1">
      <c r="A63" s="51" t="str">
        <f>AE63</f>
        <v>Matthew Borg/Roderick Spiteri</v>
      </c>
      <c r="B63" s="41">
        <v>5.0</v>
      </c>
      <c r="C63" s="52">
        <f>IF(B63&gt;B61,1,0)</f>
        <v>0</v>
      </c>
      <c r="D63" s="53"/>
      <c r="E63" s="41">
        <v>1.0</v>
      </c>
      <c r="F63" s="52">
        <f>IF(E63&gt;E61,1,0)</f>
        <v>0</v>
      </c>
      <c r="G63" s="53"/>
      <c r="H63" s="44"/>
      <c r="I63" s="27">
        <f>IF(H63&gt;H61,1,0)</f>
        <v>0</v>
      </c>
      <c r="J63" s="27">
        <f>IF(B63="",0,1)</f>
        <v>1</v>
      </c>
      <c r="K63" s="27">
        <f>IF(C63+F63=2,3,IF(C63+F63=1,1,0))</f>
        <v>0</v>
      </c>
      <c r="L63" s="27">
        <f>IF(K63=3,3,IF(I63+K63=2,2,IF(K63=1,1,0)))</f>
        <v>0</v>
      </c>
      <c r="M63" s="27">
        <f>B63+E63</f>
        <v>6</v>
      </c>
      <c r="N63" s="27">
        <f>C63+F63+I63</f>
        <v>0</v>
      </c>
      <c r="O63" s="27"/>
      <c r="P63" s="51" t="str">
        <f>AE65</f>
        <v>David Schembri/Fotis Evangelou</v>
      </c>
      <c r="Q63" s="41">
        <v>3.0</v>
      </c>
      <c r="R63" s="52">
        <f>IF(Q63&gt;Q61,1,0)</f>
        <v>0</v>
      </c>
      <c r="S63" s="53"/>
      <c r="T63" s="41">
        <v>2.0</v>
      </c>
      <c r="U63" s="52">
        <f>IF(T63&gt;T61,1,0)</f>
        <v>0</v>
      </c>
      <c r="V63" s="53"/>
      <c r="W63" s="44"/>
      <c r="X63" s="27">
        <f>IF(W63&gt;W61,1,0)</f>
        <v>0</v>
      </c>
      <c r="Y63" s="27">
        <f>IF(Q63="",0,1)</f>
        <v>1</v>
      </c>
      <c r="Z63" s="27">
        <f>IF(R63+U63=2,3,IF(R63+U63=1,1,0))</f>
        <v>0</v>
      </c>
      <c r="AA63" s="27">
        <f>IF(Z63=3,3,IF(X63+Z63=2,2,IF(Z63=1,1,0)))</f>
        <v>0</v>
      </c>
      <c r="AB63" s="27">
        <f>Q63+T63</f>
        <v>5</v>
      </c>
      <c r="AC63" s="27">
        <f>R63+U63+X63</f>
        <v>0</v>
      </c>
      <c r="AD63" s="27"/>
      <c r="AE63" s="64" t="str">
        <f>'Players Men'!F9</f>
        <v>Matthew Borg/Roderick Spiteri</v>
      </c>
      <c r="AF63" s="46">
        <f>Y67+J77+J63+Y71</f>
        <v>4</v>
      </c>
      <c r="AG63" s="46">
        <f t="shared" ref="AG63:AI63" si="8">AA67+L77+L63+AA71</f>
        <v>2</v>
      </c>
      <c r="AH63" s="46">
        <f t="shared" si="8"/>
        <v>22</v>
      </c>
      <c r="AI63" s="47">
        <f t="shared" si="8"/>
        <v>2</v>
      </c>
      <c r="AJ63" s="33"/>
      <c r="AK63" s="33"/>
      <c r="AL63" s="27"/>
    </row>
    <row r="64" ht="15.0" customHeight="1">
      <c r="A64" s="27"/>
      <c r="B64" s="33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33"/>
      <c r="AG64" s="33"/>
      <c r="AH64" s="33"/>
      <c r="AI64" s="33"/>
      <c r="AJ64" s="33"/>
      <c r="AK64" s="33"/>
      <c r="AL64" s="27"/>
    </row>
    <row r="65" ht="15.0" customHeight="1">
      <c r="A65" s="40" t="str">
        <f>AE61</f>
        <v>Reuben Borg/Luigi Porto</v>
      </c>
      <c r="B65" s="41">
        <v>5.0</v>
      </c>
      <c r="C65" s="42">
        <f>IF(B65&gt;B67,1,0)</f>
        <v>0</v>
      </c>
      <c r="D65" s="43"/>
      <c r="E65" s="41">
        <v>7.0</v>
      </c>
      <c r="F65" s="42">
        <f>IF(E65&gt;E67,1,0)</f>
        <v>1</v>
      </c>
      <c r="G65" s="43"/>
      <c r="H65" s="41">
        <v>4.0</v>
      </c>
      <c r="I65" s="27">
        <f>IF(H65&gt;H67,1,0)</f>
        <v>0</v>
      </c>
      <c r="J65" s="27">
        <f>IF(B65="",0,1)</f>
        <v>1</v>
      </c>
      <c r="K65" s="27">
        <f>IF(C65+F65=2,3,IF(C65+F65=1,1,0))</f>
        <v>1</v>
      </c>
      <c r="L65" s="27">
        <f>IF(K65=3,3,IF(I65+K65=2,2,IF(K65=1,1,0)))</f>
        <v>1</v>
      </c>
      <c r="M65" s="27">
        <f>B65+E65</f>
        <v>12</v>
      </c>
      <c r="N65" s="27">
        <f>C65+F65+I65</f>
        <v>1</v>
      </c>
      <c r="O65" s="27"/>
      <c r="P65" s="40" t="str">
        <f>AE61</f>
        <v>Reuben Borg/Luigi Porto</v>
      </c>
      <c r="Q65" s="41">
        <v>6.0</v>
      </c>
      <c r="R65" s="42">
        <f>IF(Q65&gt;Q67,1,0)</f>
        <v>1</v>
      </c>
      <c r="S65" s="43"/>
      <c r="T65" s="41">
        <v>6.0</v>
      </c>
      <c r="U65" s="42">
        <f>IF(T65&gt;T67,1,0)</f>
        <v>1</v>
      </c>
      <c r="V65" s="43"/>
      <c r="W65" s="44"/>
      <c r="X65" s="27">
        <f>IF(W65&gt;W67,1,0)</f>
        <v>0</v>
      </c>
      <c r="Y65" s="27">
        <f>IF(Q65="",0,1)</f>
        <v>1</v>
      </c>
      <c r="Z65" s="27">
        <f>IF(R65+U65=2,3,IF(R65+U65=1,1,0))</f>
        <v>3</v>
      </c>
      <c r="AA65" s="27">
        <f>IF(Z65=3,3,IF(X65+Z65=2,2,IF(Z65=1,1,0)))</f>
        <v>3</v>
      </c>
      <c r="AB65" s="27">
        <f>Q65+T65</f>
        <v>12</v>
      </c>
      <c r="AC65" s="27">
        <f>R65+U65+X65</f>
        <v>2</v>
      </c>
      <c r="AD65" s="56" t="s">
        <v>64</v>
      </c>
      <c r="AE65" s="64" t="str">
        <f>'Players Men'!F10</f>
        <v>David Schembri/Fotis Evangelou</v>
      </c>
      <c r="AF65" s="46">
        <f>J79+J75+Y63+J67</f>
        <v>4</v>
      </c>
      <c r="AG65" s="46">
        <f t="shared" ref="AG65:AI65" si="9">L79+L75+AA63+L67</f>
        <v>4</v>
      </c>
      <c r="AH65" s="46">
        <f t="shared" si="9"/>
        <v>36</v>
      </c>
      <c r="AI65" s="47">
        <f t="shared" si="9"/>
        <v>4</v>
      </c>
      <c r="AJ65" s="33"/>
      <c r="AK65" s="33"/>
      <c r="AL65" s="27"/>
    </row>
    <row r="66" ht="15.0" customHeight="1">
      <c r="A66" s="48" t="s">
        <v>61</v>
      </c>
      <c r="H66" s="49"/>
      <c r="I66" s="50"/>
      <c r="J66" s="27"/>
      <c r="K66" s="27"/>
      <c r="L66" s="27"/>
      <c r="M66" s="27"/>
      <c r="N66" s="27"/>
      <c r="O66" s="27"/>
      <c r="P66" s="48" t="s">
        <v>61</v>
      </c>
      <c r="W66" s="49"/>
      <c r="X66" s="50"/>
      <c r="Y66" s="27"/>
      <c r="Z66" s="27"/>
      <c r="AA66" s="27"/>
      <c r="AB66" s="27"/>
      <c r="AC66" s="27"/>
      <c r="AD66" s="27"/>
      <c r="AE66" s="27"/>
      <c r="AF66" s="33"/>
      <c r="AG66" s="33"/>
      <c r="AH66" s="33"/>
      <c r="AI66" s="33"/>
      <c r="AJ66" s="33"/>
      <c r="AK66" s="33"/>
      <c r="AL66" s="27"/>
    </row>
    <row r="67" ht="15.0" customHeight="1">
      <c r="A67" s="51" t="str">
        <f>AE65</f>
        <v>David Schembri/Fotis Evangelou</v>
      </c>
      <c r="B67" s="41">
        <v>7.0</v>
      </c>
      <c r="C67" s="52">
        <f>IF(B67&gt;B65,1,0)</f>
        <v>1</v>
      </c>
      <c r="D67" s="53"/>
      <c r="E67" s="41">
        <v>5.0</v>
      </c>
      <c r="F67" s="52">
        <f>IF(E67&gt;E65,1,0)</f>
        <v>0</v>
      </c>
      <c r="G67" s="53"/>
      <c r="H67" s="41">
        <v>10.0</v>
      </c>
      <c r="I67" s="27">
        <f>IF(H67&gt;H65,1,0)</f>
        <v>1</v>
      </c>
      <c r="J67" s="27">
        <f>IF(B67="",0,1)</f>
        <v>1</v>
      </c>
      <c r="K67" s="27">
        <f>IF(C67+F67=2,3,IF(C67+F67=1,1,0))</f>
        <v>1</v>
      </c>
      <c r="L67" s="27">
        <f>IF(K67=3,3,IF(I67+K67=2,2,IF(K67=1,1,0)))</f>
        <v>2</v>
      </c>
      <c r="M67" s="27">
        <f>B67+E67</f>
        <v>12</v>
      </c>
      <c r="N67" s="27">
        <f>C67+F67+I67</f>
        <v>2</v>
      </c>
      <c r="O67" s="27"/>
      <c r="P67" s="51" t="str">
        <f>AE63</f>
        <v>Matthew Borg/Roderick Spiteri</v>
      </c>
      <c r="Q67" s="41">
        <v>0.0</v>
      </c>
      <c r="R67" s="52">
        <f>IF(Q67&gt;Q65,1,0)</f>
        <v>0</v>
      </c>
      <c r="S67" s="53"/>
      <c r="T67" s="41">
        <v>0.0</v>
      </c>
      <c r="U67" s="52">
        <f>IF(T67&gt;T65,1,0)</f>
        <v>0</v>
      </c>
      <c r="V67" s="53"/>
      <c r="W67" s="44"/>
      <c r="X67" s="27">
        <f>IF(W67&gt;W65,1,0)</f>
        <v>0</v>
      </c>
      <c r="Y67" s="27">
        <f>IF(Q67="",0,1)</f>
        <v>1</v>
      </c>
      <c r="Z67" s="27">
        <f>IF(R67+U67=2,3,IF(R67+U67=1,1,0))</f>
        <v>0</v>
      </c>
      <c r="AA67" s="27">
        <f>IF(Z67=3,3,IF(X67+Z67=2,2,IF(Z67=1,1,0)))</f>
        <v>0</v>
      </c>
      <c r="AB67" s="27">
        <f>Q67+T67</f>
        <v>0</v>
      </c>
      <c r="AC67" s="27">
        <f>R67+U67+X67</f>
        <v>0</v>
      </c>
      <c r="AD67" s="27"/>
      <c r="AE67" s="59" t="s">
        <v>65</v>
      </c>
      <c r="AF67" s="30"/>
      <c r="AG67" s="30"/>
      <c r="AH67" s="30"/>
      <c r="AI67" s="11"/>
      <c r="AJ67" s="27"/>
      <c r="AK67" s="33"/>
      <c r="AL67" s="27"/>
    </row>
    <row r="68" ht="15.0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55" t="s">
        <v>66</v>
      </c>
      <c r="AF68" s="30"/>
      <c r="AG68" s="30"/>
      <c r="AH68" s="30"/>
      <c r="AI68" s="11"/>
    </row>
    <row r="69" ht="15.0" customHeight="1">
      <c r="A69" s="40" t="str">
        <f>AE59</f>
        <v>Gabriel Pace/Nikolai Belli</v>
      </c>
      <c r="B69" s="44"/>
      <c r="C69" s="42">
        <f>IF(B69&gt;B71,1,0)</f>
        <v>0</v>
      </c>
      <c r="D69" s="43"/>
      <c r="E69" s="44"/>
      <c r="F69" s="42">
        <f>IF(E69&gt;E71,1,0)</f>
        <v>0</v>
      </c>
      <c r="G69" s="43"/>
      <c r="H69" s="44"/>
      <c r="I69" s="27">
        <f>IF(H69&gt;H71,1,0)</f>
        <v>0</v>
      </c>
      <c r="J69" s="27">
        <f>IF(B69="",0,1)</f>
        <v>0</v>
      </c>
      <c r="K69" s="27">
        <f>IF(C69+F69=2,3,IF(C69+F69=1,1,0))</f>
        <v>0</v>
      </c>
      <c r="L69" s="27">
        <f>IF(K69=3,3,IF(I69+K69=2,2,IF(K69=1,1,0)))</f>
        <v>0</v>
      </c>
      <c r="M69" s="27">
        <f>B69+E69</f>
        <v>0</v>
      </c>
      <c r="N69" s="27">
        <f>C69+F69+I69</f>
        <v>0</v>
      </c>
      <c r="O69" s="27"/>
      <c r="P69" s="40" t="str">
        <f>AE59</f>
        <v>Gabriel Pace/Nikolai Belli</v>
      </c>
      <c r="Q69" s="41">
        <v>6.0</v>
      </c>
      <c r="R69" s="42">
        <f>IF(Q69&gt;Q71,1,0)</f>
        <v>1</v>
      </c>
      <c r="S69" s="43"/>
      <c r="T69" s="41">
        <v>6.0</v>
      </c>
      <c r="U69" s="42">
        <f>IF(T69&gt;T71,1,0)</f>
        <v>1</v>
      </c>
      <c r="V69" s="43"/>
      <c r="W69" s="44"/>
      <c r="X69" s="27">
        <f>IF(W69&gt;W71,1,0)</f>
        <v>0</v>
      </c>
      <c r="Y69" s="27">
        <f>IF(Q69="",0,1)</f>
        <v>1</v>
      </c>
      <c r="Z69" s="27">
        <f>IF(R69+U69=2,3,IF(R69+U69=1,1,0))</f>
        <v>3</v>
      </c>
      <c r="AA69" s="27">
        <f>IF(Z69=3,3,IF(X69+Z69=2,2,IF(Z69=1,1,0)))</f>
        <v>3</v>
      </c>
      <c r="AB69" s="27">
        <f>Q69+T69</f>
        <v>12</v>
      </c>
      <c r="AC69" s="27">
        <f>R69+U69+X69</f>
        <v>2</v>
      </c>
      <c r="AD69" s="27"/>
    </row>
    <row r="70" ht="15.0" customHeight="1">
      <c r="A70" s="48" t="s">
        <v>61</v>
      </c>
      <c r="H70" s="49"/>
      <c r="I70" s="50"/>
      <c r="J70" s="27"/>
      <c r="K70" s="27"/>
      <c r="L70" s="27"/>
      <c r="M70" s="27"/>
      <c r="N70" s="27"/>
      <c r="O70" s="27"/>
      <c r="P70" s="48" t="s">
        <v>61</v>
      </c>
      <c r="W70" s="49"/>
      <c r="X70" s="50"/>
      <c r="Y70" s="27"/>
      <c r="Z70" s="27"/>
      <c r="AA70" s="27"/>
      <c r="AB70" s="27"/>
      <c r="AC70" s="27"/>
      <c r="AD70" s="27"/>
      <c r="AE70" s="65" t="s">
        <v>67</v>
      </c>
      <c r="AF70" s="30"/>
      <c r="AG70" s="30"/>
      <c r="AH70" s="30"/>
      <c r="AI70" s="30"/>
      <c r="AJ70" s="30"/>
      <c r="AK70" s="30"/>
      <c r="AL70" s="66"/>
    </row>
    <row r="71" ht="15.0" customHeight="1">
      <c r="A71" s="51" t="str">
        <f>AE61</f>
        <v>Reuben Borg/Luigi Porto</v>
      </c>
      <c r="B71" s="44"/>
      <c r="C71" s="52">
        <f>IF(B71&gt;B69,1,0)</f>
        <v>0</v>
      </c>
      <c r="D71" s="53"/>
      <c r="E71" s="44"/>
      <c r="F71" s="52">
        <f>IF(E71&gt;E69,1,0)</f>
        <v>0</v>
      </c>
      <c r="G71" s="53"/>
      <c r="H71" s="44"/>
      <c r="I71" s="27">
        <f>IF(H71&gt;H69,1,0)</f>
        <v>0</v>
      </c>
      <c r="J71" s="27">
        <f>IF(B71="",0,1)</f>
        <v>0</v>
      </c>
      <c r="K71" s="27">
        <f>IF(C71+F71=2,3,IF(C71+F71=1,1,0))</f>
        <v>0</v>
      </c>
      <c r="L71" s="27">
        <f>IF(K71=3,3,IF(I71+K71=2,2,IF(K71=1,1,0)))</f>
        <v>0</v>
      </c>
      <c r="M71" s="27">
        <f>B71+E71</f>
        <v>0</v>
      </c>
      <c r="N71" s="27">
        <f>C71+F71+I71</f>
        <v>0</v>
      </c>
      <c r="O71" s="27"/>
      <c r="P71" s="51" t="str">
        <f>AE63</f>
        <v>Matthew Borg/Roderick Spiteri</v>
      </c>
      <c r="Q71" s="41">
        <v>2.0</v>
      </c>
      <c r="R71" s="52">
        <f>IF(Q71&gt;Q69,1,0)</f>
        <v>0</v>
      </c>
      <c r="S71" s="53"/>
      <c r="T71" s="41">
        <v>4.0</v>
      </c>
      <c r="U71" s="52">
        <f>IF(T71&gt;T69,1,0)</f>
        <v>0</v>
      </c>
      <c r="V71" s="53"/>
      <c r="W71" s="44"/>
      <c r="X71" s="27">
        <f>IF(W71&gt;W69,1,0)</f>
        <v>0</v>
      </c>
      <c r="Y71" s="27">
        <f>IF(Q71="",0,1)</f>
        <v>1</v>
      </c>
      <c r="Z71" s="27">
        <f>IF(R71+U71=2,3,IF(R71+U71=1,1,0))</f>
        <v>0</v>
      </c>
      <c r="AA71" s="27">
        <f>IF(Z71=3,3,IF(X71+Z71=2,2,IF(Z71=1,1,0)))</f>
        <v>0</v>
      </c>
      <c r="AB71" s="27">
        <f>Q71+T71</f>
        <v>6</v>
      </c>
      <c r="AC71" s="27">
        <f>R71+U71+X71</f>
        <v>0</v>
      </c>
      <c r="AD71" s="27"/>
      <c r="AE71" s="27"/>
      <c r="AF71" s="27"/>
      <c r="AG71" s="27"/>
      <c r="AH71" s="27"/>
      <c r="AI71" s="27"/>
      <c r="AJ71" s="27"/>
      <c r="AK71" s="27"/>
      <c r="AL71" s="27"/>
    </row>
    <row r="72" ht="15.0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67" t="s">
        <v>41</v>
      </c>
      <c r="AF72" s="65" t="s">
        <v>42</v>
      </c>
      <c r="AG72" s="30"/>
      <c r="AH72" s="30"/>
      <c r="AI72" s="11"/>
      <c r="AJ72" s="68"/>
      <c r="AK72" s="69"/>
      <c r="AL72" s="67" t="s">
        <v>43</v>
      </c>
    </row>
    <row r="73" ht="15.0" customHeight="1">
      <c r="A73" s="40" t="str">
        <f>AE59</f>
        <v>Gabriel Pace/Nikolai Belli</v>
      </c>
      <c r="B73" s="41">
        <v>6.0</v>
      </c>
      <c r="C73" s="42">
        <f>IF(B73&gt;B75,1,0)</f>
        <v>0</v>
      </c>
      <c r="D73" s="43"/>
      <c r="E73" s="41">
        <v>7.0</v>
      </c>
      <c r="F73" s="42">
        <f>IF(E73&gt;E75,1,0)</f>
        <v>1</v>
      </c>
      <c r="G73" s="43"/>
      <c r="H73" s="41">
        <v>17.0</v>
      </c>
      <c r="I73" s="27">
        <f>IF(H73&gt;H75,1,0)</f>
        <v>1</v>
      </c>
      <c r="J73" s="27">
        <f>IF(B73="",0,1)</f>
        <v>1</v>
      </c>
      <c r="K73" s="27">
        <f>IF(C73+F73=2,3,IF(C73+F73=1,1,0))</f>
        <v>1</v>
      </c>
      <c r="L73" s="27">
        <f>IF(K73=3,3,IF(I73+K73=2,2,IF(K73=1,1,0)))</f>
        <v>2</v>
      </c>
      <c r="M73" s="27">
        <f>B73+E73</f>
        <v>13</v>
      </c>
      <c r="N73" s="27">
        <f>C73+F73+I73</f>
        <v>2</v>
      </c>
      <c r="O73" s="27"/>
      <c r="P73" s="27"/>
      <c r="Q73" s="33"/>
      <c r="R73" s="27"/>
      <c r="S73" s="33"/>
      <c r="T73" s="33"/>
      <c r="U73" s="27"/>
      <c r="V73" s="33"/>
      <c r="W73" s="33"/>
      <c r="X73" s="27"/>
      <c r="Y73" s="27"/>
      <c r="Z73" s="27"/>
      <c r="AA73" s="27"/>
      <c r="AB73" s="27"/>
      <c r="AC73" s="27"/>
      <c r="AD73" s="27"/>
      <c r="AE73" s="27"/>
      <c r="AF73" s="37" t="s">
        <v>49</v>
      </c>
      <c r="AG73" s="37" t="s">
        <v>50</v>
      </c>
      <c r="AH73" s="37"/>
      <c r="AI73" s="37" t="s">
        <v>49</v>
      </c>
      <c r="AJ73" s="37" t="s">
        <v>51</v>
      </c>
      <c r="AK73" s="37"/>
      <c r="AL73" s="37" t="s">
        <v>49</v>
      </c>
    </row>
    <row r="74" ht="15.0" customHeight="1">
      <c r="A74" s="48" t="s">
        <v>61</v>
      </c>
      <c r="H74" s="49"/>
      <c r="I74" s="50"/>
      <c r="J74" s="27"/>
      <c r="K74" s="27"/>
      <c r="L74" s="27"/>
      <c r="M74" s="27"/>
      <c r="N74" s="27"/>
      <c r="O74" s="27"/>
      <c r="P74" s="27"/>
      <c r="X74" s="50"/>
      <c r="Y74" s="27"/>
      <c r="Z74" s="27"/>
      <c r="AA74" s="27"/>
      <c r="AB74" s="27"/>
      <c r="AC74" s="27"/>
      <c r="AD74" s="27"/>
      <c r="AE74" s="70" t="s">
        <v>12</v>
      </c>
      <c r="AF74" s="41">
        <v>6.0</v>
      </c>
      <c r="AG74" s="42">
        <f>IF(AF74&gt;AF76,1,0)</f>
        <v>1</v>
      </c>
      <c r="AH74" s="43"/>
      <c r="AI74" s="41">
        <v>6.0</v>
      </c>
      <c r="AJ74" s="42">
        <f>IF(AI74&gt;AI76,1,0)</f>
        <v>1</v>
      </c>
      <c r="AK74" s="43"/>
      <c r="AL74" s="44"/>
    </row>
    <row r="75" ht="15.0" customHeight="1">
      <c r="A75" s="51" t="str">
        <f>AE65</f>
        <v>David Schembri/Fotis Evangelou</v>
      </c>
      <c r="B75" s="41">
        <v>7.0</v>
      </c>
      <c r="C75" s="52">
        <f>IF(B75&gt;B73,1,0)</f>
        <v>1</v>
      </c>
      <c r="D75" s="53"/>
      <c r="E75" s="41">
        <v>6.0</v>
      </c>
      <c r="F75" s="52">
        <f>IF(E75&gt;E73,1,0)</f>
        <v>0</v>
      </c>
      <c r="G75" s="53"/>
      <c r="H75" s="41">
        <v>15.0</v>
      </c>
      <c r="I75" s="27">
        <f>IF(H75&gt;H73,1,0)</f>
        <v>0</v>
      </c>
      <c r="J75" s="27">
        <f>IF(B75="",0,1)</f>
        <v>1</v>
      </c>
      <c r="K75" s="27">
        <f>IF(C75+F75=2,3,IF(C75+F75=1,1,0))</f>
        <v>1</v>
      </c>
      <c r="L75" s="27">
        <f>IF(K75=3,3,IF(I75+K75=2,2,IF(K75=1,1,0)))</f>
        <v>1</v>
      </c>
      <c r="M75" s="27">
        <f>B75+E75</f>
        <v>13</v>
      </c>
      <c r="N75" s="27">
        <f>C75+F75+I75</f>
        <v>1</v>
      </c>
      <c r="O75" s="27"/>
      <c r="P75" s="27"/>
      <c r="Q75" s="33"/>
      <c r="R75" s="27"/>
      <c r="S75" s="33"/>
      <c r="T75" s="33"/>
      <c r="U75" s="27"/>
      <c r="V75" s="33"/>
      <c r="W75" s="33"/>
      <c r="X75" s="27"/>
      <c r="Y75" s="27"/>
      <c r="Z75" s="27"/>
      <c r="AA75" s="27"/>
      <c r="AB75" s="27"/>
      <c r="AC75" s="27"/>
      <c r="AD75" s="27"/>
      <c r="AE75" s="48" t="s">
        <v>61</v>
      </c>
      <c r="AL75" s="49"/>
    </row>
    <row r="76" ht="15.0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71" t="s">
        <v>66</v>
      </c>
      <c r="AF76" s="41">
        <v>2.0</v>
      </c>
      <c r="AG76" s="52">
        <f>IF(AF76&gt;AF74,1,0)</f>
        <v>0</v>
      </c>
      <c r="AH76" s="53"/>
      <c r="AI76" s="41">
        <v>2.0</v>
      </c>
      <c r="AJ76" s="52">
        <f>IF(AI76&gt;AI74,1,0)</f>
        <v>0</v>
      </c>
      <c r="AK76" s="53"/>
      <c r="AL76" s="44"/>
    </row>
    <row r="77" ht="15.0" customHeight="1">
      <c r="A77" s="40" t="str">
        <f>AE63</f>
        <v>Matthew Borg/Roderick Spiteri</v>
      </c>
      <c r="B77" s="41">
        <v>4.0</v>
      </c>
      <c r="C77" s="42">
        <f>IF(B77&gt;B79,1,0)</f>
        <v>0</v>
      </c>
      <c r="D77" s="43"/>
      <c r="E77" s="41">
        <v>6.0</v>
      </c>
      <c r="F77" s="42">
        <f>IF(E77&gt;E79,1,0)</f>
        <v>1</v>
      </c>
      <c r="G77" s="43"/>
      <c r="H77" s="41">
        <v>10.0</v>
      </c>
      <c r="I77" s="27">
        <f>IF(H77&gt;H79,1,0)</f>
        <v>1</v>
      </c>
      <c r="J77" s="27">
        <f>IF(B77="",0,1)</f>
        <v>1</v>
      </c>
      <c r="K77" s="27">
        <f>IF(C77+F77=2,3,IF(C77+F77=1,1,0))</f>
        <v>1</v>
      </c>
      <c r="L77" s="27">
        <f>IF(K77=3,3,IF(I77+K77=2,2,IF(K77=1,1,0)))</f>
        <v>2</v>
      </c>
      <c r="M77" s="27">
        <f>B77+E77</f>
        <v>10</v>
      </c>
      <c r="N77" s="27">
        <f>C77+F77+I77</f>
        <v>2</v>
      </c>
      <c r="O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ht="15.0" customHeight="1">
      <c r="A78" s="48" t="s">
        <v>61</v>
      </c>
      <c r="H78" s="49"/>
      <c r="I78" s="50"/>
      <c r="J78" s="27"/>
      <c r="K78" s="27"/>
      <c r="L78" s="27"/>
      <c r="M78" s="27"/>
      <c r="N78" s="27"/>
      <c r="O78" s="27"/>
      <c r="AD78" s="27"/>
      <c r="AE78" s="65" t="s">
        <v>68</v>
      </c>
      <c r="AF78" s="30"/>
      <c r="AG78" s="30"/>
      <c r="AH78" s="30"/>
      <c r="AI78" s="30"/>
      <c r="AJ78" s="30"/>
      <c r="AK78" s="30"/>
      <c r="AL78" s="11"/>
    </row>
    <row r="79" ht="15.0" customHeight="1">
      <c r="A79" s="51" t="str">
        <f>AE65</f>
        <v>David Schembri/Fotis Evangelou</v>
      </c>
      <c r="B79" s="41">
        <v>6.0</v>
      </c>
      <c r="C79" s="52">
        <f>IF(B79&gt;B77,1,0)</f>
        <v>1</v>
      </c>
      <c r="D79" s="53"/>
      <c r="E79" s="41">
        <v>0.0</v>
      </c>
      <c r="F79" s="52">
        <f>IF(E79&gt;E77,1,0)</f>
        <v>0</v>
      </c>
      <c r="G79" s="53"/>
      <c r="H79" s="41">
        <v>7.0</v>
      </c>
      <c r="I79" s="27">
        <f>IF(H79&gt;H77,1,0)</f>
        <v>0</v>
      </c>
      <c r="J79" s="27">
        <f>IF(B79="",0,1)</f>
        <v>1</v>
      </c>
      <c r="K79" s="27">
        <f>IF(C79+F79=2,3,IF(C79+F79=1,1,0))</f>
        <v>1</v>
      </c>
      <c r="L79" s="27">
        <f>IF(K79=3,3,IF(I79+K79=2,2,IF(K79=1,1,0)))</f>
        <v>1</v>
      </c>
      <c r="M79" s="27">
        <f>B79+E79</f>
        <v>6</v>
      </c>
      <c r="N79" s="27">
        <f>C79+F79+I79</f>
        <v>1</v>
      </c>
      <c r="O79" s="27"/>
      <c r="AD79" s="27"/>
      <c r="AE79" s="72" t="str">
        <f>IF(AA87&gt;AA89,AE74,AE76)</f>
        <v>Matthew Mifsud/Melchior Farrugia</v>
      </c>
      <c r="AF79" s="73"/>
      <c r="AG79" s="73"/>
      <c r="AH79" s="73"/>
      <c r="AI79" s="73"/>
      <c r="AJ79" s="73"/>
      <c r="AK79" s="73"/>
      <c r="AL79" s="74"/>
    </row>
    <row r="80" ht="15.0" customHeight="1">
      <c r="A80" s="27"/>
      <c r="B80" s="27"/>
      <c r="C80" s="27"/>
      <c r="D80" s="27"/>
      <c r="E80" s="33"/>
      <c r="F80" s="27"/>
      <c r="G80" s="27"/>
      <c r="H80" s="33"/>
      <c r="I80" s="27"/>
      <c r="J80" s="33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33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ht="15.0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6"/>
      <c r="P81" s="77"/>
      <c r="Q81" s="25"/>
      <c r="R81" s="25"/>
      <c r="S81" s="25"/>
      <c r="T81" s="25"/>
      <c r="U81" s="25"/>
      <c r="V81" s="25"/>
      <c r="W81" s="26"/>
      <c r="X81" s="78"/>
      <c r="Y81" s="76"/>
      <c r="Z81" s="76"/>
      <c r="AA81" s="76"/>
      <c r="AB81" s="76"/>
      <c r="AC81" s="76"/>
      <c r="AD81" s="76"/>
      <c r="AE81" s="65" t="s">
        <v>69</v>
      </c>
      <c r="AF81" s="30"/>
      <c r="AG81" s="30"/>
      <c r="AH81" s="30"/>
      <c r="AI81" s="30"/>
      <c r="AJ81" s="30"/>
      <c r="AK81" s="30"/>
      <c r="AL81" s="11"/>
    </row>
    <row r="82" ht="15.75" customHeight="1">
      <c r="AE82" s="72" t="str">
        <f>IF(AA87&lt;AA89,AE74,AE76)</f>
        <v>Duncan D'Alessandro/Jesmond Pule'</v>
      </c>
      <c r="AF82" s="73"/>
      <c r="AG82" s="73"/>
      <c r="AH82" s="73"/>
      <c r="AI82" s="73"/>
      <c r="AJ82" s="73"/>
      <c r="AK82" s="73"/>
      <c r="AL82" s="74"/>
    </row>
    <row r="83" ht="13.5" customHeight="1">
      <c r="X83" s="27"/>
      <c r="Y83" s="27"/>
      <c r="Z83" s="27"/>
      <c r="AA83" s="27"/>
      <c r="AB83" s="27"/>
      <c r="AC83" s="27"/>
    </row>
    <row r="84" ht="13.5" customHeight="1">
      <c r="X84" s="27"/>
      <c r="Y84" s="27"/>
      <c r="Z84" s="27"/>
      <c r="AA84" s="27"/>
      <c r="AB84" s="27"/>
      <c r="AC84" s="27"/>
    </row>
    <row r="85" ht="30.0" customHeight="1">
      <c r="X85" s="27"/>
      <c r="Y85" s="27"/>
      <c r="Z85" s="27"/>
      <c r="AA85" s="27"/>
      <c r="AB85" s="27"/>
      <c r="AC85" s="27"/>
    </row>
    <row r="86" ht="15.75" hidden="1" customHeight="1">
      <c r="X86" s="37" t="s">
        <v>52</v>
      </c>
      <c r="Y86" s="37" t="s">
        <v>53</v>
      </c>
      <c r="Z86" s="37" t="s">
        <v>54</v>
      </c>
      <c r="AA86" s="37" t="s">
        <v>55</v>
      </c>
      <c r="AB86" s="37" t="s">
        <v>56</v>
      </c>
      <c r="AC86" s="37" t="s">
        <v>57</v>
      </c>
    </row>
    <row r="87" ht="13.5" customHeight="1">
      <c r="X87" s="27">
        <f>IF(AL74&gt;AL76,1,0)</f>
        <v>0</v>
      </c>
      <c r="Y87" s="27">
        <f>IF(AF74="",0,1)</f>
        <v>1</v>
      </c>
      <c r="Z87" s="27">
        <f>IF(AG74+AJ74=2,3,IF(AG74+AJ74=1,1,0))</f>
        <v>3</v>
      </c>
      <c r="AA87" s="27">
        <f>IF(Z87=3,3,IF(X87+Z87=2,2,IF(Z87=1,1,0)))</f>
        <v>3</v>
      </c>
      <c r="AB87" s="27">
        <f>AF74+AI74</f>
        <v>12</v>
      </c>
      <c r="AC87" s="27">
        <f>AG74+AJ74+X87</f>
        <v>2</v>
      </c>
    </row>
    <row r="88" ht="13.5" customHeight="1">
      <c r="X88" s="50"/>
      <c r="Y88" s="27"/>
      <c r="Z88" s="27"/>
      <c r="AA88" s="27"/>
      <c r="AB88" s="27"/>
      <c r="AC88" s="27"/>
    </row>
    <row r="89" ht="13.5" customHeight="1">
      <c r="X89" s="27">
        <f>IF(AL76&gt;AL74,1,0)</f>
        <v>0</v>
      </c>
      <c r="Y89" s="27">
        <f>IF(AF76="",0,1)</f>
        <v>1</v>
      </c>
      <c r="Z89" s="27">
        <f>IF(AG76+AJ76=2,3,IF(AG76+AJ76=1,1,0))</f>
        <v>0</v>
      </c>
      <c r="AA89" s="27">
        <f>IF(Z89=3,3,IF(X89+Z89=2,2,IF(Z89=1,1,0)))</f>
        <v>0</v>
      </c>
      <c r="AB89" s="27">
        <f>AF76+AI76</f>
        <v>4</v>
      </c>
      <c r="AC89" s="27">
        <f>AG76+AJ76+X89</f>
        <v>0</v>
      </c>
    </row>
    <row r="90" ht="13.5" customHeight="1">
      <c r="X90" s="27"/>
      <c r="Y90" s="27"/>
      <c r="Z90" s="27"/>
      <c r="AA90" s="27"/>
      <c r="AB90" s="27"/>
      <c r="AC90" s="27"/>
    </row>
    <row r="91" ht="13.5" customHeight="1">
      <c r="X91" s="27"/>
      <c r="Y91" s="27"/>
      <c r="Z91" s="27"/>
      <c r="AA91" s="27"/>
      <c r="AB91" s="27"/>
      <c r="AC91" s="27"/>
    </row>
    <row r="92" ht="13.5" customHeight="1">
      <c r="X92" s="27"/>
      <c r="Y92" s="27"/>
      <c r="Z92" s="27"/>
      <c r="AA92" s="27"/>
      <c r="AB92" s="27"/>
      <c r="AC92" s="27"/>
    </row>
    <row r="93" ht="13.5" customHeight="1">
      <c r="X93" s="27"/>
      <c r="Y93" s="27"/>
      <c r="Z93" s="27"/>
      <c r="AA93" s="27"/>
      <c r="AB93" s="27"/>
      <c r="AC93" s="27"/>
    </row>
    <row r="94" ht="13.5" customHeight="1">
      <c r="X94" s="27"/>
      <c r="Y94" s="27"/>
      <c r="Z94" s="27"/>
      <c r="AA94" s="27"/>
      <c r="AB94" s="27"/>
      <c r="AC94" s="27"/>
    </row>
    <row r="95" ht="13.5" customHeight="1">
      <c r="X95" s="27"/>
      <c r="Y95" s="27"/>
      <c r="Z95" s="27"/>
      <c r="AA95" s="27"/>
      <c r="AB95" s="27"/>
      <c r="AC95" s="27"/>
    </row>
    <row r="96" ht="13.5" customHeight="1">
      <c r="X96" s="27"/>
      <c r="Y96" s="27"/>
      <c r="Z96" s="27"/>
      <c r="AA96" s="27"/>
      <c r="AB96" s="27"/>
      <c r="AC96" s="2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41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19:AI19"/>
    <mergeCell ref="AE20:AI20"/>
    <mergeCell ref="A22:H22"/>
    <mergeCell ref="P22:W22"/>
    <mergeCell ref="A26:H26"/>
    <mergeCell ref="P26:W26"/>
    <mergeCell ref="A30:H30"/>
    <mergeCell ref="A53:AI53"/>
    <mergeCell ref="B55:E55"/>
    <mergeCell ref="Q55:T55"/>
    <mergeCell ref="P58:W58"/>
    <mergeCell ref="A58:H58"/>
    <mergeCell ref="A62:H62"/>
    <mergeCell ref="P62:W62"/>
    <mergeCell ref="A66:H66"/>
    <mergeCell ref="P66:W66"/>
    <mergeCell ref="AE67:AI67"/>
    <mergeCell ref="AE68:AI68"/>
    <mergeCell ref="AE75:AL75"/>
    <mergeCell ref="AE78:AL78"/>
    <mergeCell ref="AE79:AL79"/>
    <mergeCell ref="P81:W81"/>
    <mergeCell ref="AE81:AL81"/>
    <mergeCell ref="AE82:AL82"/>
    <mergeCell ref="A70:H70"/>
    <mergeCell ref="P70:W70"/>
    <mergeCell ref="AE70:AL70"/>
    <mergeCell ref="AF72:AI72"/>
    <mergeCell ref="A74:H74"/>
    <mergeCell ref="P74:W74"/>
    <mergeCell ref="A78:H78"/>
  </mergeCells>
  <printOptions/>
  <pageMargins bottom="0.75" footer="0.0" header="0.0" left="0.7" right="0.7" top="0.75"/>
  <pageSetup paperSize="9" scale="6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7.0"/>
    <col customWidth="1" hidden="1" min="3" max="3" width="11.88"/>
    <col customWidth="1" min="4" max="4" width="1.75"/>
    <col customWidth="1" min="5" max="5" width="7.0"/>
    <col customWidth="1" hidden="1" min="6" max="6" width="3.38"/>
    <col customWidth="1" min="7" max="7" width="1.75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6.13"/>
    <col customWidth="1" min="16" max="16" width="33.38"/>
    <col customWidth="1" min="17" max="17" width="7.0"/>
    <col customWidth="1" hidden="1" min="18" max="18" width="11.88"/>
    <col customWidth="1" min="19" max="19" width="1.75"/>
    <col customWidth="1" min="20" max="20" width="7.0"/>
    <col customWidth="1" hidden="1" min="21" max="21" width="11.88"/>
    <col customWidth="1" min="22" max="22" width="1.75"/>
    <col customWidth="1" min="23" max="23" width="7.0"/>
    <col customWidth="1" hidden="1" min="24" max="24" width="5.88"/>
    <col customWidth="1" hidden="1" min="25" max="25" width="4.75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6.0"/>
    <col customWidth="1" min="31" max="31" width="35.38"/>
    <col customWidth="1" min="32" max="35" width="8.75"/>
    <col customWidth="1" hidden="1" min="36" max="36" width="9.25"/>
    <col customWidth="1" hidden="1" min="37" max="37" width="8.0"/>
    <col customWidth="1" hidden="1" min="38" max="38" width="41.13"/>
  </cols>
  <sheetData>
    <row r="1" ht="21.0" customHeight="1">
      <c r="A1" s="1" t="s">
        <v>40</v>
      </c>
      <c r="AJ1" s="2"/>
      <c r="AK1" s="2"/>
      <c r="AL1" s="2"/>
    </row>
    <row r="2" ht="21.0" customHeight="1">
      <c r="AJ2" s="2"/>
      <c r="AK2" s="2"/>
      <c r="AL2" s="2"/>
    </row>
    <row r="3" ht="15.0" customHeight="1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.0" customHeight="1">
      <c r="A5" s="79" t="s">
        <v>14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</row>
    <row r="6" ht="15.0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80" t="s">
        <v>41</v>
      </c>
      <c r="B7" s="81" t="s">
        <v>42</v>
      </c>
      <c r="C7" s="30"/>
      <c r="D7" s="30"/>
      <c r="E7" s="11"/>
      <c r="F7" s="31"/>
      <c r="G7" s="32"/>
      <c r="H7" s="80" t="s">
        <v>43</v>
      </c>
      <c r="I7" s="27"/>
      <c r="J7" s="27"/>
      <c r="K7" s="27"/>
      <c r="L7" s="27"/>
      <c r="M7" s="33"/>
      <c r="N7" s="33"/>
      <c r="O7" s="33"/>
      <c r="P7" s="80" t="s">
        <v>41</v>
      </c>
      <c r="Q7" s="81" t="s">
        <v>42</v>
      </c>
      <c r="R7" s="30"/>
      <c r="S7" s="30"/>
      <c r="T7" s="11"/>
      <c r="U7" s="31"/>
      <c r="V7" s="32"/>
      <c r="W7" s="80" t="s">
        <v>43</v>
      </c>
      <c r="X7" s="27"/>
      <c r="Y7" s="33"/>
      <c r="Z7" s="33"/>
      <c r="AA7" s="33"/>
      <c r="AB7" s="33"/>
      <c r="AC7" s="33"/>
      <c r="AD7" s="33"/>
      <c r="AE7" s="80" t="s">
        <v>44</v>
      </c>
      <c r="AF7" s="82" t="s">
        <v>45</v>
      </c>
      <c r="AG7" s="82" t="s">
        <v>46</v>
      </c>
      <c r="AH7" s="83" t="s">
        <v>47</v>
      </c>
      <c r="AI7" s="83" t="s">
        <v>48</v>
      </c>
      <c r="AJ7" s="33"/>
      <c r="AK7" s="33"/>
      <c r="AL7" s="27"/>
    </row>
    <row r="8" hidden="1">
      <c r="A8" s="27"/>
      <c r="B8" s="37" t="s">
        <v>49</v>
      </c>
      <c r="C8" s="37" t="s">
        <v>50</v>
      </c>
      <c r="D8" s="37"/>
      <c r="E8" s="37" t="s">
        <v>49</v>
      </c>
      <c r="F8" s="37" t="s">
        <v>51</v>
      </c>
      <c r="G8" s="37"/>
      <c r="H8" s="37" t="s">
        <v>49</v>
      </c>
      <c r="I8" s="37" t="s">
        <v>52</v>
      </c>
      <c r="J8" s="37" t="s">
        <v>53</v>
      </c>
      <c r="K8" s="37" t="s">
        <v>54</v>
      </c>
      <c r="L8" s="37" t="s">
        <v>55</v>
      </c>
      <c r="M8" s="37" t="s">
        <v>56</v>
      </c>
      <c r="N8" s="37" t="s">
        <v>57</v>
      </c>
      <c r="O8" s="27"/>
      <c r="P8" s="27"/>
      <c r="Q8" s="37" t="s">
        <v>49</v>
      </c>
      <c r="R8" s="37" t="s">
        <v>50</v>
      </c>
      <c r="S8" s="37"/>
      <c r="T8" s="37" t="s">
        <v>49</v>
      </c>
      <c r="U8" s="37" t="s">
        <v>51</v>
      </c>
      <c r="V8" s="37"/>
      <c r="W8" s="37" t="s">
        <v>49</v>
      </c>
      <c r="X8" s="37" t="s">
        <v>52</v>
      </c>
      <c r="Y8" s="37" t="s">
        <v>53</v>
      </c>
      <c r="Z8" s="37" t="s">
        <v>54</v>
      </c>
      <c r="AA8" s="37" t="s">
        <v>55</v>
      </c>
      <c r="AB8" s="37" t="s">
        <v>56</v>
      </c>
      <c r="AC8" s="37" t="s">
        <v>57</v>
      </c>
      <c r="AD8" s="27"/>
      <c r="AE8" s="33"/>
      <c r="AF8" s="33"/>
      <c r="AG8" s="33"/>
      <c r="AH8" s="33"/>
      <c r="AI8" s="33"/>
      <c r="AJ8" s="37" t="s">
        <v>58</v>
      </c>
      <c r="AK8" s="38" t="s">
        <v>59</v>
      </c>
      <c r="AL8" s="39" t="s">
        <v>60</v>
      </c>
    </row>
    <row r="9" ht="15.0" customHeight="1">
      <c r="A9" s="40" t="str">
        <f>AE9</f>
        <v>Ivan Cachia/Willem Steenkamer</v>
      </c>
      <c r="B9" s="41">
        <v>4.0</v>
      </c>
      <c r="C9" s="42">
        <f>IF(B9&gt;B11,1,0)</f>
        <v>0</v>
      </c>
      <c r="D9" s="43"/>
      <c r="E9" s="41">
        <v>6.0</v>
      </c>
      <c r="F9" s="42">
        <f>IF(E9&gt;E11,1,0)</f>
        <v>1</v>
      </c>
      <c r="G9" s="43"/>
      <c r="H9" s="41">
        <v>6.0</v>
      </c>
      <c r="I9" s="27">
        <f>IF(H9&gt;H11,1,0)</f>
        <v>0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1</v>
      </c>
      <c r="M9" s="27">
        <f>B9+E9</f>
        <v>10</v>
      </c>
      <c r="N9" s="27">
        <f>C9+F9+I9</f>
        <v>1</v>
      </c>
      <c r="O9" s="27"/>
      <c r="P9" s="40" t="str">
        <f>AE9</f>
        <v>Ivan Cachia/Willem Steenkamer</v>
      </c>
      <c r="Q9" s="41">
        <v>2.0</v>
      </c>
      <c r="R9" s="42">
        <f>IF(Q9&gt;Q11,1,0)</f>
        <v>0</v>
      </c>
      <c r="S9" s="43"/>
      <c r="T9" s="41">
        <v>6.0</v>
      </c>
      <c r="U9" s="42">
        <f>IF(T9&gt;T11,1,0)</f>
        <v>1</v>
      </c>
      <c r="V9" s="43"/>
      <c r="W9" s="41">
        <v>5.0</v>
      </c>
      <c r="X9" s="27">
        <f>IF(W9&gt;W11,1,0)</f>
        <v>0</v>
      </c>
      <c r="Y9" s="27">
        <f>IF(Q9="",0,1)</f>
        <v>1</v>
      </c>
      <c r="Z9" s="27">
        <f>IF(R9+U9=2,3,IF(R9+U9=1,1,0))</f>
        <v>1</v>
      </c>
      <c r="AA9" s="27">
        <f>IF(Z9=3,3,IF(X9+Z9=2,2,IF(Z9=1,1,0)))</f>
        <v>1</v>
      </c>
      <c r="AB9" s="27">
        <f>Q9+T9</f>
        <v>8</v>
      </c>
      <c r="AC9" s="27">
        <f>R9+U9+X9</f>
        <v>1</v>
      </c>
      <c r="AD9" s="27"/>
      <c r="AE9" s="84" t="str">
        <f>'Players Men'!B13</f>
        <v>Ivan Cachia/Willem Steenkamer</v>
      </c>
      <c r="AF9" s="46">
        <f>J9+Y9+Y13+J13</f>
        <v>4</v>
      </c>
      <c r="AG9" s="46">
        <f t="shared" ref="AG9:AI9" si="1">L9+AA9+L13+AA13</f>
        <v>5</v>
      </c>
      <c r="AH9" s="46">
        <f t="shared" si="1"/>
        <v>36</v>
      </c>
      <c r="AI9" s="47">
        <f t="shared" si="1"/>
        <v>5</v>
      </c>
      <c r="AJ9" s="27">
        <f>MAX(AG9:AG19)</f>
        <v>8</v>
      </c>
      <c r="AK9" s="27">
        <f>SUM(AF9:AF19)</f>
        <v>20</v>
      </c>
      <c r="AL9" s="27" t="str">
        <f>IF(AG9=$AJ$9,AE9,IF(AG11=$AJ$9,AE11,IF(AG13=$AJ$9,AE13,IF(AG15=$AJ$9,AE15,IF(AG17=$AJ$9,AE17,IF(AG19=$AJ$9,AE19,""))))))</f>
        <v>Chi Chi Canonce/Kristen Cachia</v>
      </c>
    </row>
    <row r="10" ht="15.0" customHeight="1">
      <c r="A10" s="48" t="s">
        <v>61</v>
      </c>
      <c r="H10" s="49"/>
      <c r="I10" s="50"/>
      <c r="J10" s="27"/>
      <c r="K10" s="27"/>
      <c r="L10" s="27"/>
      <c r="M10" s="27"/>
      <c r="N10" s="27"/>
      <c r="O10" s="27"/>
      <c r="P10" s="48" t="s">
        <v>61</v>
      </c>
      <c r="W10" s="49"/>
      <c r="X10" s="50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27"/>
    </row>
    <row r="11" ht="15.0" customHeight="1">
      <c r="A11" s="51" t="str">
        <f>AE11</f>
        <v>Chi Chi Canonce/Kristen Cachia</v>
      </c>
      <c r="B11" s="41">
        <v>6.0</v>
      </c>
      <c r="C11" s="52">
        <f>IF(B11&gt;B9,1,0)</f>
        <v>1</v>
      </c>
      <c r="D11" s="53"/>
      <c r="E11" s="41">
        <v>4.0</v>
      </c>
      <c r="F11" s="52">
        <f>IF(E11&gt;E9,1,0)</f>
        <v>0</v>
      </c>
      <c r="G11" s="53"/>
      <c r="H11" s="41">
        <v>10.0</v>
      </c>
      <c r="I11" s="27">
        <f>IF(H11&gt;H9,1,0)</f>
        <v>1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2</v>
      </c>
      <c r="M11" s="27">
        <f>B11+E11</f>
        <v>10</v>
      </c>
      <c r="N11" s="27">
        <f>C11+F11+I11</f>
        <v>2</v>
      </c>
      <c r="O11" s="27"/>
      <c r="P11" s="51" t="str">
        <f>AE13</f>
        <v>Gene Zammit/Justin Graeme Christie</v>
      </c>
      <c r="Q11" s="41">
        <v>6.0</v>
      </c>
      <c r="R11" s="52">
        <f>IF(Q11&gt;Q9,1,0)</f>
        <v>1</v>
      </c>
      <c r="S11" s="53"/>
      <c r="T11" s="41">
        <v>1.0</v>
      </c>
      <c r="U11" s="52">
        <f>IF(T11&gt;T9,1,0)</f>
        <v>0</v>
      </c>
      <c r="V11" s="53"/>
      <c r="W11" s="41">
        <v>10.0</v>
      </c>
      <c r="X11" s="27">
        <f>IF(W11&gt;W9,1,0)</f>
        <v>1</v>
      </c>
      <c r="Y11" s="27">
        <f>IF(Q11="",0,1)</f>
        <v>1</v>
      </c>
      <c r="Z11" s="27">
        <f>IF(R11+U11=2,3,IF(R11+U11=1,1,0))</f>
        <v>1</v>
      </c>
      <c r="AA11" s="27">
        <f>IF(Z11=3,3,IF(X11+Z11=2,2,IF(Z11=1,1,0)))</f>
        <v>2</v>
      </c>
      <c r="AB11" s="27">
        <f>Q11+T11</f>
        <v>7</v>
      </c>
      <c r="AC11" s="27">
        <f>R11+U11+X11</f>
        <v>2</v>
      </c>
      <c r="AD11" s="27"/>
      <c r="AE11" s="84" t="str">
        <f>'Players Men'!B14</f>
        <v>Chi Chi Canonce/Kristen Cachia</v>
      </c>
      <c r="AF11" s="46">
        <f>J11+J25+Y21+J21</f>
        <v>4</v>
      </c>
      <c r="AG11" s="46">
        <f t="shared" ref="AG11:AI11" si="2">L11+L25+AA21+L21</f>
        <v>8</v>
      </c>
      <c r="AH11" s="46">
        <f t="shared" si="2"/>
        <v>35</v>
      </c>
      <c r="AI11" s="47">
        <f t="shared" si="2"/>
        <v>6</v>
      </c>
      <c r="AJ11" s="33"/>
      <c r="AK11" s="33"/>
      <c r="AL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27"/>
    </row>
    <row r="13" ht="15.0" customHeight="1">
      <c r="A13" s="40" t="str">
        <f>AE9</f>
        <v>Ivan Cachia/Willem Steenkamer</v>
      </c>
      <c r="B13" s="41">
        <v>7.0</v>
      </c>
      <c r="C13" s="42">
        <f>IF(B13&gt;B15,1,0)</f>
        <v>1</v>
      </c>
      <c r="D13" s="43"/>
      <c r="E13" s="41">
        <v>1.0</v>
      </c>
      <c r="F13" s="42">
        <f>IF(E13&gt;E15,1,0)</f>
        <v>0</v>
      </c>
      <c r="G13" s="43"/>
      <c r="H13" s="41">
        <v>5.0</v>
      </c>
      <c r="I13" s="27">
        <f>IF(H13&gt;H15,1,0)</f>
        <v>0</v>
      </c>
      <c r="J13" s="27">
        <f>IF(B13="",0,1)</f>
        <v>1</v>
      </c>
      <c r="K13" s="27">
        <f>IF(C13+F13=2,3,IF(C13+F13=1,1,0))</f>
        <v>1</v>
      </c>
      <c r="L13" s="27">
        <f>IF(K13=3,3,IF(I13+K13=2,2,IF(K13=1,1,0)))</f>
        <v>1</v>
      </c>
      <c r="M13" s="27">
        <f>B13+E13</f>
        <v>8</v>
      </c>
      <c r="N13" s="27">
        <f>C13+F13+I13</f>
        <v>1</v>
      </c>
      <c r="O13" s="27"/>
      <c r="P13" s="40" t="str">
        <f>AE9</f>
        <v>Ivan Cachia/Willem Steenkamer</v>
      </c>
      <c r="Q13" s="41">
        <v>3.0</v>
      </c>
      <c r="R13" s="42">
        <f>IF(Q13&gt;Q15,1,0)</f>
        <v>0</v>
      </c>
      <c r="S13" s="43"/>
      <c r="T13" s="41">
        <v>7.0</v>
      </c>
      <c r="U13" s="42">
        <f>IF(T13&gt;T15,1,0)</f>
        <v>1</v>
      </c>
      <c r="V13" s="43"/>
      <c r="W13" s="41">
        <v>10.0</v>
      </c>
      <c r="X13" s="27">
        <f>IF(W13&gt;W15,1,0)</f>
        <v>1</v>
      </c>
      <c r="Y13" s="27">
        <f>IF(Q13="",0,1)</f>
        <v>1</v>
      </c>
      <c r="Z13" s="27">
        <f>IF(R13+U13=2,3,IF(R13+U13=1,1,0))</f>
        <v>1</v>
      </c>
      <c r="AA13" s="27">
        <f>IF(Z13=3,3,IF(X13+Z13=2,2,IF(Z13=1,1,0)))</f>
        <v>2</v>
      </c>
      <c r="AB13" s="27">
        <f>Q13+T13</f>
        <v>10</v>
      </c>
      <c r="AC13" s="27">
        <f>R13+U13+X13</f>
        <v>2</v>
      </c>
      <c r="AD13" s="27"/>
      <c r="AE13" s="84" t="str">
        <f>'Players Men'!B15</f>
        <v>Gene Zammit/Justin Graeme Christie</v>
      </c>
      <c r="AF13" s="46">
        <f>Y17+J23+J17+Y11</f>
        <v>4</v>
      </c>
      <c r="AG13" s="46">
        <f>L17+AA17+AA11+L23</f>
        <v>8</v>
      </c>
      <c r="AH13" s="46">
        <f>M17+AB11+M23+AB17</f>
        <v>38</v>
      </c>
      <c r="AI13" s="47">
        <f>N17+AC17+AC11+N23</f>
        <v>6</v>
      </c>
      <c r="AJ13" s="33"/>
      <c r="AK13" s="33"/>
      <c r="AL13" s="27"/>
    </row>
    <row r="14" ht="15.0" customHeight="1">
      <c r="A14" s="48" t="s">
        <v>61</v>
      </c>
      <c r="H14" s="49"/>
      <c r="I14" s="50"/>
      <c r="J14" s="27"/>
      <c r="K14" s="27"/>
      <c r="L14" s="27"/>
      <c r="M14" s="27"/>
      <c r="N14" s="27"/>
      <c r="O14" s="27"/>
      <c r="P14" s="48" t="s">
        <v>61</v>
      </c>
      <c r="W14" s="49"/>
      <c r="X14" s="50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27"/>
    </row>
    <row r="15" ht="15.0" customHeight="1">
      <c r="A15" s="51" t="str">
        <f>AE15</f>
        <v>Jonathan Vella/Clint Aguis</v>
      </c>
      <c r="B15" s="41">
        <v>5.0</v>
      </c>
      <c r="C15" s="52">
        <f>IF(B15&gt;B13,1,0)</f>
        <v>0</v>
      </c>
      <c r="D15" s="53"/>
      <c r="E15" s="41">
        <v>6.0</v>
      </c>
      <c r="F15" s="52">
        <f>IF(E15&gt;E13,1,0)</f>
        <v>1</v>
      </c>
      <c r="G15" s="53"/>
      <c r="H15" s="41">
        <v>10.0</v>
      </c>
      <c r="I15" s="27">
        <f>IF(H15&gt;H13,1,0)</f>
        <v>1</v>
      </c>
      <c r="J15" s="27">
        <f>IF(B15="",0,1)</f>
        <v>1</v>
      </c>
      <c r="K15" s="27">
        <f>IF(C15+F15=2,3,IF(C15+F15=1,1,0))</f>
        <v>1</v>
      </c>
      <c r="L15" s="27">
        <f>IF(K15=3,3,IF(I15+K15=2,2,IF(K15=1,1,0)))</f>
        <v>2</v>
      </c>
      <c r="M15" s="27">
        <f>B15+E15</f>
        <v>11</v>
      </c>
      <c r="N15" s="27">
        <f>C15+F15+I15</f>
        <v>2</v>
      </c>
      <c r="O15" s="27"/>
      <c r="P15" s="51" t="str">
        <f>AE17</f>
        <v>Jonathan Martinelli/Daryl Pace</v>
      </c>
      <c r="Q15" s="41">
        <v>6.0</v>
      </c>
      <c r="R15" s="52">
        <f>IF(Q15&gt;Q13,1,0)</f>
        <v>1</v>
      </c>
      <c r="S15" s="53"/>
      <c r="T15" s="41">
        <v>5.0</v>
      </c>
      <c r="U15" s="52">
        <f>IF(T15&gt;T13,1,0)</f>
        <v>0</v>
      </c>
      <c r="V15" s="53"/>
      <c r="W15" s="41">
        <v>8.0</v>
      </c>
      <c r="X15" s="27">
        <f>IF(W15&gt;W13,1,0)</f>
        <v>0</v>
      </c>
      <c r="Y15" s="27">
        <f>IF(Q15="",0,1)</f>
        <v>1</v>
      </c>
      <c r="Z15" s="27">
        <f>IF(R15+U15=2,3,IF(R15+U15=1,1,0))</f>
        <v>1</v>
      </c>
      <c r="AA15" s="27">
        <f>IF(Z15=3,3,IF(X15+Z15=2,2,IF(Z15=1,1,0)))</f>
        <v>1</v>
      </c>
      <c r="AB15" s="27">
        <f>Q15+T15</f>
        <v>11</v>
      </c>
      <c r="AC15" s="27">
        <f>R15+U15+X15</f>
        <v>1</v>
      </c>
      <c r="AD15" s="27"/>
      <c r="AE15" s="84" t="str">
        <f>'Players Men'!B16</f>
        <v>Jonathan Vella/Clint Aguis</v>
      </c>
      <c r="AF15" s="46">
        <f>Y19+J15+Y23+J29</f>
        <v>4</v>
      </c>
      <c r="AG15" s="46">
        <f t="shared" ref="AG15:AI15" si="3">AA19+L15+AA23+L29</f>
        <v>7</v>
      </c>
      <c r="AH15" s="46">
        <f t="shared" si="3"/>
        <v>42</v>
      </c>
      <c r="AI15" s="47">
        <f t="shared" si="3"/>
        <v>6</v>
      </c>
      <c r="AJ15" s="33"/>
      <c r="AK15" s="33"/>
      <c r="AL15" s="27"/>
    </row>
    <row r="17" ht="15.0" customHeight="1">
      <c r="A17" s="40" t="str">
        <f>AE13</f>
        <v>Gene Zammit/Justin Graeme Christie</v>
      </c>
      <c r="B17" s="41">
        <v>6.0</v>
      </c>
      <c r="C17" s="42">
        <f>IF(B17&gt;B19,1,0)</f>
        <v>1</v>
      </c>
      <c r="D17" s="43"/>
      <c r="E17" s="41">
        <v>6.0</v>
      </c>
      <c r="F17" s="42">
        <f>IF(E17&gt;E19,1,0)</f>
        <v>1</v>
      </c>
      <c r="G17" s="43"/>
      <c r="H17" s="44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12</v>
      </c>
      <c r="N17" s="27">
        <f>C17+F17+I17</f>
        <v>2</v>
      </c>
      <c r="O17" s="27"/>
      <c r="P17" s="40" t="str">
        <f>AE13</f>
        <v>Gene Zammit/Justin Graeme Christie</v>
      </c>
      <c r="Q17" s="41">
        <v>7.0</v>
      </c>
      <c r="R17" s="42">
        <f>IF(Q17&gt;Q19,1,0)</f>
        <v>1</v>
      </c>
      <c r="S17" s="43"/>
      <c r="T17" s="41">
        <v>6.0</v>
      </c>
      <c r="U17" s="42">
        <f>IF(T17&gt;T19,1,0)</f>
        <v>1</v>
      </c>
      <c r="V17" s="43"/>
      <c r="W17" s="44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13</v>
      </c>
      <c r="AC17" s="27">
        <f>R17+U17+X17</f>
        <v>2</v>
      </c>
      <c r="AD17" s="27"/>
      <c r="AE17" s="84" t="str">
        <f>'Players Men'!B17</f>
        <v>Jonathan Martinelli/Daryl Pace</v>
      </c>
      <c r="AF17" s="46">
        <f>Y15+J27+J19+J31</f>
        <v>4</v>
      </c>
      <c r="AG17" s="85">
        <f t="shared" ref="AG17:AH17" si="4">AA15+L27+L19+L31</f>
        <v>2</v>
      </c>
      <c r="AH17" s="46">
        <f t="shared" si="4"/>
        <v>35</v>
      </c>
      <c r="AI17" s="47">
        <f>N31+N27+AC15+N19</f>
        <v>2</v>
      </c>
    </row>
    <row r="18" ht="15.0" customHeight="1">
      <c r="A18" s="48" t="s">
        <v>61</v>
      </c>
      <c r="H18" s="49"/>
      <c r="I18" s="50"/>
      <c r="J18" s="27"/>
      <c r="K18" s="27"/>
      <c r="L18" s="27"/>
      <c r="M18" s="27"/>
      <c r="N18" s="27"/>
      <c r="O18" s="27"/>
      <c r="P18" s="48" t="s">
        <v>61</v>
      </c>
      <c r="W18" s="49"/>
      <c r="X18" s="50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</row>
    <row r="19" ht="15.0" customHeight="1">
      <c r="A19" s="51" t="str">
        <f>AE17</f>
        <v>Jonathan Martinelli/Daryl Pace</v>
      </c>
      <c r="B19" s="41">
        <v>4.0</v>
      </c>
      <c r="C19" s="52">
        <f>IF(B19&gt;B17,1,0)</f>
        <v>0</v>
      </c>
      <c r="D19" s="53"/>
      <c r="E19" s="41">
        <v>3.0</v>
      </c>
      <c r="F19" s="52">
        <f>IF(E19&gt;E17,1,0)</f>
        <v>0</v>
      </c>
      <c r="G19" s="53"/>
      <c r="H19" s="44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7</v>
      </c>
      <c r="N19" s="27">
        <f>C19+F19+I19</f>
        <v>0</v>
      </c>
      <c r="O19" s="27"/>
      <c r="P19" s="51" t="str">
        <f>AE15</f>
        <v>Jonathan Vella/Clint Aguis</v>
      </c>
      <c r="Q19" s="41">
        <v>6.0</v>
      </c>
      <c r="R19" s="52">
        <f>IF(Q19&gt;Q17,1,0)</f>
        <v>0</v>
      </c>
      <c r="S19" s="53"/>
      <c r="T19" s="41">
        <v>2.0</v>
      </c>
      <c r="U19" s="52">
        <f>IF(T19&gt;T17,1,0)</f>
        <v>0</v>
      </c>
      <c r="V19" s="53"/>
      <c r="W19" s="44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8</v>
      </c>
      <c r="AC19" s="27">
        <f>R19+U19+X19</f>
        <v>0</v>
      </c>
      <c r="AD19" s="27"/>
      <c r="AE19" s="81" t="s">
        <v>62</v>
      </c>
      <c r="AF19" s="30"/>
      <c r="AG19" s="30"/>
      <c r="AH19" s="30"/>
      <c r="AI19" s="11"/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55" t="s">
        <v>18</v>
      </c>
      <c r="AF20" s="30"/>
      <c r="AG20" s="30"/>
      <c r="AH20" s="30"/>
      <c r="AI20" s="11"/>
    </row>
    <row r="21" ht="15.0" customHeight="1">
      <c r="A21" s="40" t="str">
        <f>AE11</f>
        <v>Chi Chi Canonce/Kristen Cachia</v>
      </c>
      <c r="B21" s="41">
        <v>6.0</v>
      </c>
      <c r="C21" s="42">
        <f>IF(B21&gt;B23,1,0)</f>
        <v>1</v>
      </c>
      <c r="D21" s="43"/>
      <c r="E21" s="41">
        <v>6.0</v>
      </c>
      <c r="F21" s="42">
        <f>IF(E21&gt;E23,1,0)</f>
        <v>1</v>
      </c>
      <c r="G21" s="43"/>
      <c r="H21" s="44"/>
      <c r="I21" s="27">
        <f>IF(H21&gt;H23,1,0)</f>
        <v>0</v>
      </c>
      <c r="J21" s="27">
        <f>IF(B21="",0,1)</f>
        <v>1</v>
      </c>
      <c r="K21" s="27">
        <f>IF(C21+F21=2,3,IF(C21+F21=1,1,0))</f>
        <v>3</v>
      </c>
      <c r="L21" s="27">
        <f>IF(K21=3,3,IF(I21+K21=2,2,IF(K21=1,1,0)))</f>
        <v>3</v>
      </c>
      <c r="M21" s="27">
        <f>B21+E21</f>
        <v>12</v>
      </c>
      <c r="N21" s="27">
        <f>C21+F21+I21</f>
        <v>2</v>
      </c>
      <c r="O21" s="27"/>
      <c r="P21" s="40" t="str">
        <f>AE11</f>
        <v>Chi Chi Canonce/Kristen Cachia</v>
      </c>
      <c r="Q21" s="41">
        <v>0.0</v>
      </c>
      <c r="R21" s="42">
        <f>IF(Q21&gt;Q23,1,0)</f>
        <v>0</v>
      </c>
      <c r="S21" s="43"/>
      <c r="T21" s="41">
        <v>0.0</v>
      </c>
      <c r="U21" s="42">
        <f>IF(T21&gt;T23,1,0)</f>
        <v>0</v>
      </c>
      <c r="V21" s="43"/>
      <c r="W21" s="44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0</v>
      </c>
      <c r="AC21" s="27">
        <f>R21+U21+X21</f>
        <v>0</v>
      </c>
      <c r="AD21" s="27"/>
    </row>
    <row r="22" ht="15.0" customHeight="1">
      <c r="A22" s="48" t="s">
        <v>61</v>
      </c>
      <c r="H22" s="49"/>
      <c r="I22" s="50"/>
      <c r="J22" s="27"/>
      <c r="K22" s="27"/>
      <c r="L22" s="27"/>
      <c r="M22" s="27"/>
      <c r="N22" s="27"/>
      <c r="O22" s="27"/>
      <c r="P22" s="48" t="s">
        <v>61</v>
      </c>
      <c r="W22" s="49"/>
      <c r="X22" s="50"/>
      <c r="Y22" s="27"/>
      <c r="Z22" s="27"/>
      <c r="AA22" s="27"/>
      <c r="AB22" s="27"/>
      <c r="AC22" s="27"/>
      <c r="AD22" s="27"/>
    </row>
    <row r="23" ht="15.0" customHeight="1">
      <c r="A23" s="51" t="str">
        <f>AE13</f>
        <v>Gene Zammit/Justin Graeme Christie</v>
      </c>
      <c r="B23" s="41">
        <v>4.0</v>
      </c>
      <c r="C23" s="52">
        <f>IF(B23&gt;B21,1,0)</f>
        <v>0</v>
      </c>
      <c r="D23" s="53"/>
      <c r="E23" s="41">
        <v>2.0</v>
      </c>
      <c r="F23" s="52">
        <f>IF(E23&gt;E21,1,0)</f>
        <v>0</v>
      </c>
      <c r="G23" s="53"/>
      <c r="H23" s="44"/>
      <c r="I23" s="27">
        <f>IF(H23&gt;H21,1,0)</f>
        <v>0</v>
      </c>
      <c r="J23" s="27">
        <f>IF(B23="",0,1)</f>
        <v>1</v>
      </c>
      <c r="K23" s="27">
        <f>IF(C23+F23=2,3,IF(C23+F23=1,1,0))</f>
        <v>0</v>
      </c>
      <c r="L23" s="27">
        <f>IF(K23=3,3,IF(I23+K23=2,2,IF(K23=1,1,0)))</f>
        <v>0</v>
      </c>
      <c r="M23" s="27">
        <f>B23+E23</f>
        <v>6</v>
      </c>
      <c r="N23" s="27">
        <f>C23+F23+I23</f>
        <v>0</v>
      </c>
      <c r="O23" s="27"/>
      <c r="P23" s="51" t="str">
        <f>AE15</f>
        <v>Jonathan Vella/Clint Aguis</v>
      </c>
      <c r="Q23" s="41">
        <v>6.0</v>
      </c>
      <c r="R23" s="52">
        <f>IF(Q23&gt;Q21,1,0)</f>
        <v>1</v>
      </c>
      <c r="S23" s="53"/>
      <c r="T23" s="41">
        <v>6.0</v>
      </c>
      <c r="U23" s="52">
        <f>IF(T23&gt;T21,1,0)</f>
        <v>1</v>
      </c>
      <c r="V23" s="53"/>
      <c r="W23" s="44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</row>
    <row r="24" ht="15.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ht="15.0" customHeight="1">
      <c r="A25" s="40" t="str">
        <f>AE11</f>
        <v>Chi Chi Canonce/Kristen Cachia</v>
      </c>
      <c r="B25" s="41">
        <v>6.0</v>
      </c>
      <c r="C25" s="42">
        <f>IF(B25&gt;B27,1,0)</f>
        <v>1</v>
      </c>
      <c r="D25" s="43"/>
      <c r="E25" s="41">
        <v>7.0</v>
      </c>
      <c r="F25" s="42">
        <f>IF(E25&gt;E27,1,0)</f>
        <v>1</v>
      </c>
      <c r="G25" s="43"/>
      <c r="H25" s="44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13</v>
      </c>
      <c r="N25" s="27">
        <f>C25+F25+I25</f>
        <v>2</v>
      </c>
      <c r="O25" s="27"/>
      <c r="P25" s="27"/>
      <c r="Q25" s="33"/>
      <c r="R25" s="27"/>
      <c r="S25" s="33"/>
      <c r="T25" s="33"/>
      <c r="U25" s="27"/>
      <c r="V25" s="33"/>
      <c r="W25" s="33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33"/>
      <c r="AI25" s="27"/>
    </row>
    <row r="26" ht="15.0" customHeight="1">
      <c r="A26" s="48" t="s">
        <v>61</v>
      </c>
      <c r="H26" s="49"/>
      <c r="I26" s="50"/>
      <c r="J26" s="27"/>
      <c r="K26" s="27"/>
      <c r="L26" s="27"/>
      <c r="M26" s="27"/>
      <c r="N26" s="27"/>
      <c r="O26" s="27"/>
      <c r="P26" s="27"/>
      <c r="X26" s="50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ht="15.0" customHeight="1">
      <c r="A27" s="51" t="str">
        <f>AE17</f>
        <v>Jonathan Martinelli/Daryl Pace</v>
      </c>
      <c r="B27" s="41">
        <v>2.0</v>
      </c>
      <c r="C27" s="52">
        <f>IF(B27&gt;B25,1,0)</f>
        <v>0</v>
      </c>
      <c r="D27" s="53"/>
      <c r="E27" s="41">
        <v>6.0</v>
      </c>
      <c r="F27" s="52">
        <f>IF(E27&gt;E25,1,0)</f>
        <v>0</v>
      </c>
      <c r="G27" s="53"/>
      <c r="H27" s="44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8</v>
      </c>
      <c r="N27" s="27">
        <f>C27+F27+I27</f>
        <v>0</v>
      </c>
      <c r="O27" s="27"/>
      <c r="P27" s="27"/>
      <c r="Q27" s="33"/>
      <c r="R27" s="27"/>
      <c r="S27" s="33"/>
      <c r="T27" s="33"/>
      <c r="U27" s="27"/>
      <c r="V27" s="33"/>
      <c r="W27" s="33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</row>
    <row r="29" ht="15.0" customHeight="1">
      <c r="A29" s="40" t="str">
        <f>AE15</f>
        <v>Jonathan Vella/Clint Aguis</v>
      </c>
      <c r="B29" s="41">
        <v>6.0</v>
      </c>
      <c r="C29" s="42">
        <f>IF(B29&gt;B31,1,0)</f>
        <v>1</v>
      </c>
      <c r="D29" s="43"/>
      <c r="E29" s="41">
        <v>5.0</v>
      </c>
      <c r="F29" s="42">
        <f>IF(E29&gt;E31,1,0)</f>
        <v>0</v>
      </c>
      <c r="G29" s="43"/>
      <c r="H29" s="41">
        <v>10.0</v>
      </c>
      <c r="I29" s="27">
        <f>IF(H29&gt;H31,1,0)</f>
        <v>1</v>
      </c>
      <c r="J29" s="27">
        <f>IF(B29="",0,1)</f>
        <v>1</v>
      </c>
      <c r="K29" s="27">
        <f>IF(C29+F29=2,3,IF(C29+F29=1,1,0))</f>
        <v>1</v>
      </c>
      <c r="L29" s="27">
        <f>IF(K29=3,3,IF(I29+K29=2,2,IF(K29=1,1,0)))</f>
        <v>2</v>
      </c>
      <c r="M29" s="27">
        <f>B29+E29</f>
        <v>11</v>
      </c>
      <c r="N29" s="27">
        <f>C29+F29+I29</f>
        <v>2</v>
      </c>
      <c r="O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 ht="15.0" customHeight="1">
      <c r="A30" s="48" t="s">
        <v>61</v>
      </c>
      <c r="H30" s="49"/>
      <c r="I30" s="50"/>
      <c r="J30" s="27"/>
      <c r="K30" s="27"/>
      <c r="L30" s="27"/>
      <c r="M30" s="27"/>
      <c r="N30" s="27"/>
      <c r="O30" s="27"/>
      <c r="X30" s="50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ht="15.0" customHeight="1">
      <c r="A31" s="51" t="str">
        <f>AE17</f>
        <v>Jonathan Martinelli/Daryl Pace</v>
      </c>
      <c r="B31" s="41">
        <v>2.0</v>
      </c>
      <c r="C31" s="52">
        <f>IF(B31&gt;B29,1,0)</f>
        <v>0</v>
      </c>
      <c r="D31" s="53"/>
      <c r="E31" s="41">
        <v>7.0</v>
      </c>
      <c r="F31" s="52">
        <f>IF(E31&gt;E29,1,0)</f>
        <v>1</v>
      </c>
      <c r="G31" s="53"/>
      <c r="H31" s="41">
        <v>4.0</v>
      </c>
      <c r="I31" s="27">
        <f>IF(H31&gt;H29,1,0)</f>
        <v>0</v>
      </c>
      <c r="J31" s="27">
        <f>IF(B31="",0,1)</f>
        <v>1</v>
      </c>
      <c r="K31" s="27">
        <f>IF(C31+F31=2,3,IF(C31+F31=1,1,0))</f>
        <v>1</v>
      </c>
      <c r="L31" s="27">
        <f>IF(K31=3,3,IF(I31+K31=2,2,IF(K31=1,1,0)))</f>
        <v>1</v>
      </c>
      <c r="M31" s="27">
        <f>B31+E31</f>
        <v>9</v>
      </c>
      <c r="N31" s="27">
        <f>C31+F31+I31</f>
        <v>1</v>
      </c>
      <c r="O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0" customHeight="1">
      <c r="A61" s="86" t="s">
        <v>15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6"/>
      <c r="AJ61" s="27"/>
      <c r="AK61" s="27"/>
      <c r="AL61" s="27"/>
    </row>
    <row r="62" ht="15.0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ht="30.0" customHeight="1">
      <c r="A63" s="87" t="s">
        <v>41</v>
      </c>
      <c r="B63" s="88" t="s">
        <v>42</v>
      </c>
      <c r="C63" s="30"/>
      <c r="D63" s="30"/>
      <c r="E63" s="11"/>
      <c r="F63" s="61"/>
      <c r="G63" s="32"/>
      <c r="H63" s="87" t="s">
        <v>43</v>
      </c>
      <c r="I63" s="27"/>
      <c r="J63" s="27"/>
      <c r="K63" s="27"/>
      <c r="L63" s="27"/>
      <c r="M63" s="33"/>
      <c r="N63" s="33"/>
      <c r="O63" s="33"/>
      <c r="P63" s="87" t="s">
        <v>41</v>
      </c>
      <c r="Q63" s="88" t="s">
        <v>42</v>
      </c>
      <c r="R63" s="30"/>
      <c r="S63" s="30"/>
      <c r="T63" s="11"/>
      <c r="U63" s="61"/>
      <c r="V63" s="32"/>
      <c r="W63" s="87" t="s">
        <v>43</v>
      </c>
      <c r="X63" s="27"/>
      <c r="Y63" s="33"/>
      <c r="Z63" s="33"/>
      <c r="AA63" s="33"/>
      <c r="AB63" s="33"/>
      <c r="AC63" s="33"/>
      <c r="AD63" s="33"/>
      <c r="AE63" s="87" t="s">
        <v>44</v>
      </c>
      <c r="AF63" s="89" t="s">
        <v>45</v>
      </c>
      <c r="AG63" s="89" t="s">
        <v>46</v>
      </c>
      <c r="AH63" s="87" t="s">
        <v>47</v>
      </c>
      <c r="AI63" s="87" t="s">
        <v>48</v>
      </c>
      <c r="AJ63" s="63"/>
      <c r="AK63" s="63"/>
      <c r="AL63" s="27"/>
    </row>
    <row r="64" ht="15.75" hidden="1" customHeight="1">
      <c r="A64" s="27"/>
      <c r="B64" s="37" t="s">
        <v>49</v>
      </c>
      <c r="C64" s="37" t="s">
        <v>50</v>
      </c>
      <c r="D64" s="37"/>
      <c r="E64" s="37" t="s">
        <v>49</v>
      </c>
      <c r="F64" s="37" t="s">
        <v>51</v>
      </c>
      <c r="G64" s="37"/>
      <c r="H64" s="37" t="s">
        <v>49</v>
      </c>
      <c r="I64" s="37" t="s">
        <v>52</v>
      </c>
      <c r="J64" s="37" t="s">
        <v>53</v>
      </c>
      <c r="K64" s="37" t="s">
        <v>54</v>
      </c>
      <c r="L64" s="37" t="s">
        <v>55</v>
      </c>
      <c r="M64" s="37" t="s">
        <v>56</v>
      </c>
      <c r="N64" s="37" t="s">
        <v>57</v>
      </c>
      <c r="O64" s="27"/>
      <c r="P64" s="27"/>
      <c r="Q64" s="37" t="s">
        <v>49</v>
      </c>
      <c r="R64" s="37" t="s">
        <v>50</v>
      </c>
      <c r="S64" s="37"/>
      <c r="T64" s="37" t="s">
        <v>49</v>
      </c>
      <c r="U64" s="37" t="s">
        <v>51</v>
      </c>
      <c r="V64" s="37"/>
      <c r="W64" s="37" t="s">
        <v>49</v>
      </c>
      <c r="X64" s="37" t="s">
        <v>52</v>
      </c>
      <c r="Y64" s="37" t="s">
        <v>53</v>
      </c>
      <c r="Z64" s="37" t="s">
        <v>54</v>
      </c>
      <c r="AA64" s="37" t="s">
        <v>55</v>
      </c>
      <c r="AB64" s="37" t="s">
        <v>56</v>
      </c>
      <c r="AC64" s="37" t="s">
        <v>57</v>
      </c>
      <c r="AD64" s="27"/>
      <c r="AE64" s="33"/>
      <c r="AF64" s="33"/>
      <c r="AG64" s="33"/>
      <c r="AH64" s="33"/>
      <c r="AI64" s="33"/>
      <c r="AJ64" s="37" t="s">
        <v>58</v>
      </c>
      <c r="AK64" s="38" t="s">
        <v>59</v>
      </c>
      <c r="AL64" s="39" t="s">
        <v>60</v>
      </c>
    </row>
    <row r="65" ht="15.0" customHeight="1">
      <c r="A65" s="40" t="str">
        <f>AE65</f>
        <v>Manuel Mifsud/Julian Esposito</v>
      </c>
      <c r="B65" s="41">
        <v>4.0</v>
      </c>
      <c r="C65" s="42">
        <f>IF(B65&gt;B67,1,0)</f>
        <v>0</v>
      </c>
      <c r="D65" s="43"/>
      <c r="E65" s="41">
        <v>3.0</v>
      </c>
      <c r="F65" s="42">
        <f>IF(E65&gt;E67,1,0)</f>
        <v>0</v>
      </c>
      <c r="G65" s="43"/>
      <c r="H65" s="44"/>
      <c r="I65" s="27">
        <f>IF(H65&gt;H67,1,0)</f>
        <v>0</v>
      </c>
      <c r="J65" s="27">
        <f>IF(B65="",0,1)</f>
        <v>1</v>
      </c>
      <c r="K65" s="27">
        <f>IF(C65+F65=2,3,IF(C65+F65=1,1,0))</f>
        <v>0</v>
      </c>
      <c r="L65" s="27">
        <f>IF(K65=3,3,IF(I65+K65=2,2,IF(K65=1,1,0)))</f>
        <v>0</v>
      </c>
      <c r="M65" s="27">
        <f>B65+E65</f>
        <v>7</v>
      </c>
      <c r="N65" s="27">
        <f>C65+F65+I65</f>
        <v>0</v>
      </c>
      <c r="O65" s="27"/>
      <c r="P65" s="40" t="str">
        <f>AE65</f>
        <v>Manuel Mifsud/Julian Esposito</v>
      </c>
      <c r="Q65" s="41">
        <v>3.0</v>
      </c>
      <c r="R65" s="42">
        <f>IF(Q65&gt;Q67,1,0)</f>
        <v>0</v>
      </c>
      <c r="S65" s="43"/>
      <c r="T65" s="41">
        <v>1.0</v>
      </c>
      <c r="U65" s="42">
        <f>IF(T65&gt;T67,1,0)</f>
        <v>0</v>
      </c>
      <c r="V65" s="43"/>
      <c r="W65" s="44"/>
      <c r="X65" s="27">
        <f>IF(W65&gt;W67,1,0)</f>
        <v>0</v>
      </c>
      <c r="Y65" s="27">
        <f>IF(Q65="",0,1)</f>
        <v>1</v>
      </c>
      <c r="Z65" s="27">
        <f>IF(R65+U65=2,3,IF(R65+U65=1,1,0))</f>
        <v>0</v>
      </c>
      <c r="AA65" s="27">
        <f>IF(Z65=3,3,IF(X65+Z65=2,2,IF(Z65=1,1,0)))</f>
        <v>0</v>
      </c>
      <c r="AB65" s="27">
        <f>Q65+T65</f>
        <v>4</v>
      </c>
      <c r="AC65" s="27">
        <f>R65+U65+X65</f>
        <v>0</v>
      </c>
      <c r="AD65" s="27"/>
      <c r="AE65" s="90" t="str">
        <f>'Players Men'!F13</f>
        <v>Manuel Mifsud/Julian Esposito</v>
      </c>
      <c r="AF65" s="46">
        <f>J65+Y65+J69+Y69</f>
        <v>4</v>
      </c>
      <c r="AG65" s="46">
        <f t="shared" ref="AG65:AI65" si="5">L65+AA65+L69+AA69</f>
        <v>0</v>
      </c>
      <c r="AH65" s="46">
        <f t="shared" si="5"/>
        <v>27</v>
      </c>
      <c r="AI65" s="47">
        <f t="shared" si="5"/>
        <v>0</v>
      </c>
      <c r="AJ65" s="27">
        <f>MAX(AG65:AG74)</f>
        <v>10</v>
      </c>
      <c r="AK65" s="27">
        <f>SUM(AF65:AF74)</f>
        <v>20</v>
      </c>
      <c r="AL65" s="27" t="str">
        <f>IF(AG65=$AJ$65,AE65,IF(AG67=$AJ$65,AE67,IF(AG69=$AJ$65,AE69,IF(AG71=$AJ$65,AE71,IF(AG73=$AJ$65,AE73,IF(#REF!=$AJ$65,#REF!,""))))))</f>
        <v>Ivan Cassar/Kurt Cassar</v>
      </c>
    </row>
    <row r="66" ht="15.0" customHeight="1">
      <c r="A66" s="48" t="s">
        <v>61</v>
      </c>
      <c r="H66" s="49"/>
      <c r="I66" s="50"/>
      <c r="J66" s="27"/>
      <c r="K66" s="27"/>
      <c r="L66" s="27"/>
      <c r="M66" s="27"/>
      <c r="N66" s="27"/>
      <c r="O66" s="27"/>
      <c r="P66" s="48" t="s">
        <v>61</v>
      </c>
      <c r="W66" s="49"/>
      <c r="X66" s="50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33"/>
      <c r="AL66" s="27"/>
    </row>
    <row r="67" ht="15.0" customHeight="1">
      <c r="A67" s="51" t="str">
        <f>AE67</f>
        <v>Ivan Cassar/Kurt Cassar</v>
      </c>
      <c r="B67" s="41">
        <v>6.0</v>
      </c>
      <c r="C67" s="52">
        <f>IF(B67&gt;B65,1,0)</f>
        <v>1</v>
      </c>
      <c r="D67" s="53"/>
      <c r="E67" s="41">
        <v>6.0</v>
      </c>
      <c r="F67" s="52">
        <f>IF(E67&gt;E65,1,0)</f>
        <v>1</v>
      </c>
      <c r="G67" s="53"/>
      <c r="H67" s="44"/>
      <c r="I67" s="27">
        <f>IF(H67&gt;H65,1,0)</f>
        <v>0</v>
      </c>
      <c r="J67" s="27">
        <f>IF(B67="",0,1)</f>
        <v>1</v>
      </c>
      <c r="K67" s="27">
        <f>IF(C67+F67=2,3,IF(C67+F67=1,1,0))</f>
        <v>3</v>
      </c>
      <c r="L67" s="27">
        <f>IF(K67=3,3,IF(I67+K67=2,2,IF(K67=1,1,0)))</f>
        <v>3</v>
      </c>
      <c r="M67" s="27">
        <f>B67+E67</f>
        <v>12</v>
      </c>
      <c r="N67" s="27">
        <f>C67+F67+I67</f>
        <v>2</v>
      </c>
      <c r="O67" s="27"/>
      <c r="P67" s="51" t="str">
        <f>AE69</f>
        <v>Mavric Sawyer/Keith Tanti</v>
      </c>
      <c r="Q67" s="41">
        <v>6.0</v>
      </c>
      <c r="R67" s="52">
        <f>IF(Q67&gt;Q65,1,0)</f>
        <v>1</v>
      </c>
      <c r="S67" s="53"/>
      <c r="T67" s="41">
        <v>6.0</v>
      </c>
      <c r="U67" s="52">
        <f>IF(T67&gt;T65,1,0)</f>
        <v>1</v>
      </c>
      <c r="V67" s="53"/>
      <c r="W67" s="44"/>
      <c r="X67" s="27">
        <f>IF(W67&gt;W65,1,0)</f>
        <v>0</v>
      </c>
      <c r="Y67" s="27">
        <f>IF(Q67="",0,1)</f>
        <v>1</v>
      </c>
      <c r="Z67" s="27">
        <f>IF(R67+U67=2,3,IF(R67+U67=1,1,0))</f>
        <v>3</v>
      </c>
      <c r="AA67" s="27">
        <f>IF(Z67=3,3,IF(X67+Z67=2,2,IF(Z67=1,1,0)))</f>
        <v>3</v>
      </c>
      <c r="AB67" s="27">
        <f>Q67+T67</f>
        <v>12</v>
      </c>
      <c r="AC67" s="27">
        <f>R67+U67+X67</f>
        <v>2</v>
      </c>
      <c r="AD67" s="27"/>
      <c r="AE67" s="90" t="str">
        <f>'Players Men'!F14</f>
        <v>Ivan Cassar/Kurt Cassar</v>
      </c>
      <c r="AF67" s="46">
        <f>J67+J81+Y77+J77</f>
        <v>4</v>
      </c>
      <c r="AG67" s="46">
        <f t="shared" ref="AG67:AI67" si="6">L67+L81+AA77+L77</f>
        <v>10</v>
      </c>
      <c r="AH67" s="46">
        <f t="shared" si="6"/>
        <v>43</v>
      </c>
      <c r="AI67" s="47">
        <f t="shared" si="6"/>
        <v>7</v>
      </c>
      <c r="AJ67" s="33"/>
      <c r="AK67" s="33"/>
      <c r="AL67" s="27"/>
    </row>
    <row r="68" ht="15.0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33"/>
      <c r="AG68" s="33"/>
      <c r="AH68" s="33"/>
      <c r="AI68" s="33"/>
      <c r="AJ68" s="33"/>
      <c r="AK68" s="33"/>
      <c r="AL68" s="27"/>
    </row>
    <row r="69" ht="15.0" customHeight="1">
      <c r="A69" s="40" t="str">
        <f>AE65</f>
        <v>Manuel Mifsud/Julian Esposito</v>
      </c>
      <c r="B69" s="41">
        <v>4.0</v>
      </c>
      <c r="C69" s="42">
        <f>IF(B69&gt;B71,1,0)</f>
        <v>0</v>
      </c>
      <c r="D69" s="43"/>
      <c r="E69" s="41">
        <v>4.0</v>
      </c>
      <c r="F69" s="42">
        <f>IF(E69&gt;E71,1,0)</f>
        <v>0</v>
      </c>
      <c r="G69" s="43"/>
      <c r="H69" s="44"/>
      <c r="I69" s="27">
        <f>IF(H69&gt;H71,1,0)</f>
        <v>0</v>
      </c>
      <c r="J69" s="27">
        <f>IF(B69="",0,1)</f>
        <v>1</v>
      </c>
      <c r="K69" s="27">
        <f>IF(C69+F69=2,3,IF(C69+F69=1,1,0))</f>
        <v>0</v>
      </c>
      <c r="L69" s="27">
        <f>IF(K69=3,3,IF(I69+K69=2,2,IF(K69=1,1,0)))</f>
        <v>0</v>
      </c>
      <c r="M69" s="27">
        <f>B69+E69</f>
        <v>8</v>
      </c>
      <c r="N69" s="27">
        <f>C69+F69+I69</f>
        <v>0</v>
      </c>
      <c r="O69" s="27"/>
      <c r="P69" s="40" t="str">
        <f>AE65</f>
        <v>Manuel Mifsud/Julian Esposito</v>
      </c>
      <c r="Q69" s="41">
        <v>3.0</v>
      </c>
      <c r="R69" s="42">
        <f>IF(Q69&gt;Q71,1,0)</f>
        <v>0</v>
      </c>
      <c r="S69" s="43"/>
      <c r="T69" s="41">
        <v>5.0</v>
      </c>
      <c r="U69" s="42">
        <f>IF(T69&gt;T71,1,0)</f>
        <v>0</v>
      </c>
      <c r="V69" s="43"/>
      <c r="W69" s="44"/>
      <c r="X69" s="27">
        <f>IF(W69&gt;W71,1,0)</f>
        <v>0</v>
      </c>
      <c r="Y69" s="27">
        <f>IF(Q69="",0,1)</f>
        <v>1</v>
      </c>
      <c r="Z69" s="27">
        <f>IF(R69+U69=2,3,IF(R69+U69=1,1,0))</f>
        <v>0</v>
      </c>
      <c r="AA69" s="27">
        <f>IF(Z69=3,3,IF(X69+Z69=2,2,IF(Z69=1,1,0)))</f>
        <v>0</v>
      </c>
      <c r="AB69" s="27">
        <f>Q69+T69</f>
        <v>8</v>
      </c>
      <c r="AC69" s="27">
        <f>R69+U69+X69</f>
        <v>0</v>
      </c>
      <c r="AD69" s="27"/>
      <c r="AE69" s="90" t="str">
        <f>'Players Men'!F15</f>
        <v>Mavric Sawyer/Keith Tanti</v>
      </c>
      <c r="AF69" s="46">
        <f>Y73+Y67+J73+J79</f>
        <v>4</v>
      </c>
      <c r="AG69" s="46">
        <f t="shared" ref="AG69:AI69" si="7">AA73+AA67+L73+L79</f>
        <v>10</v>
      </c>
      <c r="AH69" s="46">
        <f t="shared" si="7"/>
        <v>42</v>
      </c>
      <c r="AI69" s="47">
        <f t="shared" si="7"/>
        <v>8</v>
      </c>
      <c r="AJ69" s="33"/>
      <c r="AK69" s="33"/>
      <c r="AL69" s="27"/>
    </row>
    <row r="70" ht="15.0" customHeight="1">
      <c r="A70" s="48" t="s">
        <v>61</v>
      </c>
      <c r="H70" s="49"/>
      <c r="I70" s="50"/>
      <c r="J70" s="27"/>
      <c r="K70" s="27"/>
      <c r="L70" s="27"/>
      <c r="M70" s="27"/>
      <c r="N70" s="27"/>
      <c r="O70" s="27"/>
      <c r="P70" s="48" t="s">
        <v>61</v>
      </c>
      <c r="W70" s="49"/>
      <c r="X70" s="50"/>
      <c r="Y70" s="27"/>
      <c r="Z70" s="27"/>
      <c r="AA70" s="27"/>
      <c r="AB70" s="27"/>
      <c r="AC70" s="27"/>
      <c r="AD70" s="27"/>
      <c r="AE70" s="27"/>
      <c r="AF70" s="33"/>
      <c r="AG70" s="33"/>
      <c r="AH70" s="33"/>
      <c r="AI70" s="33"/>
      <c r="AJ70" s="33"/>
      <c r="AK70" s="33"/>
      <c r="AL70" s="27"/>
    </row>
    <row r="71" ht="15.0" customHeight="1">
      <c r="A71" s="51" t="str">
        <f>AE71</f>
        <v>Neville Sciriha/Roberto Murdocco</v>
      </c>
      <c r="B71" s="41">
        <v>6.0</v>
      </c>
      <c r="C71" s="52">
        <f>IF(B71&gt;B69,1,0)</f>
        <v>1</v>
      </c>
      <c r="D71" s="53"/>
      <c r="E71" s="41">
        <v>6.0</v>
      </c>
      <c r="F71" s="52">
        <f>IF(E71&gt;E69,1,0)</f>
        <v>1</v>
      </c>
      <c r="G71" s="53"/>
      <c r="H71" s="44"/>
      <c r="I71" s="27">
        <f>IF(H71&gt;H69,1,0)</f>
        <v>0</v>
      </c>
      <c r="J71" s="27">
        <f>IF(B71="",0,1)</f>
        <v>1</v>
      </c>
      <c r="K71" s="27">
        <f>IF(C71+F71=2,3,IF(C71+F71=1,1,0))</f>
        <v>3</v>
      </c>
      <c r="L71" s="27">
        <f>IF(K71=3,3,IF(I71+K71=2,2,IF(K71=1,1,0)))</f>
        <v>3</v>
      </c>
      <c r="M71" s="27">
        <f>B71+E71</f>
        <v>12</v>
      </c>
      <c r="N71" s="27">
        <f>C71+F71+I71</f>
        <v>2</v>
      </c>
      <c r="O71" s="27"/>
      <c r="P71" s="51" t="str">
        <f>AE73</f>
        <v>Etienne Formosa Carabez/Javier Viloria</v>
      </c>
      <c r="Q71" s="41">
        <v>6.0</v>
      </c>
      <c r="R71" s="52">
        <f>IF(Q71&gt;Q69,1,0)</f>
        <v>1</v>
      </c>
      <c r="S71" s="53"/>
      <c r="T71" s="41">
        <v>7.0</v>
      </c>
      <c r="U71" s="52">
        <f>IF(T71&gt;T69,1,0)</f>
        <v>1</v>
      </c>
      <c r="V71" s="53"/>
      <c r="W71" s="44"/>
      <c r="X71" s="27">
        <f>IF(W71&gt;W69,1,0)</f>
        <v>0</v>
      </c>
      <c r="Y71" s="27">
        <f>IF(Q71="",0,1)</f>
        <v>1</v>
      </c>
      <c r="Z71" s="27">
        <f>IF(R71+U71=2,3,IF(R71+U71=1,1,0))</f>
        <v>3</v>
      </c>
      <c r="AA71" s="27">
        <f>IF(Z71=3,3,IF(X71+Z71=2,2,IF(Z71=1,1,0)))</f>
        <v>3</v>
      </c>
      <c r="AB71" s="27">
        <f>Q71+T71</f>
        <v>13</v>
      </c>
      <c r="AC71" s="27">
        <f>R71+U71+X71</f>
        <v>2</v>
      </c>
      <c r="AD71" s="27"/>
      <c r="AE71" s="90" t="str">
        <f>'Players Men'!F16</f>
        <v>Neville Sciriha/Roberto Murdocco</v>
      </c>
      <c r="AF71" s="46">
        <f>Y75+J85+J71+Y79</f>
        <v>4</v>
      </c>
      <c r="AG71" s="46">
        <f t="shared" ref="AG71:AI71" si="8">AA75+L85+L71+AA79</f>
        <v>4</v>
      </c>
      <c r="AH71" s="46">
        <f t="shared" si="8"/>
        <v>33</v>
      </c>
      <c r="AI71" s="47">
        <f t="shared" si="8"/>
        <v>3</v>
      </c>
      <c r="AJ71" s="33"/>
      <c r="AK71" s="33"/>
      <c r="AL71" s="27"/>
    </row>
    <row r="72" ht="15.0" customHeight="1">
      <c r="A72" s="27"/>
      <c r="B72" s="33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56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33"/>
      <c r="AG72" s="33"/>
      <c r="AH72" s="33"/>
      <c r="AI72" s="33"/>
      <c r="AJ72" s="33"/>
      <c r="AK72" s="33"/>
      <c r="AL72" s="27"/>
    </row>
    <row r="73" ht="15.0" customHeight="1">
      <c r="A73" s="40" t="str">
        <f>AE69</f>
        <v>Mavric Sawyer/Keith Tanti</v>
      </c>
      <c r="B73" s="41">
        <v>6.0</v>
      </c>
      <c r="C73" s="42">
        <f>IF(B73&gt;B75,1,0)</f>
        <v>1</v>
      </c>
      <c r="D73" s="43"/>
      <c r="E73" s="41">
        <v>6.0</v>
      </c>
      <c r="F73" s="42">
        <f>IF(E73&gt;E75,1,0)</f>
        <v>1</v>
      </c>
      <c r="G73" s="43"/>
      <c r="H73" s="44"/>
      <c r="I73" s="27">
        <f>IF(H73&gt;H75,1,0)</f>
        <v>0</v>
      </c>
      <c r="J73" s="27">
        <f>IF(B73="",0,1)</f>
        <v>1</v>
      </c>
      <c r="K73" s="27">
        <f>IF(C73+F73=2,3,IF(C73+F73=1,1,0))</f>
        <v>3</v>
      </c>
      <c r="L73" s="27">
        <f>IF(K73=3,3,IF(I73+K73=2,2,IF(K73=1,1,0)))</f>
        <v>3</v>
      </c>
      <c r="M73" s="27">
        <f>B73+E73</f>
        <v>12</v>
      </c>
      <c r="N73" s="27">
        <f>C73+F73+I73</f>
        <v>2</v>
      </c>
      <c r="O73" s="27"/>
      <c r="P73" s="40" t="str">
        <f>AE69</f>
        <v>Mavric Sawyer/Keith Tanti</v>
      </c>
      <c r="Q73" s="41">
        <v>4.0</v>
      </c>
      <c r="R73" s="42">
        <f>IF(Q73&gt;Q75,1,0)</f>
        <v>0</v>
      </c>
      <c r="S73" s="43"/>
      <c r="T73" s="41">
        <v>6.0</v>
      </c>
      <c r="U73" s="42">
        <f>IF(T73&gt;T75,1,0)</f>
        <v>1</v>
      </c>
      <c r="V73" s="43"/>
      <c r="W73" s="41">
        <v>11.0</v>
      </c>
      <c r="X73" s="27">
        <f>IF(W73&gt;W75,1,0)</f>
        <v>1</v>
      </c>
      <c r="Y73" s="27">
        <f>IF(Q73="",0,1)</f>
        <v>1</v>
      </c>
      <c r="Z73" s="27">
        <f>IF(R73+U73=2,3,IF(R73+U73=1,1,0))</f>
        <v>1</v>
      </c>
      <c r="AA73" s="27">
        <f>IF(Z73=3,3,IF(X73+Z73=2,2,IF(Z73=1,1,0)))</f>
        <v>2</v>
      </c>
      <c r="AB73" s="27">
        <f>Q73+T73</f>
        <v>10</v>
      </c>
      <c r="AC73" s="27">
        <f>R73+U73+X73</f>
        <v>2</v>
      </c>
      <c r="AD73" s="27"/>
      <c r="AE73" s="90" t="str">
        <f>'Players Men'!F17</f>
        <v>Etienne Formosa Carabez/Javier Viloria</v>
      </c>
      <c r="AF73" s="46">
        <f>J87+J83+Y71+J75</f>
        <v>4</v>
      </c>
      <c r="AG73" s="46">
        <f t="shared" ref="AG73:AI73" si="9">L87+L83+AA71+L75</f>
        <v>6</v>
      </c>
      <c r="AH73" s="46">
        <f t="shared" si="9"/>
        <v>34</v>
      </c>
      <c r="AI73" s="47">
        <f t="shared" si="9"/>
        <v>4</v>
      </c>
      <c r="AJ73" s="33"/>
      <c r="AK73" s="33"/>
      <c r="AL73" s="27"/>
    </row>
    <row r="74" ht="15.0" customHeight="1">
      <c r="A74" s="48" t="s">
        <v>61</v>
      </c>
      <c r="H74" s="49"/>
      <c r="I74" s="50"/>
      <c r="J74" s="27"/>
      <c r="K74" s="27"/>
      <c r="L74" s="27"/>
      <c r="M74" s="27"/>
      <c r="N74" s="27"/>
      <c r="O74" s="27"/>
      <c r="P74" s="48" t="s">
        <v>61</v>
      </c>
      <c r="W74" s="49"/>
      <c r="X74" s="50"/>
      <c r="Y74" s="27"/>
      <c r="Z74" s="27"/>
      <c r="AA74" s="27"/>
      <c r="AB74" s="27"/>
      <c r="AC74" s="27"/>
      <c r="AD74" s="27"/>
      <c r="AE74" s="27"/>
      <c r="AF74" s="33"/>
      <c r="AG74" s="33"/>
      <c r="AH74" s="33"/>
      <c r="AI74" s="33"/>
      <c r="AJ74" s="33"/>
      <c r="AK74" s="33"/>
      <c r="AL74" s="27"/>
    </row>
    <row r="75" ht="15.0" customHeight="1">
      <c r="A75" s="51" t="str">
        <f>AE73</f>
        <v>Etienne Formosa Carabez/Javier Viloria</v>
      </c>
      <c r="B75" s="41">
        <v>1.0</v>
      </c>
      <c r="C75" s="52">
        <f>IF(B75&gt;B73,1,0)</f>
        <v>0</v>
      </c>
      <c r="D75" s="53"/>
      <c r="E75" s="41">
        <v>3.0</v>
      </c>
      <c r="F75" s="52">
        <f>IF(E75&gt;E73,1,0)</f>
        <v>0</v>
      </c>
      <c r="G75" s="53"/>
      <c r="H75" s="44"/>
      <c r="I75" s="27">
        <f>IF(H75&gt;H73,1,0)</f>
        <v>0</v>
      </c>
      <c r="J75" s="27">
        <f>IF(B75="",0,1)</f>
        <v>1</v>
      </c>
      <c r="K75" s="27">
        <f>IF(C75+F75=2,3,IF(C75+F75=1,1,0))</f>
        <v>0</v>
      </c>
      <c r="L75" s="27">
        <f>IF(K75=3,3,IF(I75+K75=2,2,IF(K75=1,1,0)))</f>
        <v>0</v>
      </c>
      <c r="M75" s="27">
        <f>B75+E75</f>
        <v>4</v>
      </c>
      <c r="N75" s="27">
        <f>C75+F75+I75</f>
        <v>0</v>
      </c>
      <c r="O75" s="27"/>
      <c r="P75" s="51" t="str">
        <f>AE71</f>
        <v>Neville Sciriha/Roberto Murdocco</v>
      </c>
      <c r="Q75" s="41">
        <v>6.0</v>
      </c>
      <c r="R75" s="52">
        <f>IF(Q75&gt;Q73,1,0)</f>
        <v>1</v>
      </c>
      <c r="S75" s="53"/>
      <c r="T75" s="41">
        <v>4.0</v>
      </c>
      <c r="U75" s="52">
        <f>IF(T75&gt;T73,1,0)</f>
        <v>0</v>
      </c>
      <c r="V75" s="53"/>
      <c r="W75" s="41">
        <v>9.0</v>
      </c>
      <c r="X75" s="27">
        <f>IF(W75&gt;W73,1,0)</f>
        <v>0</v>
      </c>
      <c r="Y75" s="27">
        <f>IF(Q75="",0,1)</f>
        <v>1</v>
      </c>
      <c r="Z75" s="27">
        <f>IF(R75+U75=2,3,IF(R75+U75=1,1,0))</f>
        <v>1</v>
      </c>
      <c r="AA75" s="27">
        <f>IF(Z75=3,3,IF(X75+Z75=2,2,IF(Z75=1,1,0)))</f>
        <v>1</v>
      </c>
      <c r="AB75" s="27">
        <f>Q75+T75</f>
        <v>10</v>
      </c>
      <c r="AC75" s="27">
        <f>R75+U75+X75</f>
        <v>1</v>
      </c>
      <c r="AD75" s="27"/>
      <c r="AE75" s="88" t="s">
        <v>65</v>
      </c>
      <c r="AF75" s="30"/>
      <c r="AG75" s="30"/>
      <c r="AH75" s="30"/>
      <c r="AI75" s="11"/>
      <c r="AJ75" s="27"/>
      <c r="AK75" s="33"/>
      <c r="AL75" s="27"/>
    </row>
    <row r="76" ht="15.0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55" t="s">
        <v>21</v>
      </c>
      <c r="AF76" s="30"/>
      <c r="AG76" s="30"/>
      <c r="AH76" s="30"/>
      <c r="AI76" s="11"/>
    </row>
    <row r="77" ht="15.0" customHeight="1">
      <c r="A77" s="40" t="str">
        <f>AE67</f>
        <v>Ivan Cassar/Kurt Cassar</v>
      </c>
      <c r="B77" s="41">
        <v>1.0</v>
      </c>
      <c r="C77" s="42">
        <f>IF(B77&gt;B79,1,0)</f>
        <v>0</v>
      </c>
      <c r="D77" s="43"/>
      <c r="E77" s="41">
        <v>6.0</v>
      </c>
      <c r="F77" s="42">
        <f>IF(E77&gt;E79,1,0)</f>
        <v>1</v>
      </c>
      <c r="G77" s="43"/>
      <c r="H77" s="41">
        <v>9.0</v>
      </c>
      <c r="I77" s="27">
        <f>IF(H77&gt;H79,1,0)</f>
        <v>0</v>
      </c>
      <c r="J77" s="27">
        <f>IF(B77="",0,1)</f>
        <v>1</v>
      </c>
      <c r="K77" s="27">
        <f>IF(C77+F77=2,3,IF(C77+F77=1,1,0))</f>
        <v>1</v>
      </c>
      <c r="L77" s="27">
        <f>IF(K77=3,3,IF(I77+K77=2,2,IF(K77=1,1,0)))</f>
        <v>1</v>
      </c>
      <c r="M77" s="27">
        <f>B77+E77</f>
        <v>7</v>
      </c>
      <c r="N77" s="27">
        <f>C77+F77+I77</f>
        <v>1</v>
      </c>
      <c r="O77" s="27"/>
      <c r="P77" s="40" t="str">
        <f>AE67</f>
        <v>Ivan Cassar/Kurt Cassar</v>
      </c>
      <c r="Q77" s="41">
        <v>6.0</v>
      </c>
      <c r="R77" s="42">
        <f>IF(Q77&gt;Q79,1,0)</f>
        <v>1</v>
      </c>
      <c r="S77" s="43"/>
      <c r="T77" s="41">
        <v>6.0</v>
      </c>
      <c r="U77" s="42">
        <f>IF(T77&gt;T79,1,0)</f>
        <v>1</v>
      </c>
      <c r="V77" s="43"/>
      <c r="W77" s="44"/>
      <c r="X77" s="27">
        <f>IF(W77&gt;W79,1,0)</f>
        <v>0</v>
      </c>
      <c r="Y77" s="27">
        <f>IF(Q77="",0,1)</f>
        <v>1</v>
      </c>
      <c r="Z77" s="27">
        <f>IF(R77+U77=2,3,IF(R77+U77=1,1,0))</f>
        <v>3</v>
      </c>
      <c r="AA77" s="27">
        <f>IF(Z77=3,3,IF(X77+Z77=2,2,IF(Z77=1,1,0)))</f>
        <v>3</v>
      </c>
      <c r="AB77" s="27">
        <f>Q77+T77</f>
        <v>12</v>
      </c>
      <c r="AC77" s="27">
        <f>R77+U77+X77</f>
        <v>2</v>
      </c>
      <c r="AD77" s="27"/>
    </row>
    <row r="78" ht="15.0" customHeight="1">
      <c r="A78" s="48" t="s">
        <v>61</v>
      </c>
      <c r="H78" s="49"/>
      <c r="I78" s="50"/>
      <c r="J78" s="27"/>
      <c r="K78" s="27"/>
      <c r="L78" s="27"/>
      <c r="M78" s="27"/>
      <c r="N78" s="27"/>
      <c r="O78" s="27"/>
      <c r="P78" s="48" t="s">
        <v>61</v>
      </c>
      <c r="W78" s="49"/>
      <c r="X78" s="50"/>
      <c r="Y78" s="27"/>
      <c r="Z78" s="27"/>
      <c r="AA78" s="27"/>
      <c r="AB78" s="27"/>
      <c r="AC78" s="27"/>
      <c r="AD78" s="27"/>
    </row>
    <row r="79" ht="15.0" customHeight="1">
      <c r="A79" s="51" t="str">
        <f>AE69</f>
        <v>Mavric Sawyer/Keith Tanti</v>
      </c>
      <c r="B79" s="41">
        <v>6.0</v>
      </c>
      <c r="C79" s="52">
        <f>IF(B79&gt;B77,1,0)</f>
        <v>1</v>
      </c>
      <c r="D79" s="53"/>
      <c r="E79" s="41">
        <v>2.0</v>
      </c>
      <c r="F79" s="52">
        <f>IF(E79&gt;E77,1,0)</f>
        <v>0</v>
      </c>
      <c r="G79" s="53"/>
      <c r="H79" s="41">
        <v>11.0</v>
      </c>
      <c r="I79" s="27">
        <f>IF(H79&gt;H77,1,0)</f>
        <v>1</v>
      </c>
      <c r="J79" s="27">
        <f>IF(B79="",0,1)</f>
        <v>1</v>
      </c>
      <c r="K79" s="27">
        <f>IF(C79+F79=2,3,IF(C79+F79=1,1,0))</f>
        <v>1</v>
      </c>
      <c r="L79" s="27">
        <f>IF(K79=3,3,IF(I79+K79=2,2,IF(K79=1,1,0)))</f>
        <v>2</v>
      </c>
      <c r="M79" s="27">
        <f>B79+E79</f>
        <v>8</v>
      </c>
      <c r="N79" s="27">
        <f>C79+F79+I79</f>
        <v>2</v>
      </c>
      <c r="O79" s="27"/>
      <c r="P79" s="51" t="str">
        <f>AE71</f>
        <v>Neville Sciriha/Roberto Murdocco</v>
      </c>
      <c r="Q79" s="41">
        <v>3.0</v>
      </c>
      <c r="R79" s="52">
        <f>IF(Q79&gt;Q77,1,0)</f>
        <v>0</v>
      </c>
      <c r="S79" s="53"/>
      <c r="T79" s="41">
        <v>3.0</v>
      </c>
      <c r="U79" s="52">
        <f>IF(T79&gt;T77,1,0)</f>
        <v>0</v>
      </c>
      <c r="V79" s="53"/>
      <c r="W79" s="44"/>
      <c r="X79" s="27">
        <f>IF(W79&gt;W77,1,0)</f>
        <v>0</v>
      </c>
      <c r="Y79" s="27">
        <f>IF(Q79="",0,1)</f>
        <v>1</v>
      </c>
      <c r="Z79" s="27">
        <f>IF(R79+U79=2,3,IF(R79+U79=1,1,0))</f>
        <v>0</v>
      </c>
      <c r="AA79" s="27">
        <f>IF(Z79=3,3,IF(X79+Z79=2,2,IF(Z79=1,1,0)))</f>
        <v>0</v>
      </c>
      <c r="AB79" s="27">
        <f>Q79+T79</f>
        <v>6</v>
      </c>
      <c r="AC79" s="27">
        <f>R79+U79+X79</f>
        <v>0</v>
      </c>
      <c r="AD79" s="27"/>
      <c r="AE79" s="27"/>
      <c r="AF79" s="27"/>
      <c r="AG79" s="27"/>
      <c r="AH79" s="27"/>
      <c r="AI79" s="27"/>
    </row>
    <row r="80" ht="15.0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</row>
    <row r="81" ht="15.0" customHeight="1">
      <c r="A81" s="40" t="str">
        <f>AE67</f>
        <v>Ivan Cassar/Kurt Cassar</v>
      </c>
      <c r="B81" s="41">
        <v>6.0</v>
      </c>
      <c r="C81" s="42">
        <f>IF(B81&gt;B83,1,0)</f>
        <v>1</v>
      </c>
      <c r="D81" s="43"/>
      <c r="E81" s="41">
        <v>6.0</v>
      </c>
      <c r="F81" s="42">
        <f>IF(E81&gt;E83,1,0)</f>
        <v>1</v>
      </c>
      <c r="G81" s="43"/>
      <c r="H81" s="44"/>
      <c r="I81" s="27">
        <f>IF(H81&gt;H83,1,0)</f>
        <v>0</v>
      </c>
      <c r="J81" s="27">
        <f>IF(B81="",0,1)</f>
        <v>1</v>
      </c>
      <c r="K81" s="27">
        <f>IF(C81+F81=2,3,IF(C81+F81=1,1,0))</f>
        <v>3</v>
      </c>
      <c r="L81" s="27">
        <f>IF(K81=3,3,IF(I81+K81=2,2,IF(K81=1,1,0)))</f>
        <v>3</v>
      </c>
      <c r="M81" s="27">
        <f>B81+E81</f>
        <v>12</v>
      </c>
      <c r="N81" s="27">
        <f>C81+F81+I81</f>
        <v>2</v>
      </c>
      <c r="O81" s="27"/>
      <c r="P81" s="27"/>
      <c r="Q81" s="33"/>
      <c r="R81" s="27"/>
      <c r="S81" s="33"/>
      <c r="T81" s="33"/>
      <c r="U81" s="27"/>
      <c r="V81" s="33"/>
      <c r="W81" s="33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</row>
    <row r="82" ht="15.0" customHeight="1">
      <c r="A82" s="48" t="s">
        <v>61</v>
      </c>
      <c r="H82" s="49"/>
      <c r="I82" s="50"/>
      <c r="J82" s="27"/>
      <c r="K82" s="27"/>
      <c r="L82" s="27"/>
      <c r="M82" s="27"/>
      <c r="N82" s="27"/>
      <c r="O82" s="27"/>
      <c r="P82" s="27"/>
      <c r="X82" s="50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</row>
    <row r="83" ht="15.0" customHeight="1">
      <c r="A83" s="51" t="str">
        <f>AE73</f>
        <v>Etienne Formosa Carabez/Javier Viloria</v>
      </c>
      <c r="B83" s="41">
        <v>3.0</v>
      </c>
      <c r="C83" s="52">
        <f>IF(B83&gt;B81,1,0)</f>
        <v>0</v>
      </c>
      <c r="D83" s="53"/>
      <c r="E83" s="41">
        <v>2.0</v>
      </c>
      <c r="F83" s="52">
        <f>IF(E83&gt;E81,1,0)</f>
        <v>0</v>
      </c>
      <c r="G83" s="53"/>
      <c r="H83" s="44"/>
      <c r="I83" s="27">
        <f>IF(H83&gt;H81,1,0)</f>
        <v>0</v>
      </c>
      <c r="J83" s="27">
        <f>IF(B83="",0,1)</f>
        <v>1</v>
      </c>
      <c r="K83" s="27">
        <f>IF(C83+F83=2,3,IF(C83+F83=1,1,0))</f>
        <v>0</v>
      </c>
      <c r="L83" s="27">
        <f>IF(K83=3,3,IF(I83+K83=2,2,IF(K83=1,1,0)))</f>
        <v>0</v>
      </c>
      <c r="M83" s="27">
        <f>B83+E83</f>
        <v>5</v>
      </c>
      <c r="N83" s="27">
        <f>C83+F83+I83</f>
        <v>0</v>
      </c>
      <c r="O83" s="27"/>
      <c r="P83" s="27"/>
      <c r="Q83" s="33"/>
      <c r="R83" s="27"/>
      <c r="S83" s="33"/>
      <c r="T83" s="33"/>
      <c r="U83" s="27"/>
      <c r="V83" s="33"/>
      <c r="W83" s="33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</row>
    <row r="84" ht="15.0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33"/>
      <c r="AI84" s="27"/>
    </row>
    <row r="85" ht="15.0" customHeight="1">
      <c r="A85" s="40" t="str">
        <f>AE71</f>
        <v>Neville Sciriha/Roberto Murdocco</v>
      </c>
      <c r="B85" s="41">
        <v>3.0</v>
      </c>
      <c r="C85" s="42">
        <f>IF(B85&gt;B87,1,0)</f>
        <v>0</v>
      </c>
      <c r="D85" s="43"/>
      <c r="E85" s="41">
        <v>2.0</v>
      </c>
      <c r="F85" s="42">
        <f>IF(E85&gt;E87,1,0)</f>
        <v>0</v>
      </c>
      <c r="G85" s="43"/>
      <c r="H85" s="44"/>
      <c r="I85" s="27">
        <f>IF(H85&gt;H87,1,0)</f>
        <v>0</v>
      </c>
      <c r="J85" s="27">
        <f>IF(B85="",0,1)</f>
        <v>1</v>
      </c>
      <c r="K85" s="27">
        <f>IF(C85+F85=2,3,IF(C85+F85=1,1,0))</f>
        <v>0</v>
      </c>
      <c r="L85" s="27">
        <f>IF(K85=3,3,IF(I85+K85=2,2,IF(K85=1,1,0)))</f>
        <v>0</v>
      </c>
      <c r="M85" s="27">
        <f>B85+E85</f>
        <v>5</v>
      </c>
      <c r="N85" s="27">
        <f>C85+F85+I85</f>
        <v>0</v>
      </c>
      <c r="O85" s="27"/>
      <c r="AD85" s="27"/>
      <c r="AE85" s="27"/>
      <c r="AF85" s="27"/>
      <c r="AG85" s="27"/>
      <c r="AH85" s="27"/>
      <c r="AI85" s="27"/>
    </row>
    <row r="86" ht="15.0" customHeight="1">
      <c r="A86" s="48" t="s">
        <v>61</v>
      </c>
      <c r="H86" s="49"/>
      <c r="I86" s="50"/>
      <c r="J86" s="27"/>
      <c r="K86" s="27"/>
      <c r="L86" s="27"/>
      <c r="M86" s="27"/>
      <c r="N86" s="27"/>
      <c r="O86" s="27"/>
      <c r="AD86" s="27"/>
      <c r="AE86" s="27"/>
      <c r="AF86" s="27"/>
      <c r="AG86" s="27"/>
      <c r="AH86" s="27"/>
      <c r="AI86" s="27"/>
    </row>
    <row r="87" ht="15.0" customHeight="1">
      <c r="A87" s="51" t="str">
        <f>AE73</f>
        <v>Etienne Formosa Carabez/Javier Viloria</v>
      </c>
      <c r="B87" s="41">
        <v>6.0</v>
      </c>
      <c r="C87" s="52">
        <f>IF(B87&gt;B85,1,0)</f>
        <v>1</v>
      </c>
      <c r="D87" s="53"/>
      <c r="E87" s="41">
        <v>6.0</v>
      </c>
      <c r="F87" s="52">
        <f>IF(E87&gt;E85,1,0)</f>
        <v>1</v>
      </c>
      <c r="G87" s="53"/>
      <c r="H87" s="44"/>
      <c r="I87" s="27">
        <f>IF(H87&gt;H85,1,0)</f>
        <v>0</v>
      </c>
      <c r="J87" s="27">
        <f>IF(B87="",0,1)</f>
        <v>1</v>
      </c>
      <c r="K87" s="27">
        <f>IF(C87+F87=2,3,IF(C87+F87=1,1,0))</f>
        <v>3</v>
      </c>
      <c r="L87" s="27">
        <f>IF(K87=3,3,IF(I87+K87=2,2,IF(K87=1,1,0)))</f>
        <v>3</v>
      </c>
      <c r="M87" s="27">
        <f>B87+E87</f>
        <v>12</v>
      </c>
      <c r="N87" s="27">
        <f>C87+F87+I87</f>
        <v>2</v>
      </c>
      <c r="O87" s="27"/>
      <c r="AD87" s="27"/>
      <c r="AE87" s="27"/>
      <c r="AF87" s="27"/>
      <c r="AG87" s="27"/>
      <c r="AH87" s="27"/>
      <c r="AI87" s="27"/>
    </row>
    <row r="88" ht="15.0" customHeight="1">
      <c r="A88" s="27"/>
      <c r="B88" s="27"/>
      <c r="C88" s="27"/>
      <c r="D88" s="27"/>
      <c r="E88" s="33"/>
      <c r="F88" s="27"/>
      <c r="G88" s="27"/>
      <c r="H88" s="33"/>
      <c r="I88" s="27"/>
      <c r="J88" s="33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33"/>
      <c r="Z88" s="27"/>
      <c r="AA88" s="27"/>
      <c r="AB88" s="27"/>
      <c r="AC88" s="27"/>
      <c r="AD88" s="27"/>
      <c r="AE88" s="27"/>
      <c r="AF88" s="27"/>
      <c r="AG88" s="27"/>
      <c r="AH88" s="27"/>
      <c r="AI88" s="27"/>
    </row>
    <row r="89" ht="15.0" customHeight="1">
      <c r="O89" s="27"/>
      <c r="P89" s="27"/>
      <c r="Q89" s="33"/>
      <c r="R89" s="27"/>
      <c r="S89" s="33"/>
      <c r="T89" s="33"/>
      <c r="U89" s="27"/>
      <c r="V89" s="33"/>
      <c r="W89" s="33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</row>
    <row r="90" ht="15.0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6"/>
      <c r="P90" s="77"/>
      <c r="Q90" s="25"/>
      <c r="R90" s="25"/>
      <c r="S90" s="25"/>
      <c r="T90" s="25"/>
      <c r="U90" s="25"/>
      <c r="V90" s="25"/>
      <c r="W90" s="26"/>
      <c r="X90" s="78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</row>
    <row r="91" ht="15.75" customHeight="1"/>
    <row r="92" ht="13.5" customHeight="1">
      <c r="P92" s="65" t="s">
        <v>67</v>
      </c>
      <c r="Q92" s="30"/>
      <c r="R92" s="30"/>
      <c r="S92" s="30"/>
      <c r="T92" s="30"/>
      <c r="U92" s="30"/>
      <c r="V92" s="30"/>
      <c r="W92" s="66"/>
      <c r="X92" s="27"/>
      <c r="Y92" s="27"/>
      <c r="Z92" s="27"/>
      <c r="AA92" s="27"/>
      <c r="AB92" s="27"/>
      <c r="AC92" s="27"/>
    </row>
    <row r="93" ht="13.5" customHeight="1"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ht="30.0" customHeight="1">
      <c r="P94" s="67" t="s">
        <v>41</v>
      </c>
      <c r="Q94" s="65" t="s">
        <v>42</v>
      </c>
      <c r="R94" s="30"/>
      <c r="S94" s="30"/>
      <c r="T94" s="11"/>
      <c r="U94" s="68"/>
      <c r="V94" s="69"/>
      <c r="W94" s="67" t="s">
        <v>43</v>
      </c>
      <c r="X94" s="27"/>
      <c r="Y94" s="27"/>
      <c r="Z94" s="27"/>
      <c r="AA94" s="27"/>
      <c r="AB94" s="27"/>
      <c r="AC94" s="27"/>
    </row>
    <row r="95" ht="15.75" hidden="1" customHeight="1">
      <c r="P95" s="27"/>
      <c r="Q95" s="37" t="s">
        <v>49</v>
      </c>
      <c r="R95" s="37" t="s">
        <v>50</v>
      </c>
      <c r="S95" s="37"/>
      <c r="T95" s="37" t="s">
        <v>49</v>
      </c>
      <c r="U95" s="37" t="s">
        <v>51</v>
      </c>
      <c r="V95" s="37"/>
      <c r="W95" s="37" t="s">
        <v>49</v>
      </c>
      <c r="X95" s="37" t="s">
        <v>52</v>
      </c>
      <c r="Y95" s="37" t="s">
        <v>53</v>
      </c>
      <c r="Z95" s="37" t="s">
        <v>54</v>
      </c>
      <c r="AA95" s="37" t="s">
        <v>55</v>
      </c>
      <c r="AB95" s="37" t="s">
        <v>56</v>
      </c>
      <c r="AC95" s="37" t="s">
        <v>57</v>
      </c>
    </row>
    <row r="96" ht="13.5" customHeight="1">
      <c r="P96" s="70" t="s">
        <v>18</v>
      </c>
      <c r="Q96" s="41">
        <v>6.0</v>
      </c>
      <c r="R96" s="42">
        <f>IF(Q96&gt;Q98,1,0)</f>
        <v>1</v>
      </c>
      <c r="S96" s="43"/>
      <c r="T96" s="41">
        <v>7.0</v>
      </c>
      <c r="U96" s="42">
        <f>IF(T96&gt;T98,1,0)</f>
        <v>1</v>
      </c>
      <c r="V96" s="43"/>
      <c r="W96" s="44"/>
      <c r="X96" s="27">
        <f>IF(W96&gt;W98,1,0)</f>
        <v>0</v>
      </c>
      <c r="Y96" s="27">
        <f>IF(Q96="",0,1)</f>
        <v>1</v>
      </c>
      <c r="Z96" s="27">
        <f>IF(R96+U96=2,3,IF(R96+U96=1,1,0))</f>
        <v>3</v>
      </c>
      <c r="AA96" s="27">
        <f>IF(Z96=3,3,IF(X96+Z96=2,2,IF(Z96=1,1,0)))</f>
        <v>3</v>
      </c>
      <c r="AB96" s="27">
        <f>Q96+T96</f>
        <v>13</v>
      </c>
      <c r="AC96" s="27">
        <f>R96+U96+X96</f>
        <v>2</v>
      </c>
    </row>
    <row r="97" ht="13.5" customHeight="1">
      <c r="P97" s="48" t="s">
        <v>61</v>
      </c>
      <c r="W97" s="49"/>
      <c r="X97" s="50"/>
      <c r="Y97" s="27"/>
      <c r="Z97" s="27"/>
      <c r="AA97" s="27"/>
      <c r="AB97" s="27"/>
      <c r="AC97" s="27"/>
    </row>
    <row r="98" ht="13.5" customHeight="1">
      <c r="P98" s="71" t="s">
        <v>21</v>
      </c>
      <c r="Q98" s="41">
        <v>3.0</v>
      </c>
      <c r="R98" s="52">
        <f>IF(Q98&gt;Q96,1,0)</f>
        <v>0</v>
      </c>
      <c r="S98" s="53"/>
      <c r="T98" s="41">
        <v>6.0</v>
      </c>
      <c r="U98" s="52">
        <f>IF(T98&gt;T96,1,0)</f>
        <v>0</v>
      </c>
      <c r="V98" s="53"/>
      <c r="W98" s="44"/>
      <c r="X98" s="27">
        <f>IF(W98&gt;W96,1,0)</f>
        <v>0</v>
      </c>
      <c r="Y98" s="27">
        <f>IF(Q98="",0,1)</f>
        <v>1</v>
      </c>
      <c r="Z98" s="27">
        <f>IF(R98+U98=2,3,IF(R98+U98=1,1,0))</f>
        <v>0</v>
      </c>
      <c r="AA98" s="27">
        <f>IF(Z98=3,3,IF(X98+Z98=2,2,IF(Z98=1,1,0)))</f>
        <v>0</v>
      </c>
      <c r="AB98" s="27">
        <f>Q98+T98</f>
        <v>9</v>
      </c>
      <c r="AC98" s="27">
        <f>R98+U98+X98</f>
        <v>0</v>
      </c>
    </row>
    <row r="99" ht="13.5" customHeight="1"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ht="13.5" customHeight="1">
      <c r="P100" s="65" t="s">
        <v>68</v>
      </c>
      <c r="Q100" s="30"/>
      <c r="R100" s="30"/>
      <c r="S100" s="30"/>
      <c r="T100" s="30"/>
      <c r="U100" s="30"/>
      <c r="V100" s="30"/>
      <c r="W100" s="11"/>
      <c r="X100" s="27"/>
      <c r="Y100" s="27"/>
      <c r="Z100" s="27"/>
      <c r="AA100" s="27"/>
      <c r="AB100" s="27"/>
      <c r="AC100" s="27"/>
    </row>
    <row r="101" ht="13.5" customHeight="1">
      <c r="P101" s="72" t="str">
        <f>IF(AA96&gt;AA98,P96,P98)</f>
        <v>Chi Chi Canonce/Kristen Cachia</v>
      </c>
      <c r="Q101" s="73"/>
      <c r="R101" s="73"/>
      <c r="S101" s="73"/>
      <c r="T101" s="73"/>
      <c r="U101" s="73"/>
      <c r="V101" s="73"/>
      <c r="W101" s="74"/>
      <c r="X101" s="27"/>
      <c r="Y101" s="27"/>
      <c r="Z101" s="27"/>
      <c r="AA101" s="27"/>
      <c r="AB101" s="27"/>
      <c r="AC101" s="27"/>
    </row>
    <row r="102" ht="13.5" customHeight="1"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ht="13.5" customHeight="1"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ht="13.5" customHeight="1">
      <c r="P104" s="65" t="s">
        <v>69</v>
      </c>
      <c r="Q104" s="30"/>
      <c r="R104" s="30"/>
      <c r="S104" s="30"/>
      <c r="T104" s="30"/>
      <c r="U104" s="30"/>
      <c r="V104" s="30"/>
      <c r="W104" s="11"/>
      <c r="X104" s="27"/>
      <c r="Y104" s="27"/>
      <c r="Z104" s="27"/>
      <c r="AA104" s="27"/>
      <c r="AB104" s="27"/>
      <c r="AC104" s="27"/>
    </row>
    <row r="105" ht="13.5" customHeight="1">
      <c r="P105" s="72" t="str">
        <f>IF(AA96&lt;AA98,P96,P98)</f>
        <v>Mavric Sawyer/Keith Tanti</v>
      </c>
      <c r="Q105" s="73"/>
      <c r="R105" s="73"/>
      <c r="S105" s="73"/>
      <c r="T105" s="73"/>
      <c r="U105" s="73"/>
      <c r="V105" s="73"/>
      <c r="W105" s="74"/>
      <c r="X105" s="27"/>
      <c r="Y105" s="27"/>
      <c r="Z105" s="27"/>
      <c r="AA105" s="27"/>
      <c r="AB105" s="27"/>
      <c r="AC105" s="27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41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19:AI19"/>
    <mergeCell ref="AE20:AI20"/>
    <mergeCell ref="A22:H22"/>
    <mergeCell ref="P22:W22"/>
    <mergeCell ref="A26:H26"/>
    <mergeCell ref="P26:W26"/>
    <mergeCell ref="A30:H30"/>
    <mergeCell ref="A61:AI61"/>
    <mergeCell ref="B63:E63"/>
    <mergeCell ref="Q63:T63"/>
    <mergeCell ref="P66:W66"/>
    <mergeCell ref="A66:H66"/>
    <mergeCell ref="A70:H70"/>
    <mergeCell ref="P70:W70"/>
    <mergeCell ref="A74:H74"/>
    <mergeCell ref="P74:W74"/>
    <mergeCell ref="AE75:AI75"/>
    <mergeCell ref="AE76:AI76"/>
    <mergeCell ref="Q94:T94"/>
    <mergeCell ref="P97:W97"/>
    <mergeCell ref="P100:W100"/>
    <mergeCell ref="P101:W101"/>
    <mergeCell ref="P104:W104"/>
    <mergeCell ref="P105:W105"/>
    <mergeCell ref="A78:H78"/>
    <mergeCell ref="P78:W78"/>
    <mergeCell ref="A82:H82"/>
    <mergeCell ref="P82:W82"/>
    <mergeCell ref="A86:H86"/>
    <mergeCell ref="P90:W90"/>
    <mergeCell ref="P92:W92"/>
  </mergeCells>
  <printOptions/>
  <pageMargins bottom="0.75" footer="0.0" header="0.0" left="0.7" right="0.7" top="0.75"/>
  <pageSetup paperSize="9"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11.88"/>
    <col customWidth="1" min="4" max="4" width="1.75"/>
    <col customWidth="1" min="5" max="5" width="7.0"/>
    <col customWidth="1" hidden="1" min="6" max="6" width="3.38"/>
    <col customWidth="1" min="7" max="7" width="1.75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5.38"/>
    <col customWidth="1" min="16" max="16" width="33.75"/>
    <col customWidth="1" min="17" max="17" width="7.0"/>
    <col customWidth="1" hidden="1" min="18" max="18" width="11.88"/>
    <col customWidth="1" min="19" max="19" width="1.75"/>
    <col customWidth="1" min="20" max="20" width="7.0"/>
    <col customWidth="1" hidden="1" min="21" max="21" width="11.88"/>
    <col customWidth="1" min="22" max="22" width="1.75"/>
    <col customWidth="1" min="23" max="23" width="7.0"/>
    <col customWidth="1" hidden="1" min="24" max="24" width="5.88"/>
    <col customWidth="1" hidden="1" min="25" max="25" width="4.75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5.75"/>
    <col customWidth="1" min="31" max="31" width="36.25"/>
    <col customWidth="1" min="32" max="35" width="8.75"/>
    <col customWidth="1" hidden="1" min="36" max="36" width="9.25"/>
    <col customWidth="1" hidden="1" min="37" max="37" width="8.0"/>
    <col customWidth="1" hidden="1" min="38" max="38" width="41.13"/>
    <col customWidth="1" hidden="1" min="39" max="40" width="12.75"/>
  </cols>
  <sheetData>
    <row r="1" ht="21.0" customHeight="1">
      <c r="A1" s="1" t="s">
        <v>40</v>
      </c>
      <c r="AJ1" s="2"/>
      <c r="AK1" s="2"/>
      <c r="AL1" s="2"/>
    </row>
    <row r="2" ht="21.0" customHeight="1">
      <c r="AJ2" s="2"/>
      <c r="AK2" s="2"/>
      <c r="AL2" s="2"/>
    </row>
    <row r="3" ht="15.0" customHeight="1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.0" customHeight="1">
      <c r="A5" s="91" t="s">
        <v>26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0" customHeight="1">
      <c r="A7" s="92" t="s">
        <v>41</v>
      </c>
      <c r="B7" s="93" t="s">
        <v>42</v>
      </c>
      <c r="C7" s="30"/>
      <c r="D7" s="30"/>
      <c r="E7" s="11"/>
      <c r="F7" s="31"/>
      <c r="G7" s="32"/>
      <c r="H7" s="92" t="s">
        <v>43</v>
      </c>
      <c r="I7" s="27"/>
      <c r="J7" s="27"/>
      <c r="K7" s="27"/>
      <c r="L7" s="27"/>
      <c r="M7" s="33"/>
      <c r="N7" s="33"/>
      <c r="O7" s="27"/>
      <c r="P7" s="92" t="s">
        <v>41</v>
      </c>
      <c r="Q7" s="93" t="s">
        <v>42</v>
      </c>
      <c r="R7" s="30"/>
      <c r="S7" s="30"/>
      <c r="T7" s="11"/>
      <c r="U7" s="31"/>
      <c r="V7" s="32"/>
      <c r="W7" s="92" t="s">
        <v>43</v>
      </c>
      <c r="X7" s="27"/>
      <c r="Y7" s="33"/>
      <c r="Z7" s="33"/>
      <c r="AA7" s="33"/>
      <c r="AB7" s="33"/>
      <c r="AC7" s="33"/>
      <c r="AD7" s="27"/>
      <c r="AE7" s="92" t="s">
        <v>44</v>
      </c>
      <c r="AF7" s="94" t="s">
        <v>45</v>
      </c>
      <c r="AG7" s="94" t="s">
        <v>46</v>
      </c>
      <c r="AH7" s="92" t="s">
        <v>47</v>
      </c>
      <c r="AI7" s="92" t="s">
        <v>48</v>
      </c>
      <c r="AJ7" s="33"/>
      <c r="AK7" s="33"/>
      <c r="AL7" s="33"/>
      <c r="AM7" s="27"/>
      <c r="AN7" s="27"/>
    </row>
    <row r="8" ht="15.0" hidden="1" customHeight="1">
      <c r="A8" s="27"/>
      <c r="B8" s="37" t="s">
        <v>49</v>
      </c>
      <c r="C8" s="37" t="s">
        <v>50</v>
      </c>
      <c r="D8" s="37"/>
      <c r="E8" s="37" t="s">
        <v>49</v>
      </c>
      <c r="F8" s="37" t="s">
        <v>51</v>
      </c>
      <c r="G8" s="37"/>
      <c r="H8" s="37" t="s">
        <v>49</v>
      </c>
      <c r="I8" s="37" t="s">
        <v>52</v>
      </c>
      <c r="J8" s="37" t="s">
        <v>53</v>
      </c>
      <c r="K8" s="37" t="s">
        <v>54</v>
      </c>
      <c r="L8" s="37" t="s">
        <v>55</v>
      </c>
      <c r="M8" s="37" t="s">
        <v>56</v>
      </c>
      <c r="N8" s="37" t="s">
        <v>57</v>
      </c>
      <c r="O8" s="27"/>
      <c r="P8" s="27"/>
      <c r="Q8" s="37" t="s">
        <v>49</v>
      </c>
      <c r="R8" s="37" t="s">
        <v>50</v>
      </c>
      <c r="S8" s="37"/>
      <c r="T8" s="37" t="s">
        <v>49</v>
      </c>
      <c r="U8" s="37" t="s">
        <v>51</v>
      </c>
      <c r="V8" s="37"/>
      <c r="W8" s="37" t="s">
        <v>49</v>
      </c>
      <c r="X8" s="37" t="s">
        <v>52</v>
      </c>
      <c r="Y8" s="37" t="s">
        <v>53</v>
      </c>
      <c r="Z8" s="37" t="s">
        <v>54</v>
      </c>
      <c r="AA8" s="37" t="s">
        <v>55</v>
      </c>
      <c r="AB8" s="37" t="s">
        <v>56</v>
      </c>
      <c r="AC8" s="37" t="s">
        <v>57</v>
      </c>
      <c r="AD8" s="27"/>
      <c r="AE8" s="33"/>
      <c r="AF8" s="33"/>
      <c r="AG8" s="33"/>
      <c r="AH8" s="33"/>
      <c r="AI8" s="33"/>
      <c r="AJ8" s="37" t="s">
        <v>58</v>
      </c>
      <c r="AK8" s="37" t="s">
        <v>70</v>
      </c>
      <c r="AL8" s="38" t="s">
        <v>59</v>
      </c>
      <c r="AM8" s="39" t="s">
        <v>60</v>
      </c>
      <c r="AN8" s="39" t="s">
        <v>71</v>
      </c>
    </row>
    <row r="9" ht="15.0" customHeight="1">
      <c r="A9" s="40" t="str">
        <f>AE9</f>
        <v>Denis Caruana/Duncan Zammit</v>
      </c>
      <c r="B9" s="41">
        <v>6.0</v>
      </c>
      <c r="C9" s="42">
        <f>IF(B9&gt;B11,1,0)</f>
        <v>1</v>
      </c>
      <c r="D9" s="43"/>
      <c r="E9" s="41">
        <v>6.0</v>
      </c>
      <c r="F9" s="42">
        <f>IF(E9&gt;E11,1,0)</f>
        <v>1</v>
      </c>
      <c r="G9" s="43"/>
      <c r="H9" s="44"/>
      <c r="I9" s="27">
        <f>IF(H9&gt;H11,1,0)</f>
        <v>0</v>
      </c>
      <c r="J9" s="27">
        <f>IF(B9="",0,1)</f>
        <v>1</v>
      </c>
      <c r="K9" s="27">
        <f>IF(C9+F9=2,3,IF(C9+F9=1,1,0))</f>
        <v>3</v>
      </c>
      <c r="L9" s="27">
        <f>IF(K9=3,3,IF(I9+K9=2,2,IF(K9=1,1,0)))</f>
        <v>3</v>
      </c>
      <c r="M9" s="27">
        <f>B9+E9</f>
        <v>12</v>
      </c>
      <c r="N9" s="27">
        <f>C9+F9+I9</f>
        <v>2</v>
      </c>
      <c r="O9" s="27"/>
      <c r="P9" s="40" t="str">
        <f>AE9</f>
        <v>Denis Caruana/Duncan Zammit</v>
      </c>
      <c r="Q9" s="41">
        <v>6.0</v>
      </c>
      <c r="R9" s="42">
        <f>IF(Q9&gt;Q11,1,0)</f>
        <v>1</v>
      </c>
      <c r="S9" s="43"/>
      <c r="T9" s="41">
        <v>6.0</v>
      </c>
      <c r="U9" s="42">
        <f>IF(T9&gt;T11,1,0)</f>
        <v>1</v>
      </c>
      <c r="V9" s="43"/>
      <c r="W9" s="44"/>
      <c r="X9" s="27">
        <f>IF(W9&gt;W11,1,0)</f>
        <v>0</v>
      </c>
      <c r="Y9" s="27">
        <f>IF(Q9="",0,1)</f>
        <v>1</v>
      </c>
      <c r="Z9" s="27">
        <f>IF(R9+U9=2,3,IF(R9+U9=1,1,0))</f>
        <v>3</v>
      </c>
      <c r="AA9" s="27">
        <f>IF(Z9=3,3,IF(X9+Z9=2,2,IF(Z9=1,1,0)))</f>
        <v>3</v>
      </c>
      <c r="AB9" s="27">
        <f>Q9+T9</f>
        <v>12</v>
      </c>
      <c r="AC9" s="27">
        <f>R9+U9+X9</f>
        <v>2</v>
      </c>
      <c r="AD9" s="27"/>
      <c r="AE9" s="95" t="str">
        <f>'Players Men'!B20</f>
        <v>Denis Caruana/Duncan Zammit</v>
      </c>
      <c r="AF9" s="46">
        <f>J9+Y9+J13+Y13+J17</f>
        <v>5</v>
      </c>
      <c r="AG9" s="46">
        <f t="shared" ref="AG9:AI9" si="1">L9+AA9+L13+AA13+L17</f>
        <v>13</v>
      </c>
      <c r="AH9" s="46">
        <f t="shared" si="1"/>
        <v>59</v>
      </c>
      <c r="AI9" s="47">
        <f t="shared" si="1"/>
        <v>9</v>
      </c>
      <c r="AJ9" s="27">
        <f>MAX(AG9:AG19)</f>
        <v>14</v>
      </c>
      <c r="AK9" s="27">
        <f>LARGE(AG9:AG19, 2)</f>
        <v>13</v>
      </c>
      <c r="AL9" s="27">
        <f>SUM(AF9:AF19)</f>
        <v>30</v>
      </c>
      <c r="AM9" s="27" t="str">
        <f>IF(AG9=$AJ$9,AE9,IF(AG11=$AJ$9,AE11,IF(AG13=$AJ$9,AE13,IF(AG15=$AJ$9,AE15,IF(AG17=$AJ$9,AE17,IF(AG19=$AJ$9,AE19,""))))))</f>
        <v>Dunstan Vella/Cyril Lastimosa</v>
      </c>
      <c r="AN9" s="27" t="str">
        <f>IF(AG9=$AK$9,AE9,IF(AG11=$AK$9,AE11,IF(AG13=$AK$9,AE13,IF(AG15=$AK$9,AE15,IF(AG17=$AK$9,AE17,IF(AG19=$AK$9,AE19,""))))))</f>
        <v>Denis Caruana/Duncan Zammit</v>
      </c>
    </row>
    <row r="10" ht="15.0" customHeight="1">
      <c r="A10" s="48" t="s">
        <v>61</v>
      </c>
      <c r="H10" s="49"/>
      <c r="I10" s="50"/>
      <c r="J10" s="27"/>
      <c r="K10" s="27"/>
      <c r="L10" s="27"/>
      <c r="M10" s="27"/>
      <c r="N10" s="27"/>
      <c r="O10" s="27"/>
      <c r="P10" s="48" t="s">
        <v>61</v>
      </c>
      <c r="W10" s="49"/>
      <c r="X10" s="50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33"/>
      <c r="AM10" s="27"/>
      <c r="AN10" s="27"/>
    </row>
    <row r="11" ht="15.0" customHeight="1">
      <c r="A11" s="51" t="str">
        <f>AE11</f>
        <v>Aaron Micallef Piccone/Adrian Sciberras</v>
      </c>
      <c r="B11" s="41">
        <v>2.0</v>
      </c>
      <c r="C11" s="52">
        <f>IF(B11&gt;B9,1,0)</f>
        <v>0</v>
      </c>
      <c r="D11" s="53"/>
      <c r="E11" s="41">
        <v>1.0</v>
      </c>
      <c r="F11" s="52">
        <f>IF(E11&gt;E9,1,0)</f>
        <v>0</v>
      </c>
      <c r="G11" s="53"/>
      <c r="H11" s="44"/>
      <c r="I11" s="27">
        <f>IF(H11&gt;H9,1,0)</f>
        <v>0</v>
      </c>
      <c r="J11" s="27">
        <f>IF(B11="",0,1)</f>
        <v>1</v>
      </c>
      <c r="K11" s="27">
        <f>IF(C11+F11=2,3,IF(C11+F11=1,1,0))</f>
        <v>0</v>
      </c>
      <c r="L11" s="27">
        <f>IF(K11=3,3,IF(I11+K11=2,2,IF(K11=1,1,0)))</f>
        <v>0</v>
      </c>
      <c r="M11" s="27">
        <f>B11+E11</f>
        <v>3</v>
      </c>
      <c r="N11" s="27">
        <f>C11+F11+I11</f>
        <v>0</v>
      </c>
      <c r="O11" s="27"/>
      <c r="P11" s="51" t="str">
        <f>AE13</f>
        <v>Cory Greenland/Benjamin Valencia</v>
      </c>
      <c r="Q11" s="41">
        <v>3.0</v>
      </c>
      <c r="R11" s="52">
        <f>IF(Q11&gt;Q9,1,0)</f>
        <v>0</v>
      </c>
      <c r="S11" s="53"/>
      <c r="T11" s="41">
        <v>2.0</v>
      </c>
      <c r="U11" s="52">
        <f>IF(T11&gt;T9,1,0)</f>
        <v>0</v>
      </c>
      <c r="V11" s="53"/>
      <c r="W11" s="44"/>
      <c r="X11" s="27">
        <f>IF(W11&gt;W9,1,0)</f>
        <v>0</v>
      </c>
      <c r="Y11" s="27">
        <f>IF(Q11="",0,1)</f>
        <v>1</v>
      </c>
      <c r="Z11" s="27">
        <f>IF(R11+U11=2,3,IF(R11+U11=1,1,0))</f>
        <v>0</v>
      </c>
      <c r="AA11" s="27">
        <f>IF(Z11=3,3,IF(X11+Z11=2,2,IF(Z11=1,1,0)))</f>
        <v>0</v>
      </c>
      <c r="AB11" s="27">
        <f>Q11+T11</f>
        <v>5</v>
      </c>
      <c r="AC11" s="27">
        <f>R11+U11+X11</f>
        <v>0</v>
      </c>
      <c r="AD11" s="27"/>
      <c r="AE11" s="95" t="str">
        <f>'Players Men'!B21</f>
        <v>Aaron Micallef Piccone/Adrian Sciberras</v>
      </c>
      <c r="AF11" s="46">
        <f>J11+Y25+J25+Y21+J21</f>
        <v>5</v>
      </c>
      <c r="AG11" s="46">
        <f t="shared" ref="AG11:AI11" si="2">L11+AA25+L25+AA21+L21</f>
        <v>3</v>
      </c>
      <c r="AH11" s="46">
        <f t="shared" si="2"/>
        <v>38</v>
      </c>
      <c r="AI11" s="47">
        <f t="shared" si="2"/>
        <v>2</v>
      </c>
      <c r="AJ11" s="33"/>
      <c r="AK11" s="33"/>
      <c r="AL11" s="33"/>
      <c r="AM11" s="27"/>
      <c r="AN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33"/>
      <c r="AM12" s="27"/>
      <c r="AN12" s="27"/>
    </row>
    <row r="13" ht="15.0" customHeight="1">
      <c r="A13" s="40" t="str">
        <f>AE9</f>
        <v>Denis Caruana/Duncan Zammit</v>
      </c>
      <c r="B13" s="41">
        <v>6.0</v>
      </c>
      <c r="C13" s="42">
        <f>IF(B13&gt;B15,1,0)</f>
        <v>1</v>
      </c>
      <c r="D13" s="43"/>
      <c r="E13" s="41">
        <v>4.0</v>
      </c>
      <c r="F13" s="42">
        <f>IF(E13&gt;E15,1,0)</f>
        <v>0</v>
      </c>
      <c r="G13" s="43"/>
      <c r="H13" s="41">
        <v>5.0</v>
      </c>
      <c r="I13" s="27">
        <f>IF(H13&gt;H15,1,0)</f>
        <v>0</v>
      </c>
      <c r="J13" s="27">
        <f>IF(B13="",0,1)</f>
        <v>1</v>
      </c>
      <c r="K13" s="27">
        <f>IF(C13+F13=2,3,IF(C13+F13=1,1,0))</f>
        <v>1</v>
      </c>
      <c r="L13" s="27">
        <f>IF(K13=3,3,IF(I13+K13=2,2,IF(K13=1,1,0)))</f>
        <v>1</v>
      </c>
      <c r="M13" s="27">
        <f>B13+E13</f>
        <v>10</v>
      </c>
      <c r="N13" s="27">
        <f>C13+F13+I13</f>
        <v>1</v>
      </c>
      <c r="O13" s="27"/>
      <c r="P13" s="40" t="str">
        <f>AE9</f>
        <v>Denis Caruana/Duncan Zammit</v>
      </c>
      <c r="Q13" s="41">
        <v>6.0</v>
      </c>
      <c r="R13" s="42">
        <f>IF(Q13&gt;Q15,1,0)</f>
        <v>1</v>
      </c>
      <c r="S13" s="43"/>
      <c r="T13" s="41">
        <v>6.0</v>
      </c>
      <c r="U13" s="42">
        <f>IF(T13&gt;T15,1,0)</f>
        <v>1</v>
      </c>
      <c r="V13" s="43"/>
      <c r="W13" s="44"/>
      <c r="X13" s="27">
        <f>IF(W13&gt;W15,1,0)</f>
        <v>0</v>
      </c>
      <c r="Y13" s="27">
        <f>IF(Q13="",0,1)</f>
        <v>1</v>
      </c>
      <c r="Z13" s="27">
        <f>IF(R13+U13=2,3,IF(R13+U13=1,1,0))</f>
        <v>3</v>
      </c>
      <c r="AA13" s="27">
        <f>IF(Z13=3,3,IF(X13+Z13=2,2,IF(Z13=1,1,0)))</f>
        <v>3</v>
      </c>
      <c r="AB13" s="27">
        <f>Q13+T13</f>
        <v>12</v>
      </c>
      <c r="AC13" s="27">
        <f>R13+U13+X13</f>
        <v>2</v>
      </c>
      <c r="AD13" s="27"/>
      <c r="AE13" s="95" t="str">
        <f>'Players Men'!B22</f>
        <v>Cory Greenland/Benjamin Valencia</v>
      </c>
      <c r="AF13" s="46">
        <f>Y29+Y11+Y33+J33+J23</f>
        <v>5</v>
      </c>
      <c r="AG13" s="46">
        <f t="shared" ref="AG13:AI13" si="3">AA29+AA11+AA33+L33+L23</f>
        <v>2</v>
      </c>
      <c r="AH13" s="46">
        <f t="shared" si="3"/>
        <v>32</v>
      </c>
      <c r="AI13" s="47">
        <f t="shared" si="3"/>
        <v>2</v>
      </c>
      <c r="AJ13" s="33"/>
      <c r="AK13" s="33"/>
      <c r="AL13" s="33"/>
      <c r="AM13" s="27"/>
      <c r="AN13" s="27"/>
    </row>
    <row r="14" ht="15.0" customHeight="1">
      <c r="A14" s="48" t="s">
        <v>61</v>
      </c>
      <c r="H14" s="49"/>
      <c r="I14" s="50"/>
      <c r="J14" s="27"/>
      <c r="K14" s="27"/>
      <c r="L14" s="27"/>
      <c r="M14" s="27"/>
      <c r="N14" s="27"/>
      <c r="O14" s="27"/>
      <c r="P14" s="48" t="s">
        <v>61</v>
      </c>
      <c r="W14" s="49"/>
      <c r="X14" s="50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33"/>
      <c r="AM14" s="27"/>
      <c r="AN14" s="27"/>
    </row>
    <row r="15" ht="15.0" customHeight="1">
      <c r="A15" s="51" t="str">
        <f>AE15</f>
        <v>Dunstan Vella/Cyril Lastimosa</v>
      </c>
      <c r="B15" s="41">
        <v>3.0</v>
      </c>
      <c r="C15" s="52">
        <f>IF(B15&gt;B13,1,0)</f>
        <v>0</v>
      </c>
      <c r="D15" s="53"/>
      <c r="E15" s="41">
        <v>6.0</v>
      </c>
      <c r="F15" s="52">
        <f>IF(E15&gt;E13,1,0)</f>
        <v>1</v>
      </c>
      <c r="G15" s="53"/>
      <c r="H15" s="41">
        <v>10.0</v>
      </c>
      <c r="I15" s="27">
        <f>IF(H15&gt;H13,1,0)</f>
        <v>1</v>
      </c>
      <c r="J15" s="27">
        <f>IF(B15="",0,1)</f>
        <v>1</v>
      </c>
      <c r="K15" s="27">
        <f>IF(C15+F15=2,3,IF(C15+F15=1,1,0))</f>
        <v>1</v>
      </c>
      <c r="L15" s="27">
        <f>IF(K15=3,3,IF(I15+K15=2,2,IF(K15=1,1,0)))</f>
        <v>2</v>
      </c>
      <c r="M15" s="27">
        <f>B15+E15</f>
        <v>9</v>
      </c>
      <c r="N15" s="27">
        <f>C15+F15+I15</f>
        <v>2</v>
      </c>
      <c r="O15" s="27"/>
      <c r="P15" s="51" t="str">
        <f>AE17</f>
        <v>Maurice Borg/Kenneth Caruana</v>
      </c>
      <c r="Q15" s="41">
        <v>4.0</v>
      </c>
      <c r="R15" s="52">
        <f>IF(Q15&gt;Q13,1,0)</f>
        <v>0</v>
      </c>
      <c r="S15" s="53"/>
      <c r="T15" s="41">
        <v>4.0</v>
      </c>
      <c r="U15" s="52">
        <f>IF(T15&gt;T13,1,0)</f>
        <v>0</v>
      </c>
      <c r="V15" s="53"/>
      <c r="W15" s="44"/>
      <c r="X15" s="27">
        <f>IF(W15&gt;W13,1,0)</f>
        <v>0</v>
      </c>
      <c r="Y15" s="27">
        <f>IF(Q15="",0,1)</f>
        <v>1</v>
      </c>
      <c r="Z15" s="27">
        <f>IF(R15+U15=2,3,IF(R15+U15=1,1,0))</f>
        <v>0</v>
      </c>
      <c r="AA15" s="27">
        <f>IF(Z15=3,3,IF(X15+Z15=2,2,IF(Z15=1,1,0)))</f>
        <v>0</v>
      </c>
      <c r="AB15" s="27">
        <f>Q15+T15</f>
        <v>8</v>
      </c>
      <c r="AC15" s="27">
        <f>R15+U15+X15</f>
        <v>0</v>
      </c>
      <c r="AD15" s="27"/>
      <c r="AE15" s="95" t="str">
        <f>'Players Men'!B23</f>
        <v>Dunstan Vella/Cyril Lastimosa</v>
      </c>
      <c r="AF15" s="46">
        <f>Y31+J37+J15+Y23+J29</f>
        <v>5</v>
      </c>
      <c r="AG15" s="46">
        <f t="shared" ref="AG15:AI15" si="4">AA31+L37+L15+AA23+L29</f>
        <v>14</v>
      </c>
      <c r="AH15" s="46">
        <f t="shared" si="4"/>
        <v>58</v>
      </c>
      <c r="AI15" s="47">
        <f t="shared" si="4"/>
        <v>10</v>
      </c>
      <c r="AJ15" s="33"/>
      <c r="AK15" s="33"/>
      <c r="AL15" s="33"/>
      <c r="AM15" s="27"/>
      <c r="AN15" s="27"/>
    </row>
    <row r="17" ht="15.0" customHeight="1">
      <c r="A17" s="40" t="str">
        <f>AE9</f>
        <v>Denis Caruana/Duncan Zammit</v>
      </c>
      <c r="B17" s="41">
        <v>7.0</v>
      </c>
      <c r="C17" s="42">
        <f>IF(B17&gt;B19,1,0)</f>
        <v>1</v>
      </c>
      <c r="D17" s="43"/>
      <c r="E17" s="41">
        <v>6.0</v>
      </c>
      <c r="F17" s="42">
        <f>IF(E17&gt;E19,1,0)</f>
        <v>1</v>
      </c>
      <c r="G17" s="43"/>
      <c r="H17" s="44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13</v>
      </c>
      <c r="N17" s="27">
        <f>C17+F17+I17</f>
        <v>2</v>
      </c>
      <c r="O17" s="27"/>
      <c r="P17" s="40" t="str">
        <f>AE17</f>
        <v>Maurice Borg/Kenneth Caruana</v>
      </c>
      <c r="Q17" s="41">
        <v>6.0</v>
      </c>
      <c r="R17" s="42">
        <f>IF(Q17&gt;Q19,1,0)</f>
        <v>1</v>
      </c>
      <c r="S17" s="43"/>
      <c r="T17" s="41">
        <v>3.0</v>
      </c>
      <c r="U17" s="42">
        <f>IF(T17&gt;T19,1,0)</f>
        <v>0</v>
      </c>
      <c r="V17" s="43"/>
      <c r="W17" s="41">
        <v>10.0</v>
      </c>
      <c r="X17" s="27">
        <f>IF(W17&gt;W19,1,0)</f>
        <v>1</v>
      </c>
      <c r="Y17" s="27">
        <f>IF(Q17="",0,1)</f>
        <v>1</v>
      </c>
      <c r="Z17" s="27">
        <f>IF(R17+U17=2,3,IF(R17+U17=1,1,0))</f>
        <v>1</v>
      </c>
      <c r="AA17" s="27">
        <f>IF(Z17=3,3,IF(X17+Z17=2,2,IF(Z17=1,1,0)))</f>
        <v>2</v>
      </c>
      <c r="AB17" s="27">
        <f>Q17+T17</f>
        <v>9</v>
      </c>
      <c r="AC17" s="27">
        <f>R17+U17+X17</f>
        <v>2</v>
      </c>
      <c r="AD17" s="27"/>
      <c r="AE17" s="95" t="str">
        <f>'Players Men'!B24</f>
        <v>Maurice Borg/Kenneth Caruana</v>
      </c>
      <c r="AF17" s="46">
        <f>Y17+J39+J27+Y15+J35</f>
        <v>5</v>
      </c>
      <c r="AG17" s="46">
        <f t="shared" ref="AG17:AI17" si="5">AA17+L39+L27+AA15+L35</f>
        <v>8</v>
      </c>
      <c r="AH17" s="46">
        <f t="shared" si="5"/>
        <v>47</v>
      </c>
      <c r="AI17" s="47">
        <f t="shared" si="5"/>
        <v>6</v>
      </c>
    </row>
    <row r="18" ht="15.0" customHeight="1">
      <c r="A18" s="48" t="s">
        <v>61</v>
      </c>
      <c r="H18" s="49"/>
      <c r="I18" s="50"/>
      <c r="J18" s="27"/>
      <c r="K18" s="27"/>
      <c r="L18" s="27"/>
      <c r="M18" s="27"/>
      <c r="N18" s="27"/>
      <c r="O18" s="27"/>
      <c r="P18" s="48" t="s">
        <v>61</v>
      </c>
      <c r="W18" s="49"/>
      <c r="X18" s="50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</row>
    <row r="19" ht="15.0" customHeight="1">
      <c r="A19" s="51" t="str">
        <f>AE19</f>
        <v>Kenneth Farrugia/Juan Sammut</v>
      </c>
      <c r="B19" s="41">
        <v>6.0</v>
      </c>
      <c r="C19" s="52">
        <f>IF(B19&gt;B17,1,0)</f>
        <v>0</v>
      </c>
      <c r="D19" s="53"/>
      <c r="E19" s="41">
        <v>1.0</v>
      </c>
      <c r="F19" s="52">
        <f>IF(E19&gt;E17,1,0)</f>
        <v>0</v>
      </c>
      <c r="G19" s="53"/>
      <c r="H19" s="44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7</v>
      </c>
      <c r="N19" s="27">
        <f>C19+F19+I19</f>
        <v>0</v>
      </c>
      <c r="O19" s="27"/>
      <c r="P19" s="51" t="str">
        <f>AE19</f>
        <v>Kenneth Farrugia/Juan Sammut</v>
      </c>
      <c r="Q19" s="41">
        <v>3.0</v>
      </c>
      <c r="R19" s="52">
        <f>IF(Q19&gt;Q17,1,0)</f>
        <v>0</v>
      </c>
      <c r="S19" s="53"/>
      <c r="T19" s="41">
        <v>6.0</v>
      </c>
      <c r="U19" s="52">
        <f>IF(T19&gt;T17,1,0)</f>
        <v>1</v>
      </c>
      <c r="V19" s="53"/>
      <c r="W19" s="41">
        <v>7.0</v>
      </c>
      <c r="X19" s="27">
        <f>IF(W19&gt;W17,1,0)</f>
        <v>0</v>
      </c>
      <c r="Y19" s="27">
        <f>IF(Q19="",0,1)</f>
        <v>1</v>
      </c>
      <c r="Z19" s="27">
        <f>IF(R19+U19=2,3,IF(R19+U19=1,1,0))</f>
        <v>1</v>
      </c>
      <c r="AA19" s="27">
        <f>IF(Z19=3,3,IF(X19+Z19=2,2,IF(Z19=1,1,0)))</f>
        <v>1</v>
      </c>
      <c r="AB19" s="27">
        <f>Q19+T19</f>
        <v>9</v>
      </c>
      <c r="AC19" s="27">
        <f>R19+U19+X19</f>
        <v>1</v>
      </c>
      <c r="AD19" s="27"/>
      <c r="AE19" s="95" t="str">
        <f>'Players Men'!B25</f>
        <v>Kenneth Farrugia/Juan Sammut</v>
      </c>
      <c r="AF19" s="46">
        <f>Y19+Y27+Y35+J19+J31</f>
        <v>5</v>
      </c>
      <c r="AG19" s="46">
        <f t="shared" ref="AG19:AI19" si="6">AA19+AA27+AA35+L19+L31</f>
        <v>5</v>
      </c>
      <c r="AH19" s="46">
        <f t="shared" si="6"/>
        <v>43</v>
      </c>
      <c r="AI19" s="47">
        <f t="shared" si="6"/>
        <v>4</v>
      </c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 ht="15.0" customHeight="1">
      <c r="A21" s="40" t="str">
        <f>AE11</f>
        <v>Aaron Micallef Piccone/Adrian Sciberras</v>
      </c>
      <c r="B21" s="41">
        <v>6.0</v>
      </c>
      <c r="C21" s="42">
        <f>IF(B21&gt;B23,1,0)</f>
        <v>1</v>
      </c>
      <c r="D21" s="43"/>
      <c r="E21" s="41">
        <v>6.0</v>
      </c>
      <c r="F21" s="42">
        <f>IF(E21&gt;E23,1,0)</f>
        <v>1</v>
      </c>
      <c r="G21" s="43"/>
      <c r="H21" s="44"/>
      <c r="I21" s="27">
        <f>IF(H21&gt;H23,1,0)</f>
        <v>0</v>
      </c>
      <c r="J21" s="27">
        <f>IF(B21="",0,1)</f>
        <v>1</v>
      </c>
      <c r="K21" s="27">
        <f>IF(C21+F21=2,3,IF(C21+F21=1,1,0))</f>
        <v>3</v>
      </c>
      <c r="L21" s="27">
        <f>IF(K21=3,3,IF(I21+K21=2,2,IF(K21=1,1,0)))</f>
        <v>3</v>
      </c>
      <c r="M21" s="27">
        <f>B21+E21</f>
        <v>12</v>
      </c>
      <c r="N21" s="27">
        <f>C21+F21+I21</f>
        <v>2</v>
      </c>
      <c r="O21" s="27"/>
      <c r="P21" s="40" t="str">
        <f>AE11</f>
        <v>Aaron Micallef Piccone/Adrian Sciberras</v>
      </c>
      <c r="Q21" s="41">
        <v>5.0</v>
      </c>
      <c r="R21" s="42">
        <f>IF(Q21&gt;Q23,1,0)</f>
        <v>0</v>
      </c>
      <c r="S21" s="43"/>
      <c r="T21" s="41">
        <v>4.0</v>
      </c>
      <c r="U21" s="42">
        <f>IF(T21&gt;T23,1,0)</f>
        <v>0</v>
      </c>
      <c r="V21" s="43"/>
      <c r="W21" s="44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9</v>
      </c>
      <c r="AC21" s="27">
        <f>R21+U21+X21</f>
        <v>0</v>
      </c>
      <c r="AD21" s="27"/>
      <c r="AE21" s="93" t="s">
        <v>72</v>
      </c>
      <c r="AF21" s="30"/>
      <c r="AG21" s="30"/>
      <c r="AH21" s="30"/>
      <c r="AI21" s="11"/>
    </row>
    <row r="22" ht="15.0" customHeight="1">
      <c r="A22" s="48" t="s">
        <v>61</v>
      </c>
      <c r="H22" s="49"/>
      <c r="I22" s="50"/>
      <c r="J22" s="27"/>
      <c r="K22" s="27"/>
      <c r="L22" s="27"/>
      <c r="M22" s="27"/>
      <c r="N22" s="27"/>
      <c r="O22" s="27"/>
      <c r="P22" s="48" t="s">
        <v>61</v>
      </c>
      <c r="W22" s="49"/>
      <c r="X22" s="50"/>
      <c r="Y22" s="27"/>
      <c r="Z22" s="27"/>
      <c r="AA22" s="27"/>
      <c r="AB22" s="27"/>
      <c r="AC22" s="27"/>
      <c r="AD22" s="27"/>
      <c r="AE22" s="96" t="str">
        <f>IF(AL9=30,AM9,"")</f>
        <v>Dunstan Vella/Cyril Lastimosa</v>
      </c>
      <c r="AF22" s="30"/>
      <c r="AG22" s="30"/>
      <c r="AH22" s="30"/>
      <c r="AI22" s="11"/>
    </row>
    <row r="23" ht="15.0" customHeight="1">
      <c r="A23" s="51" t="str">
        <f>AE13</f>
        <v>Cory Greenland/Benjamin Valencia</v>
      </c>
      <c r="B23" s="41">
        <v>4.0</v>
      </c>
      <c r="C23" s="52">
        <f>IF(B23&gt;B21,1,0)</f>
        <v>0</v>
      </c>
      <c r="D23" s="53"/>
      <c r="E23" s="41">
        <v>3.0</v>
      </c>
      <c r="F23" s="52">
        <f>IF(E23&gt;E21,1,0)</f>
        <v>0</v>
      </c>
      <c r="G23" s="53"/>
      <c r="H23" s="44"/>
      <c r="I23" s="27">
        <f>IF(H23&gt;H21,1,0)</f>
        <v>0</v>
      </c>
      <c r="J23" s="27">
        <f>IF(B23="",0,1)</f>
        <v>1</v>
      </c>
      <c r="K23" s="27">
        <f>IF(C23+F23=2,3,IF(C23+F23=1,1,0))</f>
        <v>0</v>
      </c>
      <c r="L23" s="27">
        <f>IF(K23=3,3,IF(I23+K23=2,2,IF(K23=1,1,0)))</f>
        <v>0</v>
      </c>
      <c r="M23" s="27">
        <f>B23+E23</f>
        <v>7</v>
      </c>
      <c r="N23" s="27">
        <f>C23+F23+I23</f>
        <v>0</v>
      </c>
      <c r="O23" s="27"/>
      <c r="P23" s="51" t="str">
        <f>AE15</f>
        <v>Dunstan Vella/Cyril Lastimosa</v>
      </c>
      <c r="Q23" s="41">
        <v>7.0</v>
      </c>
      <c r="R23" s="52">
        <f>IF(Q23&gt;Q21,1,0)</f>
        <v>1</v>
      </c>
      <c r="S23" s="53"/>
      <c r="T23" s="41">
        <v>6.0</v>
      </c>
      <c r="U23" s="52">
        <f>IF(T23&gt;T21,1,0)</f>
        <v>1</v>
      </c>
      <c r="V23" s="53"/>
      <c r="W23" s="44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13</v>
      </c>
      <c r="AC23" s="27">
        <f>R23+U23+X23</f>
        <v>2</v>
      </c>
      <c r="AD23" s="27"/>
      <c r="AE23" s="27"/>
      <c r="AF23" s="27"/>
      <c r="AG23" s="27"/>
      <c r="AH23" s="27"/>
      <c r="AI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ht="15.0" customHeight="1">
      <c r="A25" s="40" t="str">
        <f>AE11</f>
        <v>Aaron Micallef Piccone/Adrian Sciberras</v>
      </c>
      <c r="B25" s="41">
        <v>5.0</v>
      </c>
      <c r="C25" s="42">
        <f>IF(B25&gt;B27,1,0)</f>
        <v>0</v>
      </c>
      <c r="D25" s="43"/>
      <c r="E25" s="41">
        <v>4.0</v>
      </c>
      <c r="F25" s="42">
        <f>IF(E25&gt;E27,1,0)</f>
        <v>0</v>
      </c>
      <c r="G25" s="43"/>
      <c r="H25" s="44"/>
      <c r="I25" s="27">
        <f>IF(H25&gt;H27,1,0)</f>
        <v>0</v>
      </c>
      <c r="J25" s="27">
        <f>IF(B25="",0,1)</f>
        <v>1</v>
      </c>
      <c r="K25" s="27">
        <f>IF(C25+F25=2,3,IF(C25+F25=1,1,0))</f>
        <v>0</v>
      </c>
      <c r="L25" s="27">
        <f>IF(K25=3,3,IF(I25+K25=2,2,IF(K25=1,1,0)))</f>
        <v>0</v>
      </c>
      <c r="M25" s="27">
        <f>B25+E25</f>
        <v>9</v>
      </c>
      <c r="N25" s="27">
        <f>C25+F25+I25</f>
        <v>0</v>
      </c>
      <c r="O25" s="27"/>
      <c r="P25" s="40" t="str">
        <f>AE11</f>
        <v>Aaron Micallef Piccone/Adrian Sciberras</v>
      </c>
      <c r="Q25" s="41">
        <v>2.0</v>
      </c>
      <c r="R25" s="42">
        <f>IF(Q25&gt;Q27,1,0)</f>
        <v>0</v>
      </c>
      <c r="S25" s="43"/>
      <c r="T25" s="41">
        <v>3.0</v>
      </c>
      <c r="U25" s="42">
        <f>IF(T25&gt;T27,1,0)</f>
        <v>0</v>
      </c>
      <c r="V25" s="43"/>
      <c r="W25" s="44"/>
      <c r="X25" s="27">
        <f>IF(W25&gt;W27,1,0)</f>
        <v>0</v>
      </c>
      <c r="Y25" s="27">
        <f>IF(Q25="",0,1)</f>
        <v>1</v>
      </c>
      <c r="Z25" s="27">
        <f>IF(R25+U25=2,3,IF(R25+U25=1,1,0))</f>
        <v>0</v>
      </c>
      <c r="AA25" s="27">
        <f>IF(Z25=3,3,IF(X25+Z25=2,2,IF(Z25=1,1,0)))</f>
        <v>0</v>
      </c>
      <c r="AB25" s="27">
        <f>Q25+T25</f>
        <v>5</v>
      </c>
      <c r="AC25" s="27">
        <f>R25+U25+X25</f>
        <v>0</v>
      </c>
      <c r="AD25" s="27"/>
      <c r="AE25" s="93" t="s">
        <v>73</v>
      </c>
      <c r="AF25" s="30"/>
      <c r="AG25" s="30"/>
      <c r="AH25" s="30"/>
      <c r="AI25" s="11"/>
    </row>
    <row r="26" ht="15.0" customHeight="1">
      <c r="A26" s="48" t="s">
        <v>61</v>
      </c>
      <c r="H26" s="49"/>
      <c r="I26" s="50"/>
      <c r="J26" s="27"/>
      <c r="K26" s="27"/>
      <c r="L26" s="27"/>
      <c r="M26" s="27"/>
      <c r="N26" s="27"/>
      <c r="O26" s="27"/>
      <c r="P26" s="48" t="s">
        <v>61</v>
      </c>
      <c r="W26" s="49"/>
      <c r="X26" s="50"/>
      <c r="Y26" s="27"/>
      <c r="Z26" s="27"/>
      <c r="AA26" s="27"/>
      <c r="AB26" s="27"/>
      <c r="AC26" s="27"/>
      <c r="AD26" s="27"/>
      <c r="AE26" s="96" t="str">
        <f>IF(AL9=30,AN9,"")</f>
        <v>Denis Caruana/Duncan Zammit</v>
      </c>
      <c r="AF26" s="30"/>
      <c r="AG26" s="30"/>
      <c r="AH26" s="30"/>
      <c r="AI26" s="11"/>
    </row>
    <row r="27" ht="15.0" customHeight="1">
      <c r="A27" s="51" t="str">
        <f>AE17</f>
        <v>Maurice Borg/Kenneth Caruana</v>
      </c>
      <c r="B27" s="41">
        <v>7.0</v>
      </c>
      <c r="C27" s="52">
        <f>IF(B27&gt;B25,1,0)</f>
        <v>1</v>
      </c>
      <c r="D27" s="53"/>
      <c r="E27" s="41">
        <v>6.0</v>
      </c>
      <c r="F27" s="52">
        <f>IF(E27&gt;E25,1,0)</f>
        <v>1</v>
      </c>
      <c r="G27" s="53"/>
      <c r="H27" s="44"/>
      <c r="I27" s="27">
        <f>IF(H27&gt;H25,1,0)</f>
        <v>0</v>
      </c>
      <c r="J27" s="27">
        <f>IF(B27="",0,1)</f>
        <v>1</v>
      </c>
      <c r="K27" s="27">
        <f>IF(C27+F27=2,3,IF(C27+F27=1,1,0))</f>
        <v>3</v>
      </c>
      <c r="L27" s="27">
        <f>IF(K27=3,3,IF(I27+K27=2,2,IF(K27=1,1,0)))</f>
        <v>3</v>
      </c>
      <c r="M27" s="27">
        <f>B27+E27</f>
        <v>13</v>
      </c>
      <c r="N27" s="27">
        <f>C27+F27+I27</f>
        <v>2</v>
      </c>
      <c r="O27" s="27"/>
      <c r="P27" s="51" t="str">
        <f>AE19</f>
        <v>Kenneth Farrugia/Juan Sammut</v>
      </c>
      <c r="Q27" s="41">
        <v>6.0</v>
      </c>
      <c r="R27" s="52">
        <f>IF(Q27&gt;Q25,1,0)</f>
        <v>1</v>
      </c>
      <c r="S27" s="53"/>
      <c r="T27" s="41">
        <v>6.0</v>
      </c>
      <c r="U27" s="52">
        <f>IF(T27&gt;T25,1,0)</f>
        <v>1</v>
      </c>
      <c r="V27" s="53"/>
      <c r="W27" s="44"/>
      <c r="X27" s="27">
        <f>IF(W27&gt;W25,1,0)</f>
        <v>0</v>
      </c>
      <c r="Y27" s="27">
        <f>IF(Q27="",0,1)</f>
        <v>1</v>
      </c>
      <c r="Z27" s="27">
        <f>IF(R27+U27=2,3,IF(R27+U27=1,1,0))</f>
        <v>3</v>
      </c>
      <c r="AA27" s="27">
        <f>IF(Z27=3,3,IF(X27+Z27=2,2,IF(Z27=1,1,0)))</f>
        <v>3</v>
      </c>
      <c r="AB27" s="27">
        <f>Q27+T27</f>
        <v>12</v>
      </c>
      <c r="AC27" s="27">
        <f>R27+U27+X27</f>
        <v>2</v>
      </c>
      <c r="AD27" s="27"/>
      <c r="AE27" s="27"/>
      <c r="AF27" s="27"/>
      <c r="AG27" s="27"/>
      <c r="AH27" s="27"/>
      <c r="AI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</row>
    <row r="29" ht="15.0" customHeight="1">
      <c r="A29" s="40" t="str">
        <f>AE15</f>
        <v>Dunstan Vella/Cyril Lastimosa</v>
      </c>
      <c r="B29" s="41">
        <v>6.0</v>
      </c>
      <c r="C29" s="42">
        <f>IF(B29&gt;B31,1,0)</f>
        <v>1</v>
      </c>
      <c r="D29" s="43"/>
      <c r="E29" s="41">
        <v>6.0</v>
      </c>
      <c r="F29" s="42">
        <f>IF(E29&gt;E31,1,0)</f>
        <v>1</v>
      </c>
      <c r="G29" s="43"/>
      <c r="H29" s="44"/>
      <c r="I29" s="27">
        <f>IF(H29&gt;H31,1,0)</f>
        <v>0</v>
      </c>
      <c r="J29" s="27">
        <f>IF(B29="",0,1)</f>
        <v>1</v>
      </c>
      <c r="K29" s="27">
        <f>IF(C29+F29=2,3,IF(C29+F29=1,1,0))</f>
        <v>3</v>
      </c>
      <c r="L29" s="27">
        <f>IF(K29=3,3,IF(I29+K29=2,2,IF(K29=1,1,0)))</f>
        <v>3</v>
      </c>
      <c r="M29" s="27">
        <f>B29+E29</f>
        <v>12</v>
      </c>
      <c r="N29" s="27">
        <f>C29+F29+I29</f>
        <v>2</v>
      </c>
      <c r="O29" s="27"/>
      <c r="P29" s="40" t="str">
        <f>AE13</f>
        <v>Cory Greenland/Benjamin Valencia</v>
      </c>
      <c r="Q29" s="41">
        <v>0.0</v>
      </c>
      <c r="R29" s="42">
        <f>IF(Q29&gt;Q31,1,0)</f>
        <v>0</v>
      </c>
      <c r="S29" s="43"/>
      <c r="T29" s="41">
        <v>3.0</v>
      </c>
      <c r="U29" s="42">
        <f>IF(T29&gt;T31,1,0)</f>
        <v>0</v>
      </c>
      <c r="V29" s="43"/>
      <c r="W29" s="44"/>
      <c r="X29" s="27">
        <f>IF(W29&gt;W31,1,0)</f>
        <v>0</v>
      </c>
      <c r="Y29" s="27">
        <f>IF(Q29="",0,1)</f>
        <v>1</v>
      </c>
      <c r="Z29" s="27">
        <f>IF(R29+U29=2,3,IF(R29+U29=1,1,0))</f>
        <v>0</v>
      </c>
      <c r="AA29" s="27">
        <f>IF(Z29=3,3,IF(X29+Z29=2,2,IF(Z29=1,1,0)))</f>
        <v>0</v>
      </c>
      <c r="AB29" s="27">
        <f>Q29+T29</f>
        <v>3</v>
      </c>
      <c r="AC29" s="27">
        <f>R29+U29+X29</f>
        <v>0</v>
      </c>
      <c r="AD29" s="27"/>
      <c r="AE29" s="27"/>
      <c r="AF29" s="27"/>
      <c r="AG29" s="27"/>
      <c r="AH29" s="27"/>
      <c r="AI29" s="27"/>
    </row>
    <row r="30" ht="15.0" customHeight="1">
      <c r="A30" s="48" t="s">
        <v>61</v>
      </c>
      <c r="H30" s="49"/>
      <c r="I30" s="50"/>
      <c r="J30" s="27"/>
      <c r="K30" s="27"/>
      <c r="L30" s="27"/>
      <c r="M30" s="27"/>
      <c r="N30" s="27"/>
      <c r="O30" s="27"/>
      <c r="P30" s="48" t="s">
        <v>61</v>
      </c>
      <c r="W30" s="49"/>
      <c r="X30" s="50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ht="15.0" customHeight="1">
      <c r="A31" s="51" t="str">
        <f>AE19</f>
        <v>Kenneth Farrugia/Juan Sammut</v>
      </c>
      <c r="B31" s="41">
        <v>2.0</v>
      </c>
      <c r="C31" s="52">
        <f>IF(B31&gt;B29,1,0)</f>
        <v>0</v>
      </c>
      <c r="D31" s="53"/>
      <c r="E31" s="41">
        <v>3.0</v>
      </c>
      <c r="F31" s="52">
        <f>IF(E31&gt;E29,1,0)</f>
        <v>0</v>
      </c>
      <c r="G31" s="53"/>
      <c r="H31" s="44"/>
      <c r="I31" s="27">
        <f>IF(H31&gt;H29,1,0)</f>
        <v>0</v>
      </c>
      <c r="J31" s="27">
        <f>IF(B31="",0,1)</f>
        <v>1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5</v>
      </c>
      <c r="N31" s="27">
        <f>C31+F31+I31</f>
        <v>0</v>
      </c>
      <c r="O31" s="27"/>
      <c r="P31" s="51" t="str">
        <f>AE15</f>
        <v>Dunstan Vella/Cyril Lastimosa</v>
      </c>
      <c r="Q31" s="41">
        <v>6.0</v>
      </c>
      <c r="R31" s="52">
        <f>IF(Q31&gt;Q29,1,0)</f>
        <v>1</v>
      </c>
      <c r="S31" s="53"/>
      <c r="T31" s="41">
        <v>6.0</v>
      </c>
      <c r="U31" s="52">
        <f>IF(T31&gt;T29,1,0)</f>
        <v>1</v>
      </c>
      <c r="V31" s="53"/>
      <c r="W31" s="44"/>
      <c r="X31" s="27">
        <f>IF(W31&gt;W29,1,0)</f>
        <v>0</v>
      </c>
      <c r="Y31" s="27">
        <f>IF(Q31="",0,1)</f>
        <v>1</v>
      </c>
      <c r="Z31" s="27">
        <f>IF(R31+U31=2,3,IF(R31+U31=1,1,0))</f>
        <v>3</v>
      </c>
      <c r="AA31" s="27">
        <f>IF(Z31=3,3,IF(X31+Z31=2,2,IF(Z31=1,1,0)))</f>
        <v>3</v>
      </c>
      <c r="AB31" s="27">
        <f>Q31+T31</f>
        <v>12</v>
      </c>
      <c r="AC31" s="27">
        <f>R31+U31+X31</f>
        <v>2</v>
      </c>
      <c r="AD31" s="27"/>
      <c r="AE31" s="27"/>
      <c r="AF31" s="27"/>
      <c r="AG31" s="27"/>
      <c r="AH31" s="27"/>
      <c r="AI31" s="27"/>
    </row>
    <row r="32" ht="15.75" customHeight="1"/>
    <row r="33" ht="15.0" customHeight="1">
      <c r="A33" s="40" t="str">
        <f>AE13</f>
        <v>Cory Greenland/Benjamin Valencia</v>
      </c>
      <c r="B33" s="41">
        <v>2.0</v>
      </c>
      <c r="C33" s="42">
        <f>IF(B33&gt;B35,1,0)</f>
        <v>0</v>
      </c>
      <c r="D33" s="43"/>
      <c r="E33" s="41">
        <v>3.0</v>
      </c>
      <c r="F33" s="42">
        <f>IF(E33&gt;E35,1,0)</f>
        <v>0</v>
      </c>
      <c r="G33" s="43"/>
      <c r="H33" s="44"/>
      <c r="I33" s="27">
        <f>IF(H33&gt;H35,1,0)</f>
        <v>0</v>
      </c>
      <c r="J33" s="27">
        <f>IF(B33="",0,1)</f>
        <v>1</v>
      </c>
      <c r="K33" s="27">
        <f>IF(C33+F33=2,3,IF(C33+F33=1,1,0))</f>
        <v>0</v>
      </c>
      <c r="L33" s="27">
        <f>IF(K33=3,3,IF(I33+K33=2,2,IF(K33=1,1,0)))</f>
        <v>0</v>
      </c>
      <c r="M33" s="27">
        <f>B33+E33</f>
        <v>5</v>
      </c>
      <c r="N33" s="27">
        <f>C33+F33+I33</f>
        <v>0</v>
      </c>
      <c r="O33" s="27"/>
      <c r="P33" s="40" t="str">
        <f>AE13</f>
        <v>Cory Greenland/Benjamin Valencia</v>
      </c>
      <c r="Q33" s="41">
        <v>6.0</v>
      </c>
      <c r="R33" s="42">
        <f>IF(Q33&gt;Q35,1,0)</f>
        <v>0</v>
      </c>
      <c r="S33" s="43"/>
      <c r="T33" s="41">
        <v>6.0</v>
      </c>
      <c r="U33" s="42">
        <f>IF(T33&gt;T35,1,0)</f>
        <v>1</v>
      </c>
      <c r="V33" s="43"/>
      <c r="W33" s="41">
        <v>10.0</v>
      </c>
      <c r="X33" s="27">
        <f>IF(W33&gt;W35,1,0)</f>
        <v>1</v>
      </c>
      <c r="Y33" s="27">
        <f>IF(Q33="",0,1)</f>
        <v>1</v>
      </c>
      <c r="Z33" s="27">
        <f>IF(R33+U33=2,3,IF(R33+U33=1,1,0))</f>
        <v>1</v>
      </c>
      <c r="AA33" s="27">
        <f>IF(Z33=3,3,IF(X33+Z33=2,2,IF(Z33=1,1,0)))</f>
        <v>2</v>
      </c>
      <c r="AB33" s="27">
        <f>Q33+T33</f>
        <v>12</v>
      </c>
      <c r="AC33" s="27">
        <f>R33+U33+X33</f>
        <v>2</v>
      </c>
    </row>
    <row r="34" ht="15.0" customHeight="1">
      <c r="A34" s="48" t="s">
        <v>61</v>
      </c>
      <c r="H34" s="49"/>
      <c r="I34" s="50"/>
      <c r="J34" s="27"/>
      <c r="K34" s="27"/>
      <c r="L34" s="27"/>
      <c r="M34" s="27"/>
      <c r="N34" s="27"/>
      <c r="O34" s="27"/>
      <c r="P34" s="48" t="s">
        <v>61</v>
      </c>
      <c r="W34" s="49"/>
      <c r="X34" s="50"/>
      <c r="Y34" s="27"/>
      <c r="Z34" s="27"/>
      <c r="AA34" s="27"/>
      <c r="AB34" s="27"/>
      <c r="AC34" s="27"/>
    </row>
    <row r="35" ht="15.0" customHeight="1">
      <c r="A35" s="51" t="str">
        <f>AE17</f>
        <v>Maurice Borg/Kenneth Caruana</v>
      </c>
      <c r="B35" s="41">
        <v>6.0</v>
      </c>
      <c r="C35" s="52">
        <f>IF(B35&gt;B33,1,0)</f>
        <v>1</v>
      </c>
      <c r="D35" s="53"/>
      <c r="E35" s="41">
        <v>6.0</v>
      </c>
      <c r="F35" s="52">
        <f>IF(E35&gt;E33,1,0)</f>
        <v>1</v>
      </c>
      <c r="G35" s="53"/>
      <c r="H35" s="44"/>
      <c r="I35" s="27">
        <f>IF(H35&gt;H33,1,0)</f>
        <v>0</v>
      </c>
      <c r="J35" s="27">
        <f>IF(B35="",0,1)</f>
        <v>1</v>
      </c>
      <c r="K35" s="27">
        <f>IF(C35+F35=2,3,IF(C35+F35=1,1,0))</f>
        <v>3</v>
      </c>
      <c r="L35" s="27">
        <f>IF(K35=3,3,IF(I35+K35=2,2,IF(K35=1,1,0)))</f>
        <v>3</v>
      </c>
      <c r="M35" s="27">
        <f>B35+E35</f>
        <v>12</v>
      </c>
      <c r="N35" s="27">
        <f>C35+F35+I35</f>
        <v>2</v>
      </c>
      <c r="O35" s="27"/>
      <c r="P35" s="51" t="str">
        <f>AE19</f>
        <v>Kenneth Farrugia/Juan Sammut</v>
      </c>
      <c r="Q35" s="41">
        <v>7.0</v>
      </c>
      <c r="R35" s="52">
        <f>IF(Q35&gt;Q33,1,0)</f>
        <v>1</v>
      </c>
      <c r="S35" s="53"/>
      <c r="T35" s="41">
        <v>3.0</v>
      </c>
      <c r="U35" s="52">
        <f>IF(T35&gt;T33,1,0)</f>
        <v>0</v>
      </c>
      <c r="V35" s="53"/>
      <c r="W35" s="41">
        <v>7.0</v>
      </c>
      <c r="X35" s="27">
        <f>IF(W35&gt;W33,1,0)</f>
        <v>0</v>
      </c>
      <c r="Y35" s="27">
        <f>IF(Q35="",0,1)</f>
        <v>1</v>
      </c>
      <c r="Z35" s="27">
        <f>IF(R35+U35=2,3,IF(R35+U35=1,1,0))</f>
        <v>1</v>
      </c>
      <c r="AA35" s="27">
        <f>IF(Z35=3,3,IF(X35+Z35=2,2,IF(Z35=1,1,0)))</f>
        <v>1</v>
      </c>
      <c r="AB35" s="27">
        <f>Q35+T35</f>
        <v>10</v>
      </c>
      <c r="AC35" s="27">
        <f>R35+U35+X35</f>
        <v>1</v>
      </c>
    </row>
    <row r="36" ht="15.0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ht="15.0" customHeight="1">
      <c r="A37" s="40" t="str">
        <f>AE15</f>
        <v>Dunstan Vella/Cyril Lastimosa</v>
      </c>
      <c r="B37" s="41">
        <v>6.0</v>
      </c>
      <c r="C37" s="42">
        <f>IF(B37&gt;B39,1,0)</f>
        <v>1</v>
      </c>
      <c r="D37" s="43"/>
      <c r="E37" s="41">
        <v>6.0</v>
      </c>
      <c r="F37" s="42">
        <f>IF(E37&gt;E39,1,0)</f>
        <v>1</v>
      </c>
      <c r="G37" s="43"/>
      <c r="H37" s="44"/>
      <c r="I37" s="27">
        <f>IF(H37&gt;H39,1,0)</f>
        <v>0</v>
      </c>
      <c r="J37" s="27">
        <f>IF(B37="",0,1)</f>
        <v>1</v>
      </c>
      <c r="K37" s="27">
        <f>IF(C37+F37=2,3,IF(C37+F37=1,1,0))</f>
        <v>3</v>
      </c>
      <c r="L37" s="27">
        <f>IF(K37=3,3,IF(I37+K37=2,2,IF(K37=1,1,0)))</f>
        <v>3</v>
      </c>
      <c r="M37" s="27">
        <f>B37+E37</f>
        <v>12</v>
      </c>
      <c r="N37" s="27">
        <f>C37+F37+I37</f>
        <v>2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48" t="s">
        <v>61</v>
      </c>
      <c r="H38" s="49"/>
      <c r="I38" s="5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ht="15.0" customHeight="1">
      <c r="A39" s="51" t="str">
        <f>AE17</f>
        <v>Maurice Borg/Kenneth Caruana</v>
      </c>
      <c r="B39" s="41">
        <v>3.0</v>
      </c>
      <c r="C39" s="52">
        <f>IF(B39&gt;B37,1,0)</f>
        <v>0</v>
      </c>
      <c r="D39" s="53"/>
      <c r="E39" s="41">
        <v>2.0</v>
      </c>
      <c r="F39" s="52">
        <f>IF(E39&gt;E37,1,0)</f>
        <v>0</v>
      </c>
      <c r="G39" s="53"/>
      <c r="H39" s="44"/>
      <c r="I39" s="27">
        <f>IF(H39&gt;H37,1,0)</f>
        <v>0</v>
      </c>
      <c r="J39" s="27">
        <f>IF(B39="",0,1)</f>
        <v>1</v>
      </c>
      <c r="K39" s="27">
        <f>IF(C39+F39=2,3,IF(C39+F39=1,1,0))</f>
        <v>0</v>
      </c>
      <c r="L39" s="27">
        <f>IF(K39=3,3,IF(I39+K39=2,2,IF(K39=1,1,0)))</f>
        <v>0</v>
      </c>
      <c r="M39" s="27">
        <f>B39+E39</f>
        <v>5</v>
      </c>
      <c r="N39" s="27">
        <f>C39+F39+I39</f>
        <v>0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11.88"/>
    <col customWidth="1" min="4" max="4" width="1.75"/>
    <col customWidth="1" min="5" max="5" width="7.0"/>
    <col customWidth="1" hidden="1" min="6" max="6" width="3.38"/>
    <col customWidth="1" min="7" max="7" width="1.75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5.63"/>
    <col customWidth="1" min="16" max="16" width="29.38"/>
    <col customWidth="1" min="17" max="17" width="7.0"/>
    <col customWidth="1" hidden="1" min="18" max="18" width="11.88"/>
    <col customWidth="1" min="19" max="19" width="1.75"/>
    <col customWidth="1" min="20" max="20" width="7.0"/>
    <col customWidth="1" hidden="1" min="21" max="21" width="11.88"/>
    <col customWidth="1" min="22" max="22" width="1.75"/>
    <col customWidth="1" min="23" max="23" width="7.0"/>
    <col customWidth="1" hidden="1" min="24" max="24" width="5.88"/>
    <col customWidth="1" hidden="1" min="25" max="25" width="4.75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4.25"/>
    <col customWidth="1" min="31" max="31" width="31.0"/>
    <col customWidth="1" min="32" max="35" width="8.75"/>
    <col customWidth="1" hidden="1" min="36" max="36" width="9.25"/>
    <col customWidth="1" hidden="1" min="37" max="37" width="8.0"/>
    <col customWidth="1" hidden="1" min="38" max="38" width="41.13"/>
    <col customWidth="1" hidden="1" min="39" max="40" width="12.75"/>
  </cols>
  <sheetData>
    <row r="1" ht="21.0" customHeight="1">
      <c r="A1" s="1" t="s">
        <v>40</v>
      </c>
      <c r="AJ1" s="2"/>
      <c r="AK1" s="2"/>
      <c r="AL1" s="2"/>
    </row>
    <row r="2" ht="21.0" customHeight="1">
      <c r="AJ2" s="2"/>
      <c r="AK2" s="2"/>
      <c r="AL2" s="2"/>
    </row>
    <row r="3" ht="15.0" customHeight="1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.0" customHeight="1">
      <c r="A5" s="97" t="s">
        <v>33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0" customHeight="1">
      <c r="A7" s="98" t="s">
        <v>41</v>
      </c>
      <c r="B7" s="99" t="s">
        <v>42</v>
      </c>
      <c r="C7" s="30"/>
      <c r="D7" s="30"/>
      <c r="E7" s="11"/>
      <c r="F7" s="31"/>
      <c r="G7" s="32"/>
      <c r="H7" s="98" t="s">
        <v>43</v>
      </c>
      <c r="I7" s="27"/>
      <c r="J7" s="27"/>
      <c r="K7" s="27"/>
      <c r="L7" s="27"/>
      <c r="M7" s="33"/>
      <c r="N7" s="33"/>
      <c r="O7" s="27"/>
      <c r="P7" s="98" t="s">
        <v>41</v>
      </c>
      <c r="Q7" s="99" t="s">
        <v>42</v>
      </c>
      <c r="R7" s="30"/>
      <c r="S7" s="30"/>
      <c r="T7" s="11"/>
      <c r="U7" s="31"/>
      <c r="V7" s="32"/>
      <c r="W7" s="98" t="s">
        <v>43</v>
      </c>
      <c r="X7" s="27"/>
      <c r="Y7" s="33"/>
      <c r="Z7" s="33"/>
      <c r="AA7" s="33"/>
      <c r="AB7" s="33"/>
      <c r="AC7" s="33"/>
      <c r="AD7" s="27"/>
      <c r="AE7" s="98" t="s">
        <v>44</v>
      </c>
      <c r="AF7" s="100" t="s">
        <v>45</v>
      </c>
      <c r="AG7" s="100" t="s">
        <v>46</v>
      </c>
      <c r="AH7" s="98" t="s">
        <v>47</v>
      </c>
      <c r="AI7" s="98" t="s">
        <v>48</v>
      </c>
      <c r="AJ7" s="33"/>
      <c r="AK7" s="33"/>
      <c r="AL7" s="33"/>
      <c r="AM7" s="27"/>
      <c r="AN7" s="27"/>
    </row>
    <row r="8" ht="15.0" hidden="1" customHeight="1">
      <c r="A8" s="27"/>
      <c r="B8" s="37" t="s">
        <v>49</v>
      </c>
      <c r="C8" s="37" t="s">
        <v>50</v>
      </c>
      <c r="D8" s="37"/>
      <c r="E8" s="37" t="s">
        <v>49</v>
      </c>
      <c r="F8" s="37" t="s">
        <v>51</v>
      </c>
      <c r="G8" s="37"/>
      <c r="H8" s="37" t="s">
        <v>49</v>
      </c>
      <c r="I8" s="37" t="s">
        <v>52</v>
      </c>
      <c r="J8" s="37" t="s">
        <v>53</v>
      </c>
      <c r="K8" s="37" t="s">
        <v>54</v>
      </c>
      <c r="L8" s="37" t="s">
        <v>55</v>
      </c>
      <c r="M8" s="37" t="s">
        <v>56</v>
      </c>
      <c r="N8" s="37" t="s">
        <v>57</v>
      </c>
      <c r="O8" s="27"/>
      <c r="P8" s="27"/>
      <c r="Q8" s="37" t="s">
        <v>49</v>
      </c>
      <c r="R8" s="37" t="s">
        <v>50</v>
      </c>
      <c r="S8" s="37"/>
      <c r="T8" s="37" t="s">
        <v>49</v>
      </c>
      <c r="U8" s="37" t="s">
        <v>51</v>
      </c>
      <c r="V8" s="37"/>
      <c r="W8" s="37" t="s">
        <v>49</v>
      </c>
      <c r="X8" s="37" t="s">
        <v>52</v>
      </c>
      <c r="Y8" s="37" t="s">
        <v>53</v>
      </c>
      <c r="Z8" s="37" t="s">
        <v>54</v>
      </c>
      <c r="AA8" s="37" t="s">
        <v>55</v>
      </c>
      <c r="AB8" s="37" t="s">
        <v>56</v>
      </c>
      <c r="AC8" s="37" t="s">
        <v>57</v>
      </c>
      <c r="AD8" s="27"/>
      <c r="AE8" s="33"/>
      <c r="AF8" s="33"/>
      <c r="AG8" s="33"/>
      <c r="AH8" s="33"/>
      <c r="AI8" s="33"/>
      <c r="AJ8" s="37" t="s">
        <v>58</v>
      </c>
      <c r="AK8" s="37" t="s">
        <v>70</v>
      </c>
      <c r="AL8" s="38" t="s">
        <v>59</v>
      </c>
      <c r="AM8" s="39" t="s">
        <v>60</v>
      </c>
      <c r="AN8" s="39" t="s">
        <v>71</v>
      </c>
    </row>
    <row r="9" ht="15.0" customHeight="1">
      <c r="A9" s="40" t="str">
        <f>AE9</f>
        <v>Charles Micallef/Charles Grech</v>
      </c>
      <c r="B9" s="41">
        <v>5.0</v>
      </c>
      <c r="C9" s="42">
        <f>IF(B9&gt;B11,1,0)</f>
        <v>0</v>
      </c>
      <c r="D9" s="43"/>
      <c r="E9" s="41">
        <v>6.0</v>
      </c>
      <c r="F9" s="42">
        <f>IF(E9&gt;E11,1,0)</f>
        <v>1</v>
      </c>
      <c r="G9" s="43"/>
      <c r="H9" s="41">
        <v>10.0</v>
      </c>
      <c r="I9" s="27">
        <f>IF(H9&gt;H11,1,0)</f>
        <v>1</v>
      </c>
      <c r="J9" s="27">
        <f>IF(B9="",0,1)</f>
        <v>1</v>
      </c>
      <c r="K9" s="27">
        <f>IF(C9+F9=2,3,IF(C9+F9=1,1,0))</f>
        <v>1</v>
      </c>
      <c r="L9" s="27">
        <f>IF(K9=3,3,IF(I9+K9=2,2,IF(K9=1,1,0)))</f>
        <v>2</v>
      </c>
      <c r="M9" s="27">
        <f>B9+E9</f>
        <v>11</v>
      </c>
      <c r="N9" s="27">
        <f>C9+F9+I9</f>
        <v>2</v>
      </c>
      <c r="O9" s="27"/>
      <c r="P9" s="40" t="str">
        <f>AE9</f>
        <v>Charles Micallef/Charles Grech</v>
      </c>
      <c r="Q9" s="41">
        <v>6.0</v>
      </c>
      <c r="R9" s="42">
        <f>IF(Q9&gt;Q11,1,0)</f>
        <v>1</v>
      </c>
      <c r="S9" s="43"/>
      <c r="T9" s="41">
        <v>6.0</v>
      </c>
      <c r="U9" s="42">
        <f>IF(T9&gt;T11,1,0)</f>
        <v>1</v>
      </c>
      <c r="V9" s="43"/>
      <c r="W9" s="44"/>
      <c r="X9" s="27">
        <f>IF(W9&gt;W11,1,0)</f>
        <v>0</v>
      </c>
      <c r="Y9" s="27">
        <f>IF(Q9="",0,1)</f>
        <v>1</v>
      </c>
      <c r="Z9" s="27">
        <f>IF(R9+U9=2,3,IF(R9+U9=1,1,0))</f>
        <v>3</v>
      </c>
      <c r="AA9" s="27">
        <f>IF(Z9=3,3,IF(X9+Z9=2,2,IF(Z9=1,1,0)))</f>
        <v>3</v>
      </c>
      <c r="AB9" s="27">
        <f>Q9+T9</f>
        <v>12</v>
      </c>
      <c r="AC9" s="27">
        <f>R9+U9+X9</f>
        <v>2</v>
      </c>
      <c r="AD9" s="27"/>
      <c r="AE9" s="101" t="str">
        <f>'Players Men'!B28</f>
        <v>Charles Micallef/Charles Grech</v>
      </c>
      <c r="AF9" s="46">
        <f>J9+Y9+J13+Y13+J17</f>
        <v>5</v>
      </c>
      <c r="AG9" s="46">
        <f t="shared" ref="AG9:AI9" si="1">L9+AA9+L13+AA13+L17</f>
        <v>10</v>
      </c>
      <c r="AH9" s="46">
        <f t="shared" si="1"/>
        <v>54</v>
      </c>
      <c r="AI9" s="47">
        <f t="shared" si="1"/>
        <v>8</v>
      </c>
      <c r="AJ9" s="27">
        <f>MAX(AG9:AG19)</f>
        <v>13</v>
      </c>
      <c r="AK9" s="27">
        <f>LARGE(AG9:AG19, 2)</f>
        <v>12</v>
      </c>
      <c r="AL9" s="27">
        <f>SUM(AF9:AF19)</f>
        <v>30</v>
      </c>
      <c r="AM9" s="27" t="str">
        <f>IF(AG9=$AJ$9,AE9,IF(AG11=$AJ$9,AE11,IF(AG13=$AJ$9,AE13,IF(AG15=$AJ$9,AE15,IF(AG17=$AJ$9,AE17,IF(AG19=$AJ$9,AE19,""))))))</f>
        <v>Sean Cachia/Isaac Joseph Zammit</v>
      </c>
      <c r="AN9" s="27" t="str">
        <f>IF(AG9=$AK$9,AE9,IF(AG11=$AK$9,AE11,IF(AG13=$AK$9,AE13,IF(AG15=$AK$9,AE15,IF(AG17=$AK$9,AE17,IF(AG19=$AK$9,AE19,""))))))</f>
        <v>Robert Attard/Steve Gambin</v>
      </c>
    </row>
    <row r="10" ht="15.0" customHeight="1">
      <c r="A10" s="48" t="s">
        <v>61</v>
      </c>
      <c r="H10" s="49"/>
      <c r="I10" s="50"/>
      <c r="J10" s="27"/>
      <c r="K10" s="27"/>
      <c r="L10" s="27"/>
      <c r="M10" s="27"/>
      <c r="N10" s="27"/>
      <c r="O10" s="27"/>
      <c r="P10" s="48" t="s">
        <v>61</v>
      </c>
      <c r="W10" s="49"/>
      <c r="X10" s="50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33"/>
      <c r="AM10" s="27"/>
      <c r="AN10" s="27"/>
    </row>
    <row r="11" ht="15.0" customHeight="1">
      <c r="A11" s="51" t="str">
        <f>AE11</f>
        <v>Antoine Bugeja/Simone Ercolani</v>
      </c>
      <c r="B11" s="41">
        <v>7.0</v>
      </c>
      <c r="C11" s="52">
        <f>IF(B11&gt;B9,1,0)</f>
        <v>1</v>
      </c>
      <c r="D11" s="53"/>
      <c r="E11" s="41">
        <v>4.0</v>
      </c>
      <c r="F11" s="52">
        <f>IF(E11&gt;E9,1,0)</f>
        <v>0</v>
      </c>
      <c r="G11" s="53"/>
      <c r="H11" s="41">
        <v>6.0</v>
      </c>
      <c r="I11" s="27">
        <f>IF(H11&gt;H9,1,0)</f>
        <v>0</v>
      </c>
      <c r="J11" s="27">
        <f>IF(B11="",0,1)</f>
        <v>1</v>
      </c>
      <c r="K11" s="27">
        <f>IF(C11+F11=2,3,IF(C11+F11=1,1,0))</f>
        <v>1</v>
      </c>
      <c r="L11" s="27">
        <f>IF(K11=3,3,IF(I11+K11=2,2,IF(K11=1,1,0)))</f>
        <v>1</v>
      </c>
      <c r="M11" s="27">
        <f>B11+E11</f>
        <v>11</v>
      </c>
      <c r="N11" s="27">
        <f>C11+F11+I11</f>
        <v>1</v>
      </c>
      <c r="O11" s="27"/>
      <c r="P11" s="51" t="str">
        <f>AE13</f>
        <v>Kevin Sciberras/Justin Scicluna</v>
      </c>
      <c r="Q11" s="41">
        <v>3.0</v>
      </c>
      <c r="R11" s="52">
        <f>IF(Q11&gt;Q9,1,0)</f>
        <v>0</v>
      </c>
      <c r="S11" s="53"/>
      <c r="T11" s="41">
        <v>0.0</v>
      </c>
      <c r="U11" s="52">
        <f>IF(T11&gt;T9,1,0)</f>
        <v>0</v>
      </c>
      <c r="V11" s="53"/>
      <c r="W11" s="44"/>
      <c r="X11" s="27">
        <f>IF(W11&gt;W9,1,0)</f>
        <v>0</v>
      </c>
      <c r="Y11" s="27">
        <f>IF(Q11="",0,1)</f>
        <v>1</v>
      </c>
      <c r="Z11" s="27">
        <f>IF(R11+U11=2,3,IF(R11+U11=1,1,0))</f>
        <v>0</v>
      </c>
      <c r="AA11" s="27">
        <f>IF(Z11=3,3,IF(X11+Z11=2,2,IF(Z11=1,1,0)))</f>
        <v>0</v>
      </c>
      <c r="AB11" s="27">
        <f>Q11+T11</f>
        <v>3</v>
      </c>
      <c r="AC11" s="27">
        <f>R11+U11+X11</f>
        <v>0</v>
      </c>
      <c r="AD11" s="27"/>
      <c r="AE11" s="101" t="str">
        <f>'Players Men'!B29</f>
        <v>Antoine Bugeja/Simone Ercolani</v>
      </c>
      <c r="AF11" s="46">
        <f>J11+Y25+J25+Y21+J21</f>
        <v>5</v>
      </c>
      <c r="AG11" s="46">
        <f t="shared" ref="AG11:AI11" si="2">L11+AA25+L25+AA21+L21</f>
        <v>7</v>
      </c>
      <c r="AH11" s="46">
        <f t="shared" si="2"/>
        <v>45</v>
      </c>
      <c r="AI11" s="47">
        <f t="shared" si="2"/>
        <v>5</v>
      </c>
      <c r="AJ11" s="33"/>
      <c r="AK11" s="33"/>
      <c r="AL11" s="33"/>
      <c r="AM11" s="27"/>
      <c r="AN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33"/>
      <c r="AM12" s="27"/>
      <c r="AN12" s="27"/>
    </row>
    <row r="13" ht="15.0" customHeight="1">
      <c r="A13" s="40" t="str">
        <f>AE9</f>
        <v>Charles Micallef/Charles Grech</v>
      </c>
      <c r="B13" s="41">
        <v>4.0</v>
      </c>
      <c r="C13" s="42">
        <f>IF(B13&gt;B15,1,0)</f>
        <v>0</v>
      </c>
      <c r="D13" s="43"/>
      <c r="E13" s="41">
        <v>6.0</v>
      </c>
      <c r="F13" s="42">
        <f>IF(E13&gt;E15,1,0)</f>
        <v>1</v>
      </c>
      <c r="G13" s="43"/>
      <c r="H13" s="41">
        <v>6.0</v>
      </c>
      <c r="I13" s="27">
        <f>IF(H13&gt;H15,1,0)</f>
        <v>0</v>
      </c>
      <c r="J13" s="27">
        <f>IF(B13="",0,1)</f>
        <v>1</v>
      </c>
      <c r="K13" s="27">
        <f>IF(C13+F13=2,3,IF(C13+F13=1,1,0))</f>
        <v>1</v>
      </c>
      <c r="L13" s="27">
        <f>IF(K13=3,3,IF(I13+K13=2,2,IF(K13=1,1,0)))</f>
        <v>1</v>
      </c>
      <c r="M13" s="27">
        <f>B13+E13</f>
        <v>10</v>
      </c>
      <c r="N13" s="27">
        <f>C13+F13+I13</f>
        <v>1</v>
      </c>
      <c r="O13" s="27"/>
      <c r="P13" s="40" t="str">
        <f>AE9</f>
        <v>Charles Micallef/Charles Grech</v>
      </c>
      <c r="Q13" s="41">
        <v>6.0</v>
      </c>
      <c r="R13" s="42">
        <f>IF(Q13&gt;Q15,1,0)</f>
        <v>1</v>
      </c>
      <c r="S13" s="43"/>
      <c r="T13" s="41">
        <v>3.0</v>
      </c>
      <c r="U13" s="42">
        <f>IF(T13&gt;T15,1,0)</f>
        <v>0</v>
      </c>
      <c r="V13" s="43"/>
      <c r="W13" s="41">
        <v>8.0</v>
      </c>
      <c r="X13" s="27">
        <f>IF(W13&gt;W15,1,0)</f>
        <v>0</v>
      </c>
      <c r="Y13" s="27">
        <f>IF(Q13="",0,1)</f>
        <v>1</v>
      </c>
      <c r="Z13" s="27">
        <f>IF(R13+U13=2,3,IF(R13+U13=1,1,0))</f>
        <v>1</v>
      </c>
      <c r="AA13" s="27">
        <f>IF(Z13=3,3,IF(X13+Z13=2,2,IF(Z13=1,1,0)))</f>
        <v>1</v>
      </c>
      <c r="AB13" s="27">
        <f>Q13+T13</f>
        <v>9</v>
      </c>
      <c r="AC13" s="27">
        <f>R13+U13+X13</f>
        <v>1</v>
      </c>
      <c r="AD13" s="27"/>
      <c r="AE13" s="101" t="str">
        <f>'Players Men'!B30</f>
        <v>Kevin Sciberras/Justin Scicluna</v>
      </c>
      <c r="AF13" s="46">
        <f>Y29+Y11+Y33+J33+J23</f>
        <v>5</v>
      </c>
      <c r="AG13" s="46">
        <f t="shared" ref="AG13:AI13" si="3">AA29+AA11+AA33+L33+L23</f>
        <v>1</v>
      </c>
      <c r="AH13" s="46">
        <f t="shared" si="3"/>
        <v>22</v>
      </c>
      <c r="AI13" s="47">
        <f t="shared" si="3"/>
        <v>1</v>
      </c>
      <c r="AJ13" s="33"/>
      <c r="AK13" s="33"/>
      <c r="AL13" s="33"/>
      <c r="AM13" s="27"/>
      <c r="AN13" s="27"/>
    </row>
    <row r="14" ht="15.0" customHeight="1">
      <c r="A14" s="48" t="s">
        <v>61</v>
      </c>
      <c r="H14" s="49"/>
      <c r="I14" s="50"/>
      <c r="J14" s="27"/>
      <c r="K14" s="27"/>
      <c r="L14" s="27"/>
      <c r="M14" s="27"/>
      <c r="N14" s="27"/>
      <c r="O14" s="27"/>
      <c r="P14" s="48" t="s">
        <v>61</v>
      </c>
      <c r="W14" s="49"/>
      <c r="X14" s="50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33"/>
      <c r="AM14" s="27"/>
      <c r="AN14" s="27"/>
    </row>
    <row r="15" ht="15.0" customHeight="1">
      <c r="A15" s="51" t="str">
        <f>AE15</f>
        <v>Sean Cachia/Isaac Joseph Zammit</v>
      </c>
      <c r="B15" s="41">
        <v>6.0</v>
      </c>
      <c r="C15" s="52">
        <f>IF(B15&gt;B13,1,0)</f>
        <v>1</v>
      </c>
      <c r="D15" s="53"/>
      <c r="E15" s="41">
        <v>1.0</v>
      </c>
      <c r="F15" s="52">
        <f>IF(E15&gt;E13,1,0)</f>
        <v>0</v>
      </c>
      <c r="G15" s="53"/>
      <c r="H15" s="41">
        <v>10.0</v>
      </c>
      <c r="I15" s="27">
        <f>IF(H15&gt;H13,1,0)</f>
        <v>1</v>
      </c>
      <c r="J15" s="27">
        <f>IF(B15="",0,1)</f>
        <v>1</v>
      </c>
      <c r="K15" s="27">
        <f>IF(C15+F15=2,3,IF(C15+F15=1,1,0))</f>
        <v>1</v>
      </c>
      <c r="L15" s="27">
        <f>IF(K15=3,3,IF(I15+K15=2,2,IF(K15=1,1,0)))</f>
        <v>2</v>
      </c>
      <c r="M15" s="27">
        <f>B15+E15</f>
        <v>7</v>
      </c>
      <c r="N15" s="27">
        <f>C15+F15+I15</f>
        <v>2</v>
      </c>
      <c r="O15" s="27"/>
      <c r="P15" s="51" t="str">
        <f>AE17</f>
        <v>Robert Attard/Steve Gambin</v>
      </c>
      <c r="Q15" s="41">
        <v>4.0</v>
      </c>
      <c r="R15" s="52">
        <f>IF(Q15&gt;Q13,1,0)</f>
        <v>0</v>
      </c>
      <c r="S15" s="53"/>
      <c r="T15" s="41">
        <v>6.0</v>
      </c>
      <c r="U15" s="52">
        <f>IF(T15&gt;T13,1,0)</f>
        <v>1</v>
      </c>
      <c r="V15" s="53"/>
      <c r="W15" s="41">
        <v>10.0</v>
      </c>
      <c r="X15" s="27">
        <f>IF(W15&gt;W13,1,0)</f>
        <v>1</v>
      </c>
      <c r="Y15" s="27">
        <f>IF(Q15="",0,1)</f>
        <v>1</v>
      </c>
      <c r="Z15" s="27">
        <f>IF(R15+U15=2,3,IF(R15+U15=1,1,0))</f>
        <v>1</v>
      </c>
      <c r="AA15" s="27">
        <f>IF(Z15=3,3,IF(X15+Z15=2,2,IF(Z15=1,1,0)))</f>
        <v>2</v>
      </c>
      <c r="AB15" s="27">
        <f>Q15+T15</f>
        <v>10</v>
      </c>
      <c r="AC15" s="27">
        <f>R15+U15+X15</f>
        <v>2</v>
      </c>
      <c r="AD15" s="27"/>
      <c r="AE15" s="101" t="str">
        <f>'Players Men'!B31</f>
        <v>Sean Cachia/Isaac Joseph Zammit</v>
      </c>
      <c r="AF15" s="46">
        <f>Y31+J37+J15+Y23+J29</f>
        <v>5</v>
      </c>
      <c r="AG15" s="46">
        <f t="shared" ref="AG15:AI15" si="4">AA31+L37+L15+AA23+L29</f>
        <v>13</v>
      </c>
      <c r="AH15" s="46">
        <f t="shared" si="4"/>
        <v>55</v>
      </c>
      <c r="AI15" s="47">
        <f t="shared" si="4"/>
        <v>10</v>
      </c>
      <c r="AJ15" s="33"/>
      <c r="AK15" s="33"/>
      <c r="AL15" s="33"/>
      <c r="AM15" s="27"/>
      <c r="AN15" s="27"/>
    </row>
    <row r="17" ht="15.0" customHeight="1">
      <c r="A17" s="40" t="str">
        <f>AE9</f>
        <v>Charles Micallef/Charles Grech</v>
      </c>
      <c r="B17" s="41">
        <v>6.0</v>
      </c>
      <c r="C17" s="42">
        <f>IF(B17&gt;B19,1,0)</f>
        <v>1</v>
      </c>
      <c r="D17" s="43"/>
      <c r="E17" s="41">
        <v>6.0</v>
      </c>
      <c r="F17" s="42">
        <f>IF(E17&gt;E19,1,0)</f>
        <v>1</v>
      </c>
      <c r="G17" s="43"/>
      <c r="H17" s="44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12</v>
      </c>
      <c r="N17" s="27">
        <f>C17+F17+I17</f>
        <v>2</v>
      </c>
      <c r="O17" s="27"/>
      <c r="P17" s="40" t="str">
        <f>AE17</f>
        <v>Robert Attard/Steve Gambin</v>
      </c>
      <c r="Q17" s="41">
        <v>6.0</v>
      </c>
      <c r="R17" s="42">
        <f>IF(Q17&gt;Q19,1,0)</f>
        <v>1</v>
      </c>
      <c r="S17" s="43"/>
      <c r="T17" s="41">
        <v>6.0</v>
      </c>
      <c r="U17" s="42">
        <f>IF(T17&gt;T19,1,0)</f>
        <v>1</v>
      </c>
      <c r="V17" s="43"/>
      <c r="W17" s="44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12</v>
      </c>
      <c r="AC17" s="27">
        <f>R17+U17+X17</f>
        <v>2</v>
      </c>
      <c r="AD17" s="27"/>
      <c r="AE17" s="101" t="str">
        <f>'Players Men'!B32</f>
        <v>Robert Attard/Steve Gambin</v>
      </c>
      <c r="AF17" s="46">
        <f>Y17+J39+J27+Y15+J35</f>
        <v>5</v>
      </c>
      <c r="AG17" s="46">
        <f t="shared" ref="AG17:AI17" si="5">AA17+L39+L27+AA15+L35</f>
        <v>12</v>
      </c>
      <c r="AH17" s="46">
        <f t="shared" si="5"/>
        <v>56</v>
      </c>
      <c r="AI17" s="47">
        <f t="shared" si="5"/>
        <v>9</v>
      </c>
    </row>
    <row r="18" ht="15.0" customHeight="1">
      <c r="A18" s="48" t="s">
        <v>61</v>
      </c>
      <c r="H18" s="49"/>
      <c r="I18" s="50"/>
      <c r="J18" s="27"/>
      <c r="K18" s="27"/>
      <c r="L18" s="27"/>
      <c r="M18" s="27"/>
      <c r="N18" s="27"/>
      <c r="O18" s="27"/>
      <c r="P18" s="48" t="s">
        <v>61</v>
      </c>
      <c r="W18" s="49"/>
      <c r="X18" s="50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</row>
    <row r="19" ht="15.0" customHeight="1">
      <c r="A19" s="51" t="str">
        <f>AE19</f>
        <v>Isaac Baldacchino/JP Sciberras</v>
      </c>
      <c r="B19" s="41">
        <v>2.0</v>
      </c>
      <c r="C19" s="52">
        <f>IF(B19&gt;B17,1,0)</f>
        <v>0</v>
      </c>
      <c r="D19" s="53"/>
      <c r="E19" s="41">
        <v>2.0</v>
      </c>
      <c r="F19" s="52">
        <f>IF(E19&gt;E17,1,0)</f>
        <v>0</v>
      </c>
      <c r="G19" s="53"/>
      <c r="H19" s="44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4</v>
      </c>
      <c r="N19" s="27">
        <f>C19+F19+I19</f>
        <v>0</v>
      </c>
      <c r="O19" s="27"/>
      <c r="P19" s="51" t="str">
        <f>AE19</f>
        <v>Isaac Baldacchino/JP Sciberras</v>
      </c>
      <c r="Q19" s="41">
        <v>0.0</v>
      </c>
      <c r="R19" s="52">
        <f>IF(Q19&gt;Q17,1,0)</f>
        <v>0</v>
      </c>
      <c r="S19" s="53"/>
      <c r="T19" s="41">
        <v>4.0</v>
      </c>
      <c r="U19" s="52">
        <f>IF(T19&gt;T17,1,0)</f>
        <v>0</v>
      </c>
      <c r="V19" s="53"/>
      <c r="W19" s="44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4</v>
      </c>
      <c r="AC19" s="27">
        <f>R19+U19+X19</f>
        <v>0</v>
      </c>
      <c r="AD19" s="27"/>
      <c r="AE19" s="101" t="str">
        <f>'Players Men'!B33</f>
        <v>Isaac Baldacchino/JP Sciberras</v>
      </c>
      <c r="AF19" s="46">
        <f>Y19+Y27+Y35+J19+J31</f>
        <v>5</v>
      </c>
      <c r="AG19" s="46">
        <f t="shared" ref="AG19:AI19" si="6">AA19+AA27+AA35+L19+L31</f>
        <v>2</v>
      </c>
      <c r="AH19" s="46">
        <f t="shared" si="6"/>
        <v>27</v>
      </c>
      <c r="AI19" s="47">
        <f t="shared" si="6"/>
        <v>2</v>
      </c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 ht="15.0" customHeight="1">
      <c r="A21" s="40" t="str">
        <f>AE11</f>
        <v>Antoine Bugeja/Simone Ercolani</v>
      </c>
      <c r="B21" s="41">
        <v>6.0</v>
      </c>
      <c r="C21" s="42">
        <f>IF(B21&gt;B23,1,0)</f>
        <v>1</v>
      </c>
      <c r="D21" s="43"/>
      <c r="E21" s="41">
        <v>6.0</v>
      </c>
      <c r="F21" s="42">
        <f>IF(E21&gt;E23,1,0)</f>
        <v>1</v>
      </c>
      <c r="G21" s="43"/>
      <c r="H21" s="44"/>
      <c r="I21" s="27">
        <f>IF(H21&gt;H23,1,0)</f>
        <v>0</v>
      </c>
      <c r="J21" s="27">
        <f>IF(B21="",0,1)</f>
        <v>1</v>
      </c>
      <c r="K21" s="27">
        <f>IF(C21+F21=2,3,IF(C21+F21=1,1,0))</f>
        <v>3</v>
      </c>
      <c r="L21" s="27">
        <f>IF(K21=3,3,IF(I21+K21=2,2,IF(K21=1,1,0)))</f>
        <v>3</v>
      </c>
      <c r="M21" s="27">
        <f>B21+E21</f>
        <v>12</v>
      </c>
      <c r="N21" s="27">
        <f>C21+F21+I21</f>
        <v>2</v>
      </c>
      <c r="O21" s="27"/>
      <c r="P21" s="40" t="str">
        <f>AE11</f>
        <v>Antoine Bugeja/Simone Ercolani</v>
      </c>
      <c r="Q21" s="41">
        <v>4.0</v>
      </c>
      <c r="R21" s="42">
        <f>IF(Q21&gt;Q23,1,0)</f>
        <v>0</v>
      </c>
      <c r="S21" s="43"/>
      <c r="T21" s="41">
        <v>4.0</v>
      </c>
      <c r="U21" s="42">
        <f>IF(T21&gt;T23,1,0)</f>
        <v>0</v>
      </c>
      <c r="V21" s="43"/>
      <c r="W21" s="44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8</v>
      </c>
      <c r="AC21" s="27">
        <f>R21+U21+X21</f>
        <v>0</v>
      </c>
      <c r="AD21" s="27"/>
      <c r="AE21" s="99" t="s">
        <v>72</v>
      </c>
      <c r="AF21" s="30"/>
      <c r="AG21" s="30"/>
      <c r="AH21" s="30"/>
      <c r="AI21" s="11"/>
    </row>
    <row r="22" ht="15.0" customHeight="1">
      <c r="A22" s="48" t="s">
        <v>61</v>
      </c>
      <c r="H22" s="49"/>
      <c r="I22" s="50"/>
      <c r="J22" s="27"/>
      <c r="K22" s="27"/>
      <c r="L22" s="27"/>
      <c r="M22" s="27"/>
      <c r="N22" s="27"/>
      <c r="O22" s="27"/>
      <c r="P22" s="48" t="s">
        <v>61</v>
      </c>
      <c r="W22" s="49"/>
      <c r="X22" s="50"/>
      <c r="Y22" s="27"/>
      <c r="Z22" s="27"/>
      <c r="AA22" s="27"/>
      <c r="AB22" s="27"/>
      <c r="AC22" s="27"/>
      <c r="AD22" s="27"/>
      <c r="AE22" s="96" t="str">
        <f>IF(AL9=30,AM9,"")</f>
        <v>Sean Cachia/Isaac Joseph Zammit</v>
      </c>
      <c r="AF22" s="30"/>
      <c r="AG22" s="30"/>
      <c r="AH22" s="30"/>
      <c r="AI22" s="11"/>
    </row>
    <row r="23" ht="15.0" customHeight="1">
      <c r="A23" s="51" t="str">
        <f>AE13</f>
        <v>Kevin Sciberras/Justin Scicluna</v>
      </c>
      <c r="B23" s="41">
        <v>2.0</v>
      </c>
      <c r="C23" s="52">
        <f>IF(B23&gt;B21,1,0)</f>
        <v>0</v>
      </c>
      <c r="D23" s="53"/>
      <c r="E23" s="41">
        <v>0.0</v>
      </c>
      <c r="F23" s="52">
        <f>IF(E23&gt;E21,1,0)</f>
        <v>0</v>
      </c>
      <c r="G23" s="53"/>
      <c r="H23" s="44"/>
      <c r="I23" s="27">
        <f>IF(H23&gt;H21,1,0)</f>
        <v>0</v>
      </c>
      <c r="J23" s="27">
        <f>IF(B23="",0,1)</f>
        <v>1</v>
      </c>
      <c r="K23" s="27">
        <f>IF(C23+F23=2,3,IF(C23+F23=1,1,0))</f>
        <v>0</v>
      </c>
      <c r="L23" s="27">
        <f>IF(K23=3,3,IF(I23+K23=2,2,IF(K23=1,1,0)))</f>
        <v>0</v>
      </c>
      <c r="M23" s="27">
        <f>B23+E23</f>
        <v>2</v>
      </c>
      <c r="N23" s="27">
        <f>C23+F23+I23</f>
        <v>0</v>
      </c>
      <c r="O23" s="27"/>
      <c r="P23" s="51" t="str">
        <f>AE15</f>
        <v>Sean Cachia/Isaac Joseph Zammit</v>
      </c>
      <c r="Q23" s="41">
        <v>6.0</v>
      </c>
      <c r="R23" s="52">
        <f>IF(Q23&gt;Q21,1,0)</f>
        <v>1</v>
      </c>
      <c r="S23" s="53"/>
      <c r="T23" s="41">
        <v>6.0</v>
      </c>
      <c r="U23" s="52">
        <f>IF(T23&gt;T21,1,0)</f>
        <v>1</v>
      </c>
      <c r="V23" s="53"/>
      <c r="W23" s="44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ht="15.0" customHeight="1">
      <c r="A25" s="40" t="str">
        <f>AE11</f>
        <v>Antoine Bugeja/Simone Ercolani</v>
      </c>
      <c r="B25" s="41">
        <v>2.0</v>
      </c>
      <c r="C25" s="42">
        <f>IF(B25&gt;B27,1,0)</f>
        <v>0</v>
      </c>
      <c r="D25" s="43"/>
      <c r="E25" s="41">
        <v>0.0</v>
      </c>
      <c r="F25" s="42">
        <f>IF(E25&gt;E27,1,0)</f>
        <v>0</v>
      </c>
      <c r="G25" s="43"/>
      <c r="H25" s="44"/>
      <c r="I25" s="27">
        <f>IF(H25&gt;H27,1,0)</f>
        <v>0</v>
      </c>
      <c r="J25" s="27">
        <f>IF(B25="",0,1)</f>
        <v>1</v>
      </c>
      <c r="K25" s="27">
        <f>IF(C25+F25=2,3,IF(C25+F25=1,1,0))</f>
        <v>0</v>
      </c>
      <c r="L25" s="27">
        <f>IF(K25=3,3,IF(I25+K25=2,2,IF(K25=1,1,0)))</f>
        <v>0</v>
      </c>
      <c r="M25" s="27">
        <f>B25+E25</f>
        <v>2</v>
      </c>
      <c r="N25" s="27">
        <f>C25+F25+I25</f>
        <v>0</v>
      </c>
      <c r="O25" s="27"/>
      <c r="P25" s="40" t="str">
        <f>AE11</f>
        <v>Antoine Bugeja/Simone Ercolani</v>
      </c>
      <c r="Q25" s="41">
        <v>6.0</v>
      </c>
      <c r="R25" s="42">
        <f>IF(Q25&gt;Q27,1,0)</f>
        <v>1</v>
      </c>
      <c r="S25" s="43"/>
      <c r="T25" s="41">
        <v>6.0</v>
      </c>
      <c r="U25" s="42">
        <f>IF(T25&gt;T27,1,0)</f>
        <v>1</v>
      </c>
      <c r="V25" s="43"/>
      <c r="W25" s="44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12</v>
      </c>
      <c r="AC25" s="27">
        <f>R25+U25+X25</f>
        <v>2</v>
      </c>
      <c r="AD25" s="27"/>
      <c r="AE25" s="99" t="s">
        <v>73</v>
      </c>
      <c r="AF25" s="30"/>
      <c r="AG25" s="30"/>
      <c r="AH25" s="30"/>
      <c r="AI25" s="11"/>
    </row>
    <row r="26" ht="15.0" customHeight="1">
      <c r="A26" s="48" t="s">
        <v>61</v>
      </c>
      <c r="H26" s="49"/>
      <c r="I26" s="50"/>
      <c r="J26" s="27"/>
      <c r="K26" s="27"/>
      <c r="L26" s="27"/>
      <c r="M26" s="27"/>
      <c r="N26" s="27"/>
      <c r="O26" s="27"/>
      <c r="P26" s="48" t="s">
        <v>61</v>
      </c>
      <c r="W26" s="49"/>
      <c r="X26" s="50"/>
      <c r="Y26" s="27"/>
      <c r="Z26" s="27"/>
      <c r="AA26" s="27"/>
      <c r="AB26" s="27"/>
      <c r="AC26" s="27"/>
      <c r="AD26" s="27"/>
      <c r="AE26" s="96" t="str">
        <f>IF(AL9=30,AN9,"")</f>
        <v>Robert Attard/Steve Gambin</v>
      </c>
      <c r="AF26" s="30"/>
      <c r="AG26" s="30"/>
      <c r="AH26" s="30"/>
      <c r="AI26" s="11"/>
    </row>
    <row r="27" ht="15.0" customHeight="1">
      <c r="A27" s="51" t="str">
        <f>AE17</f>
        <v>Robert Attard/Steve Gambin</v>
      </c>
      <c r="B27" s="41">
        <v>6.0</v>
      </c>
      <c r="C27" s="52">
        <f>IF(B27&gt;B25,1,0)</f>
        <v>1</v>
      </c>
      <c r="D27" s="53"/>
      <c r="E27" s="41">
        <v>6.0</v>
      </c>
      <c r="F27" s="52">
        <f>IF(E27&gt;E25,1,0)</f>
        <v>1</v>
      </c>
      <c r="G27" s="53"/>
      <c r="H27" s="44"/>
      <c r="I27" s="27">
        <f>IF(H27&gt;H25,1,0)</f>
        <v>0</v>
      </c>
      <c r="J27" s="27">
        <f>IF(B27="",0,1)</f>
        <v>1</v>
      </c>
      <c r="K27" s="27">
        <f>IF(C27+F27=2,3,IF(C27+F27=1,1,0))</f>
        <v>3</v>
      </c>
      <c r="L27" s="27">
        <f>IF(K27=3,3,IF(I27+K27=2,2,IF(K27=1,1,0)))</f>
        <v>3</v>
      </c>
      <c r="M27" s="27">
        <f>B27+E27</f>
        <v>12</v>
      </c>
      <c r="N27" s="27">
        <f>C27+F27+I27</f>
        <v>2</v>
      </c>
      <c r="O27" s="27"/>
      <c r="P27" s="51" t="str">
        <f>AE19</f>
        <v>Isaac Baldacchino/JP Sciberras</v>
      </c>
      <c r="Q27" s="41">
        <v>1.0</v>
      </c>
      <c r="R27" s="52">
        <f>IF(Q27&gt;Q25,1,0)</f>
        <v>0</v>
      </c>
      <c r="S27" s="53"/>
      <c r="T27" s="41">
        <v>4.0</v>
      </c>
      <c r="U27" s="52">
        <f>IF(T27&gt;T25,1,0)</f>
        <v>0</v>
      </c>
      <c r="V27" s="53"/>
      <c r="W27" s="44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5</v>
      </c>
      <c r="AC27" s="27">
        <f>R27+U27+X27</f>
        <v>0</v>
      </c>
      <c r="AD27" s="27"/>
      <c r="AE27" s="27"/>
      <c r="AF27" s="27"/>
      <c r="AG27" s="27"/>
      <c r="AH27" s="27"/>
      <c r="AI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</row>
    <row r="29" ht="15.0" customHeight="1">
      <c r="A29" s="40" t="str">
        <f>AE15</f>
        <v>Sean Cachia/Isaac Joseph Zammit</v>
      </c>
      <c r="B29" s="41">
        <v>7.0</v>
      </c>
      <c r="C29" s="42">
        <f>IF(B29&gt;B31,1,0)</f>
        <v>1</v>
      </c>
      <c r="D29" s="43"/>
      <c r="E29" s="41">
        <v>6.0</v>
      </c>
      <c r="F29" s="42">
        <f>IF(E29&gt;E31,1,0)</f>
        <v>1</v>
      </c>
      <c r="G29" s="43"/>
      <c r="H29" s="44"/>
      <c r="I29" s="27">
        <f>IF(H29&gt;H31,1,0)</f>
        <v>0</v>
      </c>
      <c r="J29" s="27">
        <f>IF(B29="",0,1)</f>
        <v>1</v>
      </c>
      <c r="K29" s="27">
        <f>IF(C29+F29=2,3,IF(C29+F29=1,1,0))</f>
        <v>3</v>
      </c>
      <c r="L29" s="27">
        <f>IF(K29=3,3,IF(I29+K29=2,2,IF(K29=1,1,0)))</f>
        <v>3</v>
      </c>
      <c r="M29" s="27">
        <f>B29+E29</f>
        <v>13</v>
      </c>
      <c r="N29" s="27">
        <f>C29+F29+I29</f>
        <v>2</v>
      </c>
      <c r="O29" s="27"/>
      <c r="P29" s="40" t="str">
        <f>AE13</f>
        <v>Kevin Sciberras/Justin Scicluna</v>
      </c>
      <c r="Q29" s="41">
        <v>0.0</v>
      </c>
      <c r="R29" s="42">
        <f>IF(Q29&gt;Q31,1,0)</f>
        <v>0</v>
      </c>
      <c r="S29" s="43"/>
      <c r="T29" s="41">
        <v>2.0</v>
      </c>
      <c r="U29" s="42">
        <f>IF(T29&gt;T31,1,0)</f>
        <v>0</v>
      </c>
      <c r="V29" s="43"/>
      <c r="W29" s="44"/>
      <c r="X29" s="27">
        <f>IF(W29&gt;W31,1,0)</f>
        <v>0</v>
      </c>
      <c r="Y29" s="27">
        <f>IF(Q29="",0,1)</f>
        <v>1</v>
      </c>
      <c r="Z29" s="27">
        <f>IF(R29+U29=2,3,IF(R29+U29=1,1,0))</f>
        <v>0</v>
      </c>
      <c r="AA29" s="27">
        <f>IF(Z29=3,3,IF(X29+Z29=2,2,IF(Z29=1,1,0)))</f>
        <v>0</v>
      </c>
      <c r="AB29" s="27">
        <f>Q29+T29</f>
        <v>2</v>
      </c>
      <c r="AC29" s="27">
        <f>R29+U29+X29</f>
        <v>0</v>
      </c>
      <c r="AD29" s="27"/>
      <c r="AE29" s="27"/>
      <c r="AF29" s="27"/>
      <c r="AG29" s="27"/>
      <c r="AH29" s="27"/>
      <c r="AI29" s="27"/>
    </row>
    <row r="30" ht="15.0" customHeight="1">
      <c r="A30" s="48" t="s">
        <v>61</v>
      </c>
      <c r="H30" s="49"/>
      <c r="I30" s="50"/>
      <c r="J30" s="27"/>
      <c r="K30" s="27"/>
      <c r="L30" s="27"/>
      <c r="M30" s="27"/>
      <c r="N30" s="27"/>
      <c r="O30" s="27"/>
      <c r="P30" s="48" t="s">
        <v>61</v>
      </c>
      <c r="W30" s="49"/>
      <c r="X30" s="50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ht="15.0" customHeight="1">
      <c r="A31" s="51" t="str">
        <f>AE19</f>
        <v>Isaac Baldacchino/JP Sciberras</v>
      </c>
      <c r="B31" s="41">
        <v>5.0</v>
      </c>
      <c r="C31" s="52">
        <f>IF(B31&gt;B29,1,0)</f>
        <v>0</v>
      </c>
      <c r="D31" s="53"/>
      <c r="E31" s="41">
        <v>2.0</v>
      </c>
      <c r="F31" s="52">
        <f>IF(E31&gt;E29,1,0)</f>
        <v>0</v>
      </c>
      <c r="G31" s="53"/>
      <c r="H31" s="44"/>
      <c r="I31" s="27">
        <f>IF(H31&gt;H29,1,0)</f>
        <v>0</v>
      </c>
      <c r="J31" s="27">
        <f>IF(B31="",0,1)</f>
        <v>1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7</v>
      </c>
      <c r="N31" s="27">
        <f>C31+F31+I31</f>
        <v>0</v>
      </c>
      <c r="O31" s="27"/>
      <c r="P31" s="51" t="str">
        <f>AE15</f>
        <v>Sean Cachia/Isaac Joseph Zammit</v>
      </c>
      <c r="Q31" s="41">
        <v>6.0</v>
      </c>
      <c r="R31" s="52">
        <f>IF(Q31&gt;Q29,1,0)</f>
        <v>1</v>
      </c>
      <c r="S31" s="53"/>
      <c r="T31" s="41">
        <v>6.0</v>
      </c>
      <c r="U31" s="52">
        <f>IF(T31&gt;T29,1,0)</f>
        <v>1</v>
      </c>
      <c r="V31" s="53"/>
      <c r="W31" s="44"/>
      <c r="X31" s="27">
        <f>IF(W31&gt;W29,1,0)</f>
        <v>0</v>
      </c>
      <c r="Y31" s="27">
        <f>IF(Q31="",0,1)</f>
        <v>1</v>
      </c>
      <c r="Z31" s="27">
        <f>IF(R31+U31=2,3,IF(R31+U31=1,1,0))</f>
        <v>3</v>
      </c>
      <c r="AA31" s="27">
        <f>IF(Z31=3,3,IF(X31+Z31=2,2,IF(Z31=1,1,0)))</f>
        <v>3</v>
      </c>
      <c r="AB31" s="27">
        <f>Q31+T31</f>
        <v>12</v>
      </c>
      <c r="AC31" s="27">
        <f>R31+U31+X31</f>
        <v>2</v>
      </c>
      <c r="AD31" s="27"/>
      <c r="AE31" s="27"/>
      <c r="AF31" s="27"/>
      <c r="AG31" s="27"/>
      <c r="AH31" s="27"/>
      <c r="AI31" s="27"/>
    </row>
    <row r="32" ht="15.75" customHeight="1"/>
    <row r="33" ht="15.0" customHeight="1">
      <c r="A33" s="40" t="str">
        <f>AE13</f>
        <v>Kevin Sciberras/Justin Scicluna</v>
      </c>
      <c r="B33" s="41">
        <v>3.0</v>
      </c>
      <c r="C33" s="42">
        <f>IF(B33&gt;B35,1,0)</f>
        <v>0</v>
      </c>
      <c r="D33" s="43"/>
      <c r="E33" s="41">
        <v>3.0</v>
      </c>
      <c r="F33" s="42">
        <f>IF(E33&gt;E35,1,0)</f>
        <v>0</v>
      </c>
      <c r="G33" s="43"/>
      <c r="H33" s="44"/>
      <c r="I33" s="27">
        <f>IF(H33&gt;H35,1,0)</f>
        <v>0</v>
      </c>
      <c r="J33" s="27">
        <f>IF(B33="",0,1)</f>
        <v>1</v>
      </c>
      <c r="K33" s="27">
        <f>IF(C33+F33=2,3,IF(C33+F33=1,1,0))</f>
        <v>0</v>
      </c>
      <c r="L33" s="27">
        <f>IF(K33=3,3,IF(I33+K33=2,2,IF(K33=1,1,0)))</f>
        <v>0</v>
      </c>
      <c r="M33" s="27">
        <f>B33+E33</f>
        <v>6</v>
      </c>
      <c r="N33" s="27">
        <f>C33+F33+I33</f>
        <v>0</v>
      </c>
      <c r="O33" s="27"/>
      <c r="P33" s="40" t="str">
        <f>AE13</f>
        <v>Kevin Sciberras/Justin Scicluna</v>
      </c>
      <c r="Q33" s="41">
        <v>6.0</v>
      </c>
      <c r="R33" s="42">
        <f>IF(Q33&gt;Q35,1,0)</f>
        <v>1</v>
      </c>
      <c r="S33" s="43"/>
      <c r="T33" s="41">
        <v>3.0</v>
      </c>
      <c r="U33" s="42">
        <f>IF(T33&gt;T35,1,0)</f>
        <v>0</v>
      </c>
      <c r="V33" s="43"/>
      <c r="W33" s="41">
        <v>6.0</v>
      </c>
      <c r="X33" s="27">
        <f>IF(W33&gt;W35,1,0)</f>
        <v>0</v>
      </c>
      <c r="Y33" s="27">
        <f>IF(Q33="",0,1)</f>
        <v>1</v>
      </c>
      <c r="Z33" s="27">
        <f>IF(R33+U33=2,3,IF(R33+U33=1,1,0))</f>
        <v>1</v>
      </c>
      <c r="AA33" s="27">
        <f>IF(Z33=3,3,IF(X33+Z33=2,2,IF(Z33=1,1,0)))</f>
        <v>1</v>
      </c>
      <c r="AB33" s="27">
        <f>Q33+T33</f>
        <v>9</v>
      </c>
      <c r="AC33" s="27">
        <f>R33+U33+X33</f>
        <v>1</v>
      </c>
    </row>
    <row r="34" ht="15.0" customHeight="1">
      <c r="A34" s="48" t="s">
        <v>61</v>
      </c>
      <c r="H34" s="49"/>
      <c r="I34" s="50"/>
      <c r="J34" s="27"/>
      <c r="K34" s="27"/>
      <c r="L34" s="27"/>
      <c r="M34" s="27"/>
      <c r="N34" s="27"/>
      <c r="O34" s="27"/>
      <c r="P34" s="48" t="s">
        <v>61</v>
      </c>
      <c r="W34" s="49"/>
      <c r="X34" s="50"/>
      <c r="Y34" s="27"/>
      <c r="Z34" s="27"/>
      <c r="AA34" s="27"/>
      <c r="AB34" s="27"/>
      <c r="AC34" s="27"/>
    </row>
    <row r="35" ht="15.0" customHeight="1">
      <c r="A35" s="51" t="str">
        <f>AE17</f>
        <v>Robert Attard/Steve Gambin</v>
      </c>
      <c r="B35" s="41">
        <v>6.0</v>
      </c>
      <c r="C35" s="52">
        <f>IF(B35&gt;B33,1,0)</f>
        <v>1</v>
      </c>
      <c r="D35" s="53"/>
      <c r="E35" s="41">
        <v>6.0</v>
      </c>
      <c r="F35" s="52">
        <f>IF(E35&gt;E33,1,0)</f>
        <v>1</v>
      </c>
      <c r="G35" s="53"/>
      <c r="H35" s="44"/>
      <c r="I35" s="27">
        <f>IF(H35&gt;H33,1,0)</f>
        <v>0</v>
      </c>
      <c r="J35" s="27">
        <f>IF(B35="",0,1)</f>
        <v>1</v>
      </c>
      <c r="K35" s="27">
        <f>IF(C35+F35=2,3,IF(C35+F35=1,1,0))</f>
        <v>3</v>
      </c>
      <c r="L35" s="27">
        <f>IF(K35=3,3,IF(I35+K35=2,2,IF(K35=1,1,0)))</f>
        <v>3</v>
      </c>
      <c r="M35" s="27">
        <f>B35+E35</f>
        <v>12</v>
      </c>
      <c r="N35" s="27">
        <f>C35+F35+I35</f>
        <v>2</v>
      </c>
      <c r="O35" s="27"/>
      <c r="P35" s="51" t="str">
        <f>AE19</f>
        <v>Isaac Baldacchino/JP Sciberras</v>
      </c>
      <c r="Q35" s="41">
        <v>1.0</v>
      </c>
      <c r="R35" s="52">
        <f>IF(Q35&gt;Q33,1,0)</f>
        <v>0</v>
      </c>
      <c r="S35" s="53"/>
      <c r="T35" s="41">
        <v>6.0</v>
      </c>
      <c r="U35" s="52">
        <f>IF(T35&gt;T33,1,0)</f>
        <v>1</v>
      </c>
      <c r="V35" s="53"/>
      <c r="W35" s="41">
        <v>10.0</v>
      </c>
      <c r="X35" s="27">
        <f>IF(W35&gt;W33,1,0)</f>
        <v>1</v>
      </c>
      <c r="Y35" s="27">
        <f>IF(Q35="",0,1)</f>
        <v>1</v>
      </c>
      <c r="Z35" s="27">
        <f>IF(R35+U35=2,3,IF(R35+U35=1,1,0))</f>
        <v>1</v>
      </c>
      <c r="AA35" s="27">
        <f>IF(Z35=3,3,IF(X35+Z35=2,2,IF(Z35=1,1,0)))</f>
        <v>2</v>
      </c>
      <c r="AB35" s="27">
        <f>Q35+T35</f>
        <v>7</v>
      </c>
      <c r="AC35" s="27">
        <f>R35+U35+X35</f>
        <v>2</v>
      </c>
    </row>
    <row r="36" ht="15.0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ht="15.0" customHeight="1">
      <c r="A37" s="40" t="str">
        <f>AE15</f>
        <v>Sean Cachia/Isaac Joseph Zammit</v>
      </c>
      <c r="B37" s="41">
        <v>6.0</v>
      </c>
      <c r="C37" s="42">
        <f>IF(B37&gt;B39,1,0)</f>
        <v>1</v>
      </c>
      <c r="D37" s="43"/>
      <c r="E37" s="41">
        <v>5.0</v>
      </c>
      <c r="F37" s="42">
        <f>IF(E37&gt;E39,1,0)</f>
        <v>0</v>
      </c>
      <c r="G37" s="43"/>
      <c r="H37" s="41">
        <v>10.0</v>
      </c>
      <c r="I37" s="27">
        <f>IF(H37&gt;H39,1,0)</f>
        <v>1</v>
      </c>
      <c r="J37" s="27">
        <f>IF(B37="",0,1)</f>
        <v>1</v>
      </c>
      <c r="K37" s="27">
        <f>IF(C37+F37=2,3,IF(C37+F37=1,1,0))</f>
        <v>1</v>
      </c>
      <c r="L37" s="27">
        <f>IF(K37=3,3,IF(I37+K37=2,2,IF(K37=1,1,0)))</f>
        <v>2</v>
      </c>
      <c r="M37" s="27">
        <f>B37+E37</f>
        <v>11</v>
      </c>
      <c r="N37" s="27">
        <f>C37+F37+I37</f>
        <v>2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48" t="s">
        <v>61</v>
      </c>
      <c r="H38" s="49"/>
      <c r="I38" s="5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ht="15.0" customHeight="1">
      <c r="A39" s="51" t="str">
        <f>AE17</f>
        <v>Robert Attard/Steve Gambin</v>
      </c>
      <c r="B39" s="41">
        <v>3.0</v>
      </c>
      <c r="C39" s="52">
        <f>IF(B39&gt;B37,1,0)</f>
        <v>0</v>
      </c>
      <c r="D39" s="53"/>
      <c r="E39" s="41">
        <v>7.0</v>
      </c>
      <c r="F39" s="52">
        <f>IF(E39&gt;E37,1,0)</f>
        <v>1</v>
      </c>
      <c r="G39" s="53"/>
      <c r="H39" s="41">
        <v>5.0</v>
      </c>
      <c r="I39" s="27">
        <f>IF(H39&gt;H37,1,0)</f>
        <v>0</v>
      </c>
      <c r="J39" s="27">
        <f>IF(B39="",0,1)</f>
        <v>1</v>
      </c>
      <c r="K39" s="27">
        <f>IF(C39+F39=2,3,IF(C39+F39=1,1,0))</f>
        <v>1</v>
      </c>
      <c r="L39" s="27">
        <f>IF(K39=3,3,IF(I39+K39=2,2,IF(K39=1,1,0)))</f>
        <v>1</v>
      </c>
      <c r="M39" s="27">
        <f>B39+E39</f>
        <v>10</v>
      </c>
      <c r="N39" s="27">
        <f>C39+F39+I39</f>
        <v>1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25" right="0.25" top="0.75"/>
  <pageSetup paperSize="9" scale="6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4.75"/>
    <col customWidth="1" min="3" max="3" width="19.25"/>
    <col customWidth="1" min="4" max="4" width="9.13"/>
    <col customWidth="1" min="5" max="5" width="8.0"/>
    <col customWidth="1" min="6" max="6" width="58.13"/>
    <col customWidth="1" min="7" max="9" width="9.13"/>
    <col customWidth="1" min="10" max="26" width="12.75"/>
  </cols>
  <sheetData>
    <row r="1" ht="21.0" customHeight="1">
      <c r="A1" s="1" t="s">
        <v>74</v>
      </c>
    </row>
    <row r="2" ht="30.0" customHeight="1"/>
    <row r="3" ht="9.75" customHeight="1">
      <c r="A3" s="2"/>
      <c r="B3" s="2"/>
      <c r="C3" s="2"/>
      <c r="D3" s="2"/>
      <c r="E3" s="2"/>
      <c r="F3" s="2"/>
    </row>
    <row r="4" ht="9.75" customHeight="1">
      <c r="A4" s="2"/>
      <c r="B4" s="2"/>
      <c r="C4" s="2"/>
      <c r="D4" s="2"/>
      <c r="E4" s="2"/>
      <c r="F4" s="2"/>
    </row>
    <row r="5" ht="21.0" customHeight="1">
      <c r="A5" s="4"/>
      <c r="B5" s="102" t="s">
        <v>75</v>
      </c>
      <c r="C5" s="6"/>
      <c r="D5" s="2"/>
      <c r="E5" s="4"/>
      <c r="F5" s="20"/>
    </row>
    <row r="6" ht="21.0" customHeight="1">
      <c r="A6" s="9">
        <v>1.0</v>
      </c>
      <c r="B6" s="10" t="s">
        <v>76</v>
      </c>
      <c r="C6" s="11"/>
      <c r="D6" s="2"/>
      <c r="E6" s="4"/>
      <c r="F6" s="21"/>
      <c r="I6" s="103"/>
    </row>
    <row r="7" ht="21.0" customHeight="1">
      <c r="A7" s="9">
        <v>2.0</v>
      </c>
      <c r="B7" s="10" t="s">
        <v>77</v>
      </c>
      <c r="C7" s="11"/>
      <c r="D7" s="2"/>
      <c r="E7" s="4"/>
      <c r="F7" s="21"/>
    </row>
    <row r="8" ht="21.0" customHeight="1">
      <c r="A8" s="9">
        <v>3.0</v>
      </c>
      <c r="B8" s="10" t="s">
        <v>78</v>
      </c>
      <c r="C8" s="11"/>
      <c r="D8" s="2"/>
      <c r="E8" s="4"/>
      <c r="F8" s="21"/>
    </row>
    <row r="9" ht="21.0" customHeight="1">
      <c r="A9" s="9">
        <v>4.0</v>
      </c>
      <c r="B9" s="10" t="s">
        <v>79</v>
      </c>
      <c r="C9" s="11"/>
      <c r="D9" s="2"/>
      <c r="E9" s="4"/>
      <c r="F9" s="21"/>
    </row>
    <row r="10" ht="21.0" customHeight="1">
      <c r="A10" s="9">
        <v>5.0</v>
      </c>
      <c r="B10" s="10" t="s">
        <v>80</v>
      </c>
      <c r="C10" s="11"/>
      <c r="D10" s="2"/>
      <c r="E10" s="4"/>
      <c r="F10" s="21"/>
    </row>
    <row r="11" ht="21.0" customHeight="1">
      <c r="A11" s="9">
        <v>5.0</v>
      </c>
      <c r="B11" s="10" t="s">
        <v>81</v>
      </c>
      <c r="C11" s="11"/>
      <c r="D11" s="2"/>
      <c r="E11" s="4"/>
      <c r="F11" s="21"/>
    </row>
    <row r="12" ht="21.0" customHeight="1">
      <c r="A12" s="4"/>
      <c r="B12" s="14"/>
      <c r="D12" s="2"/>
      <c r="E12" s="2"/>
      <c r="F12" s="2"/>
    </row>
    <row r="13" ht="21.0" customHeight="1">
      <c r="A13" s="4"/>
      <c r="B13" s="104" t="s">
        <v>82</v>
      </c>
      <c r="C13" s="11"/>
      <c r="D13" s="105"/>
      <c r="E13" s="4"/>
      <c r="F13" s="106" t="s">
        <v>83</v>
      </c>
    </row>
    <row r="14" ht="21.0" customHeight="1">
      <c r="A14" s="9">
        <v>1.0</v>
      </c>
      <c r="B14" s="17" t="s">
        <v>84</v>
      </c>
      <c r="C14" s="11"/>
      <c r="D14" s="2"/>
      <c r="E14" s="9">
        <v>1.0</v>
      </c>
      <c r="F14" s="12" t="s">
        <v>85</v>
      </c>
      <c r="I14" s="3"/>
    </row>
    <row r="15" ht="21.0" customHeight="1">
      <c r="A15" s="9">
        <v>2.0</v>
      </c>
      <c r="B15" s="10" t="s">
        <v>86</v>
      </c>
      <c r="C15" s="11"/>
      <c r="D15" s="2"/>
      <c r="E15" s="9">
        <v>2.0</v>
      </c>
      <c r="F15" s="12" t="s">
        <v>87</v>
      </c>
      <c r="I15" s="3"/>
    </row>
    <row r="16" ht="21.0" customHeight="1">
      <c r="A16" s="9">
        <v>3.0</v>
      </c>
      <c r="B16" s="10" t="s">
        <v>88</v>
      </c>
      <c r="C16" s="11"/>
      <c r="D16" s="2"/>
      <c r="E16" s="9">
        <v>3.0</v>
      </c>
      <c r="F16" s="12" t="s">
        <v>89</v>
      </c>
      <c r="I16" s="103"/>
    </row>
    <row r="17" ht="21.0" customHeight="1">
      <c r="A17" s="9">
        <v>4.0</v>
      </c>
      <c r="B17" s="10" t="s">
        <v>90</v>
      </c>
      <c r="C17" s="11"/>
      <c r="D17" s="2"/>
      <c r="E17" s="9">
        <v>4.0</v>
      </c>
      <c r="F17" s="12" t="s">
        <v>91</v>
      </c>
      <c r="I17" s="13"/>
    </row>
    <row r="18" ht="21.0" customHeight="1">
      <c r="A18" s="9">
        <v>5.0</v>
      </c>
      <c r="B18" s="10" t="s">
        <v>92</v>
      </c>
      <c r="C18" s="11"/>
      <c r="D18" s="2"/>
      <c r="E18" s="9">
        <v>5.0</v>
      </c>
      <c r="F18" s="12" t="s">
        <v>93</v>
      </c>
      <c r="I18" s="103"/>
    </row>
    <row r="19" ht="21.0" customHeight="1">
      <c r="A19" s="4"/>
      <c r="B19" s="4"/>
      <c r="C19" s="4"/>
      <c r="D19" s="2"/>
      <c r="E19" s="2"/>
      <c r="F19" s="2"/>
      <c r="I19" s="3"/>
    </row>
    <row r="20" ht="21.0" customHeight="1">
      <c r="A20" s="4"/>
      <c r="B20" s="107" t="s">
        <v>94</v>
      </c>
      <c r="C20" s="6"/>
      <c r="D20" s="2"/>
      <c r="E20" s="4"/>
      <c r="F20" s="108" t="s">
        <v>95</v>
      </c>
      <c r="I20" s="3"/>
    </row>
    <row r="21" ht="21.0" customHeight="1">
      <c r="A21" s="9">
        <v>1.0</v>
      </c>
      <c r="B21" s="10" t="s">
        <v>96</v>
      </c>
      <c r="C21" s="11"/>
      <c r="D21" s="2"/>
      <c r="E21" s="9">
        <v>1.0</v>
      </c>
      <c r="F21" s="12" t="s">
        <v>97</v>
      </c>
      <c r="I21" s="3"/>
    </row>
    <row r="22" ht="21.0" customHeight="1">
      <c r="A22" s="9">
        <v>2.0</v>
      </c>
      <c r="B22" s="10" t="s">
        <v>98</v>
      </c>
      <c r="C22" s="11"/>
      <c r="D22" s="2"/>
      <c r="E22" s="9">
        <v>2.0</v>
      </c>
      <c r="F22" s="12" t="s">
        <v>99</v>
      </c>
    </row>
    <row r="23" ht="21.0" customHeight="1">
      <c r="A23" s="9">
        <v>3.0</v>
      </c>
      <c r="B23" s="10" t="s">
        <v>100</v>
      </c>
      <c r="C23" s="11"/>
      <c r="D23" s="2"/>
      <c r="E23" s="9">
        <v>3.0</v>
      </c>
      <c r="F23" s="12" t="s">
        <v>101</v>
      </c>
    </row>
    <row r="24" ht="21.0" customHeight="1">
      <c r="A24" s="9">
        <v>4.0</v>
      </c>
      <c r="B24" s="10" t="s">
        <v>102</v>
      </c>
      <c r="C24" s="11"/>
      <c r="D24" s="2"/>
      <c r="E24" s="9">
        <v>4.0</v>
      </c>
      <c r="F24" s="12" t="s">
        <v>103</v>
      </c>
    </row>
    <row r="25" ht="21.0" customHeight="1">
      <c r="A25" s="9">
        <v>5.0</v>
      </c>
      <c r="B25" s="10" t="s">
        <v>104</v>
      </c>
      <c r="C25" s="11"/>
      <c r="D25" s="2"/>
      <c r="E25" s="9">
        <v>5.0</v>
      </c>
      <c r="F25" s="12" t="s">
        <v>105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2"/>
    <mergeCell ref="B5:C5"/>
    <mergeCell ref="B6:C6"/>
    <mergeCell ref="B7:C7"/>
    <mergeCell ref="B8:C8"/>
    <mergeCell ref="B9:C9"/>
    <mergeCell ref="B10:C10"/>
    <mergeCell ref="B18:C18"/>
    <mergeCell ref="B20:C20"/>
    <mergeCell ref="B21:C21"/>
    <mergeCell ref="B22:C22"/>
    <mergeCell ref="B23:C23"/>
    <mergeCell ref="B24:C24"/>
    <mergeCell ref="B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7.0"/>
    <col customWidth="1" hidden="1" min="3" max="3" width="11.88"/>
    <col customWidth="1" min="4" max="4" width="1.75"/>
    <col customWidth="1" min="5" max="5" width="7.0"/>
    <col customWidth="1" hidden="1" min="6" max="6" width="3.38"/>
    <col customWidth="1" min="7" max="7" width="1.75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8.75"/>
    <col customWidth="1" min="16" max="16" width="45.75"/>
    <col customWidth="1" min="17" max="17" width="7.0"/>
    <col customWidth="1" hidden="1" min="18" max="18" width="11.88"/>
    <col customWidth="1" min="19" max="19" width="1.75"/>
    <col customWidth="1" min="20" max="20" width="7.0"/>
    <col customWidth="1" hidden="1" min="21" max="21" width="11.88"/>
    <col customWidth="1" min="22" max="22" width="1.75"/>
    <col customWidth="1" min="23" max="23" width="7.0"/>
    <col customWidth="1" hidden="1" min="24" max="24" width="5.88"/>
    <col customWidth="1" hidden="1" min="25" max="25" width="4.75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8.75"/>
    <col customWidth="1" min="31" max="31" width="45.75"/>
    <col customWidth="1" min="32" max="35" width="8.75"/>
    <col customWidth="1" hidden="1" min="36" max="36" width="9.25"/>
    <col customWidth="1" hidden="1" min="37" max="37" width="8.0"/>
    <col customWidth="1" hidden="1" min="38" max="38" width="41.13"/>
    <col customWidth="1" hidden="1" min="39" max="40" width="12.75"/>
  </cols>
  <sheetData>
    <row r="1" ht="21.0" customHeight="1">
      <c r="A1" s="1" t="s">
        <v>40</v>
      </c>
      <c r="AJ1" s="2"/>
      <c r="AK1" s="2"/>
      <c r="AL1" s="2"/>
    </row>
    <row r="2" ht="21.0" customHeight="1">
      <c r="AJ2" s="2"/>
      <c r="AK2" s="2"/>
      <c r="AL2" s="2"/>
    </row>
    <row r="3" ht="15.0" customHeight="1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.0" customHeight="1">
      <c r="A5" s="109" t="s">
        <v>75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  <c r="AM5" s="27"/>
      <c r="AN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30.0" customHeight="1">
      <c r="A7" s="110" t="s">
        <v>41</v>
      </c>
      <c r="B7" s="111" t="s">
        <v>42</v>
      </c>
      <c r="C7" s="30"/>
      <c r="D7" s="30"/>
      <c r="E7" s="11"/>
      <c r="F7" s="31"/>
      <c r="G7" s="32"/>
      <c r="H7" s="110" t="s">
        <v>43</v>
      </c>
      <c r="I7" s="27"/>
      <c r="J7" s="27"/>
      <c r="K7" s="27"/>
      <c r="L7" s="27"/>
      <c r="M7" s="33"/>
      <c r="N7" s="33"/>
      <c r="O7" s="27"/>
      <c r="P7" s="110" t="s">
        <v>41</v>
      </c>
      <c r="Q7" s="111" t="s">
        <v>42</v>
      </c>
      <c r="R7" s="30"/>
      <c r="S7" s="30"/>
      <c r="T7" s="11"/>
      <c r="U7" s="31"/>
      <c r="V7" s="32"/>
      <c r="W7" s="110" t="s">
        <v>43</v>
      </c>
      <c r="X7" s="27"/>
      <c r="Y7" s="33"/>
      <c r="Z7" s="33"/>
      <c r="AA7" s="33"/>
      <c r="AB7" s="33"/>
      <c r="AC7" s="33"/>
      <c r="AD7" s="27"/>
      <c r="AE7" s="110" t="s">
        <v>44</v>
      </c>
      <c r="AF7" s="112" t="s">
        <v>45</v>
      </c>
      <c r="AG7" s="112" t="s">
        <v>46</v>
      </c>
      <c r="AH7" s="110" t="s">
        <v>47</v>
      </c>
      <c r="AI7" s="110" t="s">
        <v>48</v>
      </c>
      <c r="AJ7" s="33"/>
      <c r="AK7" s="33"/>
      <c r="AL7" s="33"/>
      <c r="AM7" s="27"/>
      <c r="AN7" s="27"/>
    </row>
    <row r="8" ht="15.0" hidden="1" customHeight="1">
      <c r="A8" s="27"/>
      <c r="B8" s="37" t="s">
        <v>49</v>
      </c>
      <c r="C8" s="37" t="s">
        <v>50</v>
      </c>
      <c r="D8" s="37"/>
      <c r="E8" s="37" t="s">
        <v>49</v>
      </c>
      <c r="F8" s="37" t="s">
        <v>51</v>
      </c>
      <c r="G8" s="37"/>
      <c r="H8" s="37" t="s">
        <v>49</v>
      </c>
      <c r="I8" s="37" t="s">
        <v>52</v>
      </c>
      <c r="J8" s="37" t="s">
        <v>53</v>
      </c>
      <c r="K8" s="37" t="s">
        <v>54</v>
      </c>
      <c r="L8" s="37" t="s">
        <v>55</v>
      </c>
      <c r="M8" s="37" t="s">
        <v>56</v>
      </c>
      <c r="N8" s="37" t="s">
        <v>57</v>
      </c>
      <c r="O8" s="27"/>
      <c r="P8" s="27"/>
      <c r="Q8" s="37" t="s">
        <v>49</v>
      </c>
      <c r="R8" s="37" t="s">
        <v>50</v>
      </c>
      <c r="S8" s="37"/>
      <c r="T8" s="37" t="s">
        <v>49</v>
      </c>
      <c r="U8" s="37" t="s">
        <v>51</v>
      </c>
      <c r="V8" s="37"/>
      <c r="W8" s="37" t="s">
        <v>49</v>
      </c>
      <c r="X8" s="37" t="s">
        <v>52</v>
      </c>
      <c r="Y8" s="37" t="s">
        <v>53</v>
      </c>
      <c r="Z8" s="37" t="s">
        <v>54</v>
      </c>
      <c r="AA8" s="37" t="s">
        <v>55</v>
      </c>
      <c r="AB8" s="37" t="s">
        <v>56</v>
      </c>
      <c r="AC8" s="37" t="s">
        <v>57</v>
      </c>
      <c r="AD8" s="27"/>
      <c r="AE8" s="33"/>
      <c r="AF8" s="33"/>
      <c r="AG8" s="33"/>
      <c r="AH8" s="33"/>
      <c r="AI8" s="33"/>
      <c r="AJ8" s="37" t="s">
        <v>58</v>
      </c>
      <c r="AK8" s="37" t="s">
        <v>70</v>
      </c>
      <c r="AL8" s="38" t="s">
        <v>59</v>
      </c>
      <c r="AM8" s="39" t="s">
        <v>60</v>
      </c>
      <c r="AN8" s="39" t="s">
        <v>71</v>
      </c>
    </row>
    <row r="9" ht="15.0" customHeight="1">
      <c r="A9" s="40" t="str">
        <f>AE9</f>
        <v>Renette Magra/Diane Fenech</v>
      </c>
      <c r="B9" s="41">
        <v>0.0</v>
      </c>
      <c r="C9" s="42">
        <f>IF(B9&gt;B11,1,0)</f>
        <v>0</v>
      </c>
      <c r="D9" s="43"/>
      <c r="E9" s="41">
        <v>0.0</v>
      </c>
      <c r="F9" s="42">
        <f>IF(E9&gt;E11,1,0)</f>
        <v>0</v>
      </c>
      <c r="G9" s="43"/>
      <c r="H9" s="44"/>
      <c r="I9" s="27">
        <f>IF(H9&gt;H11,1,0)</f>
        <v>0</v>
      </c>
      <c r="J9" s="27">
        <f>IF(B9="",0,1)</f>
        <v>1</v>
      </c>
      <c r="K9" s="27">
        <f>IF(C9+F9=2,3,IF(C9+F9=1,1,0))</f>
        <v>0</v>
      </c>
      <c r="L9" s="27">
        <f>IF(K9=3,3,IF(I9+K9=2,2,IF(K9=1,1,0)))</f>
        <v>0</v>
      </c>
      <c r="M9" s="27">
        <f>B9+E9</f>
        <v>0</v>
      </c>
      <c r="N9" s="27">
        <f>C9+F9+I9</f>
        <v>0</v>
      </c>
      <c r="O9" s="27"/>
      <c r="P9" s="40" t="str">
        <f>AE9</f>
        <v>Renette Magra/Diane Fenech</v>
      </c>
      <c r="Q9" s="41">
        <v>6.0</v>
      </c>
      <c r="R9" s="42">
        <f>IF(Q9&gt;Q11,1,0)</f>
        <v>1</v>
      </c>
      <c r="S9" s="43"/>
      <c r="T9" s="41">
        <v>2.0</v>
      </c>
      <c r="U9" s="42">
        <f>IF(T9&gt;T11,1,0)</f>
        <v>0</v>
      </c>
      <c r="V9" s="43"/>
      <c r="W9" s="41">
        <v>4.0</v>
      </c>
      <c r="X9" s="27">
        <f>IF(W9&gt;W11,1,0)</f>
        <v>0</v>
      </c>
      <c r="Y9" s="27">
        <f>IF(Q9="",0,1)</f>
        <v>1</v>
      </c>
      <c r="Z9" s="27">
        <f>IF(R9+U9=2,3,IF(R9+U9=1,1,0))</f>
        <v>1</v>
      </c>
      <c r="AA9" s="27">
        <f>IF(Z9=3,3,IF(X9+Z9=2,2,IF(Z9=1,1,0)))</f>
        <v>1</v>
      </c>
      <c r="AB9" s="27">
        <f>Q9+T9</f>
        <v>8</v>
      </c>
      <c r="AC9" s="27">
        <f>R9+U9+X9</f>
        <v>1</v>
      </c>
      <c r="AD9" s="27"/>
      <c r="AE9" s="113" t="str">
        <f>'Players Ladies'!B6</f>
        <v>Renette Magra/Diane Fenech</v>
      </c>
      <c r="AF9" s="46">
        <f>J9+Y9+J13+Y13+J17</f>
        <v>5</v>
      </c>
      <c r="AG9" s="46">
        <f t="shared" ref="AG9:AI9" si="1">L9+AA9+L13+AA13+L17</f>
        <v>4</v>
      </c>
      <c r="AH9" s="46">
        <f t="shared" si="1"/>
        <v>20</v>
      </c>
      <c r="AI9" s="47">
        <f t="shared" si="1"/>
        <v>3</v>
      </c>
      <c r="AJ9" s="27">
        <f>MAX(AG9:AG19)</f>
        <v>15</v>
      </c>
      <c r="AK9" s="27">
        <f>LARGE(AG9:AG19, 2)</f>
        <v>9</v>
      </c>
      <c r="AL9" s="27">
        <f>SUM(AF9:AF19)</f>
        <v>30</v>
      </c>
      <c r="AM9" s="27" t="str">
        <f>IF(AG9=$AJ$9,AE9,IF(AG11=$AJ$9,AE11,IF(AG13=$AJ$9,AE13,IF(AG15=$AJ$9,AE15,IF(AG17=$AJ$9,AE17,IF(AG19=$AJ$9,AE19,""))))))</f>
        <v>Alexia Spiteri Willets/Kirsty Mercieca</v>
      </c>
      <c r="AN9" s="27" t="str">
        <f>IF(AG9=$AK$9,AE9,IF(AG11=$AK$9,AE11,IF(AG13=$AK$9,AE13,IF(AG15=$AK$9,AE15,IF(AG17=$AK$9,AE17,IF(AG19=$AK$9,AE19,""))))))</f>
        <v>Roberta Fenech/Christina Bonett</v>
      </c>
    </row>
    <row r="10" ht="15.0" customHeight="1">
      <c r="A10" s="48" t="s">
        <v>61</v>
      </c>
      <c r="H10" s="49"/>
      <c r="I10" s="50"/>
      <c r="J10" s="27"/>
      <c r="K10" s="27"/>
      <c r="L10" s="27"/>
      <c r="M10" s="27"/>
      <c r="N10" s="27"/>
      <c r="O10" s="56" t="s">
        <v>106</v>
      </c>
      <c r="P10" s="48" t="s">
        <v>61</v>
      </c>
      <c r="W10" s="49"/>
      <c r="X10" s="50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33"/>
      <c r="AM10" s="27"/>
      <c r="AN10" s="27"/>
    </row>
    <row r="11" ht="15.0" customHeight="1">
      <c r="A11" s="51" t="str">
        <f>AE11</f>
        <v>Alexia Spiteri Willets/Kirsty Mercieca</v>
      </c>
      <c r="B11" s="41">
        <v>6.0</v>
      </c>
      <c r="C11" s="52">
        <f>IF(B11&gt;B9,1,0)</f>
        <v>1</v>
      </c>
      <c r="D11" s="53"/>
      <c r="E11" s="41">
        <v>6.0</v>
      </c>
      <c r="F11" s="52">
        <f>IF(E11&gt;E9,1,0)</f>
        <v>1</v>
      </c>
      <c r="G11" s="53"/>
      <c r="H11" s="44"/>
      <c r="I11" s="27">
        <f>IF(H11&gt;H9,1,0)</f>
        <v>0</v>
      </c>
      <c r="J11" s="27">
        <f>IF(B11="",0,1)</f>
        <v>1</v>
      </c>
      <c r="K11" s="27">
        <f>IF(C11+F11=2,3,IF(C11+F11=1,1,0))</f>
        <v>3</v>
      </c>
      <c r="L11" s="27">
        <f>IF(K11=3,3,IF(I11+K11=2,2,IF(K11=1,1,0)))</f>
        <v>3</v>
      </c>
      <c r="M11" s="27">
        <f>B11+E11</f>
        <v>12</v>
      </c>
      <c r="N11" s="27">
        <f>C11+F11+I11</f>
        <v>2</v>
      </c>
      <c r="O11" s="27"/>
      <c r="P11" s="51" t="str">
        <f>AE13</f>
        <v>Natalya Abela/Yana Marie Cachia</v>
      </c>
      <c r="Q11" s="41">
        <v>3.0</v>
      </c>
      <c r="R11" s="52">
        <f>IF(Q11&gt;Q9,1,0)</f>
        <v>0</v>
      </c>
      <c r="S11" s="53"/>
      <c r="T11" s="41">
        <v>6.0</v>
      </c>
      <c r="U11" s="52">
        <f>IF(T11&gt;T9,1,0)</f>
        <v>1</v>
      </c>
      <c r="V11" s="53"/>
      <c r="W11" s="41">
        <v>10.0</v>
      </c>
      <c r="X11" s="27">
        <f>IF(W11&gt;W9,1,0)</f>
        <v>1</v>
      </c>
      <c r="Y11" s="27">
        <f>IF(Q11="",0,1)</f>
        <v>1</v>
      </c>
      <c r="Z11" s="27">
        <f>IF(R11+U11=2,3,IF(R11+U11=1,1,0))</f>
        <v>1</v>
      </c>
      <c r="AA11" s="27">
        <f>IF(Z11=3,3,IF(X11+Z11=2,2,IF(Z11=1,1,0)))</f>
        <v>2</v>
      </c>
      <c r="AB11" s="27">
        <f>Q11+T11</f>
        <v>9</v>
      </c>
      <c r="AC11" s="27">
        <f>R11+U11+X11</f>
        <v>2</v>
      </c>
      <c r="AD11" s="27"/>
      <c r="AE11" s="113" t="str">
        <f>'Players Ladies'!B7</f>
        <v>Alexia Spiteri Willets/Kirsty Mercieca</v>
      </c>
      <c r="AF11" s="46">
        <f>J11+Y25+J25+Y21+J21</f>
        <v>5</v>
      </c>
      <c r="AG11" s="46">
        <f t="shared" ref="AG11:AI11" si="2">L11+AA25+L25+AA21+L21</f>
        <v>15</v>
      </c>
      <c r="AH11" s="46">
        <f t="shared" si="2"/>
        <v>61</v>
      </c>
      <c r="AI11" s="47">
        <f t="shared" si="2"/>
        <v>10</v>
      </c>
      <c r="AJ11" s="33"/>
      <c r="AK11" s="33"/>
      <c r="AL11" s="33"/>
      <c r="AM11" s="27"/>
      <c r="AN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33"/>
      <c r="AM12" s="27"/>
      <c r="AN12" s="27"/>
    </row>
    <row r="13" ht="15.0" customHeight="1">
      <c r="A13" s="40" t="str">
        <f>AE9</f>
        <v>Renette Magra/Diane Fenech</v>
      </c>
      <c r="B13" s="41">
        <v>0.0</v>
      </c>
      <c r="C13" s="42">
        <f>IF(B13&gt;B15,1,0)</f>
        <v>0</v>
      </c>
      <c r="D13" s="43"/>
      <c r="E13" s="41">
        <v>0.0</v>
      </c>
      <c r="F13" s="42">
        <f>IF(E13&gt;E15,1,0)</f>
        <v>0</v>
      </c>
      <c r="G13" s="43"/>
      <c r="H13" s="44"/>
      <c r="I13" s="27">
        <f>IF(H13&gt;H15,1,0)</f>
        <v>0</v>
      </c>
      <c r="J13" s="27">
        <f>IF(B13="",0,1)</f>
        <v>1</v>
      </c>
      <c r="K13" s="27">
        <f>IF(C13+F13=2,3,IF(C13+F13=1,1,0))</f>
        <v>0</v>
      </c>
      <c r="L13" s="27">
        <f>IF(K13=3,3,IF(I13+K13=2,2,IF(K13=1,1,0)))</f>
        <v>0</v>
      </c>
      <c r="M13" s="27">
        <f>B13+E13</f>
        <v>0</v>
      </c>
      <c r="N13" s="27">
        <f>C13+F13+I13</f>
        <v>0</v>
      </c>
      <c r="O13" s="27"/>
      <c r="P13" s="40" t="str">
        <f>AE9</f>
        <v>Renette Magra/Diane Fenech</v>
      </c>
      <c r="Q13" s="41">
        <v>6.0</v>
      </c>
      <c r="R13" s="42">
        <f>IF(Q13&gt;Q15,1,0)</f>
        <v>1</v>
      </c>
      <c r="S13" s="43"/>
      <c r="T13" s="41">
        <v>6.0</v>
      </c>
      <c r="U13" s="42">
        <f>IF(T13&gt;T15,1,0)</f>
        <v>1</v>
      </c>
      <c r="V13" s="43"/>
      <c r="W13" s="44"/>
      <c r="X13" s="27">
        <f>IF(W13&gt;W15,1,0)</f>
        <v>0</v>
      </c>
      <c r="Y13" s="27">
        <f>IF(Q13="",0,1)</f>
        <v>1</v>
      </c>
      <c r="Z13" s="27">
        <f>IF(R13+U13=2,3,IF(R13+U13=1,1,0))</f>
        <v>3</v>
      </c>
      <c r="AA13" s="27">
        <f>IF(Z13=3,3,IF(X13+Z13=2,2,IF(Z13=1,1,0)))</f>
        <v>3</v>
      </c>
      <c r="AB13" s="27">
        <f>Q13+T13</f>
        <v>12</v>
      </c>
      <c r="AC13" s="27">
        <f>R13+U13+X13</f>
        <v>2</v>
      </c>
      <c r="AD13" s="27"/>
      <c r="AE13" s="113" t="str">
        <f>'Players Ladies'!B8</f>
        <v>Natalya Abela/Yana Marie Cachia</v>
      </c>
      <c r="AF13" s="46">
        <f>Y29+Y11+Y33+J33+J23</f>
        <v>5</v>
      </c>
      <c r="AG13" s="46">
        <f t="shared" ref="AG13:AI13" si="3">AA29+AA11+AA33+L33+L23</f>
        <v>7</v>
      </c>
      <c r="AH13" s="46">
        <f t="shared" si="3"/>
        <v>48</v>
      </c>
      <c r="AI13" s="47">
        <f t="shared" si="3"/>
        <v>6</v>
      </c>
      <c r="AJ13" s="33"/>
      <c r="AK13" s="33"/>
      <c r="AL13" s="33"/>
      <c r="AM13" s="27"/>
      <c r="AN13" s="27"/>
    </row>
    <row r="14" ht="15.0" customHeight="1">
      <c r="A14" s="48" t="s">
        <v>61</v>
      </c>
      <c r="H14" s="49"/>
      <c r="I14" s="50"/>
      <c r="J14" s="27"/>
      <c r="K14" s="27"/>
      <c r="L14" s="27"/>
      <c r="M14" s="27"/>
      <c r="N14" s="27"/>
      <c r="O14" s="56" t="s">
        <v>106</v>
      </c>
      <c r="P14" s="48" t="s">
        <v>61</v>
      </c>
      <c r="W14" s="49"/>
      <c r="X14" s="50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33"/>
      <c r="AM14" s="27"/>
      <c r="AN14" s="27"/>
    </row>
    <row r="15" ht="15.0" customHeight="1">
      <c r="A15" s="51" t="str">
        <f>AE15</f>
        <v>Annabelle Abela/Alison Muscat</v>
      </c>
      <c r="B15" s="41">
        <v>6.0</v>
      </c>
      <c r="C15" s="52">
        <f>IF(B15&gt;B13,1,0)</f>
        <v>1</v>
      </c>
      <c r="D15" s="53"/>
      <c r="E15" s="41">
        <v>6.0</v>
      </c>
      <c r="F15" s="52">
        <f>IF(E15&gt;E13,1,0)</f>
        <v>1</v>
      </c>
      <c r="G15" s="53"/>
      <c r="H15" s="44"/>
      <c r="I15" s="27">
        <f>IF(H15&gt;H13,1,0)</f>
        <v>0</v>
      </c>
      <c r="J15" s="27">
        <f>IF(B15="",0,1)</f>
        <v>1</v>
      </c>
      <c r="K15" s="27">
        <f>IF(C15+F15=2,3,IF(C15+F15=1,1,0))</f>
        <v>3</v>
      </c>
      <c r="L15" s="27">
        <f>IF(K15=3,3,IF(I15+K15=2,2,IF(K15=1,1,0)))</f>
        <v>3</v>
      </c>
      <c r="M15" s="27">
        <f>B15+E15</f>
        <v>12</v>
      </c>
      <c r="N15" s="27">
        <f>C15+F15+I15</f>
        <v>2</v>
      </c>
      <c r="O15" s="27"/>
      <c r="P15" s="51" t="str">
        <f>AE17</f>
        <v>Christine Schembri/Luiza Andreozzi</v>
      </c>
      <c r="Q15" s="41">
        <v>1.0</v>
      </c>
      <c r="R15" s="52">
        <f>IF(Q15&gt;Q13,1,0)</f>
        <v>0</v>
      </c>
      <c r="S15" s="53"/>
      <c r="T15" s="41">
        <v>1.0</v>
      </c>
      <c r="U15" s="52">
        <f>IF(T15&gt;T13,1,0)</f>
        <v>0</v>
      </c>
      <c r="V15" s="53"/>
      <c r="W15" s="44"/>
      <c r="X15" s="27">
        <f>IF(W15&gt;W13,1,0)</f>
        <v>0</v>
      </c>
      <c r="Y15" s="27">
        <f>IF(Q15="",0,1)</f>
        <v>1</v>
      </c>
      <c r="Z15" s="27">
        <f>IF(R15+U15=2,3,IF(R15+U15=1,1,0))</f>
        <v>0</v>
      </c>
      <c r="AA15" s="27">
        <f>IF(Z15=3,3,IF(X15+Z15=2,2,IF(Z15=1,1,0)))</f>
        <v>0</v>
      </c>
      <c r="AB15" s="27">
        <f>Q15+T15</f>
        <v>2</v>
      </c>
      <c r="AC15" s="27">
        <f>R15+U15+X15</f>
        <v>0</v>
      </c>
      <c r="AD15" s="27"/>
      <c r="AE15" s="113" t="str">
        <f>'Players Ladies'!B9</f>
        <v>Annabelle Abela/Alison Muscat</v>
      </c>
      <c r="AF15" s="46">
        <f>Y31+J37+J15+Y23+J29</f>
        <v>5</v>
      </c>
      <c r="AG15" s="46">
        <f t="shared" ref="AG15:AI15" si="4">AA31+L37+L15+AA23+L29</f>
        <v>3</v>
      </c>
      <c r="AH15" s="46">
        <f t="shared" si="4"/>
        <v>30</v>
      </c>
      <c r="AI15" s="47">
        <f t="shared" si="4"/>
        <v>2</v>
      </c>
      <c r="AJ15" s="33"/>
      <c r="AK15" s="33"/>
      <c r="AL15" s="33"/>
      <c r="AM15" s="27"/>
      <c r="AN15" s="27"/>
    </row>
    <row r="17" ht="15.0" customHeight="1">
      <c r="A17" s="40" t="str">
        <f>AE9</f>
        <v>Renette Magra/Diane Fenech</v>
      </c>
      <c r="B17" s="41">
        <v>0.0</v>
      </c>
      <c r="C17" s="42">
        <f>IF(B17&gt;B19,1,0)</f>
        <v>0</v>
      </c>
      <c r="D17" s="43"/>
      <c r="E17" s="41">
        <v>0.0</v>
      </c>
      <c r="F17" s="42">
        <f>IF(E17&gt;E19,1,0)</f>
        <v>0</v>
      </c>
      <c r="G17" s="43"/>
      <c r="H17" s="44"/>
      <c r="I17" s="27">
        <f>IF(H17&gt;H19,1,0)</f>
        <v>0</v>
      </c>
      <c r="J17" s="27">
        <f>IF(B17="",0,1)</f>
        <v>1</v>
      </c>
      <c r="K17" s="27">
        <f>IF(C17+F17=2,3,IF(C17+F17=1,1,0))</f>
        <v>0</v>
      </c>
      <c r="L17" s="27">
        <f>IF(K17=3,3,IF(I17+K17=2,2,IF(K17=1,1,0)))</f>
        <v>0</v>
      </c>
      <c r="M17" s="27">
        <f>B17+E17</f>
        <v>0</v>
      </c>
      <c r="N17" s="27">
        <f>C17+F17+I17</f>
        <v>0</v>
      </c>
      <c r="O17" s="27"/>
      <c r="P17" s="40" t="str">
        <f>AE17</f>
        <v>Christine Schembri/Luiza Andreozzi</v>
      </c>
      <c r="Q17" s="41">
        <v>6.0</v>
      </c>
      <c r="R17" s="42">
        <f>IF(Q17&gt;Q19,1,0)</f>
        <v>1</v>
      </c>
      <c r="S17" s="43"/>
      <c r="T17" s="41">
        <v>6.0</v>
      </c>
      <c r="U17" s="42">
        <f>IF(T17&gt;T19,1,0)</f>
        <v>1</v>
      </c>
      <c r="V17" s="43"/>
      <c r="W17" s="44"/>
      <c r="X17" s="27">
        <f>IF(W17&gt;W19,1,0)</f>
        <v>0</v>
      </c>
      <c r="Y17" s="27">
        <f>IF(Q17="",0,1)</f>
        <v>1</v>
      </c>
      <c r="Z17" s="27">
        <f>IF(R17+U17=2,3,IF(R17+U17=1,1,0))</f>
        <v>3</v>
      </c>
      <c r="AA17" s="27">
        <f>IF(Z17=3,3,IF(X17+Z17=2,2,IF(Z17=1,1,0)))</f>
        <v>3</v>
      </c>
      <c r="AB17" s="27">
        <f>Q17+T17</f>
        <v>12</v>
      </c>
      <c r="AC17" s="27">
        <f>R17+U17+X17</f>
        <v>2</v>
      </c>
      <c r="AD17" s="27"/>
      <c r="AE17" s="113" t="str">
        <f>'Players Ladies'!B10</f>
        <v>Christine Schembri/Luiza Andreozzi</v>
      </c>
      <c r="AF17" s="46">
        <f>Y17+J39+J27+Y15+J35</f>
        <v>5</v>
      </c>
      <c r="AG17" s="46">
        <f t="shared" ref="AG17:AI17" si="5">AA17+L39+L27+AA15+L35</f>
        <v>7</v>
      </c>
      <c r="AH17" s="46">
        <f t="shared" si="5"/>
        <v>42</v>
      </c>
      <c r="AI17" s="47">
        <f t="shared" si="5"/>
        <v>5</v>
      </c>
    </row>
    <row r="18" ht="15.0" customHeight="1">
      <c r="A18" s="48" t="s">
        <v>61</v>
      </c>
      <c r="H18" s="49"/>
      <c r="I18" s="50"/>
      <c r="J18" s="27"/>
      <c r="K18" s="27"/>
      <c r="L18" s="27"/>
      <c r="M18" s="27"/>
      <c r="N18" s="27"/>
      <c r="O18" s="56" t="s">
        <v>106</v>
      </c>
      <c r="P18" s="48" t="s">
        <v>61</v>
      </c>
      <c r="W18" s="49"/>
      <c r="X18" s="50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</row>
    <row r="19" ht="15.0" customHeight="1">
      <c r="A19" s="51" t="str">
        <f>AE19</f>
        <v>Roberta Fenech/Christina Bonett</v>
      </c>
      <c r="B19" s="41">
        <v>6.0</v>
      </c>
      <c r="C19" s="52">
        <f>IF(B19&gt;B17,1,0)</f>
        <v>1</v>
      </c>
      <c r="D19" s="53"/>
      <c r="E19" s="41">
        <v>6.0</v>
      </c>
      <c r="F19" s="52">
        <f>IF(E19&gt;E17,1,0)</f>
        <v>1</v>
      </c>
      <c r="G19" s="53"/>
      <c r="H19" s="44"/>
      <c r="I19" s="27">
        <f>IF(H19&gt;H17,1,0)</f>
        <v>0</v>
      </c>
      <c r="J19" s="27">
        <f>IF(B19="",0,1)</f>
        <v>1</v>
      </c>
      <c r="K19" s="27">
        <f>IF(C19+F19=2,3,IF(C19+F19=1,1,0))</f>
        <v>3</v>
      </c>
      <c r="L19" s="27">
        <f>IF(K19=3,3,IF(I19+K19=2,2,IF(K19=1,1,0)))</f>
        <v>3</v>
      </c>
      <c r="M19" s="27">
        <f>B19+E19</f>
        <v>12</v>
      </c>
      <c r="N19" s="27">
        <f>C19+F19+I19</f>
        <v>2</v>
      </c>
      <c r="O19" s="27"/>
      <c r="P19" s="51" t="str">
        <f>AE19</f>
        <v>Roberta Fenech/Christina Bonett</v>
      </c>
      <c r="Q19" s="41">
        <v>3.0</v>
      </c>
      <c r="R19" s="52">
        <f>IF(Q19&gt;Q17,1,0)</f>
        <v>0</v>
      </c>
      <c r="S19" s="53"/>
      <c r="T19" s="41">
        <v>4.0</v>
      </c>
      <c r="U19" s="52">
        <f>IF(T19&gt;T17,1,0)</f>
        <v>0</v>
      </c>
      <c r="V19" s="53"/>
      <c r="W19" s="44"/>
      <c r="X19" s="27">
        <f>IF(W19&gt;W17,1,0)</f>
        <v>0</v>
      </c>
      <c r="Y19" s="27">
        <f>IF(Q19="",0,1)</f>
        <v>1</v>
      </c>
      <c r="Z19" s="27">
        <f>IF(R19+U19=2,3,IF(R19+U19=1,1,0))</f>
        <v>0</v>
      </c>
      <c r="AA19" s="27">
        <f>IF(Z19=3,3,IF(X19+Z19=2,2,IF(Z19=1,1,0)))</f>
        <v>0</v>
      </c>
      <c r="AB19" s="27">
        <f>Q19+T19</f>
        <v>7</v>
      </c>
      <c r="AC19" s="27">
        <f>R19+U19+X19</f>
        <v>0</v>
      </c>
      <c r="AD19" s="27"/>
      <c r="AE19" s="113" t="str">
        <f>'Players Ladies'!B11</f>
        <v>Roberta Fenech/Christina Bonett</v>
      </c>
      <c r="AF19" s="46">
        <f>Y19+Y27+Y35+J19+J31</f>
        <v>5</v>
      </c>
      <c r="AG19" s="46">
        <f t="shared" ref="AG19:AI19" si="6">AA19+AA27+AA35+L19+L31</f>
        <v>9</v>
      </c>
      <c r="AH19" s="46">
        <f t="shared" si="6"/>
        <v>52</v>
      </c>
      <c r="AI19" s="47">
        <f t="shared" si="6"/>
        <v>6</v>
      </c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 ht="15.0" customHeight="1">
      <c r="A21" s="40" t="str">
        <f>AE11</f>
        <v>Alexia Spiteri Willets/Kirsty Mercieca</v>
      </c>
      <c r="B21" s="41">
        <v>7.0</v>
      </c>
      <c r="C21" s="42">
        <f>IF(B21&gt;B23,1,0)</f>
        <v>1</v>
      </c>
      <c r="D21" s="43"/>
      <c r="E21" s="41">
        <v>6.0</v>
      </c>
      <c r="F21" s="42">
        <f>IF(E21&gt;E23,1,0)</f>
        <v>1</v>
      </c>
      <c r="G21" s="43"/>
      <c r="H21" s="44"/>
      <c r="I21" s="27">
        <f>IF(H21&gt;H23,1,0)</f>
        <v>0</v>
      </c>
      <c r="J21" s="27">
        <f>IF(B21="",0,1)</f>
        <v>1</v>
      </c>
      <c r="K21" s="27">
        <f>IF(C21+F21=2,3,IF(C21+F21=1,1,0))</f>
        <v>3</v>
      </c>
      <c r="L21" s="27">
        <f>IF(K21=3,3,IF(I21+K21=2,2,IF(K21=1,1,0)))</f>
        <v>3</v>
      </c>
      <c r="M21" s="27">
        <f>B21+E21</f>
        <v>13</v>
      </c>
      <c r="N21" s="27">
        <f>C21+F21+I21</f>
        <v>2</v>
      </c>
      <c r="O21" s="27"/>
      <c r="P21" s="40" t="str">
        <f>AE11</f>
        <v>Alexia Spiteri Willets/Kirsty Mercieca</v>
      </c>
      <c r="Q21" s="41">
        <v>6.0</v>
      </c>
      <c r="R21" s="42">
        <f>IF(Q21&gt;Q23,1,0)</f>
        <v>1</v>
      </c>
      <c r="S21" s="43"/>
      <c r="T21" s="41">
        <v>6.0</v>
      </c>
      <c r="U21" s="42">
        <f>IF(T21&gt;T23,1,0)</f>
        <v>1</v>
      </c>
      <c r="V21" s="43"/>
      <c r="W21" s="44"/>
      <c r="X21" s="27">
        <f>IF(W21&gt;W23,1,0)</f>
        <v>0</v>
      </c>
      <c r="Y21" s="27">
        <f>IF(Q21="",0,1)</f>
        <v>1</v>
      </c>
      <c r="Z21" s="27">
        <f>IF(R21+U21=2,3,IF(R21+U21=1,1,0))</f>
        <v>3</v>
      </c>
      <c r="AA21" s="27">
        <f>IF(Z21=3,3,IF(X21+Z21=2,2,IF(Z21=1,1,0)))</f>
        <v>3</v>
      </c>
      <c r="AB21" s="27">
        <f>Q21+T21</f>
        <v>12</v>
      </c>
      <c r="AC21" s="27">
        <f>R21+U21+X21</f>
        <v>2</v>
      </c>
      <c r="AD21" s="27"/>
      <c r="AE21" s="111" t="s">
        <v>72</v>
      </c>
      <c r="AF21" s="30"/>
      <c r="AG21" s="30"/>
      <c r="AH21" s="30"/>
      <c r="AI21" s="11"/>
    </row>
    <row r="22" ht="15.0" customHeight="1">
      <c r="A22" s="48" t="s">
        <v>61</v>
      </c>
      <c r="H22" s="49"/>
      <c r="I22" s="50"/>
      <c r="J22" s="27"/>
      <c r="K22" s="27"/>
      <c r="L22" s="27"/>
      <c r="M22" s="27"/>
      <c r="N22" s="27"/>
      <c r="O22" s="27"/>
      <c r="P22" s="48" t="s">
        <v>61</v>
      </c>
      <c r="W22" s="49"/>
      <c r="X22" s="50"/>
      <c r="Y22" s="27"/>
      <c r="Z22" s="27"/>
      <c r="AA22" s="27"/>
      <c r="AB22" s="27"/>
      <c r="AC22" s="27"/>
      <c r="AD22" s="27"/>
      <c r="AE22" s="55" t="s">
        <v>77</v>
      </c>
      <c r="AF22" s="30"/>
      <c r="AG22" s="30"/>
      <c r="AH22" s="30"/>
      <c r="AI22" s="11"/>
    </row>
    <row r="23" ht="15.0" customHeight="1">
      <c r="A23" s="51" t="str">
        <f>AE13</f>
        <v>Natalya Abela/Yana Marie Cachia</v>
      </c>
      <c r="B23" s="41">
        <v>6.0</v>
      </c>
      <c r="C23" s="52">
        <f>IF(B23&gt;B21,1,0)</f>
        <v>0</v>
      </c>
      <c r="D23" s="53"/>
      <c r="E23" s="41">
        <v>2.0</v>
      </c>
      <c r="F23" s="52">
        <f>IF(E23&gt;E21,1,0)</f>
        <v>0</v>
      </c>
      <c r="G23" s="53"/>
      <c r="H23" s="44"/>
      <c r="I23" s="27">
        <f>IF(H23&gt;H21,1,0)</f>
        <v>0</v>
      </c>
      <c r="J23" s="27">
        <f>IF(B23="",0,1)</f>
        <v>1</v>
      </c>
      <c r="K23" s="27">
        <f>IF(C23+F23=2,3,IF(C23+F23=1,1,0))</f>
        <v>0</v>
      </c>
      <c r="L23" s="27">
        <f>IF(K23=3,3,IF(I23+K23=2,2,IF(K23=1,1,0)))</f>
        <v>0</v>
      </c>
      <c r="M23" s="27">
        <f>B23+E23</f>
        <v>8</v>
      </c>
      <c r="N23" s="27">
        <f>C23+F23+I23</f>
        <v>0</v>
      </c>
      <c r="O23" s="27"/>
      <c r="P23" s="51" t="str">
        <f>AE15</f>
        <v>Annabelle Abela/Alison Muscat</v>
      </c>
      <c r="Q23" s="41">
        <v>2.0</v>
      </c>
      <c r="R23" s="52">
        <f>IF(Q23&gt;Q21,1,0)</f>
        <v>0</v>
      </c>
      <c r="S23" s="53"/>
      <c r="T23" s="41">
        <v>1.0</v>
      </c>
      <c r="U23" s="52">
        <f>IF(T23&gt;T21,1,0)</f>
        <v>0</v>
      </c>
      <c r="V23" s="53"/>
      <c r="W23" s="44"/>
      <c r="X23" s="27">
        <f>IF(W23&gt;W21,1,0)</f>
        <v>0</v>
      </c>
      <c r="Y23" s="27">
        <f>IF(Q23="",0,1)</f>
        <v>1</v>
      </c>
      <c r="Z23" s="27">
        <f>IF(R23+U23=2,3,IF(R23+U23=1,1,0))</f>
        <v>0</v>
      </c>
      <c r="AA23" s="27">
        <f>IF(Z23=3,3,IF(X23+Z23=2,2,IF(Z23=1,1,0)))</f>
        <v>0</v>
      </c>
      <c r="AB23" s="27">
        <f>Q23+T23</f>
        <v>3</v>
      </c>
      <c r="AC23" s="27">
        <f>R23+U23+X23</f>
        <v>0</v>
      </c>
      <c r="AD23" s="27"/>
      <c r="AE23" s="27"/>
      <c r="AF23" s="27"/>
      <c r="AG23" s="27"/>
      <c r="AH23" s="27"/>
      <c r="AI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ht="15.0" customHeight="1">
      <c r="A25" s="40" t="str">
        <f>AE11</f>
        <v>Alexia Spiteri Willets/Kirsty Mercieca</v>
      </c>
      <c r="B25" s="41">
        <v>6.0</v>
      </c>
      <c r="C25" s="42">
        <f>IF(B25&gt;B27,1,0)</f>
        <v>1</v>
      </c>
      <c r="D25" s="43"/>
      <c r="E25" s="41">
        <v>6.0</v>
      </c>
      <c r="F25" s="42">
        <f>IF(E25&gt;E27,1,0)</f>
        <v>1</v>
      </c>
      <c r="G25" s="43"/>
      <c r="H25" s="44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12</v>
      </c>
      <c r="N25" s="27">
        <f>C25+F25+I25</f>
        <v>2</v>
      </c>
      <c r="O25" s="27"/>
      <c r="P25" s="40" t="str">
        <f>AE11</f>
        <v>Alexia Spiteri Willets/Kirsty Mercieca</v>
      </c>
      <c r="Q25" s="41">
        <v>6.0</v>
      </c>
      <c r="R25" s="42">
        <f>IF(Q25&gt;Q27,1,0)</f>
        <v>1</v>
      </c>
      <c r="S25" s="43"/>
      <c r="T25" s="41">
        <v>6.0</v>
      </c>
      <c r="U25" s="42">
        <f>IF(T25&gt;T27,1,0)</f>
        <v>1</v>
      </c>
      <c r="V25" s="43"/>
      <c r="W25" s="44"/>
      <c r="X25" s="27">
        <f>IF(W25&gt;W27,1,0)</f>
        <v>0</v>
      </c>
      <c r="Y25" s="27">
        <f>IF(Q25="",0,1)</f>
        <v>1</v>
      </c>
      <c r="Z25" s="27">
        <f>IF(R25+U25=2,3,IF(R25+U25=1,1,0))</f>
        <v>3</v>
      </c>
      <c r="AA25" s="27">
        <f>IF(Z25=3,3,IF(X25+Z25=2,2,IF(Z25=1,1,0)))</f>
        <v>3</v>
      </c>
      <c r="AB25" s="27">
        <f>Q25+T25</f>
        <v>12</v>
      </c>
      <c r="AC25" s="27">
        <f>R25+U25+X25</f>
        <v>2</v>
      </c>
      <c r="AD25" s="27"/>
      <c r="AE25" s="111" t="s">
        <v>73</v>
      </c>
      <c r="AF25" s="30"/>
      <c r="AG25" s="30"/>
      <c r="AH25" s="30"/>
      <c r="AI25" s="11"/>
    </row>
    <row r="26" ht="15.0" customHeight="1">
      <c r="A26" s="48" t="s">
        <v>61</v>
      </c>
      <c r="H26" s="49"/>
      <c r="I26" s="50"/>
      <c r="J26" s="27"/>
      <c r="K26" s="27"/>
      <c r="L26" s="27"/>
      <c r="M26" s="27"/>
      <c r="N26" s="27"/>
      <c r="O26" s="27"/>
      <c r="P26" s="48" t="s">
        <v>61</v>
      </c>
      <c r="W26" s="49"/>
      <c r="X26" s="50"/>
      <c r="Y26" s="27"/>
      <c r="Z26" s="27"/>
      <c r="AA26" s="27"/>
      <c r="AB26" s="27"/>
      <c r="AC26" s="27"/>
      <c r="AD26" s="27"/>
      <c r="AE26" s="55" t="s">
        <v>81</v>
      </c>
      <c r="AF26" s="30"/>
      <c r="AG26" s="30"/>
      <c r="AH26" s="30"/>
      <c r="AI26" s="11"/>
    </row>
    <row r="27" ht="15.0" customHeight="1">
      <c r="A27" s="51" t="str">
        <f>AE17</f>
        <v>Christine Schembri/Luiza Andreozzi</v>
      </c>
      <c r="B27" s="41">
        <v>3.0</v>
      </c>
      <c r="C27" s="52">
        <f>IF(B27&gt;B25,1,0)</f>
        <v>0</v>
      </c>
      <c r="D27" s="53"/>
      <c r="E27" s="41">
        <v>2.0</v>
      </c>
      <c r="F27" s="52">
        <f>IF(E27&gt;E25,1,0)</f>
        <v>0</v>
      </c>
      <c r="G27" s="53"/>
      <c r="H27" s="44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5</v>
      </c>
      <c r="N27" s="27">
        <f>C27+F27+I27</f>
        <v>0</v>
      </c>
      <c r="O27" s="27"/>
      <c r="P27" s="51" t="str">
        <f>AE19</f>
        <v>Roberta Fenech/Christina Bonett</v>
      </c>
      <c r="Q27" s="41">
        <v>4.0</v>
      </c>
      <c r="R27" s="52">
        <f>IF(Q27&gt;Q25,1,0)</f>
        <v>0</v>
      </c>
      <c r="S27" s="53"/>
      <c r="T27" s="41">
        <v>4.0</v>
      </c>
      <c r="U27" s="52">
        <f>IF(T27&gt;T25,1,0)</f>
        <v>0</v>
      </c>
      <c r="V27" s="53"/>
      <c r="W27" s="44"/>
      <c r="X27" s="27">
        <f>IF(W27&gt;W25,1,0)</f>
        <v>0</v>
      </c>
      <c r="Y27" s="27">
        <f>IF(Q27="",0,1)</f>
        <v>1</v>
      </c>
      <c r="Z27" s="27">
        <f>IF(R27+U27=2,3,IF(R27+U27=1,1,0))</f>
        <v>0</v>
      </c>
      <c r="AA27" s="27">
        <f>IF(Z27=3,3,IF(X27+Z27=2,2,IF(Z27=1,1,0)))</f>
        <v>0</v>
      </c>
      <c r="AB27" s="27">
        <f>Q27+T27</f>
        <v>8</v>
      </c>
      <c r="AC27" s="27">
        <f>R27+U27+X27</f>
        <v>0</v>
      </c>
      <c r="AD27" s="27"/>
      <c r="AE27" s="27"/>
      <c r="AF27" s="27"/>
      <c r="AG27" s="27"/>
      <c r="AH27" s="27"/>
      <c r="AI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</row>
    <row r="29" ht="15.0" customHeight="1">
      <c r="A29" s="40" t="str">
        <f>AE15</f>
        <v>Annabelle Abela/Alison Muscat</v>
      </c>
      <c r="B29" s="41">
        <v>4.0</v>
      </c>
      <c r="C29" s="42">
        <f>IF(B29&gt;B31,1,0)</f>
        <v>0</v>
      </c>
      <c r="D29" s="43"/>
      <c r="E29" s="41">
        <v>3.0</v>
      </c>
      <c r="F29" s="42">
        <f>IF(E29&gt;E31,1,0)</f>
        <v>0</v>
      </c>
      <c r="G29" s="43"/>
      <c r="H29" s="44"/>
      <c r="I29" s="27">
        <f>IF(H29&gt;H31,1,0)</f>
        <v>0</v>
      </c>
      <c r="J29" s="27">
        <f>IF(B29="",0,1)</f>
        <v>1</v>
      </c>
      <c r="K29" s="27">
        <f>IF(C29+F29=2,3,IF(C29+F29=1,1,0))</f>
        <v>0</v>
      </c>
      <c r="L29" s="27">
        <f>IF(K29=3,3,IF(I29+K29=2,2,IF(K29=1,1,0)))</f>
        <v>0</v>
      </c>
      <c r="M29" s="27">
        <f>B29+E29</f>
        <v>7</v>
      </c>
      <c r="N29" s="27">
        <f>C29+F29+I29</f>
        <v>0</v>
      </c>
      <c r="O29" s="27"/>
      <c r="P29" s="40" t="str">
        <f>AE13</f>
        <v>Natalya Abela/Yana Marie Cachia</v>
      </c>
      <c r="Q29" s="41">
        <v>7.0</v>
      </c>
      <c r="R29" s="42">
        <f>IF(Q29&gt;Q31,1,0)</f>
        <v>1</v>
      </c>
      <c r="S29" s="43"/>
      <c r="T29" s="41">
        <v>6.0</v>
      </c>
      <c r="U29" s="42">
        <f>IF(T29&gt;T31,1,0)</f>
        <v>1</v>
      </c>
      <c r="V29" s="43"/>
      <c r="W29" s="44"/>
      <c r="X29" s="27">
        <f>IF(W29&gt;W31,1,0)</f>
        <v>0</v>
      </c>
      <c r="Y29" s="27">
        <f>IF(Q29="",0,1)</f>
        <v>1</v>
      </c>
      <c r="Z29" s="27">
        <f>IF(R29+U29=2,3,IF(R29+U29=1,1,0))</f>
        <v>3</v>
      </c>
      <c r="AA29" s="27">
        <f>IF(Z29=3,3,IF(X29+Z29=2,2,IF(Z29=1,1,0)))</f>
        <v>3</v>
      </c>
      <c r="AB29" s="27">
        <f>Q29+T29</f>
        <v>13</v>
      </c>
      <c r="AC29" s="27">
        <f>R29+U29+X29</f>
        <v>2</v>
      </c>
      <c r="AD29" s="27"/>
      <c r="AE29" s="27"/>
      <c r="AF29" s="27"/>
      <c r="AG29" s="27"/>
      <c r="AH29" s="27"/>
      <c r="AI29" s="27"/>
    </row>
    <row r="30" ht="15.0" customHeight="1">
      <c r="A30" s="48" t="s">
        <v>61</v>
      </c>
      <c r="H30" s="49"/>
      <c r="I30" s="50"/>
      <c r="J30" s="27"/>
      <c r="K30" s="27"/>
      <c r="L30" s="27"/>
      <c r="M30" s="27"/>
      <c r="N30" s="27"/>
      <c r="O30" s="27"/>
      <c r="P30" s="48" t="s">
        <v>61</v>
      </c>
      <c r="W30" s="49"/>
      <c r="X30" s="50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ht="15.0" customHeight="1">
      <c r="A31" s="51" t="str">
        <f>AE19</f>
        <v>Roberta Fenech/Christina Bonett</v>
      </c>
      <c r="B31" s="41">
        <v>6.0</v>
      </c>
      <c r="C31" s="52">
        <f>IF(B31&gt;B29,1,0)</f>
        <v>1</v>
      </c>
      <c r="D31" s="53"/>
      <c r="E31" s="41">
        <v>6.0</v>
      </c>
      <c r="F31" s="52">
        <f>IF(E31&gt;E29,1,0)</f>
        <v>1</v>
      </c>
      <c r="G31" s="53"/>
      <c r="H31" s="44"/>
      <c r="I31" s="27">
        <f>IF(H31&gt;H29,1,0)</f>
        <v>0</v>
      </c>
      <c r="J31" s="27">
        <f>IF(B31="",0,1)</f>
        <v>1</v>
      </c>
      <c r="K31" s="27">
        <f>IF(C31+F31=2,3,IF(C31+F31=1,1,0))</f>
        <v>3</v>
      </c>
      <c r="L31" s="27">
        <f>IF(K31=3,3,IF(I31+K31=2,2,IF(K31=1,1,0)))</f>
        <v>3</v>
      </c>
      <c r="M31" s="27">
        <f>B31+E31</f>
        <v>12</v>
      </c>
      <c r="N31" s="27">
        <f>C31+F31+I31</f>
        <v>2</v>
      </c>
      <c r="O31" s="27"/>
      <c r="P31" s="51" t="str">
        <f>AE15</f>
        <v>Annabelle Abela/Alison Muscat</v>
      </c>
      <c r="Q31" s="41">
        <v>6.0</v>
      </c>
      <c r="R31" s="52">
        <f>IF(Q31&gt;Q29,1,0)</f>
        <v>0</v>
      </c>
      <c r="S31" s="53"/>
      <c r="T31" s="41">
        <v>0.0</v>
      </c>
      <c r="U31" s="52">
        <f>IF(T31&gt;T29,1,0)</f>
        <v>0</v>
      </c>
      <c r="V31" s="53"/>
      <c r="W31" s="44"/>
      <c r="X31" s="27">
        <f>IF(W31&gt;W29,1,0)</f>
        <v>0</v>
      </c>
      <c r="Y31" s="27">
        <f>IF(Q31="",0,1)</f>
        <v>1</v>
      </c>
      <c r="Z31" s="27">
        <f>IF(R31+U31=2,3,IF(R31+U31=1,1,0))</f>
        <v>0</v>
      </c>
      <c r="AA31" s="27">
        <f>IF(Z31=3,3,IF(X31+Z31=2,2,IF(Z31=1,1,0)))</f>
        <v>0</v>
      </c>
      <c r="AB31" s="27">
        <f>Q31+T31</f>
        <v>6</v>
      </c>
      <c r="AC31" s="27">
        <f>R31+U31+X31</f>
        <v>0</v>
      </c>
      <c r="AD31" s="27"/>
      <c r="AE31" s="27"/>
      <c r="AF31" s="27"/>
      <c r="AG31" s="27"/>
      <c r="AH31" s="27"/>
      <c r="AI31" s="27"/>
    </row>
    <row r="32" ht="15.75" customHeight="1"/>
    <row r="33" ht="15.0" customHeight="1">
      <c r="A33" s="40" t="str">
        <f>AE13</f>
        <v>Natalya Abela/Yana Marie Cachia</v>
      </c>
      <c r="B33" s="41">
        <v>7.0</v>
      </c>
      <c r="C33" s="42">
        <f>IF(B33&gt;B35,1,0)</f>
        <v>1</v>
      </c>
      <c r="D33" s="43"/>
      <c r="E33" s="41">
        <v>3.0</v>
      </c>
      <c r="F33" s="42">
        <f>IF(E33&gt;E35,1,0)</f>
        <v>0</v>
      </c>
      <c r="G33" s="43"/>
      <c r="H33" s="41">
        <v>10.0</v>
      </c>
      <c r="I33" s="27">
        <f>IF(H33&gt;H35,1,0)</f>
        <v>1</v>
      </c>
      <c r="J33" s="27">
        <f>IF(B33="",0,1)</f>
        <v>1</v>
      </c>
      <c r="K33" s="27">
        <f>IF(C33+F33=2,3,IF(C33+F33=1,1,0))</f>
        <v>1</v>
      </c>
      <c r="L33" s="27">
        <f>IF(K33=3,3,IF(I33+K33=2,2,IF(K33=1,1,0)))</f>
        <v>2</v>
      </c>
      <c r="M33" s="27">
        <f>B33+E33</f>
        <v>10</v>
      </c>
      <c r="N33" s="27">
        <f>C33+F33+I33</f>
        <v>2</v>
      </c>
      <c r="O33" s="27"/>
      <c r="P33" s="40" t="str">
        <f>AE13</f>
        <v>Natalya Abela/Yana Marie Cachia</v>
      </c>
      <c r="Q33" s="41">
        <v>3.0</v>
      </c>
      <c r="R33" s="42">
        <f>IF(Q33&gt;Q35,1,0)</f>
        <v>0</v>
      </c>
      <c r="S33" s="43"/>
      <c r="T33" s="41">
        <v>5.0</v>
      </c>
      <c r="U33" s="42">
        <f>IF(T33&gt;T35,1,0)</f>
        <v>0</v>
      </c>
      <c r="V33" s="43"/>
      <c r="W33" s="44"/>
      <c r="X33" s="27">
        <f>IF(W33&gt;W35,1,0)</f>
        <v>0</v>
      </c>
      <c r="Y33" s="27">
        <f>IF(Q33="",0,1)</f>
        <v>1</v>
      </c>
      <c r="Z33" s="27">
        <f>IF(R33+U33=2,3,IF(R33+U33=1,1,0))</f>
        <v>0</v>
      </c>
      <c r="AA33" s="27">
        <f>IF(Z33=3,3,IF(X33+Z33=2,2,IF(Z33=1,1,0)))</f>
        <v>0</v>
      </c>
      <c r="AB33" s="27">
        <f>Q33+T33</f>
        <v>8</v>
      </c>
      <c r="AC33" s="27">
        <f>R33+U33+X33</f>
        <v>0</v>
      </c>
    </row>
    <row r="34" ht="15.0" customHeight="1">
      <c r="A34" s="48" t="s">
        <v>61</v>
      </c>
      <c r="H34" s="49"/>
      <c r="I34" s="50"/>
      <c r="J34" s="27"/>
      <c r="K34" s="27"/>
      <c r="L34" s="27"/>
      <c r="M34" s="27"/>
      <c r="N34" s="27"/>
      <c r="O34" s="27"/>
      <c r="P34" s="48" t="s">
        <v>61</v>
      </c>
      <c r="W34" s="49"/>
      <c r="X34" s="50"/>
      <c r="Y34" s="27"/>
      <c r="Z34" s="27"/>
      <c r="AA34" s="27"/>
      <c r="AB34" s="27"/>
      <c r="AC34" s="27"/>
    </row>
    <row r="35" ht="15.0" customHeight="1">
      <c r="A35" s="51" t="str">
        <f>AE17</f>
        <v>Christine Schembri/Luiza Andreozzi</v>
      </c>
      <c r="B35" s="41">
        <v>5.0</v>
      </c>
      <c r="C35" s="52">
        <f>IF(B35&gt;B33,1,0)</f>
        <v>0</v>
      </c>
      <c r="D35" s="53"/>
      <c r="E35" s="41">
        <v>6.0</v>
      </c>
      <c r="F35" s="52">
        <f>IF(E35&gt;E33,1,0)</f>
        <v>1</v>
      </c>
      <c r="G35" s="53"/>
      <c r="H35" s="41">
        <v>6.0</v>
      </c>
      <c r="I35" s="27">
        <f>IF(H35&gt;H33,1,0)</f>
        <v>0</v>
      </c>
      <c r="J35" s="27">
        <f>IF(B35="",0,1)</f>
        <v>1</v>
      </c>
      <c r="K35" s="27">
        <f>IF(C35+F35=2,3,IF(C35+F35=1,1,0))</f>
        <v>1</v>
      </c>
      <c r="L35" s="27">
        <f>IF(K35=3,3,IF(I35+K35=2,2,IF(K35=1,1,0)))</f>
        <v>1</v>
      </c>
      <c r="M35" s="27">
        <f>B35+E35</f>
        <v>11</v>
      </c>
      <c r="N35" s="27">
        <f>C35+F35+I35</f>
        <v>1</v>
      </c>
      <c r="O35" s="27"/>
      <c r="P35" s="51" t="str">
        <f>AE19</f>
        <v>Roberta Fenech/Christina Bonett</v>
      </c>
      <c r="Q35" s="41">
        <v>6.0</v>
      </c>
      <c r="R35" s="52">
        <f>IF(Q35&gt;Q33,1,0)</f>
        <v>1</v>
      </c>
      <c r="S35" s="53"/>
      <c r="T35" s="41">
        <v>7.0</v>
      </c>
      <c r="U35" s="52">
        <f>IF(T35&gt;T33,1,0)</f>
        <v>1</v>
      </c>
      <c r="V35" s="53"/>
      <c r="W35" s="44"/>
      <c r="X35" s="27">
        <f>IF(W35&gt;W33,1,0)</f>
        <v>0</v>
      </c>
      <c r="Y35" s="27">
        <f>IF(Q35="",0,1)</f>
        <v>1</v>
      </c>
      <c r="Z35" s="27">
        <f>IF(R35+U35=2,3,IF(R35+U35=1,1,0))</f>
        <v>3</v>
      </c>
      <c r="AA35" s="27">
        <f>IF(Z35=3,3,IF(X35+Z35=2,2,IF(Z35=1,1,0)))</f>
        <v>3</v>
      </c>
      <c r="AB35" s="27">
        <f>Q35+T35</f>
        <v>13</v>
      </c>
      <c r="AC35" s="27">
        <f>R35+U35+X35</f>
        <v>2</v>
      </c>
    </row>
    <row r="36" ht="15.0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ht="15.0" customHeight="1">
      <c r="A37" s="40" t="str">
        <f>AE15</f>
        <v>Annabelle Abela/Alison Muscat</v>
      </c>
      <c r="B37" s="41">
        <v>1.0</v>
      </c>
      <c r="C37" s="42">
        <f>IF(B37&gt;B39,1,0)</f>
        <v>0</v>
      </c>
      <c r="D37" s="43"/>
      <c r="E37" s="41">
        <v>1.0</v>
      </c>
      <c r="F37" s="42">
        <f>IF(E37&gt;E39,1,0)</f>
        <v>0</v>
      </c>
      <c r="G37" s="43"/>
      <c r="H37" s="44"/>
      <c r="I37" s="27">
        <f>IF(H37&gt;H39,1,0)</f>
        <v>0</v>
      </c>
      <c r="J37" s="27">
        <f>IF(B37="",0,1)</f>
        <v>1</v>
      </c>
      <c r="K37" s="27">
        <f>IF(C37+F37=2,3,IF(C37+F37=1,1,0))</f>
        <v>0</v>
      </c>
      <c r="L37" s="27">
        <f>IF(K37=3,3,IF(I37+K37=2,2,IF(K37=1,1,0)))</f>
        <v>0</v>
      </c>
      <c r="M37" s="27">
        <f>B37+E37</f>
        <v>2</v>
      </c>
      <c r="N37" s="27">
        <f>C37+F37+I37</f>
        <v>0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48" t="s">
        <v>61</v>
      </c>
      <c r="H38" s="49"/>
      <c r="I38" s="5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ht="15.0" customHeight="1">
      <c r="A39" s="51" t="str">
        <f>AE17</f>
        <v>Christine Schembri/Luiza Andreozzi</v>
      </c>
      <c r="B39" s="41">
        <v>6.0</v>
      </c>
      <c r="C39" s="52">
        <f>IF(B39&gt;B37,1,0)</f>
        <v>1</v>
      </c>
      <c r="D39" s="53"/>
      <c r="E39" s="41">
        <v>6.0</v>
      </c>
      <c r="F39" s="52">
        <f>IF(E39&gt;E37,1,0)</f>
        <v>1</v>
      </c>
      <c r="G39" s="53"/>
      <c r="H39" s="44"/>
      <c r="I39" s="27">
        <f>IF(H39&gt;H37,1,0)</f>
        <v>0</v>
      </c>
      <c r="J39" s="27">
        <f>IF(B39="",0,1)</f>
        <v>1</v>
      </c>
      <c r="K39" s="27">
        <f>IF(C39+F39=2,3,IF(C39+F39=1,1,0))</f>
        <v>3</v>
      </c>
      <c r="L39" s="27">
        <f>IF(K39=3,3,IF(I39+K39=2,2,IF(K39=1,1,0)))</f>
        <v>3</v>
      </c>
      <c r="M39" s="27">
        <f>B39+E39</f>
        <v>12</v>
      </c>
      <c r="N39" s="27">
        <f>C39+F39+I39</f>
        <v>2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7.0"/>
    <col customWidth="1" hidden="1" min="3" max="3" width="11.88"/>
    <col customWidth="1" min="4" max="4" width="1.75"/>
    <col customWidth="1" min="5" max="5" width="7.0"/>
    <col customWidth="1" hidden="1" min="6" max="6" width="3.38"/>
    <col customWidth="1" min="7" max="7" width="1.75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6.25"/>
    <col customWidth="1" min="16" max="16" width="32.25"/>
    <col customWidth="1" min="17" max="17" width="7.0"/>
    <col customWidth="1" hidden="1" min="18" max="18" width="11.88"/>
    <col customWidth="1" min="19" max="19" width="1.75"/>
    <col customWidth="1" min="20" max="20" width="7.0"/>
    <col customWidth="1" hidden="1" min="21" max="21" width="11.88"/>
    <col customWidth="1" min="22" max="22" width="1.75"/>
    <col customWidth="1" min="23" max="23" width="7.0"/>
    <col customWidth="1" hidden="1" min="24" max="24" width="5.88"/>
    <col customWidth="1" hidden="1" min="25" max="25" width="4.75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6.88"/>
    <col customWidth="1" min="31" max="31" width="34.5"/>
    <col customWidth="1" min="32" max="35" width="8.75"/>
    <col customWidth="1" hidden="1" min="36" max="36" width="9.25"/>
    <col customWidth="1" hidden="1" min="37" max="37" width="8.0"/>
    <col customWidth="1" hidden="1" min="38" max="38" width="41.13"/>
  </cols>
  <sheetData>
    <row r="1" ht="21.0" customHeight="1">
      <c r="A1" s="1" t="s">
        <v>40</v>
      </c>
      <c r="AJ1" s="2"/>
      <c r="AK1" s="2"/>
      <c r="AL1" s="2"/>
    </row>
    <row r="2" ht="21.0" customHeight="1">
      <c r="AJ2" s="2"/>
      <c r="AK2" s="2"/>
      <c r="AL2" s="2"/>
    </row>
    <row r="3" ht="15.0" customHeight="1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customHeight="1">
      <c r="A4" s="2"/>
      <c r="B4" s="2"/>
      <c r="C4" s="2"/>
      <c r="D4" s="2"/>
      <c r="E4" s="2"/>
      <c r="F4" s="2"/>
      <c r="G4" s="2"/>
      <c r="H4" s="10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.0" customHeight="1">
      <c r="A5" s="114" t="s">
        <v>82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</row>
    <row r="6" ht="15.0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115" t="s">
        <v>41</v>
      </c>
      <c r="B7" s="116" t="s">
        <v>42</v>
      </c>
      <c r="C7" s="30"/>
      <c r="D7" s="30"/>
      <c r="E7" s="11"/>
      <c r="F7" s="31"/>
      <c r="G7" s="32"/>
      <c r="H7" s="115" t="s">
        <v>43</v>
      </c>
      <c r="I7" s="27"/>
      <c r="J7" s="27"/>
      <c r="K7" s="27"/>
      <c r="L7" s="27"/>
      <c r="M7" s="33"/>
      <c r="N7" s="33"/>
      <c r="O7" s="33"/>
      <c r="P7" s="115" t="s">
        <v>41</v>
      </c>
      <c r="Q7" s="116" t="s">
        <v>42</v>
      </c>
      <c r="R7" s="30"/>
      <c r="S7" s="30"/>
      <c r="T7" s="11"/>
      <c r="U7" s="31"/>
      <c r="V7" s="32"/>
      <c r="W7" s="115" t="s">
        <v>43</v>
      </c>
      <c r="X7" s="27"/>
      <c r="Y7" s="33"/>
      <c r="Z7" s="33"/>
      <c r="AA7" s="33"/>
      <c r="AB7" s="33"/>
      <c r="AC7" s="33"/>
      <c r="AD7" s="33"/>
      <c r="AE7" s="115" t="s">
        <v>44</v>
      </c>
      <c r="AF7" s="117" t="s">
        <v>45</v>
      </c>
      <c r="AG7" s="117" t="s">
        <v>46</v>
      </c>
      <c r="AH7" s="115" t="s">
        <v>47</v>
      </c>
      <c r="AI7" s="115" t="s">
        <v>48</v>
      </c>
      <c r="AJ7" s="33"/>
      <c r="AK7" s="33"/>
      <c r="AL7" s="27"/>
    </row>
    <row r="8" hidden="1">
      <c r="A8" s="27"/>
      <c r="B8" s="37" t="s">
        <v>49</v>
      </c>
      <c r="C8" s="37" t="s">
        <v>50</v>
      </c>
      <c r="D8" s="37"/>
      <c r="E8" s="37" t="s">
        <v>49</v>
      </c>
      <c r="F8" s="37" t="s">
        <v>51</v>
      </c>
      <c r="G8" s="37"/>
      <c r="H8" s="37" t="s">
        <v>49</v>
      </c>
      <c r="I8" s="37" t="s">
        <v>52</v>
      </c>
      <c r="J8" s="37" t="s">
        <v>53</v>
      </c>
      <c r="K8" s="37" t="s">
        <v>54</v>
      </c>
      <c r="L8" s="37" t="s">
        <v>55</v>
      </c>
      <c r="M8" s="37" t="s">
        <v>56</v>
      </c>
      <c r="N8" s="37" t="s">
        <v>57</v>
      </c>
      <c r="O8" s="27"/>
      <c r="P8" s="27"/>
      <c r="Q8" s="37" t="s">
        <v>49</v>
      </c>
      <c r="R8" s="37" t="s">
        <v>50</v>
      </c>
      <c r="S8" s="37"/>
      <c r="T8" s="37" t="s">
        <v>49</v>
      </c>
      <c r="U8" s="37" t="s">
        <v>51</v>
      </c>
      <c r="V8" s="37"/>
      <c r="W8" s="37" t="s">
        <v>49</v>
      </c>
      <c r="X8" s="37" t="s">
        <v>52</v>
      </c>
      <c r="Y8" s="37" t="s">
        <v>53</v>
      </c>
      <c r="Z8" s="37" t="s">
        <v>54</v>
      </c>
      <c r="AA8" s="37" t="s">
        <v>55</v>
      </c>
      <c r="AB8" s="37" t="s">
        <v>56</v>
      </c>
      <c r="AC8" s="37" t="s">
        <v>57</v>
      </c>
      <c r="AD8" s="27"/>
      <c r="AE8" s="118"/>
      <c r="AF8" s="33"/>
      <c r="AG8" s="33"/>
      <c r="AH8" s="33"/>
      <c r="AI8" s="33"/>
      <c r="AJ8" s="37" t="s">
        <v>58</v>
      </c>
      <c r="AK8" s="38" t="s">
        <v>59</v>
      </c>
      <c r="AL8" s="39" t="s">
        <v>60</v>
      </c>
    </row>
    <row r="9" ht="15.0" customHeight="1">
      <c r="A9" s="40" t="str">
        <f>AE9</f>
        <v>Diane Farrugia/Anna Napier</v>
      </c>
      <c r="B9" s="41">
        <v>3.0</v>
      </c>
      <c r="C9" s="42">
        <f>IF(B9&gt;B11,1,0)</f>
        <v>0</v>
      </c>
      <c r="D9" s="43"/>
      <c r="E9" s="41">
        <v>3.0</v>
      </c>
      <c r="F9" s="42">
        <f>IF(E9&gt;E11,1,0)</f>
        <v>0</v>
      </c>
      <c r="G9" s="43"/>
      <c r="H9" s="44"/>
      <c r="I9" s="27">
        <f>IF(H9&gt;H11,1,0)</f>
        <v>0</v>
      </c>
      <c r="J9" s="27">
        <f>IF(B9="",0,1)</f>
        <v>1</v>
      </c>
      <c r="K9" s="27">
        <f>IF(C9+F9=2,3,IF(C9+F9=1,1,0))</f>
        <v>0</v>
      </c>
      <c r="L9" s="27">
        <f>IF(K9=3,3,IF(I9+K9=2,2,IF(K9=1,1,0)))</f>
        <v>0</v>
      </c>
      <c r="M9" s="27">
        <f>B9+E9</f>
        <v>6</v>
      </c>
      <c r="N9" s="27">
        <f>C9+F9+I9</f>
        <v>0</v>
      </c>
      <c r="O9" s="27"/>
      <c r="P9" s="40" t="str">
        <f>AE9</f>
        <v>Diane Farrugia/Anna Napier</v>
      </c>
      <c r="Q9" s="41">
        <v>3.0</v>
      </c>
      <c r="R9" s="42">
        <f>IF(Q9&gt;Q11,1,0)</f>
        <v>0</v>
      </c>
      <c r="S9" s="43"/>
      <c r="T9" s="119">
        <v>2.0</v>
      </c>
      <c r="U9" s="42">
        <f>IF(T9&gt;T11,1,0)</f>
        <v>0</v>
      </c>
      <c r="V9" s="43"/>
      <c r="W9" s="44"/>
      <c r="X9" s="27">
        <f>IF(W9&gt;W11,1,0)</f>
        <v>0</v>
      </c>
      <c r="Y9" s="27">
        <f>IF(Q9="",0,1)</f>
        <v>1</v>
      </c>
      <c r="Z9" s="27">
        <f>IF(R9+U9=2,3,IF(R9+U9=1,1,0))</f>
        <v>0</v>
      </c>
      <c r="AA9" s="27">
        <f>IF(Z9=3,3,IF(X9+Z9=2,2,IF(Z9=1,1,0)))</f>
        <v>0</v>
      </c>
      <c r="AB9" s="27">
        <f>Q9+T9</f>
        <v>5</v>
      </c>
      <c r="AC9" s="27">
        <f>R9+U9+X9</f>
        <v>0</v>
      </c>
      <c r="AD9" s="27"/>
      <c r="AE9" s="120" t="str">
        <f>'Players Ladies'!B14</f>
        <v>Diane Farrugia/Anna Napier</v>
      </c>
      <c r="AF9" s="46">
        <f>J9+Y9+Y13+J13</f>
        <v>4</v>
      </c>
      <c r="AG9" s="46">
        <f t="shared" ref="AG9:AI9" si="1">L9+AA9+L13+AA13</f>
        <v>1</v>
      </c>
      <c r="AH9" s="46">
        <f t="shared" si="1"/>
        <v>25</v>
      </c>
      <c r="AI9" s="47">
        <f t="shared" si="1"/>
        <v>1</v>
      </c>
      <c r="AJ9" s="27">
        <f>MAX(AG9:AG19)</f>
        <v>8</v>
      </c>
      <c r="AK9" s="27">
        <f>SUM(AF9:AF19)</f>
        <v>20</v>
      </c>
      <c r="AL9" s="27" t="str">
        <f>IF(AG9=$AJ$9,AE9,IF(AG11=$AJ$9,AE11,IF(AG13=$AJ$9,AE13,IF(AG15=$AJ$9,AE15,IF(AG17=$AJ$9,AE17,IF(AG19=$AJ$9,AE19,""))))))</f>
        <v>Kristina Briffa/Sarah Axiaq</v>
      </c>
    </row>
    <row r="10" ht="15.0" customHeight="1">
      <c r="A10" s="48" t="s">
        <v>61</v>
      </c>
      <c r="H10" s="49"/>
      <c r="I10" s="50"/>
      <c r="J10" s="27"/>
      <c r="K10" s="27"/>
      <c r="L10" s="27"/>
      <c r="M10" s="27"/>
      <c r="N10" s="27"/>
      <c r="O10" s="27"/>
      <c r="P10" s="48" t="s">
        <v>61</v>
      </c>
      <c r="W10" s="49"/>
      <c r="X10" s="50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27"/>
    </row>
    <row r="11" ht="15.0" customHeight="1">
      <c r="A11" s="51" t="str">
        <f>AE11</f>
        <v>Kristina Briffa/Sarah Axiaq</v>
      </c>
      <c r="B11" s="41">
        <v>6.0</v>
      </c>
      <c r="C11" s="52">
        <f>IF(B11&gt;B9,1,0)</f>
        <v>1</v>
      </c>
      <c r="D11" s="53"/>
      <c r="E11" s="41">
        <v>6.0</v>
      </c>
      <c r="F11" s="52">
        <f>IF(E11&gt;E9,1,0)</f>
        <v>1</v>
      </c>
      <c r="G11" s="53"/>
      <c r="H11" s="44"/>
      <c r="I11" s="27">
        <f>IF(H11&gt;H9,1,0)</f>
        <v>0</v>
      </c>
      <c r="J11" s="27">
        <f>IF(B11="",0,1)</f>
        <v>1</v>
      </c>
      <c r="K11" s="27">
        <f>IF(C11+F11=2,3,IF(C11+F11=1,1,0))</f>
        <v>3</v>
      </c>
      <c r="L11" s="27">
        <f>IF(K11=3,3,IF(I11+K11=2,2,IF(K11=1,1,0)))</f>
        <v>3</v>
      </c>
      <c r="M11" s="27">
        <f>B11+E11</f>
        <v>12</v>
      </c>
      <c r="N11" s="27">
        <f>C11+F11+I11</f>
        <v>2</v>
      </c>
      <c r="O11" s="27"/>
      <c r="P11" s="51" t="str">
        <f>AE13</f>
        <v>Brenda Baldacchino/Deborah Farrugia</v>
      </c>
      <c r="Q11" s="41">
        <v>6.0</v>
      </c>
      <c r="R11" s="52">
        <f>IF(Q11&gt;Q9,1,0)</f>
        <v>1</v>
      </c>
      <c r="S11" s="53"/>
      <c r="T11" s="41">
        <v>6.0</v>
      </c>
      <c r="U11" s="52">
        <f>IF(T11&gt;T9,1,0)</f>
        <v>1</v>
      </c>
      <c r="V11" s="53"/>
      <c r="W11" s="44"/>
      <c r="X11" s="27">
        <f>IF(W11&gt;W9,1,0)</f>
        <v>0</v>
      </c>
      <c r="Y11" s="27">
        <f>IF(Q11="",0,1)</f>
        <v>1</v>
      </c>
      <c r="Z11" s="27">
        <f>IF(R11+U11=2,3,IF(R11+U11=1,1,0))</f>
        <v>3</v>
      </c>
      <c r="AA11" s="27">
        <f>IF(Z11=3,3,IF(X11+Z11=2,2,IF(Z11=1,1,0)))</f>
        <v>3</v>
      </c>
      <c r="AB11" s="27">
        <f>Q11+T11</f>
        <v>12</v>
      </c>
      <c r="AC11" s="27">
        <f>R11+U11+X11</f>
        <v>2</v>
      </c>
      <c r="AD11" s="27"/>
      <c r="AE11" s="120" t="str">
        <f>'Players Ladies'!B15</f>
        <v>Kristina Briffa/Sarah Axiaq</v>
      </c>
      <c r="AF11" s="46">
        <f>J11+J25+Y21+J21</f>
        <v>4</v>
      </c>
      <c r="AG11" s="46">
        <f t="shared" ref="AG11:AI11" si="2">L11+L25+AA21+L21</f>
        <v>8</v>
      </c>
      <c r="AH11" s="46">
        <f t="shared" si="2"/>
        <v>38</v>
      </c>
      <c r="AI11" s="47">
        <f t="shared" si="2"/>
        <v>6</v>
      </c>
      <c r="AJ11" s="33"/>
      <c r="AK11" s="33"/>
      <c r="AL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27"/>
    </row>
    <row r="13" ht="15.0" customHeight="1">
      <c r="A13" s="40" t="str">
        <f>AE9</f>
        <v>Diane Farrugia/Anna Napier</v>
      </c>
      <c r="B13" s="41">
        <v>1.0</v>
      </c>
      <c r="C13" s="42">
        <f>IF(B13&gt;B15,1,0)</f>
        <v>0</v>
      </c>
      <c r="D13" s="43"/>
      <c r="E13" s="41">
        <v>7.0</v>
      </c>
      <c r="F13" s="42">
        <f>IF(E13&gt;E15,1,0)</f>
        <v>1</v>
      </c>
      <c r="G13" s="43"/>
      <c r="H13" s="41">
        <v>6.0</v>
      </c>
      <c r="I13" s="27">
        <f>IF(H13&gt;H15,1,0)</f>
        <v>0</v>
      </c>
      <c r="J13" s="27">
        <f>IF(B13="",0,1)</f>
        <v>1</v>
      </c>
      <c r="K13" s="27">
        <f>IF(C13+F13=2,3,IF(C13+F13=1,1,0))</f>
        <v>1</v>
      </c>
      <c r="L13" s="27">
        <f>IF(K13=3,3,IF(I13+K13=2,2,IF(K13=1,1,0)))</f>
        <v>1</v>
      </c>
      <c r="M13" s="27">
        <f>B13+E13</f>
        <v>8</v>
      </c>
      <c r="N13" s="27">
        <f>C13+F13+I13</f>
        <v>1</v>
      </c>
      <c r="O13" s="27"/>
      <c r="P13" s="40" t="str">
        <f>AE9</f>
        <v>Diane Farrugia/Anna Napier</v>
      </c>
      <c r="Q13" s="41">
        <v>5.0</v>
      </c>
      <c r="R13" s="42">
        <f>IF(Q13&gt;Q15,1,0)</f>
        <v>0</v>
      </c>
      <c r="S13" s="43"/>
      <c r="T13" s="41">
        <v>1.0</v>
      </c>
      <c r="U13" s="42">
        <f>IF(T13&gt;T15,1,0)</f>
        <v>0</v>
      </c>
      <c r="V13" s="43"/>
      <c r="W13" s="44"/>
      <c r="X13" s="27">
        <f>IF(W13&gt;W15,1,0)</f>
        <v>0</v>
      </c>
      <c r="Y13" s="27">
        <f>IF(Q13="",0,1)</f>
        <v>1</v>
      </c>
      <c r="Z13" s="27">
        <f>IF(R13+U13=2,3,IF(R13+U13=1,1,0))</f>
        <v>0</v>
      </c>
      <c r="AA13" s="27">
        <f>IF(Z13=3,3,IF(X13+Z13=2,2,IF(Z13=1,1,0)))</f>
        <v>0</v>
      </c>
      <c r="AB13" s="27">
        <f>Q13+T13</f>
        <v>6</v>
      </c>
      <c r="AC13" s="27">
        <f>R13+U13+X13</f>
        <v>0</v>
      </c>
      <c r="AD13" s="27"/>
      <c r="AE13" s="120" t="str">
        <f>'Players Ladies'!B16</f>
        <v>Brenda Baldacchino/Deborah Farrugia</v>
      </c>
      <c r="AF13" s="46">
        <f>Y17+J23+J17+Y11</f>
        <v>4</v>
      </c>
      <c r="AG13" s="46">
        <f>L17+AA17+AA11+L23</f>
        <v>8</v>
      </c>
      <c r="AH13" s="46">
        <f>M17+AB11+M23+AB17</f>
        <v>42</v>
      </c>
      <c r="AI13" s="47">
        <f>N17+AC17+AC11+N23</f>
        <v>6</v>
      </c>
      <c r="AJ13" s="33"/>
      <c r="AK13" s="33"/>
      <c r="AL13" s="27"/>
    </row>
    <row r="14" ht="15.0" customHeight="1">
      <c r="A14" s="48" t="s">
        <v>61</v>
      </c>
      <c r="H14" s="49"/>
      <c r="I14" s="50"/>
      <c r="J14" s="27"/>
      <c r="K14" s="27"/>
      <c r="L14" s="27"/>
      <c r="M14" s="27"/>
      <c r="N14" s="27"/>
      <c r="O14" s="27"/>
      <c r="P14" s="48" t="s">
        <v>61</v>
      </c>
      <c r="W14" s="49"/>
      <c r="X14" s="50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27"/>
    </row>
    <row r="15" ht="15.0" customHeight="1">
      <c r="A15" s="51" t="str">
        <f>AE15</f>
        <v>Mariska Steenkamer/Romina Gauci</v>
      </c>
      <c r="B15" s="41">
        <v>6.0</v>
      </c>
      <c r="C15" s="52">
        <f>IF(B15&gt;B13,1,0)</f>
        <v>1</v>
      </c>
      <c r="D15" s="53"/>
      <c r="E15" s="41">
        <v>5.0</v>
      </c>
      <c r="F15" s="52">
        <f>IF(E15&gt;E13,1,0)</f>
        <v>0</v>
      </c>
      <c r="G15" s="53"/>
      <c r="H15" s="41">
        <v>10.0</v>
      </c>
      <c r="I15" s="27">
        <f>IF(H15&gt;H13,1,0)</f>
        <v>1</v>
      </c>
      <c r="J15" s="27">
        <f>IF(B15="",0,1)</f>
        <v>1</v>
      </c>
      <c r="K15" s="27">
        <f>IF(C15+F15=2,3,IF(C15+F15=1,1,0))</f>
        <v>1</v>
      </c>
      <c r="L15" s="27">
        <f>IF(K15=3,3,IF(I15+K15=2,2,IF(K15=1,1,0)))</f>
        <v>2</v>
      </c>
      <c r="M15" s="27">
        <f>B15+E15</f>
        <v>11</v>
      </c>
      <c r="N15" s="27">
        <f>C15+F15+I15</f>
        <v>2</v>
      </c>
      <c r="O15" s="27"/>
      <c r="P15" s="51" t="str">
        <f>AE17</f>
        <v>Francesca Sciortino/Julie Spiteri</v>
      </c>
      <c r="Q15" s="41">
        <v>7.0</v>
      </c>
      <c r="R15" s="52">
        <f>IF(Q15&gt;Q13,1,0)</f>
        <v>1</v>
      </c>
      <c r="S15" s="53"/>
      <c r="T15" s="41">
        <v>6.0</v>
      </c>
      <c r="U15" s="52">
        <f>IF(T15&gt;T13,1,0)</f>
        <v>1</v>
      </c>
      <c r="V15" s="53"/>
      <c r="W15" s="44"/>
      <c r="X15" s="27">
        <f>IF(W15&gt;W13,1,0)</f>
        <v>0</v>
      </c>
      <c r="Y15" s="27">
        <f>IF(Q15="",0,1)</f>
        <v>1</v>
      </c>
      <c r="Z15" s="27">
        <f>IF(R15+U15=2,3,IF(R15+U15=1,1,0))</f>
        <v>3</v>
      </c>
      <c r="AA15" s="27">
        <f>IF(Z15=3,3,IF(X15+Z15=2,2,IF(Z15=1,1,0)))</f>
        <v>3</v>
      </c>
      <c r="AB15" s="27">
        <f>Q15+T15</f>
        <v>13</v>
      </c>
      <c r="AC15" s="27">
        <f>R15+U15+X15</f>
        <v>2</v>
      </c>
      <c r="AD15" s="27"/>
      <c r="AE15" s="120" t="str">
        <f>'Players Ladies'!B17</f>
        <v>Mariska Steenkamer/Romina Gauci</v>
      </c>
      <c r="AF15" s="46">
        <f>Y19+J15+Y23+J29</f>
        <v>4</v>
      </c>
      <c r="AG15" s="46">
        <f t="shared" ref="AG15:AI15" si="3">AA19+L15+AA23+L29</f>
        <v>6</v>
      </c>
      <c r="AH15" s="46">
        <f t="shared" si="3"/>
        <v>44</v>
      </c>
      <c r="AI15" s="47">
        <f t="shared" si="3"/>
        <v>5</v>
      </c>
      <c r="AJ15" s="33"/>
      <c r="AK15" s="33"/>
      <c r="AL15" s="27"/>
    </row>
    <row r="17" ht="15.0" customHeight="1">
      <c r="A17" s="40" t="str">
        <f>AE13</f>
        <v>Brenda Baldacchino/Deborah Farrugia</v>
      </c>
      <c r="B17" s="41">
        <v>6.0</v>
      </c>
      <c r="C17" s="42">
        <f>IF(B17&gt;B19,1,0)</f>
        <v>1</v>
      </c>
      <c r="D17" s="43"/>
      <c r="E17" s="41">
        <v>7.0</v>
      </c>
      <c r="F17" s="42">
        <f>IF(E17&gt;E19,1,0)</f>
        <v>1</v>
      </c>
      <c r="G17" s="43"/>
      <c r="H17" s="44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13</v>
      </c>
      <c r="N17" s="27">
        <f>C17+F17+I17</f>
        <v>2</v>
      </c>
      <c r="O17" s="27"/>
      <c r="P17" s="40" t="str">
        <f>AE13</f>
        <v>Brenda Baldacchino/Deborah Farrugia</v>
      </c>
      <c r="Q17" s="41">
        <v>3.0</v>
      </c>
      <c r="R17" s="42">
        <f>IF(Q17&gt;Q19,1,0)</f>
        <v>0</v>
      </c>
      <c r="S17" s="43"/>
      <c r="T17" s="41">
        <v>7.0</v>
      </c>
      <c r="U17" s="42">
        <f>IF(T17&gt;T19,1,0)</f>
        <v>1</v>
      </c>
      <c r="V17" s="43"/>
      <c r="W17" s="41">
        <v>10.0</v>
      </c>
      <c r="X17" s="27">
        <f>IF(W17&gt;W19,1,0)</f>
        <v>1</v>
      </c>
      <c r="Y17" s="27">
        <f>IF(Q17="",0,1)</f>
        <v>1</v>
      </c>
      <c r="Z17" s="27">
        <f>IF(R17+U17=2,3,IF(R17+U17=1,1,0))</f>
        <v>1</v>
      </c>
      <c r="AA17" s="27">
        <f>IF(Z17=3,3,IF(X17+Z17=2,2,IF(Z17=1,1,0)))</f>
        <v>2</v>
      </c>
      <c r="AB17" s="27">
        <f>Q17+T17</f>
        <v>10</v>
      </c>
      <c r="AC17" s="27">
        <f>R17+U17+X17</f>
        <v>2</v>
      </c>
      <c r="AD17" s="27"/>
      <c r="AE17" s="120" t="str">
        <f>'Players Ladies'!B18</f>
        <v>Francesca Sciortino/Julie Spiteri</v>
      </c>
      <c r="AF17" s="46">
        <f>Y15+J27+J19+J31</f>
        <v>4</v>
      </c>
      <c r="AG17" s="85">
        <f t="shared" ref="AG17:AH17" si="4">AA15+L27+L19+L31</f>
        <v>7</v>
      </c>
      <c r="AH17" s="46">
        <f t="shared" si="4"/>
        <v>47</v>
      </c>
      <c r="AI17" s="47">
        <f>N31+N27+AC15+N19</f>
        <v>5</v>
      </c>
    </row>
    <row r="18" ht="15.0" customHeight="1">
      <c r="A18" s="48" t="s">
        <v>61</v>
      </c>
      <c r="H18" s="49"/>
      <c r="I18" s="50"/>
      <c r="J18" s="27"/>
      <c r="K18" s="27"/>
      <c r="L18" s="27"/>
      <c r="M18" s="27"/>
      <c r="N18" s="27"/>
      <c r="O18" s="27"/>
      <c r="P18" s="48" t="s">
        <v>61</v>
      </c>
      <c r="W18" s="49"/>
      <c r="X18" s="50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</row>
    <row r="19" ht="15.0" customHeight="1">
      <c r="A19" s="51" t="str">
        <f>AE17</f>
        <v>Francesca Sciortino/Julie Spiteri</v>
      </c>
      <c r="B19" s="41">
        <v>4.0</v>
      </c>
      <c r="C19" s="52">
        <f>IF(B19&gt;B17,1,0)</f>
        <v>0</v>
      </c>
      <c r="D19" s="53"/>
      <c r="E19" s="41">
        <v>5.0</v>
      </c>
      <c r="F19" s="52">
        <f>IF(E19&gt;E17,1,0)</f>
        <v>0</v>
      </c>
      <c r="G19" s="53"/>
      <c r="H19" s="44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9</v>
      </c>
      <c r="N19" s="27">
        <f>C19+F19+I19</f>
        <v>0</v>
      </c>
      <c r="O19" s="27"/>
      <c r="P19" s="51" t="str">
        <f>AE15</f>
        <v>Mariska Steenkamer/Romina Gauci</v>
      </c>
      <c r="Q19" s="41">
        <v>6.0</v>
      </c>
      <c r="R19" s="52">
        <f>IF(Q19&gt;Q17,1,0)</f>
        <v>1</v>
      </c>
      <c r="S19" s="53"/>
      <c r="T19" s="41">
        <v>6.0</v>
      </c>
      <c r="U19" s="52">
        <f>IF(T19&gt;T17,1,0)</f>
        <v>0</v>
      </c>
      <c r="V19" s="53"/>
      <c r="W19" s="41">
        <v>8.0</v>
      </c>
      <c r="X19" s="27">
        <f>IF(W19&gt;W17,1,0)</f>
        <v>0</v>
      </c>
      <c r="Y19" s="27">
        <f>IF(Q19="",0,1)</f>
        <v>1</v>
      </c>
      <c r="Z19" s="27">
        <f>IF(R19+U19=2,3,IF(R19+U19=1,1,0))</f>
        <v>1</v>
      </c>
      <c r="AA19" s="27">
        <f>IF(Z19=3,3,IF(X19+Z19=2,2,IF(Z19=1,1,0)))</f>
        <v>1</v>
      </c>
      <c r="AB19" s="27">
        <f>Q19+T19</f>
        <v>12</v>
      </c>
      <c r="AC19" s="27">
        <f>R19+U19+X19</f>
        <v>1</v>
      </c>
      <c r="AD19" s="27"/>
      <c r="AE19" s="116" t="s">
        <v>62</v>
      </c>
      <c r="AF19" s="30"/>
      <c r="AG19" s="30"/>
      <c r="AH19" s="30"/>
      <c r="AI19" s="11"/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55" t="s">
        <v>86</v>
      </c>
      <c r="AF20" s="30"/>
      <c r="AG20" s="30"/>
      <c r="AH20" s="30"/>
      <c r="AI20" s="11"/>
    </row>
    <row r="21" ht="15.0" customHeight="1">
      <c r="A21" s="40" t="str">
        <f>AE11</f>
        <v>Kristina Briffa/Sarah Axiaq</v>
      </c>
      <c r="B21" s="41">
        <v>6.0</v>
      </c>
      <c r="C21" s="42">
        <f>IF(B21&gt;B23,1,0)</f>
        <v>1</v>
      </c>
      <c r="D21" s="43"/>
      <c r="E21" s="41">
        <v>6.0</v>
      </c>
      <c r="F21" s="42">
        <f>IF(E21&gt;E23,1,0)</f>
        <v>1</v>
      </c>
      <c r="G21" s="43"/>
      <c r="H21" s="44"/>
      <c r="I21" s="27">
        <f>IF(H21&gt;H23,1,0)</f>
        <v>0</v>
      </c>
      <c r="J21" s="27">
        <f>IF(B21="",0,1)</f>
        <v>1</v>
      </c>
      <c r="K21" s="27">
        <f>IF(C21+F21=2,3,IF(C21+F21=1,1,0))</f>
        <v>3</v>
      </c>
      <c r="L21" s="27">
        <f>IF(K21=3,3,IF(I21+K21=2,2,IF(K21=1,1,0)))</f>
        <v>3</v>
      </c>
      <c r="M21" s="27">
        <f>B21+E21</f>
        <v>12</v>
      </c>
      <c r="N21" s="27">
        <f>C21+F21+I21</f>
        <v>2</v>
      </c>
      <c r="O21" s="27"/>
      <c r="P21" s="40" t="str">
        <f>AE11</f>
        <v>Kristina Briffa/Sarah Axiaq</v>
      </c>
      <c r="Q21" s="41">
        <v>2.0</v>
      </c>
      <c r="R21" s="42">
        <f>IF(Q21&gt;Q23,1,0)</f>
        <v>0</v>
      </c>
      <c r="S21" s="43"/>
      <c r="T21" s="41">
        <v>2.0</v>
      </c>
      <c r="U21" s="42">
        <f>IF(T21&gt;T23,1,0)</f>
        <v>0</v>
      </c>
      <c r="V21" s="43"/>
      <c r="W21" s="44"/>
      <c r="X21" s="27">
        <f>IF(W21&gt;W23,1,0)</f>
        <v>0</v>
      </c>
      <c r="Y21" s="27">
        <f>IF(Q21="",0,1)</f>
        <v>1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4</v>
      </c>
      <c r="AC21" s="27">
        <f>R21+U21+X21</f>
        <v>0</v>
      </c>
      <c r="AD21" s="27"/>
    </row>
    <row r="22" ht="15.0" customHeight="1">
      <c r="A22" s="48" t="s">
        <v>61</v>
      </c>
      <c r="H22" s="49"/>
      <c r="I22" s="50"/>
      <c r="J22" s="27"/>
      <c r="K22" s="27"/>
      <c r="L22" s="27"/>
      <c r="M22" s="27"/>
      <c r="N22" s="27"/>
      <c r="O22" s="27"/>
      <c r="P22" s="48" t="s">
        <v>61</v>
      </c>
      <c r="W22" s="49"/>
      <c r="X22" s="50"/>
      <c r="Y22" s="27"/>
      <c r="Z22" s="27"/>
      <c r="AA22" s="27"/>
      <c r="AB22" s="27"/>
      <c r="AC22" s="27"/>
      <c r="AD22" s="27"/>
    </row>
    <row r="23" ht="15.0" customHeight="1">
      <c r="A23" s="51" t="str">
        <f>AE13</f>
        <v>Brenda Baldacchino/Deborah Farrugia</v>
      </c>
      <c r="B23" s="41">
        <v>3.0</v>
      </c>
      <c r="C23" s="52">
        <f>IF(B23&gt;B21,1,0)</f>
        <v>0</v>
      </c>
      <c r="D23" s="53"/>
      <c r="E23" s="41">
        <v>4.0</v>
      </c>
      <c r="F23" s="52">
        <f>IF(E23&gt;E21,1,0)</f>
        <v>0</v>
      </c>
      <c r="G23" s="53"/>
      <c r="H23" s="44"/>
      <c r="I23" s="27">
        <f>IF(H23&gt;H21,1,0)</f>
        <v>0</v>
      </c>
      <c r="J23" s="27">
        <f>IF(B23="",0,1)</f>
        <v>1</v>
      </c>
      <c r="K23" s="27">
        <f>IF(C23+F23=2,3,IF(C23+F23=1,1,0))</f>
        <v>0</v>
      </c>
      <c r="L23" s="27">
        <f>IF(K23=3,3,IF(I23+K23=2,2,IF(K23=1,1,0)))</f>
        <v>0</v>
      </c>
      <c r="M23" s="27">
        <f>B23+E23</f>
        <v>7</v>
      </c>
      <c r="N23" s="27">
        <f>C23+F23+I23</f>
        <v>0</v>
      </c>
      <c r="O23" s="27"/>
      <c r="P23" s="51" t="str">
        <f>AE15</f>
        <v>Mariska Steenkamer/Romina Gauci</v>
      </c>
      <c r="Q23" s="41">
        <v>6.0</v>
      </c>
      <c r="R23" s="52">
        <f>IF(Q23&gt;Q21,1,0)</f>
        <v>1</v>
      </c>
      <c r="S23" s="53"/>
      <c r="T23" s="41">
        <v>6.0</v>
      </c>
      <c r="U23" s="52">
        <f>IF(T23&gt;T21,1,0)</f>
        <v>1</v>
      </c>
      <c r="V23" s="53"/>
      <c r="W23" s="44"/>
      <c r="X23" s="27">
        <f>IF(W23&gt;W21,1,0)</f>
        <v>0</v>
      </c>
      <c r="Y23" s="27">
        <f>IF(Q23="",0,1)</f>
        <v>1</v>
      </c>
      <c r="Z23" s="27">
        <f>IF(R23+U23=2,3,IF(R23+U23=1,1,0))</f>
        <v>3</v>
      </c>
      <c r="AA23" s="27">
        <f>IF(Z23=3,3,IF(X23+Z23=2,2,IF(Z23=1,1,0)))</f>
        <v>3</v>
      </c>
      <c r="AB23" s="27">
        <f>Q23+T23</f>
        <v>12</v>
      </c>
      <c r="AC23" s="27">
        <f>R23+U23+X23</f>
        <v>2</v>
      </c>
      <c r="AD23" s="27"/>
      <c r="AE23" s="27"/>
      <c r="AF23" s="27"/>
      <c r="AG23" s="27"/>
      <c r="AH23" s="27"/>
      <c r="AI23" s="27"/>
    </row>
    <row r="24" ht="15.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ht="15.0" customHeight="1">
      <c r="A25" s="40" t="str">
        <f>AE11</f>
        <v>Kristina Briffa/Sarah Axiaq</v>
      </c>
      <c r="B25" s="41">
        <v>3.0</v>
      </c>
      <c r="C25" s="42">
        <f>IF(B25&gt;B27,1,0)</f>
        <v>0</v>
      </c>
      <c r="D25" s="43"/>
      <c r="E25" s="41">
        <v>7.0</v>
      </c>
      <c r="F25" s="42">
        <f>IF(E25&gt;E27,1,0)</f>
        <v>1</v>
      </c>
      <c r="G25" s="43"/>
      <c r="H25" s="41">
        <v>10.0</v>
      </c>
      <c r="I25" s="27">
        <f>IF(H25&gt;H27,1,0)</f>
        <v>1</v>
      </c>
      <c r="J25" s="27">
        <f>IF(B25="",0,1)</f>
        <v>1</v>
      </c>
      <c r="K25" s="27">
        <f>IF(C25+F25=2,3,IF(C25+F25=1,1,0))</f>
        <v>1</v>
      </c>
      <c r="L25" s="27">
        <f>IF(K25=3,3,IF(I25+K25=2,2,IF(K25=1,1,0)))</f>
        <v>2</v>
      </c>
      <c r="M25" s="27">
        <f>B25+E25</f>
        <v>10</v>
      </c>
      <c r="N25" s="27">
        <f>C25+F25+I25</f>
        <v>2</v>
      </c>
      <c r="O25" s="27"/>
      <c r="P25" s="27"/>
      <c r="Q25" s="33"/>
      <c r="R25" s="27"/>
      <c r="S25" s="33"/>
      <c r="T25" s="33"/>
      <c r="U25" s="27"/>
      <c r="V25" s="33"/>
      <c r="W25" s="33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33"/>
      <c r="AI25" s="27"/>
    </row>
    <row r="26" ht="15.0" customHeight="1">
      <c r="A26" s="48" t="s">
        <v>61</v>
      </c>
      <c r="H26" s="49"/>
      <c r="I26" s="50"/>
      <c r="J26" s="27"/>
      <c r="K26" s="27"/>
      <c r="L26" s="27"/>
      <c r="M26" s="27"/>
      <c r="N26" s="27"/>
      <c r="O26" s="27"/>
      <c r="P26" s="27"/>
      <c r="X26" s="50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ht="15.0" customHeight="1">
      <c r="A27" s="51" t="str">
        <f>AE17</f>
        <v>Francesca Sciortino/Julie Spiteri</v>
      </c>
      <c r="B27" s="41">
        <v>6.0</v>
      </c>
      <c r="C27" s="52">
        <f>IF(B27&gt;B25,1,0)</f>
        <v>1</v>
      </c>
      <c r="D27" s="53"/>
      <c r="E27" s="41">
        <v>6.0</v>
      </c>
      <c r="F27" s="52">
        <f>IF(E27&gt;E25,1,0)</f>
        <v>0</v>
      </c>
      <c r="G27" s="53"/>
      <c r="H27" s="41">
        <v>7.0</v>
      </c>
      <c r="I27" s="27">
        <f>IF(H27&gt;H25,1,0)</f>
        <v>0</v>
      </c>
      <c r="J27" s="27">
        <f>IF(B27="",0,1)</f>
        <v>1</v>
      </c>
      <c r="K27" s="27">
        <f>IF(C27+F27=2,3,IF(C27+F27=1,1,0))</f>
        <v>1</v>
      </c>
      <c r="L27" s="27">
        <f>IF(K27=3,3,IF(I27+K27=2,2,IF(K27=1,1,0)))</f>
        <v>1</v>
      </c>
      <c r="M27" s="27">
        <f>B27+E27</f>
        <v>12</v>
      </c>
      <c r="N27" s="27">
        <f>C27+F27+I27</f>
        <v>1</v>
      </c>
      <c r="O27" s="27"/>
      <c r="P27" s="27"/>
      <c r="Q27" s="33"/>
      <c r="R27" s="27"/>
      <c r="S27" s="33"/>
      <c r="T27" s="33"/>
      <c r="U27" s="27"/>
      <c r="V27" s="33"/>
      <c r="W27" s="33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</row>
    <row r="29" ht="15.0" customHeight="1">
      <c r="A29" s="40" t="str">
        <f>AE15</f>
        <v>Mariska Steenkamer/Romina Gauci</v>
      </c>
      <c r="B29" s="41">
        <v>5.0</v>
      </c>
      <c r="C29" s="42">
        <f>IF(B29&gt;B31,1,0)</f>
        <v>0</v>
      </c>
      <c r="D29" s="43"/>
      <c r="E29" s="41">
        <v>4.0</v>
      </c>
      <c r="F29" s="42">
        <f>IF(E29&gt;E31,1,0)</f>
        <v>0</v>
      </c>
      <c r="G29" s="43"/>
      <c r="H29" s="44"/>
      <c r="I29" s="27">
        <f>IF(H29&gt;H31,1,0)</f>
        <v>0</v>
      </c>
      <c r="J29" s="27">
        <f>IF(B29="",0,1)</f>
        <v>1</v>
      </c>
      <c r="K29" s="27">
        <f>IF(C29+F29=2,3,IF(C29+F29=1,1,0))</f>
        <v>0</v>
      </c>
      <c r="L29" s="27">
        <f>IF(K29=3,3,IF(I29+K29=2,2,IF(K29=1,1,0)))</f>
        <v>0</v>
      </c>
      <c r="M29" s="27">
        <f>B29+E29</f>
        <v>9</v>
      </c>
      <c r="N29" s="27">
        <f>C29+F29+I29</f>
        <v>0</v>
      </c>
      <c r="O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 ht="15.0" customHeight="1">
      <c r="A30" s="48" t="s">
        <v>61</v>
      </c>
      <c r="H30" s="49"/>
      <c r="I30" s="50"/>
      <c r="J30" s="27"/>
      <c r="K30" s="27"/>
      <c r="L30" s="27"/>
      <c r="M30" s="27"/>
      <c r="N30" s="27"/>
      <c r="O30" s="27"/>
      <c r="X30" s="50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ht="15.0" customHeight="1">
      <c r="A31" s="51" t="str">
        <f>AE17</f>
        <v>Francesca Sciortino/Julie Spiteri</v>
      </c>
      <c r="B31" s="41">
        <v>7.0</v>
      </c>
      <c r="C31" s="52">
        <f>IF(B31&gt;B29,1,0)</f>
        <v>1</v>
      </c>
      <c r="D31" s="53"/>
      <c r="E31" s="41">
        <v>6.0</v>
      </c>
      <c r="F31" s="52">
        <f>IF(E31&gt;E29,1,0)</f>
        <v>1</v>
      </c>
      <c r="G31" s="53"/>
      <c r="H31" s="44"/>
      <c r="I31" s="27">
        <f>IF(H31&gt;H29,1,0)</f>
        <v>0</v>
      </c>
      <c r="J31" s="27">
        <f>IF(B31="",0,1)</f>
        <v>1</v>
      </c>
      <c r="K31" s="27">
        <f>IF(C31+F31=2,3,IF(C31+F31=1,1,0))</f>
        <v>3</v>
      </c>
      <c r="L31" s="27">
        <f>IF(K31=3,3,IF(I31+K31=2,2,IF(K31=1,1,0)))</f>
        <v>3</v>
      </c>
      <c r="M31" s="27">
        <f>B31+E31</f>
        <v>13</v>
      </c>
      <c r="N31" s="27">
        <f>C31+F31+I31</f>
        <v>2</v>
      </c>
      <c r="O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0" customHeight="1">
      <c r="A50" s="121" t="s">
        <v>83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6"/>
      <c r="AJ50" s="27"/>
      <c r="AK50" s="27"/>
      <c r="AL50" s="27"/>
    </row>
    <row r="51" ht="15.0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ht="30.0" customHeight="1">
      <c r="A52" s="122" t="s">
        <v>41</v>
      </c>
      <c r="B52" s="123" t="s">
        <v>42</v>
      </c>
      <c r="C52" s="30"/>
      <c r="D52" s="30"/>
      <c r="E52" s="11"/>
      <c r="F52" s="61"/>
      <c r="G52" s="32"/>
      <c r="H52" s="122" t="s">
        <v>43</v>
      </c>
      <c r="I52" s="27"/>
      <c r="J52" s="27"/>
      <c r="K52" s="27"/>
      <c r="L52" s="27"/>
      <c r="M52" s="33"/>
      <c r="N52" s="33"/>
      <c r="O52" s="33"/>
      <c r="P52" s="122" t="s">
        <v>41</v>
      </c>
      <c r="Q52" s="123" t="s">
        <v>42</v>
      </c>
      <c r="R52" s="30"/>
      <c r="S52" s="30"/>
      <c r="T52" s="11"/>
      <c r="U52" s="61"/>
      <c r="V52" s="32"/>
      <c r="W52" s="122" t="s">
        <v>43</v>
      </c>
      <c r="X52" s="27"/>
      <c r="Y52" s="33"/>
      <c r="Z52" s="33"/>
      <c r="AA52" s="33"/>
      <c r="AB52" s="33"/>
      <c r="AC52" s="33"/>
      <c r="AD52" s="33"/>
      <c r="AE52" s="122" t="s">
        <v>44</v>
      </c>
      <c r="AF52" s="124" t="s">
        <v>45</v>
      </c>
      <c r="AG52" s="124" t="s">
        <v>46</v>
      </c>
      <c r="AH52" s="122" t="s">
        <v>47</v>
      </c>
      <c r="AI52" s="122" t="s">
        <v>48</v>
      </c>
      <c r="AJ52" s="63"/>
      <c r="AK52" s="63"/>
      <c r="AL52" s="27"/>
    </row>
    <row r="53" ht="15.75" hidden="1" customHeight="1">
      <c r="A53" s="27"/>
      <c r="B53" s="37" t="s">
        <v>49</v>
      </c>
      <c r="C53" s="37" t="s">
        <v>50</v>
      </c>
      <c r="D53" s="37"/>
      <c r="E53" s="37" t="s">
        <v>49</v>
      </c>
      <c r="F53" s="37" t="s">
        <v>51</v>
      </c>
      <c r="G53" s="37"/>
      <c r="H53" s="37" t="s">
        <v>49</v>
      </c>
      <c r="I53" s="37" t="s">
        <v>52</v>
      </c>
      <c r="J53" s="37" t="s">
        <v>53</v>
      </c>
      <c r="K53" s="37" t="s">
        <v>54</v>
      </c>
      <c r="L53" s="37" t="s">
        <v>55</v>
      </c>
      <c r="M53" s="37" t="s">
        <v>56</v>
      </c>
      <c r="N53" s="37" t="s">
        <v>57</v>
      </c>
      <c r="O53" s="27"/>
      <c r="P53" s="27"/>
      <c r="Q53" s="37" t="s">
        <v>49</v>
      </c>
      <c r="R53" s="37" t="s">
        <v>50</v>
      </c>
      <c r="S53" s="37"/>
      <c r="T53" s="37" t="s">
        <v>49</v>
      </c>
      <c r="U53" s="37" t="s">
        <v>51</v>
      </c>
      <c r="V53" s="37"/>
      <c r="W53" s="37" t="s">
        <v>49</v>
      </c>
      <c r="X53" s="37" t="s">
        <v>52</v>
      </c>
      <c r="Y53" s="37" t="s">
        <v>53</v>
      </c>
      <c r="Z53" s="37" t="s">
        <v>54</v>
      </c>
      <c r="AA53" s="37" t="s">
        <v>55</v>
      </c>
      <c r="AB53" s="37" t="s">
        <v>56</v>
      </c>
      <c r="AC53" s="37" t="s">
        <v>57</v>
      </c>
      <c r="AD53" s="27"/>
      <c r="AE53" s="33"/>
      <c r="AF53" s="33"/>
      <c r="AG53" s="33"/>
      <c r="AH53" s="33"/>
      <c r="AI53" s="33"/>
      <c r="AJ53" s="37" t="s">
        <v>58</v>
      </c>
      <c r="AK53" s="38" t="s">
        <v>59</v>
      </c>
      <c r="AL53" s="39" t="s">
        <v>60</v>
      </c>
    </row>
    <row r="54" ht="15.0" customHeight="1">
      <c r="A54" s="40" t="str">
        <f>AE54</f>
        <v>Nancy Wong/Rowena Caruana</v>
      </c>
      <c r="B54" s="41">
        <v>6.0</v>
      </c>
      <c r="C54" s="42">
        <f>IF(B54&gt;B56,1,0)</f>
        <v>1</v>
      </c>
      <c r="D54" s="43"/>
      <c r="E54" s="41">
        <v>6.0</v>
      </c>
      <c r="F54" s="42">
        <f>IF(E54&gt;E56,1,0)</f>
        <v>1</v>
      </c>
      <c r="G54" s="43"/>
      <c r="H54" s="44"/>
      <c r="I54" s="27">
        <f>IF(H54&gt;H56,1,0)</f>
        <v>0</v>
      </c>
      <c r="J54" s="27">
        <f>IF(B54="",0,1)</f>
        <v>1</v>
      </c>
      <c r="K54" s="27">
        <f>IF(C54+F54=2,3,IF(C54+F54=1,1,0))</f>
        <v>3</v>
      </c>
      <c r="L54" s="27">
        <f>IF(K54=3,3,IF(I54+K54=2,2,IF(K54=1,1,0)))</f>
        <v>3</v>
      </c>
      <c r="M54" s="27">
        <f>B54+E54</f>
        <v>12</v>
      </c>
      <c r="N54" s="27">
        <f>C54+F54+I54</f>
        <v>2</v>
      </c>
      <c r="O54" s="27"/>
      <c r="P54" s="125" t="str">
        <f>AE54</f>
        <v>Nancy Wong/Rowena Caruana</v>
      </c>
      <c r="Q54" s="126"/>
      <c r="R54" s="127">
        <f>IF(Q54&gt;Q56,1,0)</f>
        <v>0</v>
      </c>
      <c r="S54" s="128"/>
      <c r="T54" s="126"/>
      <c r="U54" s="127">
        <f>IF(T54&gt;T56,1,0)</f>
        <v>0</v>
      </c>
      <c r="V54" s="128"/>
      <c r="W54" s="126"/>
      <c r="X54" s="27">
        <f>IF(W54&gt;W56,1,0)</f>
        <v>0</v>
      </c>
      <c r="Y54" s="27">
        <f>IF(Q54="",0,1)</f>
        <v>0</v>
      </c>
      <c r="Z54" s="27">
        <f>IF(R54+U54=2,3,IF(R54+U54=1,1,0))</f>
        <v>0</v>
      </c>
      <c r="AA54" s="27">
        <f>IF(Z54=3,3,IF(X54+Z54=2,2,IF(Z54=1,1,0)))</f>
        <v>0</v>
      </c>
      <c r="AB54" s="27">
        <f>Q54+T54</f>
        <v>0</v>
      </c>
      <c r="AC54" s="27">
        <f>R54+U54+X54</f>
        <v>0</v>
      </c>
      <c r="AD54" s="27"/>
      <c r="AE54" s="129" t="str">
        <f>'Players Ladies'!F14</f>
        <v>Nancy Wong/Rowena Caruana</v>
      </c>
      <c r="AF54" s="46">
        <f>J54+Y54+J58+Y58</f>
        <v>3</v>
      </c>
      <c r="AG54" s="46">
        <f t="shared" ref="AG54:AI54" si="5">L54+AA54+L58+AA58</f>
        <v>7</v>
      </c>
      <c r="AH54" s="46">
        <f t="shared" si="5"/>
        <v>34</v>
      </c>
      <c r="AI54" s="47">
        <f t="shared" si="5"/>
        <v>5</v>
      </c>
      <c r="AJ54" s="27">
        <f>MAX(AG54:AG63)</f>
        <v>7</v>
      </c>
      <c r="AK54" s="27">
        <f>SUM(AF54:AF63)</f>
        <v>12</v>
      </c>
      <c r="AL54" s="27" t="str">
        <f>IF(AG54=$AJ$54,AE54,IF(AG56=$AJ$54,AE56,IF(AG58=$AJ$54,AE58,IF(AG60=$AJ$54,AE60,IF(AG62=$AJ$54,AE62,IF(#REF!=$AJ$54,#REF!,""))))))</f>
        <v>Nancy Wong/Rowena Caruana</v>
      </c>
    </row>
    <row r="55" ht="15.0" customHeight="1">
      <c r="A55" s="48" t="s">
        <v>61</v>
      </c>
      <c r="H55" s="49"/>
      <c r="I55" s="50"/>
      <c r="J55" s="27"/>
      <c r="K55" s="27"/>
      <c r="L55" s="27"/>
      <c r="M55" s="27"/>
      <c r="N55" s="27"/>
      <c r="O55" s="27"/>
      <c r="P55" s="130" t="s">
        <v>61</v>
      </c>
      <c r="W55" s="49"/>
      <c r="X55" s="50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33"/>
      <c r="AL55" s="27"/>
    </row>
    <row r="56" ht="15.0" customHeight="1">
      <c r="A56" s="51" t="str">
        <f>AE56</f>
        <v>Angele Pule'/Jennifer Mifsud</v>
      </c>
      <c r="B56" s="41">
        <v>3.0</v>
      </c>
      <c r="C56" s="52">
        <f>IF(B56&gt;B54,1,0)</f>
        <v>0</v>
      </c>
      <c r="D56" s="53"/>
      <c r="E56" s="41">
        <v>4.0</v>
      </c>
      <c r="F56" s="52">
        <f>IF(E56&gt;E54,1,0)</f>
        <v>0</v>
      </c>
      <c r="G56" s="53"/>
      <c r="H56" s="44"/>
      <c r="I56" s="27">
        <f>IF(H56&gt;H54,1,0)</f>
        <v>0</v>
      </c>
      <c r="J56" s="27">
        <f>IF(B56="",0,1)</f>
        <v>1</v>
      </c>
      <c r="K56" s="27">
        <f>IF(C56+F56=2,3,IF(C56+F56=1,1,0))</f>
        <v>0</v>
      </c>
      <c r="L56" s="27">
        <f>IF(K56=3,3,IF(I56+K56=2,2,IF(K56=1,1,0)))</f>
        <v>0</v>
      </c>
      <c r="M56" s="27">
        <f>B56+E56</f>
        <v>7</v>
      </c>
      <c r="N56" s="27">
        <f>C56+F56+I56</f>
        <v>0</v>
      </c>
      <c r="O56" s="27"/>
      <c r="P56" s="131" t="str">
        <f>AE58</f>
        <v>Hiedi Tabone/Anabel Borg</v>
      </c>
      <c r="Q56" s="126"/>
      <c r="R56" s="132">
        <f>IF(Q56&gt;Q54,1,0)</f>
        <v>0</v>
      </c>
      <c r="S56" s="133"/>
      <c r="T56" s="126"/>
      <c r="U56" s="132">
        <f>IF(T56&gt;T54,1,0)</f>
        <v>0</v>
      </c>
      <c r="V56" s="133"/>
      <c r="W56" s="126"/>
      <c r="X56" s="27">
        <f>IF(W56&gt;W54,1,0)</f>
        <v>0</v>
      </c>
      <c r="Y56" s="27">
        <f>IF(Q56="",0,1)</f>
        <v>0</v>
      </c>
      <c r="Z56" s="27">
        <f>IF(R56+U56=2,3,IF(R56+U56=1,1,0))</f>
        <v>0</v>
      </c>
      <c r="AA56" s="27">
        <f>IF(Z56=3,3,IF(X56+Z56=2,2,IF(Z56=1,1,0)))</f>
        <v>0</v>
      </c>
      <c r="AB56" s="27">
        <f>Q56+T56</f>
        <v>0</v>
      </c>
      <c r="AC56" s="27">
        <f>R56+U56+X56</f>
        <v>0</v>
      </c>
      <c r="AD56" s="27"/>
      <c r="AE56" s="129" t="str">
        <f>'Players Ladies'!F15</f>
        <v>Angele Pule'/Jennifer Mifsud</v>
      </c>
      <c r="AF56" s="46">
        <f>J56+J70+Y66+J66</f>
        <v>3</v>
      </c>
      <c r="AG56" s="46">
        <f t="shared" ref="AG56:AI56" si="6">L56+L70+AA66+L66</f>
        <v>2</v>
      </c>
      <c r="AH56" s="46">
        <f t="shared" si="6"/>
        <v>25</v>
      </c>
      <c r="AI56" s="47">
        <f t="shared" si="6"/>
        <v>2</v>
      </c>
      <c r="AJ56" s="33"/>
      <c r="AK56" s="33"/>
      <c r="AL56" s="27"/>
    </row>
    <row r="57" ht="15.0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33"/>
      <c r="AG57" s="33"/>
      <c r="AH57" s="33"/>
      <c r="AI57" s="33"/>
      <c r="AJ57" s="33"/>
      <c r="AK57" s="33"/>
      <c r="AL57" s="27"/>
    </row>
    <row r="58" ht="15.0" customHeight="1">
      <c r="A58" s="40" t="str">
        <f>AE54</f>
        <v>Nancy Wong/Rowena Caruana</v>
      </c>
      <c r="B58" s="41">
        <v>6.0</v>
      </c>
      <c r="C58" s="42">
        <f>IF(B58&gt;B60,1,0)</f>
        <v>1</v>
      </c>
      <c r="D58" s="43"/>
      <c r="E58" s="41">
        <v>4.0</v>
      </c>
      <c r="F58" s="42">
        <f>IF(E58&gt;E60,1,0)</f>
        <v>0</v>
      </c>
      <c r="G58" s="43"/>
      <c r="H58" s="41">
        <v>8.0</v>
      </c>
      <c r="I58" s="27">
        <f>IF(H58&gt;H60,1,0)</f>
        <v>0</v>
      </c>
      <c r="J58" s="27">
        <f>IF(B58="",0,1)</f>
        <v>1</v>
      </c>
      <c r="K58" s="27">
        <f>IF(C58+F58=2,3,IF(C58+F58=1,1,0))</f>
        <v>1</v>
      </c>
      <c r="L58" s="27">
        <f>IF(K58=3,3,IF(I58+K58=2,2,IF(K58=1,1,0)))</f>
        <v>1</v>
      </c>
      <c r="M58" s="27">
        <f>B58+E58</f>
        <v>10</v>
      </c>
      <c r="N58" s="27">
        <f>C58+F58+I58</f>
        <v>1</v>
      </c>
      <c r="O58" s="27"/>
      <c r="P58" s="40" t="str">
        <f>AE54</f>
        <v>Nancy Wong/Rowena Caruana</v>
      </c>
      <c r="Q58" s="41">
        <v>6.0</v>
      </c>
      <c r="R58" s="42">
        <f>IF(Q58&gt;Q60,1,0)</f>
        <v>1</v>
      </c>
      <c r="S58" s="43"/>
      <c r="T58" s="41">
        <v>6.0</v>
      </c>
      <c r="U58" s="42">
        <f>IF(T58&gt;T60,1,0)</f>
        <v>1</v>
      </c>
      <c r="V58" s="43"/>
      <c r="W58" s="44"/>
      <c r="X58" s="27">
        <f>IF(W58&gt;W60,1,0)</f>
        <v>0</v>
      </c>
      <c r="Y58" s="27">
        <f>IF(Q58="",0,1)</f>
        <v>1</v>
      </c>
      <c r="Z58" s="27">
        <f>IF(R58+U58=2,3,IF(R58+U58=1,1,0))</f>
        <v>3</v>
      </c>
      <c r="AA58" s="27">
        <f>IF(Z58=3,3,IF(X58+Z58=2,2,IF(Z58=1,1,0)))</f>
        <v>3</v>
      </c>
      <c r="AB58" s="27">
        <f>Q58+T58</f>
        <v>12</v>
      </c>
      <c r="AC58" s="27">
        <f>R58+U58+X58</f>
        <v>2</v>
      </c>
      <c r="AD58" s="27"/>
      <c r="AE58" s="129" t="str">
        <f>'Players Ladies'!F16</f>
        <v>Hiedi Tabone/Anabel Borg</v>
      </c>
      <c r="AF58" s="134">
        <f>Y62+Y56+J62+J68</f>
        <v>0</v>
      </c>
      <c r="AG58" s="134">
        <f t="shared" ref="AG58:AI58" si="7">AA62+AA56+L62+L68</f>
        <v>0</v>
      </c>
      <c r="AH58" s="134">
        <f t="shared" si="7"/>
        <v>0</v>
      </c>
      <c r="AI58" s="135">
        <f t="shared" si="7"/>
        <v>0</v>
      </c>
      <c r="AJ58" s="33"/>
      <c r="AK58" s="33"/>
      <c r="AL58" s="27"/>
    </row>
    <row r="59" ht="15.0" customHeight="1">
      <c r="A59" s="48" t="s">
        <v>61</v>
      </c>
      <c r="H59" s="49"/>
      <c r="I59" s="50"/>
      <c r="J59" s="27"/>
      <c r="K59" s="27"/>
      <c r="L59" s="27"/>
      <c r="M59" s="27"/>
      <c r="N59" s="27"/>
      <c r="O59" s="27"/>
      <c r="P59" s="48" t="s">
        <v>61</v>
      </c>
      <c r="W59" s="49"/>
      <c r="X59" s="50"/>
      <c r="Y59" s="27"/>
      <c r="Z59" s="27"/>
      <c r="AA59" s="27"/>
      <c r="AB59" s="27"/>
      <c r="AC59" s="27"/>
      <c r="AD59" s="27"/>
      <c r="AE59" s="27"/>
      <c r="AF59" s="33"/>
      <c r="AG59" s="33"/>
      <c r="AH59" s="33"/>
      <c r="AI59" s="33"/>
      <c r="AJ59" s="33"/>
      <c r="AK59" s="33"/>
      <c r="AL59" s="27"/>
    </row>
    <row r="60" ht="15.0" customHeight="1">
      <c r="A60" s="51" t="str">
        <f>AE60</f>
        <v>Marcette Sciriha/Tanya Cassar</v>
      </c>
      <c r="B60" s="41">
        <v>3.0</v>
      </c>
      <c r="C60" s="52">
        <f>IF(B60&gt;B58,1,0)</f>
        <v>0</v>
      </c>
      <c r="D60" s="53"/>
      <c r="E60" s="41">
        <v>6.0</v>
      </c>
      <c r="F60" s="52">
        <f>IF(E60&gt;E58,1,0)</f>
        <v>1</v>
      </c>
      <c r="G60" s="53"/>
      <c r="H60" s="41">
        <v>10.0</v>
      </c>
      <c r="I60" s="27">
        <f>IF(H60&gt;H58,1,0)</f>
        <v>1</v>
      </c>
      <c r="J60" s="27">
        <f>IF(B60="",0,1)</f>
        <v>1</v>
      </c>
      <c r="K60" s="27">
        <f>IF(C60+F60=2,3,IF(C60+F60=1,1,0))</f>
        <v>1</v>
      </c>
      <c r="L60" s="27">
        <f>IF(K60=3,3,IF(I60+K60=2,2,IF(K60=1,1,0)))</f>
        <v>2</v>
      </c>
      <c r="M60" s="27">
        <f>B60+E60</f>
        <v>9</v>
      </c>
      <c r="N60" s="27">
        <f>C60+F60+I60</f>
        <v>2</v>
      </c>
      <c r="O60" s="27"/>
      <c r="P60" s="51" t="str">
        <f>AE62</f>
        <v>Ann Marie Attard/Christine Seychell</v>
      </c>
      <c r="Q60" s="41">
        <v>1.0</v>
      </c>
      <c r="R60" s="52">
        <f>IF(Q60&gt;Q58,1,0)</f>
        <v>0</v>
      </c>
      <c r="S60" s="53"/>
      <c r="T60" s="41">
        <v>4.0</v>
      </c>
      <c r="U60" s="52">
        <f>IF(T60&gt;T58,1,0)</f>
        <v>0</v>
      </c>
      <c r="V60" s="53"/>
      <c r="W60" s="44"/>
      <c r="X60" s="27">
        <f>IF(W60&gt;W58,1,0)</f>
        <v>0</v>
      </c>
      <c r="Y60" s="27">
        <f>IF(Q60="",0,1)</f>
        <v>1</v>
      </c>
      <c r="Z60" s="27">
        <f>IF(R60+U60=2,3,IF(R60+U60=1,1,0))</f>
        <v>0</v>
      </c>
      <c r="AA60" s="27">
        <f>IF(Z60=3,3,IF(X60+Z60=2,2,IF(Z60=1,1,0)))</f>
        <v>0</v>
      </c>
      <c r="AB60" s="27">
        <f>Q60+T60</f>
        <v>5</v>
      </c>
      <c r="AC60" s="27">
        <f>R60+U60+X60</f>
        <v>0</v>
      </c>
      <c r="AD60" s="27"/>
      <c r="AE60" s="129" t="str">
        <f>'Players Ladies'!F17</f>
        <v>Marcette Sciriha/Tanya Cassar</v>
      </c>
      <c r="AF60" s="46">
        <f>Y64+J74+J60+Y68</f>
        <v>3</v>
      </c>
      <c r="AG60" s="46">
        <f t="shared" ref="AG60:AI60" si="8">AA64+L74+L60+AA68</f>
        <v>6</v>
      </c>
      <c r="AH60" s="46">
        <f t="shared" si="8"/>
        <v>34</v>
      </c>
      <c r="AI60" s="47">
        <f t="shared" si="8"/>
        <v>5</v>
      </c>
      <c r="AJ60" s="33"/>
      <c r="AK60" s="33"/>
      <c r="AL60" s="27"/>
    </row>
    <row r="61" ht="15.0" customHeight="1">
      <c r="A61" s="27"/>
      <c r="B61" s="3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33"/>
      <c r="AG61" s="33"/>
      <c r="AH61" s="33"/>
      <c r="AI61" s="33"/>
      <c r="AJ61" s="33"/>
      <c r="AK61" s="33"/>
      <c r="AL61" s="27"/>
    </row>
    <row r="62" ht="15.0" customHeight="1">
      <c r="A62" s="125" t="str">
        <f>AE58</f>
        <v>Hiedi Tabone/Anabel Borg</v>
      </c>
      <c r="B62" s="136"/>
      <c r="C62" s="127"/>
      <c r="D62" s="128"/>
      <c r="E62" s="136"/>
      <c r="F62" s="127"/>
      <c r="G62" s="128"/>
      <c r="H62" s="136"/>
      <c r="I62" s="27">
        <f>IF(H62&gt;H64,1,0)</f>
        <v>0</v>
      </c>
      <c r="J62" s="27">
        <f>IF(B62="",0,1)</f>
        <v>0</v>
      </c>
      <c r="K62" s="27">
        <f>IF(C62+F62=2,3,IF(C62+F62=1,1,0))</f>
        <v>0</v>
      </c>
      <c r="L62" s="27">
        <f>IF(K62=3,3,IF(I62+K62=2,2,IF(K62=1,1,0)))</f>
        <v>0</v>
      </c>
      <c r="M62" s="27">
        <f>B62+E62</f>
        <v>0</v>
      </c>
      <c r="N62" s="27">
        <f>C62+F62+I62</f>
        <v>0</v>
      </c>
      <c r="O62" s="27"/>
      <c r="P62" s="125" t="str">
        <f>AE58</f>
        <v>Hiedi Tabone/Anabel Borg</v>
      </c>
      <c r="Q62" s="126"/>
      <c r="R62" s="127">
        <f>IF(Q62&gt;Q64,1,0)</f>
        <v>0</v>
      </c>
      <c r="S62" s="128"/>
      <c r="T62" s="126"/>
      <c r="U62" s="127">
        <f>IF(T62&gt;T64,1,0)</f>
        <v>0</v>
      </c>
      <c r="V62" s="128"/>
      <c r="W62" s="126"/>
      <c r="X62" s="27">
        <f>IF(W62&gt;W64,1,0)</f>
        <v>0</v>
      </c>
      <c r="Y62" s="27">
        <f>IF(Q62="",0,1)</f>
        <v>0</v>
      </c>
      <c r="Z62" s="27">
        <f>IF(R62+U62=2,3,IF(R62+U62=1,1,0))</f>
        <v>0</v>
      </c>
      <c r="AA62" s="27">
        <f>IF(Z62=3,3,IF(X62+Z62=2,2,IF(Z62=1,1,0)))</f>
        <v>0</v>
      </c>
      <c r="AB62" s="27">
        <f>Q62+T62</f>
        <v>0</v>
      </c>
      <c r="AC62" s="27">
        <f>R62+U62+X62</f>
        <v>0</v>
      </c>
      <c r="AD62" s="27"/>
      <c r="AE62" s="129" t="str">
        <f>'Players Ladies'!F18</f>
        <v>Ann Marie Attard/Christine Seychell</v>
      </c>
      <c r="AF62" s="46">
        <f>J76+J72+Y60+J64</f>
        <v>3</v>
      </c>
      <c r="AG62" s="46">
        <f t="shared" ref="AG62:AI62" si="9">L76+L72+AA60+L64</f>
        <v>3</v>
      </c>
      <c r="AH62" s="46">
        <f t="shared" si="9"/>
        <v>28</v>
      </c>
      <c r="AI62" s="47">
        <f t="shared" si="9"/>
        <v>2</v>
      </c>
      <c r="AJ62" s="33"/>
      <c r="AK62" s="33"/>
      <c r="AL62" s="27"/>
    </row>
    <row r="63" ht="15.0" customHeight="1">
      <c r="A63" s="130" t="s">
        <v>61</v>
      </c>
      <c r="H63" s="49"/>
      <c r="I63" s="50"/>
      <c r="J63" s="27"/>
      <c r="K63" s="27"/>
      <c r="L63" s="27"/>
      <c r="M63" s="27"/>
      <c r="N63" s="27"/>
      <c r="O63" s="27"/>
      <c r="P63" s="130" t="s">
        <v>61</v>
      </c>
      <c r="W63" s="49"/>
      <c r="X63" s="50"/>
      <c r="Y63" s="27"/>
      <c r="Z63" s="27"/>
      <c r="AA63" s="27"/>
      <c r="AB63" s="27"/>
      <c r="AC63" s="27"/>
      <c r="AD63" s="27"/>
      <c r="AE63" s="27"/>
      <c r="AF63" s="33"/>
      <c r="AG63" s="33"/>
      <c r="AH63" s="33"/>
      <c r="AI63" s="33"/>
      <c r="AJ63" s="33"/>
      <c r="AK63" s="33"/>
      <c r="AL63" s="27"/>
    </row>
    <row r="64" ht="15.0" customHeight="1">
      <c r="A64" s="131" t="str">
        <f>AE62</f>
        <v>Ann Marie Attard/Christine Seychell</v>
      </c>
      <c r="B64" s="136"/>
      <c r="C64" s="132"/>
      <c r="D64" s="133"/>
      <c r="E64" s="136"/>
      <c r="F64" s="132"/>
      <c r="G64" s="133"/>
      <c r="H64" s="136"/>
      <c r="I64" s="27">
        <f>IF(H64&gt;H62,1,0)</f>
        <v>0</v>
      </c>
      <c r="J64" s="27">
        <f>IF(B64="",0,1)</f>
        <v>0</v>
      </c>
      <c r="K64" s="27">
        <f>IF(C64+F64=2,3,IF(C64+F64=1,1,0))</f>
        <v>0</v>
      </c>
      <c r="L64" s="27">
        <f>IF(K64=3,3,IF(I64+K64=2,2,IF(K64=1,1,0)))</f>
        <v>0</v>
      </c>
      <c r="M64" s="27">
        <f>B64+E64</f>
        <v>0</v>
      </c>
      <c r="N64" s="27">
        <f>C64+F64+I64</f>
        <v>0</v>
      </c>
      <c r="O64" s="27"/>
      <c r="P64" s="131" t="str">
        <f>AE60</f>
        <v>Marcette Sciriha/Tanya Cassar</v>
      </c>
      <c r="Q64" s="126"/>
      <c r="R64" s="132">
        <f>IF(Q64&gt;Q62,1,0)</f>
        <v>0</v>
      </c>
      <c r="S64" s="133"/>
      <c r="T64" s="126"/>
      <c r="U64" s="132">
        <f>IF(T64&gt;T62,1,0)</f>
        <v>0</v>
      </c>
      <c r="V64" s="133"/>
      <c r="W64" s="126"/>
      <c r="X64" s="27">
        <f>IF(W64&gt;W62,1,0)</f>
        <v>0</v>
      </c>
      <c r="Y64" s="27">
        <f>IF(Q64="",0,1)</f>
        <v>0</v>
      </c>
      <c r="Z64" s="27">
        <f>IF(R64+U64=2,3,IF(R64+U64=1,1,0))</f>
        <v>0</v>
      </c>
      <c r="AA64" s="27">
        <f>IF(Z64=3,3,IF(X64+Z64=2,2,IF(Z64=1,1,0)))</f>
        <v>0</v>
      </c>
      <c r="AB64" s="27">
        <f>Q64+T64</f>
        <v>0</v>
      </c>
      <c r="AC64" s="27">
        <f>R64+U64+X64</f>
        <v>0</v>
      </c>
      <c r="AD64" s="27"/>
      <c r="AE64" s="123" t="s">
        <v>65</v>
      </c>
      <c r="AF64" s="30"/>
      <c r="AG64" s="30"/>
      <c r="AH64" s="30"/>
      <c r="AI64" s="11"/>
      <c r="AJ64" s="27"/>
      <c r="AK64" s="33"/>
      <c r="AL64" s="27"/>
    </row>
    <row r="65" ht="15.0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55" t="s">
        <v>85</v>
      </c>
      <c r="AF65" s="30"/>
      <c r="AG65" s="30"/>
      <c r="AH65" s="30"/>
      <c r="AI65" s="11"/>
    </row>
    <row r="66" ht="15.0" customHeight="1">
      <c r="A66" s="125" t="str">
        <f>AE56</f>
        <v>Angele Pule'/Jennifer Mifsud</v>
      </c>
      <c r="B66" s="126"/>
      <c r="C66" s="127">
        <f>IF(B66&gt;B68,1,0)</f>
        <v>0</v>
      </c>
      <c r="D66" s="128"/>
      <c r="E66" s="126"/>
      <c r="F66" s="127">
        <f>IF(E66&gt;E68,1,0)</f>
        <v>0</v>
      </c>
      <c r="G66" s="128"/>
      <c r="H66" s="126"/>
      <c r="I66" s="27">
        <f>IF(H66&gt;H68,1,0)</f>
        <v>0</v>
      </c>
      <c r="J66" s="27">
        <f>IF(B66="",0,1)</f>
        <v>0</v>
      </c>
      <c r="K66" s="27">
        <f>IF(C66+F66=2,3,IF(C66+F66=1,1,0))</f>
        <v>0</v>
      </c>
      <c r="L66" s="27">
        <f>IF(K66=3,3,IF(I66+K66=2,2,IF(K66=1,1,0)))</f>
        <v>0</v>
      </c>
      <c r="M66" s="27">
        <f>B66+E66</f>
        <v>0</v>
      </c>
      <c r="N66" s="27">
        <f>C66+F66+I66</f>
        <v>0</v>
      </c>
      <c r="O66" s="27"/>
      <c r="P66" s="40" t="str">
        <f>AE56</f>
        <v>Angele Pule'/Jennifer Mifsud</v>
      </c>
      <c r="Q66" s="41">
        <v>7.0</v>
      </c>
      <c r="R66" s="42">
        <f>IF(Q66&gt;Q68,1,0)</f>
        <v>1</v>
      </c>
      <c r="S66" s="43"/>
      <c r="T66" s="41">
        <v>2.0</v>
      </c>
      <c r="U66" s="42">
        <f>IF(T66&gt;T68,1,0)</f>
        <v>0</v>
      </c>
      <c r="V66" s="43"/>
      <c r="W66" s="41">
        <v>10.0</v>
      </c>
      <c r="X66" s="27">
        <f>IF(W66&gt;W68,1,0)</f>
        <v>1</v>
      </c>
      <c r="Y66" s="27">
        <f>IF(Q66="",0,1)</f>
        <v>1</v>
      </c>
      <c r="Z66" s="27">
        <f>IF(R66+U66=2,3,IF(R66+U66=1,1,0))</f>
        <v>1</v>
      </c>
      <c r="AA66" s="27">
        <f>IF(Z66=3,3,IF(X66+Z66=2,2,IF(Z66=1,1,0)))</f>
        <v>2</v>
      </c>
      <c r="AB66" s="27">
        <f>Q66+T66</f>
        <v>9</v>
      </c>
      <c r="AC66" s="27">
        <f>R66+U66+X66</f>
        <v>2</v>
      </c>
      <c r="AD66" s="27"/>
    </row>
    <row r="67" ht="15.0" customHeight="1">
      <c r="A67" s="130" t="s">
        <v>61</v>
      </c>
      <c r="H67" s="49"/>
      <c r="I67" s="50"/>
      <c r="J67" s="27"/>
      <c r="K67" s="27"/>
      <c r="L67" s="27"/>
      <c r="M67" s="27"/>
      <c r="N67" s="27"/>
      <c r="O67" s="27"/>
      <c r="P67" s="48" t="s">
        <v>61</v>
      </c>
      <c r="W67" s="49"/>
      <c r="X67" s="50"/>
      <c r="Y67" s="27"/>
      <c r="Z67" s="27"/>
      <c r="AA67" s="27"/>
      <c r="AB67" s="27"/>
      <c r="AC67" s="27"/>
      <c r="AD67" s="27"/>
    </row>
    <row r="68" ht="15.0" customHeight="1">
      <c r="A68" s="131" t="str">
        <f>AE58</f>
        <v>Hiedi Tabone/Anabel Borg</v>
      </c>
      <c r="B68" s="126"/>
      <c r="C68" s="132">
        <f>IF(B68&gt;B66,1,0)</f>
        <v>0</v>
      </c>
      <c r="D68" s="133"/>
      <c r="E68" s="126"/>
      <c r="F68" s="132">
        <f>IF(E68&gt;E66,1,0)</f>
        <v>0</v>
      </c>
      <c r="G68" s="133"/>
      <c r="H68" s="126"/>
      <c r="I68" s="27">
        <f>IF(H68&gt;H66,1,0)</f>
        <v>0</v>
      </c>
      <c r="J68" s="27">
        <f>IF(B68="",0,1)</f>
        <v>0</v>
      </c>
      <c r="K68" s="27">
        <f>IF(C68+F68=2,3,IF(C68+F68=1,1,0))</f>
        <v>0</v>
      </c>
      <c r="L68" s="27">
        <f>IF(K68=3,3,IF(I68+K68=2,2,IF(K68=1,1,0)))</f>
        <v>0</v>
      </c>
      <c r="M68" s="27">
        <f>B68+E68</f>
        <v>0</v>
      </c>
      <c r="N68" s="27">
        <f>C68+F68+I68</f>
        <v>0</v>
      </c>
      <c r="O68" s="27"/>
      <c r="P68" s="51" t="str">
        <f>AE60</f>
        <v>Marcette Sciriha/Tanya Cassar</v>
      </c>
      <c r="Q68" s="41">
        <v>5.0</v>
      </c>
      <c r="R68" s="52">
        <f>IF(Q68&gt;Q66,1,0)</f>
        <v>0</v>
      </c>
      <c r="S68" s="53"/>
      <c r="T68" s="41">
        <v>6.0</v>
      </c>
      <c r="U68" s="52">
        <f>IF(T68&gt;T66,1,0)</f>
        <v>1</v>
      </c>
      <c r="V68" s="53"/>
      <c r="W68" s="41">
        <v>8.0</v>
      </c>
      <c r="X68" s="27">
        <f>IF(W68&gt;W66,1,0)</f>
        <v>0</v>
      </c>
      <c r="Y68" s="27">
        <f>IF(Q68="",0,1)</f>
        <v>1</v>
      </c>
      <c r="Z68" s="27">
        <f>IF(R68+U68=2,3,IF(R68+U68=1,1,0))</f>
        <v>1</v>
      </c>
      <c r="AA68" s="27">
        <f>IF(Z68=3,3,IF(X68+Z68=2,2,IF(Z68=1,1,0)))</f>
        <v>1</v>
      </c>
      <c r="AB68" s="27">
        <f>Q68+T68</f>
        <v>11</v>
      </c>
      <c r="AC68" s="27">
        <f>R68+U68+X68</f>
        <v>1</v>
      </c>
      <c r="AD68" s="27"/>
      <c r="AE68" s="27"/>
      <c r="AF68" s="27"/>
      <c r="AG68" s="27"/>
      <c r="AH68" s="27"/>
      <c r="AI68" s="27"/>
    </row>
    <row r="69" ht="15.0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</row>
    <row r="70" ht="15.0" customHeight="1">
      <c r="A70" s="40" t="str">
        <f>AE56</f>
        <v>Angele Pule'/Jennifer Mifsud</v>
      </c>
      <c r="B70" s="41">
        <v>5.0</v>
      </c>
      <c r="C70" s="42">
        <f>IF(B70&gt;B72,1,0)</f>
        <v>0</v>
      </c>
      <c r="D70" s="43"/>
      <c r="E70" s="41">
        <v>4.0</v>
      </c>
      <c r="F70" s="42">
        <f>IF(E70&gt;E72,1,0)</f>
        <v>0</v>
      </c>
      <c r="G70" s="43"/>
      <c r="H70" s="44"/>
      <c r="I70" s="27">
        <f>IF(H70&gt;H72,1,0)</f>
        <v>0</v>
      </c>
      <c r="J70" s="27">
        <f>IF(B70="",0,1)</f>
        <v>1</v>
      </c>
      <c r="K70" s="27">
        <f>IF(C70+F70=2,3,IF(C70+F70=1,1,0))</f>
        <v>0</v>
      </c>
      <c r="L70" s="27">
        <f>IF(K70=3,3,IF(I70+K70=2,2,IF(K70=1,1,0)))</f>
        <v>0</v>
      </c>
      <c r="M70" s="27">
        <f>B70+E70</f>
        <v>9</v>
      </c>
      <c r="N70" s="27">
        <f>C70+F70+I70</f>
        <v>0</v>
      </c>
      <c r="O70" s="27"/>
      <c r="P70" s="27"/>
      <c r="Q70" s="33"/>
      <c r="R70" s="27"/>
      <c r="S70" s="33"/>
      <c r="T70" s="33"/>
      <c r="U70" s="27"/>
      <c r="V70" s="33"/>
      <c r="W70" s="33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</row>
    <row r="71" ht="15.0" customHeight="1">
      <c r="A71" s="48" t="s">
        <v>61</v>
      </c>
      <c r="H71" s="49"/>
      <c r="I71" s="50"/>
      <c r="J71" s="27"/>
      <c r="K71" s="27"/>
      <c r="L71" s="27"/>
      <c r="M71" s="27"/>
      <c r="N71" s="27"/>
      <c r="O71" s="27"/>
      <c r="P71" s="27"/>
      <c r="X71" s="50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</row>
    <row r="72" ht="15.0" customHeight="1">
      <c r="A72" s="51" t="str">
        <f>AE62</f>
        <v>Ann Marie Attard/Christine Seychell</v>
      </c>
      <c r="B72" s="41">
        <v>7.0</v>
      </c>
      <c r="C72" s="52">
        <f>IF(B72&gt;B70,1,0)</f>
        <v>1</v>
      </c>
      <c r="D72" s="53"/>
      <c r="E72" s="41">
        <v>6.0</v>
      </c>
      <c r="F72" s="52">
        <f>IF(E72&gt;E70,1,0)</f>
        <v>1</v>
      </c>
      <c r="G72" s="53"/>
      <c r="H72" s="44"/>
      <c r="I72" s="27">
        <f>IF(H72&gt;H70,1,0)</f>
        <v>0</v>
      </c>
      <c r="J72" s="27">
        <f>IF(B72="",0,1)</f>
        <v>1</v>
      </c>
      <c r="K72" s="27">
        <f>IF(C72+F72=2,3,IF(C72+F72=1,1,0))</f>
        <v>3</v>
      </c>
      <c r="L72" s="27">
        <f>IF(K72=3,3,IF(I72+K72=2,2,IF(K72=1,1,0)))</f>
        <v>3</v>
      </c>
      <c r="M72" s="27">
        <f>B72+E72</f>
        <v>13</v>
      </c>
      <c r="N72" s="27">
        <f>C72+F72+I72</f>
        <v>2</v>
      </c>
      <c r="O72" s="27"/>
      <c r="P72" s="27"/>
      <c r="Q72" s="33"/>
      <c r="R72" s="27"/>
      <c r="S72" s="33"/>
      <c r="T72" s="33"/>
      <c r="U72" s="27"/>
      <c r="V72" s="33"/>
      <c r="W72" s="33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</row>
    <row r="73" ht="15.0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33"/>
      <c r="AI73" s="27"/>
    </row>
    <row r="74" ht="15.0" customHeight="1">
      <c r="A74" s="40" t="str">
        <f>AE60</f>
        <v>Marcette Sciriha/Tanya Cassar</v>
      </c>
      <c r="B74" s="41">
        <v>7.0</v>
      </c>
      <c r="C74" s="42">
        <f>IF(B74&gt;B76,1,0)</f>
        <v>1</v>
      </c>
      <c r="D74" s="43"/>
      <c r="E74" s="41">
        <v>7.0</v>
      </c>
      <c r="F74" s="42">
        <f>IF(E74&gt;E76,1,0)</f>
        <v>1</v>
      </c>
      <c r="G74" s="43"/>
      <c r="H74" s="44"/>
      <c r="I74" s="27">
        <f>IF(H74&gt;H76,1,0)</f>
        <v>0</v>
      </c>
      <c r="J74" s="27">
        <f>IF(B74="",0,1)</f>
        <v>1</v>
      </c>
      <c r="K74" s="27">
        <f>IF(C74+F74=2,3,IF(C74+F74=1,1,0))</f>
        <v>3</v>
      </c>
      <c r="L74" s="27">
        <f>IF(K74=3,3,IF(I74+K74=2,2,IF(K74=1,1,0)))</f>
        <v>3</v>
      </c>
      <c r="M74" s="27">
        <f>B74+E74</f>
        <v>14</v>
      </c>
      <c r="N74" s="27">
        <f>C74+F74+I74</f>
        <v>2</v>
      </c>
      <c r="O74" s="27"/>
      <c r="AD74" s="27"/>
      <c r="AE74" s="27"/>
      <c r="AF74" s="27"/>
      <c r="AG74" s="27"/>
      <c r="AH74" s="27"/>
      <c r="AI74" s="27"/>
    </row>
    <row r="75" ht="15.0" customHeight="1">
      <c r="A75" s="48" t="s">
        <v>61</v>
      </c>
      <c r="H75" s="49"/>
      <c r="I75" s="50"/>
      <c r="J75" s="27"/>
      <c r="K75" s="27"/>
      <c r="L75" s="27"/>
      <c r="M75" s="27"/>
      <c r="N75" s="27"/>
      <c r="O75" s="27"/>
      <c r="AD75" s="27"/>
      <c r="AE75" s="27"/>
      <c r="AF75" s="27"/>
      <c r="AG75" s="27"/>
      <c r="AH75" s="27"/>
      <c r="AI75" s="27"/>
    </row>
    <row r="76" ht="15.0" customHeight="1">
      <c r="A76" s="51" t="str">
        <f>AE62</f>
        <v>Ann Marie Attard/Christine Seychell</v>
      </c>
      <c r="B76" s="41">
        <v>5.0</v>
      </c>
      <c r="C76" s="52">
        <f>IF(B76&gt;B74,1,0)</f>
        <v>0</v>
      </c>
      <c r="D76" s="53"/>
      <c r="E76" s="41">
        <v>5.0</v>
      </c>
      <c r="F76" s="52">
        <f>IF(E76&gt;E74,1,0)</f>
        <v>0</v>
      </c>
      <c r="G76" s="53"/>
      <c r="H76" s="44"/>
      <c r="I76" s="27">
        <f>IF(H76&gt;H74,1,0)</f>
        <v>0</v>
      </c>
      <c r="J76" s="27">
        <f>IF(B76="",0,1)</f>
        <v>1</v>
      </c>
      <c r="K76" s="27">
        <f>IF(C76+F76=2,3,IF(C76+F76=1,1,0))</f>
        <v>0</v>
      </c>
      <c r="L76" s="27">
        <f>IF(K76=3,3,IF(I76+K76=2,2,IF(K76=1,1,0)))</f>
        <v>0</v>
      </c>
      <c r="M76" s="27">
        <f>B76+E76</f>
        <v>10</v>
      </c>
      <c r="N76" s="27">
        <f>C76+F76+I76</f>
        <v>0</v>
      </c>
      <c r="O76" s="27"/>
      <c r="AD76" s="27"/>
      <c r="AE76" s="27"/>
      <c r="AF76" s="27"/>
      <c r="AG76" s="27"/>
      <c r="AH76" s="27"/>
      <c r="AI76" s="27"/>
    </row>
    <row r="77" ht="15.0" customHeight="1">
      <c r="A77" s="27"/>
      <c r="B77" s="27"/>
      <c r="C77" s="27"/>
      <c r="D77" s="27"/>
      <c r="E77" s="33"/>
      <c r="F77" s="27"/>
      <c r="G77" s="27"/>
      <c r="H77" s="33"/>
      <c r="I77" s="27"/>
      <c r="J77" s="33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33"/>
      <c r="Z77" s="27"/>
      <c r="AA77" s="27"/>
      <c r="AB77" s="27"/>
      <c r="AC77" s="27"/>
      <c r="AD77" s="27"/>
      <c r="AE77" s="27"/>
      <c r="AF77" s="27"/>
      <c r="AG77" s="27"/>
      <c r="AH77" s="27"/>
      <c r="AI77" s="27"/>
    </row>
    <row r="78" ht="15.0" customHeight="1">
      <c r="O78" s="27"/>
      <c r="P78" s="27"/>
      <c r="Q78" s="33"/>
      <c r="R78" s="27"/>
      <c r="S78" s="33"/>
      <c r="T78" s="33"/>
      <c r="U78" s="27"/>
      <c r="V78" s="33"/>
      <c r="W78" s="33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</row>
    <row r="79" ht="15.0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7"/>
      <c r="Q79" s="25"/>
      <c r="R79" s="25"/>
      <c r="S79" s="25"/>
      <c r="T79" s="25"/>
      <c r="U79" s="25"/>
      <c r="V79" s="25"/>
      <c r="W79" s="26"/>
      <c r="X79" s="78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</row>
    <row r="80" ht="15.75" customHeight="1"/>
    <row r="81" ht="13.5" customHeight="1">
      <c r="P81" s="65" t="s">
        <v>67</v>
      </c>
      <c r="Q81" s="30"/>
      <c r="R81" s="30"/>
      <c r="S81" s="30"/>
      <c r="T81" s="30"/>
      <c r="U81" s="30"/>
      <c r="V81" s="30"/>
      <c r="W81" s="66"/>
      <c r="X81" s="27"/>
      <c r="Y81" s="27"/>
      <c r="Z81" s="27"/>
      <c r="AA81" s="27"/>
      <c r="AB81" s="27"/>
      <c r="AC81" s="27"/>
    </row>
    <row r="82" ht="13.5" customHeight="1"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ht="30.0" customHeight="1">
      <c r="P83" s="67" t="s">
        <v>41</v>
      </c>
      <c r="Q83" s="65" t="s">
        <v>42</v>
      </c>
      <c r="R83" s="30"/>
      <c r="S83" s="30"/>
      <c r="T83" s="11"/>
      <c r="U83" s="68"/>
      <c r="V83" s="69"/>
      <c r="W83" s="67" t="s">
        <v>43</v>
      </c>
      <c r="X83" s="27"/>
      <c r="Y83" s="27"/>
      <c r="Z83" s="27"/>
      <c r="AA83" s="27"/>
      <c r="AB83" s="27"/>
      <c r="AC83" s="27"/>
    </row>
    <row r="84" ht="15.75" hidden="1" customHeight="1">
      <c r="P84" s="27"/>
      <c r="Q84" s="37" t="s">
        <v>49</v>
      </c>
      <c r="R84" s="37" t="s">
        <v>50</v>
      </c>
      <c r="S84" s="37"/>
      <c r="T84" s="37" t="s">
        <v>49</v>
      </c>
      <c r="U84" s="37" t="s">
        <v>51</v>
      </c>
      <c r="V84" s="37"/>
      <c r="W84" s="37" t="s">
        <v>49</v>
      </c>
      <c r="X84" s="37" t="s">
        <v>52</v>
      </c>
      <c r="Y84" s="37" t="s">
        <v>53</v>
      </c>
      <c r="Z84" s="37" t="s">
        <v>54</v>
      </c>
      <c r="AA84" s="37" t="s">
        <v>55</v>
      </c>
      <c r="AB84" s="37" t="s">
        <v>56</v>
      </c>
      <c r="AC84" s="37" t="s">
        <v>57</v>
      </c>
    </row>
    <row r="85" ht="13.5" customHeight="1">
      <c r="P85" s="70" t="s">
        <v>86</v>
      </c>
      <c r="Q85" s="41">
        <v>6.0</v>
      </c>
      <c r="R85" s="42">
        <f>IF(Q85&gt;Q87,1,0)</f>
        <v>0</v>
      </c>
      <c r="S85" s="43"/>
      <c r="T85" s="41">
        <v>3.0</v>
      </c>
      <c r="U85" s="42">
        <f>IF(T85&gt;T87,1,0)</f>
        <v>0</v>
      </c>
      <c r="V85" s="43"/>
      <c r="W85" s="44"/>
      <c r="X85" s="27">
        <f>IF(W85&gt;W87,1,0)</f>
        <v>0</v>
      </c>
      <c r="Y85" s="27">
        <f>IF(Q85="",0,1)</f>
        <v>1</v>
      </c>
      <c r="Z85" s="27">
        <f>IF(R85+U85=2,3,IF(R85+U85=1,1,0))</f>
        <v>0</v>
      </c>
      <c r="AA85" s="27">
        <f>IF(Z85=3,3,IF(X85+Z85=2,2,IF(Z85=1,1,0)))</f>
        <v>0</v>
      </c>
      <c r="AB85" s="27">
        <f>Q85+T85</f>
        <v>9</v>
      </c>
      <c r="AC85" s="27">
        <f>R85+U85+X85</f>
        <v>0</v>
      </c>
    </row>
    <row r="86" ht="13.5" customHeight="1">
      <c r="P86" s="48" t="s">
        <v>61</v>
      </c>
      <c r="W86" s="49"/>
      <c r="X86" s="50"/>
      <c r="Y86" s="27"/>
      <c r="Z86" s="27"/>
      <c r="AA86" s="27"/>
      <c r="AB86" s="27"/>
      <c r="AC86" s="27"/>
    </row>
    <row r="87" ht="13.5" customHeight="1">
      <c r="P87" s="71" t="s">
        <v>85</v>
      </c>
      <c r="Q87" s="41">
        <v>7.0</v>
      </c>
      <c r="R87" s="52">
        <f>IF(Q87&gt;Q85,1,0)</f>
        <v>1</v>
      </c>
      <c r="S87" s="53"/>
      <c r="T87" s="41">
        <v>6.0</v>
      </c>
      <c r="U87" s="52">
        <f>IF(T87&gt;T85,1,0)</f>
        <v>1</v>
      </c>
      <c r="V87" s="53"/>
      <c r="W87" s="44"/>
      <c r="X87" s="27">
        <f>IF(W87&gt;W85,1,0)</f>
        <v>0</v>
      </c>
      <c r="Y87" s="27">
        <f>IF(Q87="",0,1)</f>
        <v>1</v>
      </c>
      <c r="Z87" s="27">
        <f>IF(R87+U87=2,3,IF(R87+U87=1,1,0))</f>
        <v>3</v>
      </c>
      <c r="AA87" s="27">
        <f>IF(Z87=3,3,IF(X87+Z87=2,2,IF(Z87=1,1,0)))</f>
        <v>3</v>
      </c>
      <c r="AB87" s="27">
        <f>Q87+T87</f>
        <v>13</v>
      </c>
      <c r="AC87" s="27">
        <f>R87+U87+X87</f>
        <v>2</v>
      </c>
    </row>
    <row r="88" ht="13.5" customHeight="1"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ht="13.5" customHeight="1">
      <c r="P89" s="65" t="s">
        <v>68</v>
      </c>
      <c r="Q89" s="30"/>
      <c r="R89" s="30"/>
      <c r="S89" s="30"/>
      <c r="T89" s="30"/>
      <c r="U89" s="30"/>
      <c r="V89" s="30"/>
      <c r="W89" s="11"/>
      <c r="X89" s="27"/>
      <c r="Y89" s="27"/>
      <c r="Z89" s="27"/>
      <c r="AA89" s="27"/>
      <c r="AB89" s="27"/>
      <c r="AC89" s="27"/>
    </row>
    <row r="90" ht="13.5" customHeight="1">
      <c r="P90" s="72" t="str">
        <f>IF(AA85&gt;AA87,P85,P87)</f>
        <v>Nancy Wong/Rowena Caruana</v>
      </c>
      <c r="Q90" s="73"/>
      <c r="R90" s="73"/>
      <c r="S90" s="73"/>
      <c r="T90" s="73"/>
      <c r="U90" s="73"/>
      <c r="V90" s="73"/>
      <c r="W90" s="74"/>
      <c r="X90" s="27"/>
      <c r="Y90" s="27"/>
      <c r="Z90" s="27"/>
      <c r="AA90" s="27"/>
      <c r="AB90" s="27"/>
      <c r="AC90" s="27"/>
    </row>
    <row r="91" ht="13.5" customHeight="1"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ht="13.5" customHeight="1"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ht="13.5" customHeight="1">
      <c r="P93" s="65" t="s">
        <v>69</v>
      </c>
      <c r="Q93" s="30"/>
      <c r="R93" s="30"/>
      <c r="S93" s="30"/>
      <c r="T93" s="30"/>
      <c r="U93" s="30"/>
      <c r="V93" s="30"/>
      <c r="W93" s="11"/>
      <c r="X93" s="27"/>
      <c r="Y93" s="27"/>
      <c r="Z93" s="27"/>
      <c r="AA93" s="27"/>
      <c r="AB93" s="27"/>
      <c r="AC93" s="27"/>
    </row>
    <row r="94" ht="13.5" customHeight="1">
      <c r="P94" s="72" t="str">
        <f>IF(AA85&lt;AA87,P85,P87)</f>
        <v>Kristina Briffa/Sarah Axiaq</v>
      </c>
      <c r="Q94" s="73"/>
      <c r="R94" s="73"/>
      <c r="S94" s="73"/>
      <c r="T94" s="73"/>
      <c r="U94" s="73"/>
      <c r="V94" s="73"/>
      <c r="W94" s="74"/>
      <c r="X94" s="27"/>
      <c r="Y94" s="27"/>
      <c r="Z94" s="27"/>
      <c r="AA94" s="27"/>
      <c r="AB94" s="27"/>
      <c r="AC94" s="2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41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19:AI19"/>
    <mergeCell ref="AE20:AI20"/>
    <mergeCell ref="A22:H22"/>
    <mergeCell ref="P22:W22"/>
    <mergeCell ref="A26:H26"/>
    <mergeCell ref="P26:W26"/>
    <mergeCell ref="A30:H30"/>
    <mergeCell ref="A50:AI50"/>
    <mergeCell ref="B52:E52"/>
    <mergeCell ref="Q52:T52"/>
    <mergeCell ref="P55:W55"/>
    <mergeCell ref="A55:H55"/>
    <mergeCell ref="A59:H59"/>
    <mergeCell ref="P59:W59"/>
    <mergeCell ref="A63:H63"/>
    <mergeCell ref="P63:W63"/>
    <mergeCell ref="AE64:AI64"/>
    <mergeCell ref="AE65:AI65"/>
    <mergeCell ref="Q83:T83"/>
    <mergeCell ref="P86:W86"/>
    <mergeCell ref="P89:W89"/>
    <mergeCell ref="P90:W90"/>
    <mergeCell ref="P93:W93"/>
    <mergeCell ref="P94:W94"/>
    <mergeCell ref="A67:H67"/>
    <mergeCell ref="P67:W67"/>
    <mergeCell ref="A71:H71"/>
    <mergeCell ref="P71:W71"/>
    <mergeCell ref="A75:H75"/>
    <mergeCell ref="P79:W79"/>
    <mergeCell ref="P81:W81"/>
  </mergeCells>
  <printOptions/>
  <pageMargins bottom="0.75" footer="0.0" header="0.0" left="0.25" right="0.25" top="0.75"/>
  <pageSetup paperSize="9" scale="63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7.0"/>
    <col customWidth="1" hidden="1" min="3" max="3" width="11.88"/>
    <col customWidth="1" min="4" max="4" width="1.75"/>
    <col customWidth="1" min="5" max="5" width="7.0"/>
    <col customWidth="1" hidden="1" min="6" max="6" width="3.38"/>
    <col customWidth="1" min="7" max="7" width="1.75"/>
    <col customWidth="1" min="8" max="8" width="7.0"/>
    <col customWidth="1" hidden="1" min="9" max="9" width="4.38"/>
    <col customWidth="1" hidden="1" min="10" max="11" width="3.13"/>
    <col customWidth="1" hidden="1" min="12" max="12" width="4.13"/>
    <col customWidth="1" hidden="1" min="13" max="13" width="3.63"/>
    <col customWidth="1" hidden="1" min="14" max="14" width="4.13"/>
    <col customWidth="1" min="15" max="15" width="6.0"/>
    <col customWidth="1" min="16" max="16" width="31.13"/>
    <col customWidth="1" min="17" max="17" width="7.0"/>
    <col customWidth="1" hidden="1" min="18" max="18" width="11.88"/>
    <col customWidth="1" min="19" max="19" width="1.75"/>
    <col customWidth="1" min="20" max="20" width="7.0"/>
    <col customWidth="1" hidden="1" min="21" max="21" width="11.88"/>
    <col customWidth="1" min="22" max="22" width="1.75"/>
    <col customWidth="1" min="23" max="23" width="7.0"/>
    <col customWidth="1" hidden="1" min="24" max="24" width="5.88"/>
    <col customWidth="1" hidden="1" min="25" max="25" width="4.75"/>
    <col customWidth="1" hidden="1" min="26" max="26" width="6.63"/>
    <col customWidth="1" hidden="1" min="27" max="27" width="7.13"/>
    <col customWidth="1" hidden="1" min="28" max="28" width="6.88"/>
    <col customWidth="1" hidden="1" min="29" max="29" width="4.13"/>
    <col customWidth="1" min="30" max="30" width="5.88"/>
    <col customWidth="1" min="31" max="31" width="33.0"/>
    <col customWidth="1" min="32" max="35" width="8.75"/>
    <col customWidth="1" hidden="1" min="36" max="36" width="9.25"/>
    <col customWidth="1" hidden="1" min="37" max="37" width="8.0"/>
    <col customWidth="1" hidden="1" min="38" max="38" width="41.13"/>
  </cols>
  <sheetData>
    <row r="1" ht="21.0" customHeight="1">
      <c r="A1" s="1" t="s">
        <v>40</v>
      </c>
      <c r="AJ1" s="2"/>
      <c r="AK1" s="2"/>
      <c r="AL1" s="2"/>
    </row>
    <row r="2" ht="21.0" customHeight="1">
      <c r="AJ2" s="2"/>
      <c r="AK2" s="2"/>
      <c r="AL2" s="2"/>
    </row>
    <row r="3" ht="15.0" customHeight="1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ht="15.0" customHeight="1">
      <c r="A5" s="137" t="s">
        <v>94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/>
      <c r="AK5" s="27"/>
      <c r="AL5" s="27"/>
    </row>
    <row r="6" ht="15.0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>
      <c r="A7" s="138" t="s">
        <v>41</v>
      </c>
      <c r="B7" s="139" t="s">
        <v>42</v>
      </c>
      <c r="C7" s="30"/>
      <c r="D7" s="30"/>
      <c r="E7" s="11"/>
      <c r="F7" s="31"/>
      <c r="G7" s="32"/>
      <c r="H7" s="138" t="s">
        <v>43</v>
      </c>
      <c r="I7" s="27"/>
      <c r="J7" s="27"/>
      <c r="K7" s="27"/>
      <c r="L7" s="27"/>
      <c r="M7" s="33"/>
      <c r="N7" s="33"/>
      <c r="O7" s="33"/>
      <c r="P7" s="138" t="s">
        <v>41</v>
      </c>
      <c r="Q7" s="139" t="s">
        <v>42</v>
      </c>
      <c r="R7" s="30"/>
      <c r="S7" s="30"/>
      <c r="T7" s="11"/>
      <c r="U7" s="31"/>
      <c r="V7" s="32"/>
      <c r="W7" s="138" t="s">
        <v>43</v>
      </c>
      <c r="X7" s="27"/>
      <c r="Y7" s="33"/>
      <c r="Z7" s="33"/>
      <c r="AA7" s="33"/>
      <c r="AB7" s="33"/>
      <c r="AC7" s="33"/>
      <c r="AD7" s="33"/>
      <c r="AE7" s="138" t="s">
        <v>44</v>
      </c>
      <c r="AF7" s="140" t="s">
        <v>45</v>
      </c>
      <c r="AG7" s="140" t="s">
        <v>46</v>
      </c>
      <c r="AH7" s="138" t="s">
        <v>47</v>
      </c>
      <c r="AI7" s="138" t="s">
        <v>48</v>
      </c>
      <c r="AJ7" s="33"/>
      <c r="AK7" s="33"/>
      <c r="AL7" s="27"/>
    </row>
    <row r="8" hidden="1">
      <c r="A8" s="27"/>
      <c r="B8" s="37" t="s">
        <v>49</v>
      </c>
      <c r="C8" s="37" t="s">
        <v>50</v>
      </c>
      <c r="D8" s="37"/>
      <c r="E8" s="37" t="s">
        <v>49</v>
      </c>
      <c r="F8" s="37" t="s">
        <v>51</v>
      </c>
      <c r="G8" s="37"/>
      <c r="H8" s="37" t="s">
        <v>49</v>
      </c>
      <c r="I8" s="37" t="s">
        <v>52</v>
      </c>
      <c r="J8" s="37" t="s">
        <v>53</v>
      </c>
      <c r="K8" s="37" t="s">
        <v>54</v>
      </c>
      <c r="L8" s="37" t="s">
        <v>55</v>
      </c>
      <c r="M8" s="37" t="s">
        <v>56</v>
      </c>
      <c r="N8" s="37" t="s">
        <v>57</v>
      </c>
      <c r="O8" s="27"/>
      <c r="P8" s="27"/>
      <c r="Q8" s="37" t="s">
        <v>49</v>
      </c>
      <c r="R8" s="37" t="s">
        <v>50</v>
      </c>
      <c r="S8" s="37"/>
      <c r="T8" s="37" t="s">
        <v>49</v>
      </c>
      <c r="U8" s="37" t="s">
        <v>51</v>
      </c>
      <c r="V8" s="37"/>
      <c r="W8" s="37" t="s">
        <v>49</v>
      </c>
      <c r="X8" s="37" t="s">
        <v>52</v>
      </c>
      <c r="Y8" s="37" t="s">
        <v>53</v>
      </c>
      <c r="Z8" s="37" t="s">
        <v>54</v>
      </c>
      <c r="AA8" s="37" t="s">
        <v>55</v>
      </c>
      <c r="AB8" s="37" t="s">
        <v>56</v>
      </c>
      <c r="AC8" s="37" t="s">
        <v>57</v>
      </c>
      <c r="AD8" s="27"/>
      <c r="AE8" s="118"/>
      <c r="AF8" s="33"/>
      <c r="AG8" s="33"/>
      <c r="AH8" s="33"/>
      <c r="AI8" s="33"/>
      <c r="AJ8" s="37" t="s">
        <v>58</v>
      </c>
      <c r="AK8" s="38" t="s">
        <v>59</v>
      </c>
      <c r="AL8" s="39" t="s">
        <v>60</v>
      </c>
    </row>
    <row r="9" ht="15.0" customHeight="1">
      <c r="A9" s="40" t="str">
        <f>AE9</f>
        <v>Jodie Stivala/Elisa Sacco</v>
      </c>
      <c r="B9" s="41">
        <v>6.0</v>
      </c>
      <c r="C9" s="42">
        <f>IF(B9&gt;B11,1,0)</f>
        <v>1</v>
      </c>
      <c r="D9" s="43"/>
      <c r="E9" s="41">
        <v>6.0</v>
      </c>
      <c r="F9" s="42">
        <f>IF(E9&gt;E11,1,0)</f>
        <v>1</v>
      </c>
      <c r="G9" s="43"/>
      <c r="H9" s="44"/>
      <c r="I9" s="27">
        <f>IF(H9&gt;H11,1,0)</f>
        <v>0</v>
      </c>
      <c r="J9" s="27">
        <f>IF(B9="",0,1)</f>
        <v>1</v>
      </c>
      <c r="K9" s="27">
        <f>IF(C9+F9=2,3,IF(C9+F9=1,1,0))</f>
        <v>3</v>
      </c>
      <c r="L9" s="27">
        <f>IF(K9=3,3,IF(I9+K9=2,2,IF(K9=1,1,0)))</f>
        <v>3</v>
      </c>
      <c r="M9" s="27">
        <f>B9+E9</f>
        <v>12</v>
      </c>
      <c r="N9" s="27">
        <f>C9+F9+I9</f>
        <v>2</v>
      </c>
      <c r="O9" s="27"/>
      <c r="P9" s="40" t="str">
        <f>AE9</f>
        <v>Jodie Stivala/Elisa Sacco</v>
      </c>
      <c r="Q9" s="41">
        <v>6.0</v>
      </c>
      <c r="R9" s="42">
        <f>IF(Q9&gt;Q11,1,0)</f>
        <v>1</v>
      </c>
      <c r="S9" s="43"/>
      <c r="T9" s="41">
        <v>4.0</v>
      </c>
      <c r="U9" s="42">
        <f>IF(T9&gt;T11,1,0)</f>
        <v>0</v>
      </c>
      <c r="V9" s="43"/>
      <c r="W9" s="41">
        <v>3.0</v>
      </c>
      <c r="X9" s="27">
        <f>IF(W9&gt;W11,1,0)</f>
        <v>0</v>
      </c>
      <c r="Y9" s="27">
        <f>IF(Q9="",0,1)</f>
        <v>1</v>
      </c>
      <c r="Z9" s="27">
        <f>IF(R9+U9=2,3,IF(R9+U9=1,1,0))</f>
        <v>1</v>
      </c>
      <c r="AA9" s="27">
        <f>IF(Z9=3,3,IF(X9+Z9=2,2,IF(Z9=1,1,0)))</f>
        <v>1</v>
      </c>
      <c r="AB9" s="27">
        <f>Q9+T9</f>
        <v>10</v>
      </c>
      <c r="AC9" s="27">
        <f>R9+U9+X9</f>
        <v>1</v>
      </c>
      <c r="AD9" s="27"/>
      <c r="AE9" s="141" t="str">
        <f>'Players Ladies'!B21</f>
        <v>Jodie Stivala/Elisa Sacco</v>
      </c>
      <c r="AF9" s="46">
        <f>J9+Y9+Y13+J13</f>
        <v>4</v>
      </c>
      <c r="AG9" s="46">
        <f t="shared" ref="AG9:AI9" si="1">L9+AA9+L13+AA13</f>
        <v>7</v>
      </c>
      <c r="AH9" s="46">
        <f t="shared" si="1"/>
        <v>39</v>
      </c>
      <c r="AI9" s="47">
        <f t="shared" si="1"/>
        <v>5</v>
      </c>
      <c r="AJ9" s="27">
        <f>MAX(AG9:AG19)</f>
        <v>10</v>
      </c>
      <c r="AK9" s="27">
        <f>SUM(AF9:AF19)</f>
        <v>16</v>
      </c>
      <c r="AL9" s="27" t="str">
        <f>IF(AG9=$AJ$9,AE9,IF(AG11=$AJ$9,AE11,IF(AG13=$AJ$9,AE13,IF(AG15=$AJ$9,AE15,IF(AG17=$AJ$9,AE17,IF(AG19=$AJ$9,AE19,""))))))</f>
        <v>Maria Ellul/Maria Angela Gambin</v>
      </c>
    </row>
    <row r="10" ht="15.0" customHeight="1">
      <c r="A10" s="48" t="s">
        <v>61</v>
      </c>
      <c r="H10" s="49"/>
      <c r="I10" s="50"/>
      <c r="J10" s="27"/>
      <c r="K10" s="27"/>
      <c r="L10" s="27"/>
      <c r="M10" s="27"/>
      <c r="N10" s="27"/>
      <c r="O10" s="27"/>
      <c r="P10" s="48" t="s">
        <v>61</v>
      </c>
      <c r="W10" s="49"/>
      <c r="X10" s="50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3"/>
      <c r="AL10" s="27"/>
    </row>
    <row r="11" ht="15.0" customHeight="1">
      <c r="A11" s="51" t="str">
        <f>AE11</f>
        <v>Marica Cassar/Daphne Vella</v>
      </c>
      <c r="B11" s="41">
        <v>2.0</v>
      </c>
      <c r="C11" s="52">
        <f>IF(B11&gt;B9,1,0)</f>
        <v>0</v>
      </c>
      <c r="D11" s="53"/>
      <c r="E11" s="41">
        <v>4.0</v>
      </c>
      <c r="F11" s="52">
        <f>IF(E11&gt;E9,1,0)</f>
        <v>0</v>
      </c>
      <c r="G11" s="53"/>
      <c r="H11" s="44"/>
      <c r="I11" s="27">
        <f>IF(H11&gt;H9,1,0)</f>
        <v>0</v>
      </c>
      <c r="J11" s="27">
        <f>IF(B11="",0,1)</f>
        <v>1</v>
      </c>
      <c r="K11" s="27">
        <f>IF(C11+F11=2,3,IF(C11+F11=1,1,0))</f>
        <v>0</v>
      </c>
      <c r="L11" s="27">
        <f>IF(K11=3,3,IF(I11+K11=2,2,IF(K11=1,1,0)))</f>
        <v>0</v>
      </c>
      <c r="M11" s="27">
        <f>B11+E11</f>
        <v>6</v>
      </c>
      <c r="N11" s="27">
        <f>C11+F11+I11</f>
        <v>0</v>
      </c>
      <c r="O11" s="27"/>
      <c r="P11" s="51" t="str">
        <f>AE13</f>
        <v>Maria Ellul/Maria Angela Gambin</v>
      </c>
      <c r="Q11" s="41">
        <v>4.0</v>
      </c>
      <c r="R11" s="52">
        <f>IF(Q11&gt;Q9,1,0)</f>
        <v>0</v>
      </c>
      <c r="S11" s="53"/>
      <c r="T11" s="41">
        <v>6.0</v>
      </c>
      <c r="U11" s="52">
        <f>IF(T11&gt;T9,1,0)</f>
        <v>1</v>
      </c>
      <c r="V11" s="53"/>
      <c r="W11" s="41">
        <v>10.0</v>
      </c>
      <c r="X11" s="27">
        <f>IF(W11&gt;W9,1,0)</f>
        <v>1</v>
      </c>
      <c r="Y11" s="27">
        <f>IF(Q11="",0,1)</f>
        <v>1</v>
      </c>
      <c r="Z11" s="27">
        <f>IF(R11+U11=2,3,IF(R11+U11=1,1,0))</f>
        <v>1</v>
      </c>
      <c r="AA11" s="27">
        <f>IF(Z11=3,3,IF(X11+Z11=2,2,IF(Z11=1,1,0)))</f>
        <v>2</v>
      </c>
      <c r="AB11" s="27">
        <f>Q11+T11</f>
        <v>10</v>
      </c>
      <c r="AC11" s="27">
        <f>R11+U11+X11</f>
        <v>2</v>
      </c>
      <c r="AD11" s="27"/>
      <c r="AE11" s="141" t="str">
        <f>'Players Ladies'!B22</f>
        <v>Marica Cassar/Daphne Vella</v>
      </c>
      <c r="AF11" s="46">
        <f>J11+J25+Y21+J21</f>
        <v>3</v>
      </c>
      <c r="AG11" s="46">
        <f t="shared" ref="AG11:AI11" si="2">L11+L25+AA21+L21</f>
        <v>3</v>
      </c>
      <c r="AH11" s="46">
        <f t="shared" si="2"/>
        <v>22</v>
      </c>
      <c r="AI11" s="47">
        <f t="shared" si="2"/>
        <v>2</v>
      </c>
      <c r="AJ11" s="33"/>
      <c r="AK11" s="33"/>
      <c r="AL11" s="27"/>
    </row>
    <row r="12" ht="15.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33"/>
      <c r="AG12" s="33"/>
      <c r="AH12" s="33"/>
      <c r="AI12" s="33"/>
      <c r="AJ12" s="33"/>
      <c r="AK12" s="33"/>
      <c r="AL12" s="27"/>
    </row>
    <row r="13" ht="15.0" customHeight="1">
      <c r="A13" s="40" t="str">
        <f>AE9</f>
        <v>Jodie Stivala/Elisa Sacco</v>
      </c>
      <c r="B13" s="41">
        <v>6.0</v>
      </c>
      <c r="C13" s="42">
        <f>IF(B13&gt;B15,1,0)</f>
        <v>1</v>
      </c>
      <c r="D13" s="43"/>
      <c r="E13" s="41">
        <v>6.0</v>
      </c>
      <c r="F13" s="42">
        <f>IF(E13&gt;E15,1,0)</f>
        <v>1</v>
      </c>
      <c r="G13" s="43"/>
      <c r="H13" s="44"/>
      <c r="I13" s="27">
        <f>IF(H13&gt;H15,1,0)</f>
        <v>0</v>
      </c>
      <c r="J13" s="27">
        <f>IF(B13="",0,1)</f>
        <v>1</v>
      </c>
      <c r="K13" s="27">
        <f>IF(C13+F13=2,3,IF(C13+F13=1,1,0))</f>
        <v>3</v>
      </c>
      <c r="L13" s="27">
        <f>IF(K13=3,3,IF(I13+K13=2,2,IF(K13=1,1,0)))</f>
        <v>3</v>
      </c>
      <c r="M13" s="27">
        <f>B13+E13</f>
        <v>12</v>
      </c>
      <c r="N13" s="27">
        <f>C13+F13+I13</f>
        <v>2</v>
      </c>
      <c r="O13" s="27"/>
      <c r="P13" s="40" t="str">
        <f>AE9</f>
        <v>Jodie Stivala/Elisa Sacco</v>
      </c>
      <c r="Q13" s="41">
        <v>2.0</v>
      </c>
      <c r="R13" s="42">
        <f>IF(Q13&gt;Q15,1,0)</f>
        <v>0</v>
      </c>
      <c r="S13" s="43"/>
      <c r="T13" s="41">
        <v>3.0</v>
      </c>
      <c r="U13" s="42">
        <f>IF(T13&gt;T15,1,0)</f>
        <v>0</v>
      </c>
      <c r="V13" s="43"/>
      <c r="W13" s="44"/>
      <c r="X13" s="27">
        <f>IF(W13&gt;W15,1,0)</f>
        <v>0</v>
      </c>
      <c r="Y13" s="27">
        <f>IF(Q13="",0,1)</f>
        <v>1</v>
      </c>
      <c r="Z13" s="27">
        <f>IF(R13+U13=2,3,IF(R13+U13=1,1,0))</f>
        <v>0</v>
      </c>
      <c r="AA13" s="27">
        <f>IF(Z13=3,3,IF(X13+Z13=2,2,IF(Z13=1,1,0)))</f>
        <v>0</v>
      </c>
      <c r="AB13" s="27">
        <f>Q13+T13</f>
        <v>5</v>
      </c>
      <c r="AC13" s="27">
        <f>R13+U13+X13</f>
        <v>0</v>
      </c>
      <c r="AD13" s="27"/>
      <c r="AE13" s="141" t="str">
        <f>'Players Ladies'!B23</f>
        <v>Maria Ellul/Maria Angela Gambin</v>
      </c>
      <c r="AF13" s="46">
        <f>Y17+J23+J17+Y11</f>
        <v>4</v>
      </c>
      <c r="AG13" s="46">
        <f>L17+AA17+AA11+L23</f>
        <v>10</v>
      </c>
      <c r="AH13" s="46">
        <f>M17+AB11+M23+AB17</f>
        <v>43</v>
      </c>
      <c r="AI13" s="47">
        <f>N17+AC17+AC11+N23</f>
        <v>8</v>
      </c>
      <c r="AJ13" s="33"/>
      <c r="AK13" s="33"/>
      <c r="AL13" s="27"/>
    </row>
    <row r="14" ht="15.0" customHeight="1">
      <c r="A14" s="48" t="s">
        <v>61</v>
      </c>
      <c r="H14" s="49"/>
      <c r="I14" s="50"/>
      <c r="J14" s="27"/>
      <c r="K14" s="27"/>
      <c r="L14" s="27"/>
      <c r="M14" s="27"/>
      <c r="N14" s="27"/>
      <c r="O14" s="27"/>
      <c r="P14" s="48" t="s">
        <v>61</v>
      </c>
      <c r="W14" s="49"/>
      <c r="X14" s="50"/>
      <c r="Y14" s="27"/>
      <c r="Z14" s="27"/>
      <c r="AA14" s="27"/>
      <c r="AB14" s="27"/>
      <c r="AC14" s="27"/>
      <c r="AD14" s="27"/>
      <c r="AE14" s="27"/>
      <c r="AF14" s="33"/>
      <c r="AG14" s="33"/>
      <c r="AH14" s="33"/>
      <c r="AI14" s="33"/>
      <c r="AJ14" s="33"/>
      <c r="AK14" s="33"/>
      <c r="AL14" s="27"/>
    </row>
    <row r="15" ht="15.0" customHeight="1">
      <c r="A15" s="51" t="str">
        <f>AE15</f>
        <v>Karolina Papiernak/Jennifer Roca</v>
      </c>
      <c r="B15" s="41">
        <v>3.0</v>
      </c>
      <c r="C15" s="52">
        <f>IF(B15&gt;B13,1,0)</f>
        <v>0</v>
      </c>
      <c r="D15" s="53"/>
      <c r="E15" s="41">
        <v>4.0</v>
      </c>
      <c r="F15" s="52">
        <f>IF(E15&gt;E13,1,0)</f>
        <v>0</v>
      </c>
      <c r="G15" s="53"/>
      <c r="H15" s="44"/>
      <c r="I15" s="27">
        <f>IF(H15&gt;H13,1,0)</f>
        <v>0</v>
      </c>
      <c r="J15" s="27">
        <f>IF(B15="",0,1)</f>
        <v>1</v>
      </c>
      <c r="K15" s="27">
        <f>IF(C15+F15=2,3,IF(C15+F15=1,1,0))</f>
        <v>0</v>
      </c>
      <c r="L15" s="27">
        <f>IF(K15=3,3,IF(I15+K15=2,2,IF(K15=1,1,0)))</f>
        <v>0</v>
      </c>
      <c r="M15" s="27">
        <f>B15+E15</f>
        <v>7</v>
      </c>
      <c r="N15" s="27">
        <f>C15+F15+I15</f>
        <v>0</v>
      </c>
      <c r="O15" s="27"/>
      <c r="P15" s="51" t="str">
        <f>AE17</f>
        <v>Helga Azzopardi/Bernardette Fenech</v>
      </c>
      <c r="Q15" s="41">
        <v>6.0</v>
      </c>
      <c r="R15" s="52">
        <f>IF(Q15&gt;Q13,1,0)</f>
        <v>1</v>
      </c>
      <c r="S15" s="53"/>
      <c r="T15" s="41">
        <v>6.0</v>
      </c>
      <c r="U15" s="52">
        <f>IF(T15&gt;T13,1,0)</f>
        <v>1</v>
      </c>
      <c r="V15" s="53"/>
      <c r="W15" s="44"/>
      <c r="X15" s="27">
        <f>IF(W15&gt;W13,1,0)</f>
        <v>0</v>
      </c>
      <c r="Y15" s="27">
        <f>IF(Q15="",0,1)</f>
        <v>1</v>
      </c>
      <c r="Z15" s="27">
        <f>IF(R15+U15=2,3,IF(R15+U15=1,1,0))</f>
        <v>3</v>
      </c>
      <c r="AA15" s="27">
        <f>IF(Z15=3,3,IF(X15+Z15=2,2,IF(Z15=1,1,0)))</f>
        <v>3</v>
      </c>
      <c r="AB15" s="27">
        <f>Q15+T15</f>
        <v>12</v>
      </c>
      <c r="AC15" s="27">
        <f>R15+U15+X15</f>
        <v>2</v>
      </c>
      <c r="AD15" s="27"/>
      <c r="AE15" s="141" t="str">
        <f>'Players Ladies'!B24</f>
        <v>Karolina Papiernak/Jennifer Roca</v>
      </c>
      <c r="AF15" s="46">
        <f>Y19+J15+Y23+J29</f>
        <v>2</v>
      </c>
      <c r="AG15" s="46">
        <f t="shared" ref="AG15:AI15" si="3">AA19+L15+AA23+L29</f>
        <v>1</v>
      </c>
      <c r="AH15" s="46">
        <f t="shared" si="3"/>
        <v>17</v>
      </c>
      <c r="AI15" s="47">
        <f t="shared" si="3"/>
        <v>1</v>
      </c>
      <c r="AJ15" s="33"/>
      <c r="AK15" s="33"/>
      <c r="AL15" s="27"/>
    </row>
    <row r="17" ht="15.0" customHeight="1">
      <c r="A17" s="40" t="str">
        <f>AE13</f>
        <v>Maria Ellul/Maria Angela Gambin</v>
      </c>
      <c r="B17" s="41">
        <v>6.0</v>
      </c>
      <c r="C17" s="42">
        <f>IF(B17&gt;B19,1,0)</f>
        <v>1</v>
      </c>
      <c r="D17" s="43"/>
      <c r="E17" s="41">
        <v>6.0</v>
      </c>
      <c r="F17" s="42">
        <f>IF(E17&gt;E19,1,0)</f>
        <v>1</v>
      </c>
      <c r="G17" s="43"/>
      <c r="H17" s="44"/>
      <c r="I17" s="27">
        <f>IF(H17&gt;H19,1,0)</f>
        <v>0</v>
      </c>
      <c r="J17" s="27">
        <f>IF(B17="",0,1)</f>
        <v>1</v>
      </c>
      <c r="K17" s="27">
        <f>IF(C17+F17=2,3,IF(C17+F17=1,1,0))</f>
        <v>3</v>
      </c>
      <c r="L17" s="27">
        <f>IF(K17=3,3,IF(I17+K17=2,2,IF(K17=1,1,0)))</f>
        <v>3</v>
      </c>
      <c r="M17" s="27">
        <f>B17+E17</f>
        <v>12</v>
      </c>
      <c r="N17" s="27">
        <f>C17+F17+I17</f>
        <v>2</v>
      </c>
      <c r="O17" s="27"/>
      <c r="P17" s="40" t="str">
        <f>AE13</f>
        <v>Maria Ellul/Maria Angela Gambin</v>
      </c>
      <c r="Q17" s="41">
        <v>3.0</v>
      </c>
      <c r="R17" s="42">
        <f>IF(Q17&gt;Q19,1,0)</f>
        <v>0</v>
      </c>
      <c r="S17" s="43"/>
      <c r="T17" s="41">
        <v>6.0</v>
      </c>
      <c r="U17" s="42">
        <f>IF(T17&gt;T19,1,0)</f>
        <v>1</v>
      </c>
      <c r="V17" s="43"/>
      <c r="W17" s="41">
        <v>10.0</v>
      </c>
      <c r="X17" s="27">
        <f>IF(W17&gt;W19,1,0)</f>
        <v>1</v>
      </c>
      <c r="Y17" s="27">
        <f>IF(Q17="",0,1)</f>
        <v>1</v>
      </c>
      <c r="Z17" s="27">
        <f>IF(R17+U17=2,3,IF(R17+U17=1,1,0))</f>
        <v>1</v>
      </c>
      <c r="AA17" s="27">
        <f>IF(Z17=3,3,IF(X17+Z17=2,2,IF(Z17=1,1,0)))</f>
        <v>2</v>
      </c>
      <c r="AB17" s="27">
        <f>Q17+T17</f>
        <v>9</v>
      </c>
      <c r="AC17" s="27">
        <f>R17+U17+X17</f>
        <v>2</v>
      </c>
      <c r="AD17" s="27"/>
      <c r="AE17" s="141" t="str">
        <f>'Players Ladies'!B25</f>
        <v>Helga Azzopardi/Bernardette Fenech</v>
      </c>
      <c r="AF17" s="46">
        <f>Y15+J27+J19+J31</f>
        <v>3</v>
      </c>
      <c r="AG17" s="85">
        <f t="shared" ref="AG17:AH17" si="4">AA15+L27+L19+L31</f>
        <v>3</v>
      </c>
      <c r="AH17" s="46">
        <f t="shared" si="4"/>
        <v>28</v>
      </c>
      <c r="AI17" s="47">
        <f>N31+N27+AC15+N19</f>
        <v>2</v>
      </c>
    </row>
    <row r="18" ht="15.0" customHeight="1">
      <c r="A18" s="48" t="s">
        <v>61</v>
      </c>
      <c r="H18" s="49"/>
      <c r="I18" s="50"/>
      <c r="J18" s="27"/>
      <c r="K18" s="27"/>
      <c r="L18" s="27"/>
      <c r="M18" s="27"/>
      <c r="N18" s="27"/>
      <c r="O18" s="27"/>
      <c r="P18" s="48" t="s">
        <v>61</v>
      </c>
      <c r="W18" s="49"/>
      <c r="X18" s="50"/>
      <c r="Y18" s="27"/>
      <c r="Z18" s="27"/>
      <c r="AA18" s="27"/>
      <c r="AB18" s="27"/>
      <c r="AC18" s="27"/>
      <c r="AD18" s="27"/>
      <c r="AE18" s="27"/>
      <c r="AF18" s="33"/>
      <c r="AG18" s="33"/>
      <c r="AH18" s="33"/>
      <c r="AI18" s="33"/>
    </row>
    <row r="19" ht="15.0" customHeight="1">
      <c r="A19" s="51" t="str">
        <f>AE17</f>
        <v>Helga Azzopardi/Bernardette Fenech</v>
      </c>
      <c r="B19" s="41">
        <v>4.0</v>
      </c>
      <c r="C19" s="52">
        <f>IF(B19&gt;B17,1,0)</f>
        <v>0</v>
      </c>
      <c r="D19" s="53"/>
      <c r="E19" s="41">
        <v>3.0</v>
      </c>
      <c r="F19" s="52">
        <f>IF(E19&gt;E17,1,0)</f>
        <v>0</v>
      </c>
      <c r="G19" s="53"/>
      <c r="H19" s="44"/>
      <c r="I19" s="27">
        <f>IF(H19&gt;H17,1,0)</f>
        <v>0</v>
      </c>
      <c r="J19" s="27">
        <f>IF(B19="",0,1)</f>
        <v>1</v>
      </c>
      <c r="K19" s="27">
        <f>IF(C19+F19=2,3,IF(C19+F19=1,1,0))</f>
        <v>0</v>
      </c>
      <c r="L19" s="27">
        <f>IF(K19=3,3,IF(I19+K19=2,2,IF(K19=1,1,0)))</f>
        <v>0</v>
      </c>
      <c r="M19" s="27">
        <f>B19+E19</f>
        <v>7</v>
      </c>
      <c r="N19" s="27">
        <f>C19+F19+I19</f>
        <v>0</v>
      </c>
      <c r="O19" s="27"/>
      <c r="P19" s="51" t="str">
        <f>AE15</f>
        <v>Karolina Papiernak/Jennifer Roca</v>
      </c>
      <c r="Q19" s="41">
        <v>6.0</v>
      </c>
      <c r="R19" s="52">
        <f>IF(Q19&gt;Q17,1,0)</f>
        <v>1</v>
      </c>
      <c r="S19" s="53"/>
      <c r="T19" s="41">
        <v>4.0</v>
      </c>
      <c r="U19" s="52">
        <f>IF(T19&gt;T17,1,0)</f>
        <v>0</v>
      </c>
      <c r="V19" s="53"/>
      <c r="W19" s="41">
        <v>7.0</v>
      </c>
      <c r="X19" s="27">
        <f>IF(W19&gt;W17,1,0)</f>
        <v>0</v>
      </c>
      <c r="Y19" s="27">
        <f>IF(Q19="",0,1)</f>
        <v>1</v>
      </c>
      <c r="Z19" s="27">
        <f>IF(R19+U19=2,3,IF(R19+U19=1,1,0))</f>
        <v>1</v>
      </c>
      <c r="AA19" s="27">
        <f>IF(Z19=3,3,IF(X19+Z19=2,2,IF(Z19=1,1,0)))</f>
        <v>1</v>
      </c>
      <c r="AB19" s="27">
        <f>Q19+T19</f>
        <v>10</v>
      </c>
      <c r="AC19" s="27">
        <f>R19+U19+X19</f>
        <v>1</v>
      </c>
      <c r="AD19" s="27"/>
      <c r="AE19" s="139" t="s">
        <v>62</v>
      </c>
      <c r="AF19" s="30"/>
      <c r="AG19" s="30"/>
      <c r="AH19" s="30"/>
      <c r="AI19" s="11"/>
    </row>
    <row r="20" ht="15.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55" t="s">
        <v>100</v>
      </c>
      <c r="AF20" s="30"/>
      <c r="AG20" s="30"/>
      <c r="AH20" s="30"/>
      <c r="AI20" s="11"/>
    </row>
    <row r="21" ht="15.0" customHeight="1">
      <c r="A21" s="40" t="str">
        <f>AE11</f>
        <v>Marica Cassar/Daphne Vella</v>
      </c>
      <c r="B21" s="41">
        <v>1.0</v>
      </c>
      <c r="C21" s="42">
        <f>IF(B21&gt;B23,1,0)</f>
        <v>0</v>
      </c>
      <c r="D21" s="43"/>
      <c r="E21" s="41">
        <v>2.0</v>
      </c>
      <c r="F21" s="42">
        <f>IF(E21&gt;E23,1,0)</f>
        <v>0</v>
      </c>
      <c r="G21" s="43"/>
      <c r="H21" s="44"/>
      <c r="I21" s="27">
        <f>IF(H21&gt;H23,1,0)</f>
        <v>0</v>
      </c>
      <c r="J21" s="27">
        <f>IF(B21="",0,1)</f>
        <v>1</v>
      </c>
      <c r="K21" s="27">
        <f>IF(C21+F21=2,3,IF(C21+F21=1,1,0))</f>
        <v>0</v>
      </c>
      <c r="L21" s="27">
        <f>IF(K21=3,3,IF(I21+K21=2,2,IF(K21=1,1,0)))</f>
        <v>0</v>
      </c>
      <c r="M21" s="27">
        <f>B21+E21</f>
        <v>3</v>
      </c>
      <c r="N21" s="27">
        <f>C21+F21+I21</f>
        <v>0</v>
      </c>
      <c r="O21" s="27"/>
      <c r="P21" s="40" t="str">
        <f>AE11</f>
        <v>Marica Cassar/Daphne Vella</v>
      </c>
      <c r="Q21" s="44"/>
      <c r="R21" s="42">
        <f>IF(Q21&gt;Q23,1,0)</f>
        <v>0</v>
      </c>
      <c r="S21" s="43"/>
      <c r="T21" s="44"/>
      <c r="U21" s="42">
        <f>IF(T21&gt;T23,1,0)</f>
        <v>0</v>
      </c>
      <c r="V21" s="43"/>
      <c r="W21" s="44"/>
      <c r="X21" s="27">
        <f>IF(W21&gt;W23,1,0)</f>
        <v>0</v>
      </c>
      <c r="Y21" s="27">
        <f>IF(Q21="",0,1)</f>
        <v>0</v>
      </c>
      <c r="Z21" s="27">
        <f>IF(R21+U21=2,3,IF(R21+U21=1,1,0))</f>
        <v>0</v>
      </c>
      <c r="AA21" s="27">
        <f>IF(Z21=3,3,IF(X21+Z21=2,2,IF(Z21=1,1,0)))</f>
        <v>0</v>
      </c>
      <c r="AB21" s="27">
        <f>Q21+T21</f>
        <v>0</v>
      </c>
      <c r="AC21" s="27">
        <f>R21+U21+X21</f>
        <v>0</v>
      </c>
      <c r="AD21" s="27"/>
    </row>
    <row r="22" ht="15.0" customHeight="1">
      <c r="A22" s="48" t="s">
        <v>61</v>
      </c>
      <c r="H22" s="49"/>
      <c r="I22" s="50"/>
      <c r="J22" s="27"/>
      <c r="K22" s="27"/>
      <c r="L22" s="27"/>
      <c r="M22" s="27"/>
      <c r="N22" s="27"/>
      <c r="O22" s="27"/>
      <c r="P22" s="48" t="s">
        <v>61</v>
      </c>
      <c r="W22" s="49"/>
      <c r="X22" s="50"/>
      <c r="Y22" s="27"/>
      <c r="Z22" s="27"/>
      <c r="AA22" s="27"/>
      <c r="AB22" s="27"/>
      <c r="AC22" s="27"/>
      <c r="AD22" s="27"/>
    </row>
    <row r="23" ht="15.0" customHeight="1">
      <c r="A23" s="51" t="str">
        <f>AE13</f>
        <v>Maria Ellul/Maria Angela Gambin</v>
      </c>
      <c r="B23" s="41">
        <v>6.0</v>
      </c>
      <c r="C23" s="52">
        <f>IF(B23&gt;B21,1,0)</f>
        <v>1</v>
      </c>
      <c r="D23" s="53"/>
      <c r="E23" s="41">
        <v>6.0</v>
      </c>
      <c r="F23" s="52">
        <f>IF(E23&gt;E21,1,0)</f>
        <v>1</v>
      </c>
      <c r="G23" s="53"/>
      <c r="H23" s="44"/>
      <c r="I23" s="27">
        <f>IF(H23&gt;H21,1,0)</f>
        <v>0</v>
      </c>
      <c r="J23" s="27">
        <f>IF(B23="",0,1)</f>
        <v>1</v>
      </c>
      <c r="K23" s="27">
        <f>IF(C23+F23=2,3,IF(C23+F23=1,1,0))</f>
        <v>3</v>
      </c>
      <c r="L23" s="27">
        <f>IF(K23=3,3,IF(I23+K23=2,2,IF(K23=1,1,0)))</f>
        <v>3</v>
      </c>
      <c r="M23" s="27">
        <f>B23+E23</f>
        <v>12</v>
      </c>
      <c r="N23" s="27">
        <f>C23+F23+I23</f>
        <v>2</v>
      </c>
      <c r="O23" s="27"/>
      <c r="P23" s="51" t="str">
        <f>AE15</f>
        <v>Karolina Papiernak/Jennifer Roca</v>
      </c>
      <c r="Q23" s="44"/>
      <c r="R23" s="52">
        <f>IF(Q23&gt;Q21,1,0)</f>
        <v>0</v>
      </c>
      <c r="S23" s="53"/>
      <c r="T23" s="44"/>
      <c r="U23" s="52">
        <f>IF(T23&gt;T21,1,0)</f>
        <v>0</v>
      </c>
      <c r="V23" s="53"/>
      <c r="W23" s="44"/>
      <c r="X23" s="27">
        <f>IF(W23&gt;W21,1,0)</f>
        <v>0</v>
      </c>
      <c r="Y23" s="27">
        <f>IF(Q23="",0,1)</f>
        <v>0</v>
      </c>
      <c r="Z23" s="27">
        <f>IF(R23+U23=2,3,IF(R23+U23=1,1,0))</f>
        <v>0</v>
      </c>
      <c r="AA23" s="27">
        <f>IF(Z23=3,3,IF(X23+Z23=2,2,IF(Z23=1,1,0)))</f>
        <v>0</v>
      </c>
      <c r="AB23" s="27">
        <f>Q23+T23</f>
        <v>0</v>
      </c>
      <c r="AC23" s="27">
        <f>R23+U23+X23</f>
        <v>0</v>
      </c>
      <c r="AD23" s="27"/>
      <c r="AE23" s="27"/>
      <c r="AF23" s="27"/>
      <c r="AG23" s="27"/>
      <c r="AH23" s="27"/>
      <c r="AI23" s="27"/>
    </row>
    <row r="24" ht="15.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</row>
    <row r="25" ht="15.0" customHeight="1">
      <c r="A25" s="40" t="str">
        <f>AE11</f>
        <v>Marica Cassar/Daphne Vella</v>
      </c>
      <c r="B25" s="41">
        <v>6.0</v>
      </c>
      <c r="C25" s="42">
        <f>IF(B25&gt;B27,1,0)</f>
        <v>1</v>
      </c>
      <c r="D25" s="43"/>
      <c r="E25" s="41">
        <v>7.0</v>
      </c>
      <c r="F25" s="42">
        <f>IF(E25&gt;E27,1,0)</f>
        <v>1</v>
      </c>
      <c r="G25" s="43"/>
      <c r="H25" s="44"/>
      <c r="I25" s="27">
        <f>IF(H25&gt;H27,1,0)</f>
        <v>0</v>
      </c>
      <c r="J25" s="27">
        <f>IF(B25="",0,1)</f>
        <v>1</v>
      </c>
      <c r="K25" s="27">
        <f>IF(C25+F25=2,3,IF(C25+F25=1,1,0))</f>
        <v>3</v>
      </c>
      <c r="L25" s="27">
        <f>IF(K25=3,3,IF(I25+K25=2,2,IF(K25=1,1,0)))</f>
        <v>3</v>
      </c>
      <c r="M25" s="27">
        <f>B25+E25</f>
        <v>13</v>
      </c>
      <c r="N25" s="27">
        <f>C25+F25+I25</f>
        <v>2</v>
      </c>
      <c r="O25" s="27"/>
      <c r="P25" s="27"/>
      <c r="Q25" s="33"/>
      <c r="R25" s="27"/>
      <c r="S25" s="33"/>
      <c r="T25" s="33"/>
      <c r="U25" s="27"/>
      <c r="V25" s="33"/>
      <c r="W25" s="33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33"/>
      <c r="AI25" s="27"/>
    </row>
    <row r="26" ht="15.0" customHeight="1">
      <c r="A26" s="48" t="s">
        <v>61</v>
      </c>
      <c r="H26" s="49"/>
      <c r="I26" s="50"/>
      <c r="J26" s="27"/>
      <c r="K26" s="27"/>
      <c r="L26" s="27"/>
      <c r="M26" s="27"/>
      <c r="N26" s="27"/>
      <c r="O26" s="27"/>
      <c r="P26" s="27"/>
      <c r="X26" s="50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ht="15.0" customHeight="1">
      <c r="A27" s="51" t="str">
        <f>AE17</f>
        <v>Helga Azzopardi/Bernardette Fenech</v>
      </c>
      <c r="B27" s="41">
        <v>4.0</v>
      </c>
      <c r="C27" s="52">
        <f>IF(B27&gt;B25,1,0)</f>
        <v>0</v>
      </c>
      <c r="D27" s="53"/>
      <c r="E27" s="41">
        <v>5.0</v>
      </c>
      <c r="F27" s="52">
        <f>IF(E27&gt;E25,1,0)</f>
        <v>0</v>
      </c>
      <c r="G27" s="53"/>
      <c r="H27" s="44"/>
      <c r="I27" s="27">
        <f>IF(H27&gt;H25,1,0)</f>
        <v>0</v>
      </c>
      <c r="J27" s="27">
        <f>IF(B27="",0,1)</f>
        <v>1</v>
      </c>
      <c r="K27" s="27">
        <f>IF(C27+F27=2,3,IF(C27+F27=1,1,0))</f>
        <v>0</v>
      </c>
      <c r="L27" s="27">
        <f>IF(K27=3,3,IF(I27+K27=2,2,IF(K27=1,1,0)))</f>
        <v>0</v>
      </c>
      <c r="M27" s="27">
        <f>B27+E27</f>
        <v>9</v>
      </c>
      <c r="N27" s="27">
        <f>C27+F27+I27</f>
        <v>0</v>
      </c>
      <c r="O27" s="27"/>
      <c r="P27" s="27"/>
      <c r="Q27" s="33"/>
      <c r="R27" s="27"/>
      <c r="S27" s="33"/>
      <c r="T27" s="33"/>
      <c r="U27" s="27"/>
      <c r="V27" s="33"/>
      <c r="W27" s="33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ht="15.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33"/>
      <c r="AI28" s="27"/>
    </row>
    <row r="29" ht="15.0" customHeight="1">
      <c r="A29" s="40" t="str">
        <f>AE15</f>
        <v>Karolina Papiernak/Jennifer Roca</v>
      </c>
      <c r="B29" s="44"/>
      <c r="C29" s="42">
        <f>IF(B29&gt;B31,1,0)</f>
        <v>0</v>
      </c>
      <c r="D29" s="43"/>
      <c r="E29" s="44"/>
      <c r="F29" s="42">
        <f>IF(E29&gt;E31,1,0)</f>
        <v>0</v>
      </c>
      <c r="G29" s="43"/>
      <c r="H29" s="44"/>
      <c r="I29" s="27">
        <f>IF(H29&gt;H31,1,0)</f>
        <v>0</v>
      </c>
      <c r="J29" s="27">
        <f>IF(B29="",0,1)</f>
        <v>0</v>
      </c>
      <c r="K29" s="27">
        <f>IF(C29+F29=2,3,IF(C29+F29=1,1,0))</f>
        <v>0</v>
      </c>
      <c r="L29" s="27">
        <f>IF(K29=3,3,IF(I29+K29=2,2,IF(K29=1,1,0)))</f>
        <v>0</v>
      </c>
      <c r="M29" s="27">
        <f>B29+E29</f>
        <v>0</v>
      </c>
      <c r="N29" s="27">
        <f>C29+F29+I29</f>
        <v>0</v>
      </c>
      <c r="O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 ht="15.0" customHeight="1">
      <c r="A30" s="48" t="s">
        <v>61</v>
      </c>
      <c r="H30" s="49"/>
      <c r="I30" s="50"/>
      <c r="J30" s="27"/>
      <c r="K30" s="27"/>
      <c r="L30" s="27"/>
      <c r="M30" s="27"/>
      <c r="N30" s="27"/>
      <c r="O30" s="27"/>
      <c r="X30" s="50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ht="15.0" customHeight="1">
      <c r="A31" s="51" t="str">
        <f>AE17</f>
        <v>Helga Azzopardi/Bernardette Fenech</v>
      </c>
      <c r="B31" s="44"/>
      <c r="C31" s="52">
        <f>IF(B31&gt;B29,1,0)</f>
        <v>0</v>
      </c>
      <c r="D31" s="53"/>
      <c r="E31" s="44"/>
      <c r="F31" s="52">
        <f>IF(E31&gt;E29,1,0)</f>
        <v>0</v>
      </c>
      <c r="G31" s="53"/>
      <c r="H31" s="44"/>
      <c r="I31" s="27">
        <f>IF(H31&gt;H29,1,0)</f>
        <v>0</v>
      </c>
      <c r="J31" s="27">
        <f>IF(B31="",0,1)</f>
        <v>0</v>
      </c>
      <c r="K31" s="27">
        <f>IF(C31+F31=2,3,IF(C31+F31=1,1,0))</f>
        <v>0</v>
      </c>
      <c r="L31" s="27">
        <f>IF(K31=3,3,IF(I31+K31=2,2,IF(K31=1,1,0)))</f>
        <v>0</v>
      </c>
      <c r="M31" s="27">
        <f>B31+E31</f>
        <v>0</v>
      </c>
      <c r="N31" s="27">
        <f>C31+F31+I31</f>
        <v>0</v>
      </c>
      <c r="O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0" customHeight="1">
      <c r="A48" s="142" t="s">
        <v>95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6"/>
      <c r="AJ48" s="27"/>
      <c r="AK48" s="27"/>
      <c r="AL48" s="27"/>
    </row>
    <row r="49" ht="15.0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ht="30.0" customHeight="1">
      <c r="A50" s="143" t="s">
        <v>41</v>
      </c>
      <c r="B50" s="144" t="s">
        <v>42</v>
      </c>
      <c r="C50" s="30"/>
      <c r="D50" s="30"/>
      <c r="E50" s="11"/>
      <c r="F50" s="61"/>
      <c r="G50" s="32"/>
      <c r="H50" s="143" t="s">
        <v>43</v>
      </c>
      <c r="I50" s="27"/>
      <c r="J50" s="27"/>
      <c r="K50" s="27"/>
      <c r="L50" s="27"/>
      <c r="M50" s="33"/>
      <c r="N50" s="33"/>
      <c r="O50" s="33"/>
      <c r="P50" s="143" t="s">
        <v>41</v>
      </c>
      <c r="Q50" s="144" t="s">
        <v>42</v>
      </c>
      <c r="R50" s="30"/>
      <c r="S50" s="30"/>
      <c r="T50" s="11"/>
      <c r="U50" s="61"/>
      <c r="V50" s="32"/>
      <c r="W50" s="143" t="s">
        <v>43</v>
      </c>
      <c r="X50" s="27"/>
      <c r="Y50" s="33"/>
      <c r="Z50" s="33"/>
      <c r="AA50" s="33"/>
      <c r="AB50" s="33"/>
      <c r="AC50" s="33"/>
      <c r="AD50" s="33"/>
      <c r="AE50" s="143" t="s">
        <v>44</v>
      </c>
      <c r="AF50" s="145" t="s">
        <v>45</v>
      </c>
      <c r="AG50" s="145" t="s">
        <v>46</v>
      </c>
      <c r="AH50" s="143" t="s">
        <v>47</v>
      </c>
      <c r="AI50" s="143" t="s">
        <v>48</v>
      </c>
      <c r="AJ50" s="63"/>
      <c r="AK50" s="63"/>
      <c r="AL50" s="27"/>
    </row>
    <row r="51" ht="15.75" hidden="1" customHeight="1">
      <c r="A51" s="27"/>
      <c r="B51" s="37" t="s">
        <v>49</v>
      </c>
      <c r="C51" s="37" t="s">
        <v>50</v>
      </c>
      <c r="D51" s="37"/>
      <c r="E51" s="37" t="s">
        <v>49</v>
      </c>
      <c r="F51" s="37" t="s">
        <v>51</v>
      </c>
      <c r="G51" s="37"/>
      <c r="H51" s="37" t="s">
        <v>49</v>
      </c>
      <c r="I51" s="37" t="s">
        <v>52</v>
      </c>
      <c r="J51" s="37" t="s">
        <v>53</v>
      </c>
      <c r="K51" s="37" t="s">
        <v>54</v>
      </c>
      <c r="L51" s="37" t="s">
        <v>55</v>
      </c>
      <c r="M51" s="37" t="s">
        <v>56</v>
      </c>
      <c r="N51" s="37" t="s">
        <v>57</v>
      </c>
      <c r="O51" s="27"/>
      <c r="P51" s="27"/>
      <c r="Q51" s="37" t="s">
        <v>49</v>
      </c>
      <c r="R51" s="37" t="s">
        <v>50</v>
      </c>
      <c r="S51" s="37"/>
      <c r="T51" s="37" t="s">
        <v>49</v>
      </c>
      <c r="U51" s="37" t="s">
        <v>51</v>
      </c>
      <c r="V51" s="37"/>
      <c r="W51" s="37" t="s">
        <v>49</v>
      </c>
      <c r="X51" s="37" t="s">
        <v>52</v>
      </c>
      <c r="Y51" s="37" t="s">
        <v>53</v>
      </c>
      <c r="Z51" s="37" t="s">
        <v>54</v>
      </c>
      <c r="AA51" s="37" t="s">
        <v>55</v>
      </c>
      <c r="AB51" s="37" t="s">
        <v>56</v>
      </c>
      <c r="AC51" s="37" t="s">
        <v>57</v>
      </c>
      <c r="AD51" s="27"/>
      <c r="AE51" s="33"/>
      <c r="AF51" s="33"/>
      <c r="AG51" s="33"/>
      <c r="AH51" s="33"/>
      <c r="AI51" s="33"/>
      <c r="AJ51" s="37" t="s">
        <v>58</v>
      </c>
      <c r="AK51" s="38" t="s">
        <v>59</v>
      </c>
      <c r="AL51" s="39" t="s">
        <v>60</v>
      </c>
    </row>
    <row r="52" ht="15.0" customHeight="1">
      <c r="A52" s="40" t="str">
        <f>AE52</f>
        <v>Ceridwen Scerri/Jade Sammut</v>
      </c>
      <c r="B52" s="41">
        <v>6.0</v>
      </c>
      <c r="C52" s="42">
        <f>IF(B52&gt;B54,1,0)</f>
        <v>1</v>
      </c>
      <c r="D52" s="43"/>
      <c r="E52" s="41">
        <v>7.0</v>
      </c>
      <c r="F52" s="42">
        <f>IF(E52&gt;E54,1,0)</f>
        <v>1</v>
      </c>
      <c r="G52" s="43"/>
      <c r="H52" s="44"/>
      <c r="I52" s="27">
        <f>IF(H52&gt;H54,1,0)</f>
        <v>0</v>
      </c>
      <c r="J52" s="27">
        <f>IF(B52="",0,1)</f>
        <v>1</v>
      </c>
      <c r="K52" s="27">
        <f>IF(C52+F52=2,3,IF(C52+F52=1,1,0))</f>
        <v>3</v>
      </c>
      <c r="L52" s="27">
        <f>IF(K52=3,3,IF(I52+K52=2,2,IF(K52=1,1,0)))</f>
        <v>3</v>
      </c>
      <c r="M52" s="27">
        <f>B52+E52</f>
        <v>13</v>
      </c>
      <c r="N52" s="27">
        <f>C52+F52+I52</f>
        <v>2</v>
      </c>
      <c r="O52" s="27"/>
      <c r="P52" s="40" t="str">
        <f>AE52</f>
        <v>Ceridwen Scerri/Jade Sammut</v>
      </c>
      <c r="Q52" s="41">
        <v>0.0</v>
      </c>
      <c r="R52" s="42">
        <f>IF(Q52&gt;Q54,1,0)</f>
        <v>0</v>
      </c>
      <c r="S52" s="43"/>
      <c r="T52" s="41">
        <v>5.0</v>
      </c>
      <c r="U52" s="42">
        <f>IF(T52&gt;T54,1,0)</f>
        <v>0</v>
      </c>
      <c r="V52" s="43"/>
      <c r="W52" s="44"/>
      <c r="X52" s="27">
        <f>IF(W52&gt;W54,1,0)</f>
        <v>0</v>
      </c>
      <c r="Y52" s="27">
        <f>IF(Q52="",0,1)</f>
        <v>1</v>
      </c>
      <c r="Z52" s="27">
        <f>IF(R52+U52=2,3,IF(R52+U52=1,1,0))</f>
        <v>0</v>
      </c>
      <c r="AA52" s="27">
        <f>IF(Z52=3,3,IF(X52+Z52=2,2,IF(Z52=1,1,0)))</f>
        <v>0</v>
      </c>
      <c r="AB52" s="27">
        <f>Q52+T52</f>
        <v>5</v>
      </c>
      <c r="AC52" s="27">
        <f>R52+U52+X52</f>
        <v>0</v>
      </c>
      <c r="AD52" s="27"/>
      <c r="AE52" s="146" t="str">
        <f>'Players Ladies'!F21</f>
        <v>Ceridwen Scerri/Jade Sammut</v>
      </c>
      <c r="AF52" s="46">
        <f>J52+Y52+J56+Y56</f>
        <v>4</v>
      </c>
      <c r="AG52" s="46">
        <f t="shared" ref="AG52:AI52" si="5">L52+AA52+L56+AA56</f>
        <v>6</v>
      </c>
      <c r="AH52" s="46">
        <f t="shared" si="5"/>
        <v>39</v>
      </c>
      <c r="AI52" s="47">
        <f t="shared" si="5"/>
        <v>4</v>
      </c>
      <c r="AJ52" s="27">
        <f>MAX(AG52:AG61)</f>
        <v>10</v>
      </c>
      <c r="AK52" s="27">
        <f>SUM(AF52:AF61)</f>
        <v>20</v>
      </c>
      <c r="AL52" s="27" t="str">
        <f>IF(AG52=$AJ$52,AE52,IF(AG54=$AJ$52,AE54,IF(AG56=$AJ$52,AE56,IF(AG58=$AJ$52,AE58,IF(AG60=$AJ$52,AE60,IF(#REF!=$AJ$52,#REF!,""))))))</f>
        <v>Kaya Sammut/Leanne Sammut</v>
      </c>
    </row>
    <row r="53" ht="15.0" customHeight="1">
      <c r="A53" s="48" t="s">
        <v>61</v>
      </c>
      <c r="H53" s="49"/>
      <c r="I53" s="50"/>
      <c r="J53" s="27"/>
      <c r="K53" s="27"/>
      <c r="L53" s="27"/>
      <c r="M53" s="27"/>
      <c r="N53" s="27"/>
      <c r="O53" s="27"/>
      <c r="P53" s="48" t="s">
        <v>61</v>
      </c>
      <c r="W53" s="49"/>
      <c r="X53" s="50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33"/>
      <c r="AL53" s="27"/>
    </row>
    <row r="54" ht="15.0" customHeight="1">
      <c r="A54" s="51" t="str">
        <f>AE54</f>
        <v>Giada Sciberras/Sophia Re</v>
      </c>
      <c r="B54" s="41">
        <v>4.0</v>
      </c>
      <c r="C54" s="52">
        <f>IF(B54&gt;B52,1,0)</f>
        <v>0</v>
      </c>
      <c r="D54" s="53"/>
      <c r="E54" s="41">
        <v>5.0</v>
      </c>
      <c r="F54" s="52">
        <f>IF(E54&gt;E52,1,0)</f>
        <v>0</v>
      </c>
      <c r="G54" s="53"/>
      <c r="H54" s="44"/>
      <c r="I54" s="27">
        <f>IF(H54&gt;H52,1,0)</f>
        <v>0</v>
      </c>
      <c r="J54" s="27">
        <f>IF(B54="",0,1)</f>
        <v>1</v>
      </c>
      <c r="K54" s="27">
        <f>IF(C54+F54=2,3,IF(C54+F54=1,1,0))</f>
        <v>0</v>
      </c>
      <c r="L54" s="27">
        <f>IF(K54=3,3,IF(I54+K54=2,2,IF(K54=1,1,0)))</f>
        <v>0</v>
      </c>
      <c r="M54" s="27">
        <f>B54+E54</f>
        <v>9</v>
      </c>
      <c r="N54" s="27">
        <f>C54+F54+I54</f>
        <v>0</v>
      </c>
      <c r="O54" s="27"/>
      <c r="P54" s="51" t="str">
        <f>AE56</f>
        <v>Kaya Sammut/Leanne Sammut</v>
      </c>
      <c r="Q54" s="41">
        <v>6.0</v>
      </c>
      <c r="R54" s="52">
        <f>IF(Q54&gt;Q52,1,0)</f>
        <v>1</v>
      </c>
      <c r="S54" s="53"/>
      <c r="T54" s="41">
        <v>7.0</v>
      </c>
      <c r="U54" s="52">
        <f>IF(T54&gt;T52,1,0)</f>
        <v>1</v>
      </c>
      <c r="V54" s="53"/>
      <c r="W54" s="44"/>
      <c r="X54" s="27">
        <f>IF(W54&gt;W52,1,0)</f>
        <v>0</v>
      </c>
      <c r="Y54" s="27">
        <f>IF(Q54="",0,1)</f>
        <v>1</v>
      </c>
      <c r="Z54" s="27">
        <f>IF(R54+U54=2,3,IF(R54+U54=1,1,0))</f>
        <v>3</v>
      </c>
      <c r="AA54" s="27">
        <f>IF(Z54=3,3,IF(X54+Z54=2,2,IF(Z54=1,1,0)))</f>
        <v>3</v>
      </c>
      <c r="AB54" s="27">
        <f>Q54+T54</f>
        <v>13</v>
      </c>
      <c r="AC54" s="27">
        <f>R54+U54+X54</f>
        <v>2</v>
      </c>
      <c r="AD54" s="27"/>
      <c r="AE54" s="146" t="str">
        <f>'Players Ladies'!F22</f>
        <v>Giada Sciberras/Sophia Re</v>
      </c>
      <c r="AF54" s="46">
        <f>J54+J68+Y64+J64</f>
        <v>4</v>
      </c>
      <c r="AG54" s="46">
        <f t="shared" ref="AG54:AI54" si="6">L54+L68+AA64+L64</f>
        <v>4</v>
      </c>
      <c r="AH54" s="46">
        <f t="shared" si="6"/>
        <v>35</v>
      </c>
      <c r="AI54" s="47">
        <f t="shared" si="6"/>
        <v>4</v>
      </c>
      <c r="AJ54" s="33"/>
      <c r="AK54" s="33"/>
      <c r="AL54" s="27"/>
    </row>
    <row r="55" ht="15.0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33"/>
      <c r="AG55" s="33"/>
      <c r="AH55" s="33"/>
      <c r="AI55" s="33"/>
      <c r="AJ55" s="33"/>
      <c r="AK55" s="33"/>
      <c r="AL55" s="27"/>
    </row>
    <row r="56" ht="15.0" customHeight="1">
      <c r="A56" s="40" t="str">
        <f>AE52</f>
        <v>Ceridwen Scerri/Jade Sammut</v>
      </c>
      <c r="B56" s="41">
        <v>7.0</v>
      </c>
      <c r="C56" s="42">
        <f>IF(B56&gt;B58,1,0)</f>
        <v>1</v>
      </c>
      <c r="D56" s="43"/>
      <c r="E56" s="41">
        <v>6.0</v>
      </c>
      <c r="F56" s="42">
        <f>IF(E56&gt;E58,1,0)</f>
        <v>1</v>
      </c>
      <c r="G56" s="43"/>
      <c r="H56" s="44"/>
      <c r="I56" s="27">
        <f>IF(H56&gt;H58,1,0)</f>
        <v>0</v>
      </c>
      <c r="J56" s="27">
        <f>IF(B56="",0,1)</f>
        <v>1</v>
      </c>
      <c r="K56" s="27">
        <f>IF(C56+F56=2,3,IF(C56+F56=1,1,0))</f>
        <v>3</v>
      </c>
      <c r="L56" s="27">
        <f>IF(K56=3,3,IF(I56+K56=2,2,IF(K56=1,1,0)))</f>
        <v>3</v>
      </c>
      <c r="M56" s="27">
        <f>B56+E56</f>
        <v>13</v>
      </c>
      <c r="N56" s="27">
        <f>C56+F56+I56</f>
        <v>2</v>
      </c>
      <c r="O56" s="27"/>
      <c r="P56" s="40" t="str">
        <f>AE52</f>
        <v>Ceridwen Scerri/Jade Sammut</v>
      </c>
      <c r="Q56" s="41">
        <v>3.0</v>
      </c>
      <c r="R56" s="42">
        <f>IF(Q56&gt;Q58,1,0)</f>
        <v>0</v>
      </c>
      <c r="S56" s="43"/>
      <c r="T56" s="41">
        <v>5.0</v>
      </c>
      <c r="U56" s="42">
        <f>IF(T56&gt;T58,1,0)</f>
        <v>0</v>
      </c>
      <c r="V56" s="43"/>
      <c r="W56" s="44"/>
      <c r="X56" s="27">
        <f>IF(W56&gt;W58,1,0)</f>
        <v>0</v>
      </c>
      <c r="Y56" s="27">
        <f>IF(Q56="",0,1)</f>
        <v>1</v>
      </c>
      <c r="Z56" s="27">
        <f>IF(R56+U56=2,3,IF(R56+U56=1,1,0))</f>
        <v>0</v>
      </c>
      <c r="AA56" s="27">
        <f>IF(Z56=3,3,IF(X56+Z56=2,2,IF(Z56=1,1,0)))</f>
        <v>0</v>
      </c>
      <c r="AB56" s="27">
        <f>Q56+T56</f>
        <v>8</v>
      </c>
      <c r="AC56" s="27">
        <f>R56+U56+X56</f>
        <v>0</v>
      </c>
      <c r="AD56" s="27"/>
      <c r="AE56" s="146" t="str">
        <f>'Players Ladies'!F23</f>
        <v>Kaya Sammut/Leanne Sammut</v>
      </c>
      <c r="AF56" s="46">
        <f>Y60+Y54+J60+J66</f>
        <v>4</v>
      </c>
      <c r="AG56" s="46">
        <f t="shared" ref="AG56:AI56" si="7">AA60+AA54+L60+L66</f>
        <v>10</v>
      </c>
      <c r="AH56" s="46">
        <f t="shared" si="7"/>
        <v>47</v>
      </c>
      <c r="AI56" s="47">
        <f t="shared" si="7"/>
        <v>7</v>
      </c>
      <c r="AJ56" s="33"/>
      <c r="AK56" s="33"/>
      <c r="AL56" s="27"/>
    </row>
    <row r="57" ht="15.0" customHeight="1">
      <c r="A57" s="48" t="s">
        <v>61</v>
      </c>
      <c r="H57" s="49"/>
      <c r="I57" s="50"/>
      <c r="J57" s="27"/>
      <c r="K57" s="27"/>
      <c r="L57" s="27"/>
      <c r="M57" s="27"/>
      <c r="N57" s="27"/>
      <c r="O57" s="27"/>
      <c r="P57" s="48" t="s">
        <v>61</v>
      </c>
      <c r="W57" s="49"/>
      <c r="X57" s="50"/>
      <c r="Y57" s="27"/>
      <c r="Z57" s="27"/>
      <c r="AA57" s="27"/>
      <c r="AB57" s="27"/>
      <c r="AC57" s="27"/>
      <c r="AD57" s="27"/>
      <c r="AE57" s="27"/>
      <c r="AF57" s="33"/>
      <c r="AG57" s="33"/>
      <c r="AH57" s="33"/>
      <c r="AI57" s="33"/>
      <c r="AJ57" s="33"/>
      <c r="AK57" s="33"/>
      <c r="AL57" s="27"/>
    </row>
    <row r="58" ht="15.0" customHeight="1">
      <c r="A58" s="51" t="str">
        <f>AE58</f>
        <v>Mary Borg/Christine Scerri</v>
      </c>
      <c r="B58" s="41">
        <v>5.0</v>
      </c>
      <c r="C58" s="52">
        <f>IF(B58&gt;B56,1,0)</f>
        <v>0</v>
      </c>
      <c r="D58" s="53"/>
      <c r="E58" s="41">
        <v>0.0</v>
      </c>
      <c r="F58" s="52">
        <f>IF(E58&gt;E56,1,0)</f>
        <v>0</v>
      </c>
      <c r="G58" s="53"/>
      <c r="H58" s="44"/>
      <c r="I58" s="27">
        <f>IF(H58&gt;H56,1,0)</f>
        <v>0</v>
      </c>
      <c r="J58" s="27">
        <f>IF(B58="",0,1)</f>
        <v>1</v>
      </c>
      <c r="K58" s="27">
        <f>IF(C58+F58=2,3,IF(C58+F58=1,1,0))</f>
        <v>0</v>
      </c>
      <c r="L58" s="27">
        <f>IF(K58=3,3,IF(I58+K58=2,2,IF(K58=1,1,0)))</f>
        <v>0</v>
      </c>
      <c r="M58" s="27">
        <f>B58+E58</f>
        <v>5</v>
      </c>
      <c r="N58" s="27">
        <f>C58+F58+I58</f>
        <v>0</v>
      </c>
      <c r="O58" s="27"/>
      <c r="P58" s="51" t="str">
        <f>AE60</f>
        <v>Janice Galea/Nicole Lia</v>
      </c>
      <c r="Q58" s="41">
        <v>6.0</v>
      </c>
      <c r="R58" s="52">
        <f>IF(Q58&gt;Q56,1,0)</f>
        <v>1</v>
      </c>
      <c r="S58" s="53"/>
      <c r="T58" s="41">
        <v>7.0</v>
      </c>
      <c r="U58" s="52">
        <f>IF(T58&gt;T56,1,0)</f>
        <v>1</v>
      </c>
      <c r="V58" s="53"/>
      <c r="W58" s="44"/>
      <c r="X58" s="27">
        <f>IF(W58&gt;W56,1,0)</f>
        <v>0</v>
      </c>
      <c r="Y58" s="27">
        <f>IF(Q58="",0,1)</f>
        <v>1</v>
      </c>
      <c r="Z58" s="27">
        <f>IF(R58+U58=2,3,IF(R58+U58=1,1,0))</f>
        <v>3</v>
      </c>
      <c r="AA58" s="27">
        <f>IF(Z58=3,3,IF(X58+Z58=2,2,IF(Z58=1,1,0)))</f>
        <v>3</v>
      </c>
      <c r="AB58" s="27">
        <f>Q58+T58</f>
        <v>13</v>
      </c>
      <c r="AC58" s="27">
        <f>R58+U58+X58</f>
        <v>2</v>
      </c>
      <c r="AD58" s="27"/>
      <c r="AE58" s="146" t="str">
        <f>'Players Ladies'!F24</f>
        <v>Mary Borg/Christine Scerri</v>
      </c>
      <c r="AF58" s="46">
        <f>Y62+J72+J58+Y66</f>
        <v>4</v>
      </c>
      <c r="AG58" s="46">
        <f t="shared" ref="AG58:AI58" si="8">AA62+L72+L58+AA66</f>
        <v>3</v>
      </c>
      <c r="AH58" s="46">
        <f t="shared" si="8"/>
        <v>25</v>
      </c>
      <c r="AI58" s="47">
        <f t="shared" si="8"/>
        <v>3</v>
      </c>
      <c r="AJ58" s="33"/>
      <c r="AK58" s="33"/>
      <c r="AL58" s="27"/>
    </row>
    <row r="59" ht="15.0" customHeight="1">
      <c r="A59" s="27"/>
      <c r="B59" s="33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33"/>
      <c r="AG59" s="33"/>
      <c r="AH59" s="33"/>
      <c r="AI59" s="33"/>
      <c r="AJ59" s="33"/>
      <c r="AK59" s="33"/>
      <c r="AL59" s="27"/>
    </row>
    <row r="60" ht="15.0" customHeight="1">
      <c r="A60" s="40" t="str">
        <f>AE56</f>
        <v>Kaya Sammut/Leanne Sammut</v>
      </c>
      <c r="B60" s="41">
        <v>6.0</v>
      </c>
      <c r="C60" s="42">
        <f>IF(B60&gt;B62,1,0)</f>
        <v>1</v>
      </c>
      <c r="D60" s="43"/>
      <c r="E60" s="41">
        <v>6.0</v>
      </c>
      <c r="F60" s="42">
        <f>IF(E60&gt;E62,1,0)</f>
        <v>1</v>
      </c>
      <c r="G60" s="43"/>
      <c r="H60" s="44"/>
      <c r="I60" s="27">
        <f>IF(H60&gt;H62,1,0)</f>
        <v>0</v>
      </c>
      <c r="J60" s="27">
        <f>IF(B60="",0,1)</f>
        <v>1</v>
      </c>
      <c r="K60" s="27">
        <f>IF(C60+F60=2,3,IF(C60+F60=1,1,0))</f>
        <v>3</v>
      </c>
      <c r="L60" s="27">
        <f>IF(K60=3,3,IF(I60+K60=2,2,IF(K60=1,1,0)))</f>
        <v>3</v>
      </c>
      <c r="M60" s="27">
        <f>B60+E60</f>
        <v>12</v>
      </c>
      <c r="N60" s="27">
        <f>C60+F60+I60</f>
        <v>2</v>
      </c>
      <c r="O60" s="27"/>
      <c r="P60" s="40" t="str">
        <f>AE56</f>
        <v>Kaya Sammut/Leanne Sammut</v>
      </c>
      <c r="Q60" s="41">
        <v>6.0</v>
      </c>
      <c r="R60" s="42">
        <f>IF(Q60&gt;Q62,1,0)</f>
        <v>1</v>
      </c>
      <c r="S60" s="43"/>
      <c r="T60" s="41">
        <v>6.0</v>
      </c>
      <c r="U60" s="42">
        <f>IF(T60&gt;T62,1,0)</f>
        <v>1</v>
      </c>
      <c r="V60" s="43"/>
      <c r="W60" s="44"/>
      <c r="X60" s="27">
        <f>IF(W60&gt;W62,1,0)</f>
        <v>0</v>
      </c>
      <c r="Y60" s="27">
        <f>IF(Q60="",0,1)</f>
        <v>1</v>
      </c>
      <c r="Z60" s="27">
        <f>IF(R60+U60=2,3,IF(R60+U60=1,1,0))</f>
        <v>3</v>
      </c>
      <c r="AA60" s="27">
        <f>IF(Z60=3,3,IF(X60+Z60=2,2,IF(Z60=1,1,0)))</f>
        <v>3</v>
      </c>
      <c r="AB60" s="27">
        <f>Q60+T60</f>
        <v>12</v>
      </c>
      <c r="AC60" s="27">
        <f>R60+U60+X60</f>
        <v>2</v>
      </c>
      <c r="AD60" s="27"/>
      <c r="AE60" s="146" t="str">
        <f>'Players Ladies'!F25</f>
        <v>Janice Galea/Nicole Lia</v>
      </c>
      <c r="AF60" s="46">
        <f>J74+J70+Y58+J62</f>
        <v>4</v>
      </c>
      <c r="AG60" s="46">
        <f t="shared" ref="AG60:AI60" si="9">L74+L70+AA58+L62</f>
        <v>7</v>
      </c>
      <c r="AH60" s="46">
        <f t="shared" si="9"/>
        <v>40</v>
      </c>
      <c r="AI60" s="47">
        <f t="shared" si="9"/>
        <v>6</v>
      </c>
      <c r="AJ60" s="33"/>
      <c r="AK60" s="33"/>
      <c r="AL60" s="27"/>
    </row>
    <row r="61" ht="15.0" customHeight="1">
      <c r="A61" s="48" t="s">
        <v>61</v>
      </c>
      <c r="H61" s="49"/>
      <c r="I61" s="50"/>
      <c r="J61" s="27"/>
      <c r="K61" s="27"/>
      <c r="L61" s="27"/>
      <c r="M61" s="27"/>
      <c r="N61" s="27"/>
      <c r="O61" s="27"/>
      <c r="P61" s="48" t="s">
        <v>61</v>
      </c>
      <c r="W61" s="49"/>
      <c r="X61" s="50"/>
      <c r="Y61" s="27"/>
      <c r="Z61" s="27"/>
      <c r="AA61" s="27"/>
      <c r="AB61" s="27"/>
      <c r="AC61" s="27"/>
      <c r="AD61" s="27"/>
      <c r="AE61" s="27"/>
      <c r="AF61" s="33"/>
      <c r="AG61" s="33"/>
      <c r="AH61" s="33"/>
      <c r="AI61" s="33"/>
      <c r="AJ61" s="33"/>
      <c r="AK61" s="33"/>
      <c r="AL61" s="27"/>
    </row>
    <row r="62" ht="15.0" customHeight="1">
      <c r="A62" s="51" t="str">
        <f>AE60</f>
        <v>Janice Galea/Nicole Lia</v>
      </c>
      <c r="B62" s="41">
        <v>4.0</v>
      </c>
      <c r="C62" s="52">
        <f>IF(B62&gt;B60,1,0)</f>
        <v>0</v>
      </c>
      <c r="D62" s="53"/>
      <c r="E62" s="41">
        <v>2.0</v>
      </c>
      <c r="F62" s="52">
        <f>IF(E62&gt;E60,1,0)</f>
        <v>0</v>
      </c>
      <c r="G62" s="53"/>
      <c r="H62" s="44"/>
      <c r="I62" s="27">
        <f>IF(H62&gt;H60,1,0)</f>
        <v>0</v>
      </c>
      <c r="J62" s="27">
        <f>IF(B62="",0,1)</f>
        <v>1</v>
      </c>
      <c r="K62" s="27">
        <f>IF(C62+F62=2,3,IF(C62+F62=1,1,0))</f>
        <v>0</v>
      </c>
      <c r="L62" s="27">
        <f>IF(K62=3,3,IF(I62+K62=2,2,IF(K62=1,1,0)))</f>
        <v>0</v>
      </c>
      <c r="M62" s="27">
        <f>B62+E62</f>
        <v>6</v>
      </c>
      <c r="N62" s="27">
        <f>C62+F62+I62</f>
        <v>0</v>
      </c>
      <c r="O62" s="27"/>
      <c r="P62" s="51" t="str">
        <f>AE58</f>
        <v>Mary Borg/Christine Scerri</v>
      </c>
      <c r="Q62" s="41">
        <v>1.0</v>
      </c>
      <c r="R62" s="52">
        <f>IF(Q62&gt;Q60,1,0)</f>
        <v>0</v>
      </c>
      <c r="S62" s="53"/>
      <c r="T62" s="41">
        <v>3.0</v>
      </c>
      <c r="U62" s="52">
        <f>IF(T62&gt;T60,1,0)</f>
        <v>0</v>
      </c>
      <c r="V62" s="53"/>
      <c r="W62" s="44"/>
      <c r="X62" s="27">
        <f>IF(W62&gt;W60,1,0)</f>
        <v>0</v>
      </c>
      <c r="Y62" s="27">
        <f>IF(Q62="",0,1)</f>
        <v>1</v>
      </c>
      <c r="Z62" s="27">
        <f>IF(R62+U62=2,3,IF(R62+U62=1,1,0))</f>
        <v>0</v>
      </c>
      <c r="AA62" s="27">
        <f>IF(Z62=3,3,IF(X62+Z62=2,2,IF(Z62=1,1,0)))</f>
        <v>0</v>
      </c>
      <c r="AB62" s="27">
        <f>Q62+T62</f>
        <v>4</v>
      </c>
      <c r="AC62" s="27">
        <f>R62+U62+X62</f>
        <v>0</v>
      </c>
      <c r="AD62" s="27"/>
      <c r="AE62" s="144" t="s">
        <v>65</v>
      </c>
      <c r="AF62" s="30"/>
      <c r="AG62" s="30"/>
      <c r="AH62" s="30"/>
      <c r="AI62" s="11"/>
      <c r="AJ62" s="27"/>
      <c r="AK62" s="33"/>
      <c r="AL62" s="27"/>
    </row>
    <row r="63" ht="15.0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55" t="s">
        <v>101</v>
      </c>
      <c r="AF63" s="30"/>
      <c r="AG63" s="30"/>
      <c r="AH63" s="30"/>
      <c r="AI63" s="11"/>
    </row>
    <row r="64" ht="15.0" customHeight="1">
      <c r="A64" s="40" t="str">
        <f>AE54</f>
        <v>Giada Sciberras/Sophia Re</v>
      </c>
      <c r="B64" s="41">
        <v>0.0</v>
      </c>
      <c r="C64" s="42">
        <f>IF(B64&gt;B66,1,0)</f>
        <v>0</v>
      </c>
      <c r="D64" s="43"/>
      <c r="E64" s="41">
        <v>6.0</v>
      </c>
      <c r="F64" s="42">
        <f>IF(E64&gt;E66,1,0)</f>
        <v>1</v>
      </c>
      <c r="G64" s="43"/>
      <c r="H64" s="41">
        <v>10.0</v>
      </c>
      <c r="I64" s="27">
        <f>IF(H64&gt;H66,1,0)</f>
        <v>1</v>
      </c>
      <c r="J64" s="27">
        <f>IF(B64="",0,1)</f>
        <v>1</v>
      </c>
      <c r="K64" s="27">
        <f>IF(C64+F64=2,3,IF(C64+F64=1,1,0))</f>
        <v>1</v>
      </c>
      <c r="L64" s="27">
        <f>IF(K64=3,3,IF(I64+K64=2,2,IF(K64=1,1,0)))</f>
        <v>2</v>
      </c>
      <c r="M64" s="27">
        <f>B64+E64</f>
        <v>6</v>
      </c>
      <c r="N64" s="27">
        <f>C64+F64+I64</f>
        <v>2</v>
      </c>
      <c r="O64" s="27"/>
      <c r="P64" s="40" t="str">
        <f>AE54</f>
        <v>Giada Sciberras/Sophia Re</v>
      </c>
      <c r="Q64" s="41">
        <v>4.0</v>
      </c>
      <c r="R64" s="42">
        <f>IF(Q64&gt;Q66,1,0)</f>
        <v>0</v>
      </c>
      <c r="S64" s="43"/>
      <c r="T64" s="41">
        <v>6.0</v>
      </c>
      <c r="U64" s="42">
        <f>IF(T64&gt;T66,1,0)</f>
        <v>1</v>
      </c>
      <c r="V64" s="43"/>
      <c r="W64" s="41">
        <v>10.0</v>
      </c>
      <c r="X64" s="27">
        <f>IF(W64&gt;W66,1,0)</f>
        <v>0</v>
      </c>
      <c r="Y64" s="27">
        <f>IF(Q64="",0,1)</f>
        <v>1</v>
      </c>
      <c r="Z64" s="27">
        <f>IF(R64+U64=2,3,IF(R64+U64=1,1,0))</f>
        <v>1</v>
      </c>
      <c r="AA64" s="27">
        <f>IF(Z64=3,3,IF(X64+Z64=2,2,IF(Z64=1,1,0)))</f>
        <v>1</v>
      </c>
      <c r="AB64" s="27">
        <f>Q64+T64</f>
        <v>10</v>
      </c>
      <c r="AC64" s="27">
        <f>R64+U64+X64</f>
        <v>1</v>
      </c>
      <c r="AD64" s="27"/>
    </row>
    <row r="65" ht="15.0" customHeight="1">
      <c r="A65" s="48" t="s">
        <v>61</v>
      </c>
      <c r="H65" s="49"/>
      <c r="I65" s="50"/>
      <c r="J65" s="27"/>
      <c r="K65" s="27"/>
      <c r="L65" s="27"/>
      <c r="M65" s="27"/>
      <c r="N65" s="27"/>
      <c r="O65" s="27"/>
      <c r="P65" s="48" t="s">
        <v>61</v>
      </c>
      <c r="W65" s="49"/>
      <c r="X65" s="50"/>
      <c r="Y65" s="27"/>
      <c r="Z65" s="27"/>
      <c r="AA65" s="27"/>
      <c r="AB65" s="27"/>
      <c r="AC65" s="27"/>
      <c r="AD65" s="27"/>
    </row>
    <row r="66" ht="15.0" customHeight="1">
      <c r="A66" s="51" t="str">
        <f>AE56</f>
        <v>Kaya Sammut/Leanne Sammut</v>
      </c>
      <c r="B66" s="41">
        <v>6.0</v>
      </c>
      <c r="C66" s="52">
        <f>IF(B66&gt;B64,1,0)</f>
        <v>1</v>
      </c>
      <c r="D66" s="53"/>
      <c r="E66" s="41">
        <v>4.0</v>
      </c>
      <c r="F66" s="52">
        <f>IF(E66&gt;E64,1,0)</f>
        <v>0</v>
      </c>
      <c r="G66" s="53"/>
      <c r="H66" s="41">
        <v>7.0</v>
      </c>
      <c r="I66" s="27">
        <f>IF(H66&gt;H64,1,0)</f>
        <v>0</v>
      </c>
      <c r="J66" s="27">
        <f>IF(B66="",0,1)</f>
        <v>1</v>
      </c>
      <c r="K66" s="27">
        <f>IF(C66+F66=2,3,IF(C66+F66=1,1,0))</f>
        <v>1</v>
      </c>
      <c r="L66" s="27">
        <f>IF(K66=3,3,IF(I66+K66=2,2,IF(K66=1,1,0)))</f>
        <v>1</v>
      </c>
      <c r="M66" s="27">
        <f>B66+E66</f>
        <v>10</v>
      </c>
      <c r="N66" s="27">
        <f>C66+F66+I66</f>
        <v>1</v>
      </c>
      <c r="O66" s="27"/>
      <c r="P66" s="51" t="str">
        <f>AE58</f>
        <v>Mary Borg/Christine Scerri</v>
      </c>
      <c r="Q66" s="41">
        <v>6.0</v>
      </c>
      <c r="R66" s="52">
        <f>IF(Q66&gt;Q64,1,0)</f>
        <v>1</v>
      </c>
      <c r="S66" s="53"/>
      <c r="T66" s="41">
        <v>1.0</v>
      </c>
      <c r="U66" s="52">
        <f>IF(T66&gt;T64,1,0)</f>
        <v>0</v>
      </c>
      <c r="V66" s="53"/>
      <c r="W66" s="41">
        <v>12.0</v>
      </c>
      <c r="X66" s="27">
        <f>IF(W66&gt;W64,1,0)</f>
        <v>1</v>
      </c>
      <c r="Y66" s="27">
        <f>IF(Q66="",0,1)</f>
        <v>1</v>
      </c>
      <c r="Z66" s="27">
        <f>IF(R66+U66=2,3,IF(R66+U66=1,1,0))</f>
        <v>1</v>
      </c>
      <c r="AA66" s="27">
        <f>IF(Z66=3,3,IF(X66+Z66=2,2,IF(Z66=1,1,0)))</f>
        <v>2</v>
      </c>
      <c r="AB66" s="27">
        <f>Q66+T66</f>
        <v>7</v>
      </c>
      <c r="AC66" s="27">
        <f>R66+U66+X66</f>
        <v>2</v>
      </c>
      <c r="AD66" s="27"/>
      <c r="AE66" s="27"/>
      <c r="AF66" s="27"/>
      <c r="AG66" s="27"/>
      <c r="AH66" s="27"/>
      <c r="AI66" s="27"/>
    </row>
    <row r="67" ht="15.0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</row>
    <row r="68" ht="15.0" customHeight="1">
      <c r="A68" s="40" t="str">
        <f>AE54</f>
        <v>Giada Sciberras/Sophia Re</v>
      </c>
      <c r="B68" s="41">
        <v>3.0</v>
      </c>
      <c r="C68" s="42">
        <f>IF(B68&gt;B70,1,0)</f>
        <v>0</v>
      </c>
      <c r="D68" s="43"/>
      <c r="E68" s="41">
        <v>7.0</v>
      </c>
      <c r="F68" s="42">
        <f>IF(E68&gt;E70,1,0)</f>
        <v>1</v>
      </c>
      <c r="G68" s="43"/>
      <c r="H68" s="41">
        <v>4.0</v>
      </c>
      <c r="I68" s="27">
        <f>IF(H68&gt;H70,1,0)</f>
        <v>0</v>
      </c>
      <c r="J68" s="27">
        <f>IF(B68="",0,1)</f>
        <v>1</v>
      </c>
      <c r="K68" s="27">
        <f>IF(C68+F68=2,3,IF(C68+F68=1,1,0))</f>
        <v>1</v>
      </c>
      <c r="L68" s="27">
        <f>IF(K68=3,3,IF(I68+K68=2,2,IF(K68=1,1,0)))</f>
        <v>1</v>
      </c>
      <c r="M68" s="27">
        <f>B68+E68</f>
        <v>10</v>
      </c>
      <c r="N68" s="27">
        <f>C68+F68+I68</f>
        <v>1</v>
      </c>
      <c r="O68" s="27"/>
      <c r="P68" s="27"/>
      <c r="Q68" s="33"/>
      <c r="R68" s="27"/>
      <c r="S68" s="33"/>
      <c r="T68" s="33"/>
      <c r="U68" s="27"/>
      <c r="V68" s="33"/>
      <c r="W68" s="33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</row>
    <row r="69" ht="15.0" customHeight="1">
      <c r="A69" s="48" t="s">
        <v>61</v>
      </c>
      <c r="H69" s="49"/>
      <c r="I69" s="50"/>
      <c r="J69" s="27"/>
      <c r="K69" s="27"/>
      <c r="L69" s="27"/>
      <c r="M69" s="27"/>
      <c r="N69" s="27"/>
      <c r="O69" s="27"/>
      <c r="P69" s="27"/>
      <c r="X69" s="50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</row>
    <row r="70" ht="15.0" customHeight="1">
      <c r="A70" s="51" t="str">
        <f>AE60</f>
        <v>Janice Galea/Nicole Lia</v>
      </c>
      <c r="B70" s="41">
        <v>6.0</v>
      </c>
      <c r="C70" s="52">
        <f>IF(B70&gt;B68,1,0)</f>
        <v>1</v>
      </c>
      <c r="D70" s="53"/>
      <c r="E70" s="41">
        <v>5.0</v>
      </c>
      <c r="F70" s="52">
        <f>IF(E70&gt;E68,1,0)</f>
        <v>0</v>
      </c>
      <c r="G70" s="53"/>
      <c r="H70" s="41">
        <v>10.0</v>
      </c>
      <c r="I70" s="27">
        <f>IF(H70&gt;H68,1,0)</f>
        <v>1</v>
      </c>
      <c r="J70" s="27">
        <f>IF(B70="",0,1)</f>
        <v>1</v>
      </c>
      <c r="K70" s="27">
        <f>IF(C70+F70=2,3,IF(C70+F70=1,1,0))</f>
        <v>1</v>
      </c>
      <c r="L70" s="27">
        <f>IF(K70=3,3,IF(I70+K70=2,2,IF(K70=1,1,0)))</f>
        <v>2</v>
      </c>
      <c r="M70" s="27">
        <f>B70+E70</f>
        <v>11</v>
      </c>
      <c r="N70" s="27">
        <f>C70+F70+I70</f>
        <v>2</v>
      </c>
      <c r="O70" s="27"/>
      <c r="P70" s="27"/>
      <c r="Q70" s="33"/>
      <c r="R70" s="27"/>
      <c r="S70" s="33"/>
      <c r="T70" s="33"/>
      <c r="U70" s="27"/>
      <c r="V70" s="33"/>
      <c r="W70" s="33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</row>
    <row r="71" ht="15.0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33"/>
      <c r="AI71" s="27"/>
    </row>
    <row r="72" ht="15.0" customHeight="1">
      <c r="A72" s="40" t="str">
        <f>AE58</f>
        <v>Mary Borg/Christine Scerri</v>
      </c>
      <c r="B72" s="41">
        <v>3.0</v>
      </c>
      <c r="C72" s="42">
        <f>IF(B72&gt;B74,1,0)</f>
        <v>0</v>
      </c>
      <c r="D72" s="43"/>
      <c r="E72" s="41">
        <v>6.0</v>
      </c>
      <c r="F72" s="42">
        <f>IF(E72&gt;E74,1,0)</f>
        <v>1</v>
      </c>
      <c r="G72" s="43"/>
      <c r="H72" s="41">
        <v>6.0</v>
      </c>
      <c r="I72" s="27">
        <f>IF(H72&gt;H74,1,0)</f>
        <v>0</v>
      </c>
      <c r="J72" s="27">
        <f>IF(B72="",0,1)</f>
        <v>1</v>
      </c>
      <c r="K72" s="27">
        <f>IF(C72+F72=2,3,IF(C72+F72=1,1,0))</f>
        <v>1</v>
      </c>
      <c r="L72" s="27">
        <f>IF(K72=3,3,IF(I72+K72=2,2,IF(K72=1,1,0)))</f>
        <v>1</v>
      </c>
      <c r="M72" s="27">
        <f>B72+E72</f>
        <v>9</v>
      </c>
      <c r="N72" s="27">
        <f>C72+F72+I72</f>
        <v>1</v>
      </c>
      <c r="O72" s="27"/>
      <c r="AD72" s="27"/>
      <c r="AE72" s="27"/>
      <c r="AF72" s="27"/>
      <c r="AG72" s="27"/>
      <c r="AH72" s="27"/>
      <c r="AI72" s="27"/>
    </row>
    <row r="73" ht="15.0" customHeight="1">
      <c r="A73" s="48" t="s">
        <v>61</v>
      </c>
      <c r="H73" s="49"/>
      <c r="I73" s="50"/>
      <c r="J73" s="27"/>
      <c r="K73" s="27"/>
      <c r="L73" s="27"/>
      <c r="M73" s="27"/>
      <c r="N73" s="27"/>
      <c r="O73" s="27"/>
      <c r="AD73" s="27"/>
      <c r="AE73" s="27"/>
      <c r="AF73" s="27"/>
      <c r="AG73" s="27"/>
      <c r="AH73" s="27"/>
      <c r="AI73" s="27"/>
    </row>
    <row r="74" ht="15.0" customHeight="1">
      <c r="A74" s="51" t="str">
        <f>AE60</f>
        <v>Janice Galea/Nicole Lia</v>
      </c>
      <c r="B74" s="41">
        <v>6.0</v>
      </c>
      <c r="C74" s="52">
        <f>IF(B74&gt;B72,1,0)</f>
        <v>1</v>
      </c>
      <c r="D74" s="53"/>
      <c r="E74" s="41">
        <v>4.0</v>
      </c>
      <c r="F74" s="52">
        <f>IF(E74&gt;E72,1,0)</f>
        <v>0</v>
      </c>
      <c r="G74" s="53"/>
      <c r="H74" s="41">
        <v>10.0</v>
      </c>
      <c r="I74" s="27">
        <f>IF(H74&gt;H72,1,0)</f>
        <v>1</v>
      </c>
      <c r="J74" s="27">
        <f>IF(B74="",0,1)</f>
        <v>1</v>
      </c>
      <c r="K74" s="27">
        <f>IF(C74+F74=2,3,IF(C74+F74=1,1,0))</f>
        <v>1</v>
      </c>
      <c r="L74" s="27">
        <f>IF(K74=3,3,IF(I74+K74=2,2,IF(K74=1,1,0)))</f>
        <v>2</v>
      </c>
      <c r="M74" s="27">
        <f>B74+E74</f>
        <v>10</v>
      </c>
      <c r="N74" s="27">
        <f>C74+F74+I74</f>
        <v>2</v>
      </c>
      <c r="O74" s="27"/>
      <c r="AD74" s="27"/>
      <c r="AE74" s="27"/>
      <c r="AF74" s="27"/>
      <c r="AG74" s="27"/>
      <c r="AH74" s="27"/>
      <c r="AI74" s="27"/>
    </row>
    <row r="75" ht="15.0" customHeight="1">
      <c r="A75" s="27"/>
      <c r="B75" s="27"/>
      <c r="C75" s="27"/>
      <c r="D75" s="27"/>
      <c r="E75" s="33"/>
      <c r="F75" s="27"/>
      <c r="G75" s="27"/>
      <c r="H75" s="33"/>
      <c r="I75" s="27"/>
      <c r="J75" s="33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33"/>
      <c r="Z75" s="27"/>
      <c r="AA75" s="27"/>
      <c r="AB75" s="27"/>
      <c r="AC75" s="27"/>
      <c r="AD75" s="27"/>
      <c r="AE75" s="27"/>
      <c r="AF75" s="27"/>
      <c r="AG75" s="27"/>
      <c r="AH75" s="27"/>
      <c r="AI75" s="27"/>
    </row>
    <row r="76" ht="15.0" customHeight="1">
      <c r="O76" s="27"/>
      <c r="P76" s="27"/>
      <c r="Q76" s="33"/>
      <c r="R76" s="27"/>
      <c r="S76" s="33"/>
      <c r="T76" s="33"/>
      <c r="U76" s="27"/>
      <c r="V76" s="33"/>
      <c r="W76" s="33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</row>
    <row r="77" ht="15.0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7"/>
      <c r="Q77" s="25"/>
      <c r="R77" s="25"/>
      <c r="S77" s="25"/>
      <c r="T77" s="25"/>
      <c r="U77" s="25"/>
      <c r="V77" s="25"/>
      <c r="W77" s="26"/>
      <c r="X77" s="78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</row>
    <row r="78" ht="15.75" customHeight="1"/>
    <row r="79" ht="13.5" customHeight="1">
      <c r="P79" s="65" t="s">
        <v>67</v>
      </c>
      <c r="Q79" s="30"/>
      <c r="R79" s="30"/>
      <c r="S79" s="30"/>
      <c r="T79" s="30"/>
      <c r="U79" s="30"/>
      <c r="V79" s="30"/>
      <c r="W79" s="66"/>
      <c r="X79" s="27"/>
      <c r="Y79" s="27"/>
      <c r="Z79" s="27"/>
      <c r="AA79" s="27"/>
      <c r="AB79" s="27"/>
      <c r="AC79" s="27"/>
    </row>
    <row r="80" ht="13.5" customHeight="1"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ht="30.0" customHeight="1">
      <c r="P81" s="67" t="s">
        <v>41</v>
      </c>
      <c r="Q81" s="65" t="s">
        <v>42</v>
      </c>
      <c r="R81" s="30"/>
      <c r="S81" s="30"/>
      <c r="T81" s="11"/>
      <c r="U81" s="68"/>
      <c r="V81" s="69"/>
      <c r="W81" s="67" t="s">
        <v>43</v>
      </c>
      <c r="X81" s="27"/>
      <c r="Y81" s="27"/>
      <c r="Z81" s="27"/>
      <c r="AA81" s="27"/>
      <c r="AB81" s="27"/>
      <c r="AC81" s="27"/>
    </row>
    <row r="82" ht="15.75" hidden="1" customHeight="1">
      <c r="P82" s="27"/>
      <c r="Q82" s="37" t="s">
        <v>49</v>
      </c>
      <c r="R82" s="37" t="s">
        <v>50</v>
      </c>
      <c r="S82" s="37"/>
      <c r="T82" s="37" t="s">
        <v>49</v>
      </c>
      <c r="U82" s="37" t="s">
        <v>51</v>
      </c>
      <c r="V82" s="37"/>
      <c r="W82" s="37" t="s">
        <v>49</v>
      </c>
      <c r="X82" s="37" t="s">
        <v>52</v>
      </c>
      <c r="Y82" s="37" t="s">
        <v>53</v>
      </c>
      <c r="Z82" s="37" t="s">
        <v>54</v>
      </c>
      <c r="AA82" s="37" t="s">
        <v>55</v>
      </c>
      <c r="AB82" s="37" t="s">
        <v>56</v>
      </c>
      <c r="AC82" s="37" t="s">
        <v>57</v>
      </c>
    </row>
    <row r="83" ht="13.5" customHeight="1">
      <c r="P83" s="70" t="s">
        <v>100</v>
      </c>
      <c r="Q83" s="41">
        <v>3.0</v>
      </c>
      <c r="R83" s="42">
        <f>IF(Q83&gt;Q85,1,0)</f>
        <v>0</v>
      </c>
      <c r="S83" s="43"/>
      <c r="T83" s="41">
        <v>2.0</v>
      </c>
      <c r="U83" s="42">
        <f>IF(T83&gt;T85,1,0)</f>
        <v>0</v>
      </c>
      <c r="V83" s="43"/>
      <c r="W83" s="44"/>
      <c r="X83" s="27">
        <f>IF(W83&gt;W85,1,0)</f>
        <v>0</v>
      </c>
      <c r="Y83" s="27">
        <f>IF(Q83="",0,1)</f>
        <v>1</v>
      </c>
      <c r="Z83" s="27">
        <f>IF(R83+U83=2,3,IF(R83+U83=1,1,0))</f>
        <v>0</v>
      </c>
      <c r="AA83" s="27">
        <f>IF(Z83=3,3,IF(X83+Z83=2,2,IF(Z83=1,1,0)))</f>
        <v>0</v>
      </c>
      <c r="AB83" s="27">
        <f>Q83+T83</f>
        <v>5</v>
      </c>
      <c r="AC83" s="27">
        <f>R83+U83+X83</f>
        <v>0</v>
      </c>
    </row>
    <row r="84" ht="13.5" customHeight="1">
      <c r="P84" s="48" t="s">
        <v>61</v>
      </c>
      <c r="W84" s="49"/>
      <c r="X84" s="50"/>
      <c r="Y84" s="27"/>
      <c r="Z84" s="27"/>
      <c r="AA84" s="27"/>
      <c r="AB84" s="27"/>
      <c r="AC84" s="27"/>
    </row>
    <row r="85" ht="13.5" customHeight="1">
      <c r="P85" s="71" t="s">
        <v>101</v>
      </c>
      <c r="Q85" s="41">
        <v>6.0</v>
      </c>
      <c r="R85" s="52">
        <f>IF(Q85&gt;Q83,1,0)</f>
        <v>1</v>
      </c>
      <c r="S85" s="53"/>
      <c r="T85" s="41">
        <v>6.0</v>
      </c>
      <c r="U85" s="52">
        <f>IF(T85&gt;T83,1,0)</f>
        <v>1</v>
      </c>
      <c r="V85" s="53"/>
      <c r="W85" s="44"/>
      <c r="X85" s="27">
        <f>IF(W85&gt;W83,1,0)</f>
        <v>0</v>
      </c>
      <c r="Y85" s="27">
        <f>IF(Q85="",0,1)</f>
        <v>1</v>
      </c>
      <c r="Z85" s="27">
        <f>IF(R85+U85=2,3,IF(R85+U85=1,1,0))</f>
        <v>3</v>
      </c>
      <c r="AA85" s="27">
        <f>IF(Z85=3,3,IF(X85+Z85=2,2,IF(Z85=1,1,0)))</f>
        <v>3</v>
      </c>
      <c r="AB85" s="27">
        <f>Q85+T85</f>
        <v>12</v>
      </c>
      <c r="AC85" s="27">
        <f>R85+U85+X85</f>
        <v>2</v>
      </c>
    </row>
    <row r="86" ht="13.5" customHeight="1"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ht="13.5" customHeight="1">
      <c r="P87" s="65" t="s">
        <v>68</v>
      </c>
      <c r="Q87" s="30"/>
      <c r="R87" s="30"/>
      <c r="S87" s="30"/>
      <c r="T87" s="30"/>
      <c r="U87" s="30"/>
      <c r="V87" s="30"/>
      <c r="W87" s="11"/>
      <c r="X87" s="27"/>
      <c r="Y87" s="27"/>
      <c r="Z87" s="27"/>
      <c r="AA87" s="27"/>
      <c r="AB87" s="27"/>
      <c r="AC87" s="27"/>
    </row>
    <row r="88" ht="13.5" customHeight="1">
      <c r="P88" s="72" t="str">
        <f>IF(AA83&gt;AA85,P83,P85)</f>
        <v>Kaya Sammut/Leanne Sammut</v>
      </c>
      <c r="Q88" s="73"/>
      <c r="R88" s="73"/>
      <c r="S88" s="73"/>
      <c r="T88" s="73"/>
      <c r="U88" s="73"/>
      <c r="V88" s="73"/>
      <c r="W88" s="74"/>
      <c r="X88" s="27"/>
      <c r="Y88" s="27"/>
      <c r="Z88" s="27"/>
      <c r="AA88" s="27"/>
      <c r="AB88" s="27"/>
      <c r="AC88" s="27"/>
    </row>
    <row r="89" ht="13.5" customHeight="1"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ht="13.5" customHeight="1"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ht="13.5" customHeight="1">
      <c r="P91" s="65" t="s">
        <v>69</v>
      </c>
      <c r="Q91" s="30"/>
      <c r="R91" s="30"/>
      <c r="S91" s="30"/>
      <c r="T91" s="30"/>
      <c r="U91" s="30"/>
      <c r="V91" s="30"/>
      <c r="W91" s="11"/>
      <c r="X91" s="27"/>
      <c r="Y91" s="27"/>
      <c r="Z91" s="27"/>
      <c r="AA91" s="27"/>
      <c r="AB91" s="27"/>
      <c r="AC91" s="27"/>
    </row>
    <row r="92" ht="13.5" customHeight="1">
      <c r="P92" s="72" t="str">
        <f>IF(AA83&lt;AA85,P83,P85)</f>
        <v>Maria Ellul/Maria Angela Gambin</v>
      </c>
      <c r="Q92" s="73"/>
      <c r="R92" s="73"/>
      <c r="S92" s="73"/>
      <c r="T92" s="73"/>
      <c r="U92" s="73"/>
      <c r="V92" s="73"/>
      <c r="W92" s="74"/>
      <c r="X92" s="27"/>
      <c r="Y92" s="27"/>
      <c r="Z92" s="27"/>
      <c r="AA92" s="27"/>
      <c r="AB92" s="27"/>
      <c r="AC92" s="27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41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19:AI19"/>
    <mergeCell ref="AE20:AI20"/>
    <mergeCell ref="A22:H22"/>
    <mergeCell ref="P22:W22"/>
    <mergeCell ref="A26:H26"/>
    <mergeCell ref="P26:W26"/>
    <mergeCell ref="A30:H30"/>
    <mergeCell ref="A48:AI48"/>
    <mergeCell ref="B50:E50"/>
    <mergeCell ref="Q50:T50"/>
    <mergeCell ref="P53:W53"/>
    <mergeCell ref="A53:H53"/>
    <mergeCell ref="A57:H57"/>
    <mergeCell ref="P57:W57"/>
    <mergeCell ref="A61:H61"/>
    <mergeCell ref="P61:W61"/>
    <mergeCell ref="AE62:AI62"/>
    <mergeCell ref="AE63:AI63"/>
    <mergeCell ref="Q81:T81"/>
    <mergeCell ref="P84:W84"/>
    <mergeCell ref="P87:W87"/>
    <mergeCell ref="P88:W88"/>
    <mergeCell ref="P91:W91"/>
    <mergeCell ref="P92:W92"/>
    <mergeCell ref="A65:H65"/>
    <mergeCell ref="P65:W65"/>
    <mergeCell ref="A69:H69"/>
    <mergeCell ref="P69:W69"/>
    <mergeCell ref="A73:H73"/>
    <mergeCell ref="P77:W77"/>
    <mergeCell ref="P79:W79"/>
  </mergeCells>
  <printOptions/>
  <pageMargins bottom="0.75" footer="0.0" header="0.0" left="0.25" right="0.25" top="0.75"/>
  <pageSetup paperSize="9" scale="6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2024-06-02T08:54:23Z</dcterms:created>
  <dc:creator>Francesca Sciortino</dc:creator>
</cp:coreProperties>
</file>